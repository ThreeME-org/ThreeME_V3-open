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 codeName="{3D1A710C-6663-3D7B-7F91-EC182F24A4BC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reynesfgd\Documents\GITHUB\THREEME_V3\results\"/>
    </mc:Choice>
  </mc:AlternateContent>
  <xr:revisionPtr revIDLastSave="0" documentId="13_ncr:1_{C5DF5B8D-D94D-46CB-8C69-8B7D11E07165}" xr6:coauthVersionLast="36" xr6:coauthVersionMax="36" xr10:uidLastSave="{00000000-0000-0000-0000-000000000000}"/>
  <bookViews>
    <workbookView xWindow="480" yWindow="480" windowWidth="19410" windowHeight="11010" tabRatio="701" firstSheet="1" activeTab="7" xr2:uid="{00000000-000D-0000-FFFF-FFFF00000000}"/>
  </bookViews>
  <sheets>
    <sheet name="ResultsEXR10" sheetId="7" r:id="rId1"/>
    <sheet name="ResultsEXPG1" sheetId="13" r:id="rId2"/>
    <sheet name="ResultsRSSC1" sheetId="18" r:id="rId3"/>
    <sheet name="ResultsVAT1" sheetId="26" r:id="rId4"/>
    <sheet name="ResultsINCT1" sheetId="27" r:id="rId5"/>
    <sheet name="ResultsWD1" sheetId="30" r:id="rId6"/>
    <sheet name="ResultsFF10" sheetId="31" r:id="rId7"/>
    <sheet name="ResultsCT1" sheetId="34" r:id="rId8"/>
    <sheet name="CT1" sheetId="35" state="hidden" r:id="rId9"/>
    <sheet name="WD1" sheetId="32" state="hidden" r:id="rId10"/>
    <sheet name="FF10" sheetId="33" state="hidden" r:id="rId11"/>
    <sheet name="VAT1" sheetId="28" state="hidden" r:id="rId12"/>
    <sheet name="INCT1" sheetId="29" state="hidden" r:id="rId13"/>
    <sheet name="EXPG1" sheetId="25" state="hidden" r:id="rId14"/>
    <sheet name="CSE" sheetId="19" state="hidden" r:id="rId15"/>
    <sheet name="ELEC" sheetId="20" state="hidden" r:id="rId16"/>
    <sheet name="EXR10" sheetId="12" state="hidden" r:id="rId17"/>
    <sheet name="RSSC1" sheetId="15" state="hidden" r:id="rId18"/>
    <sheet name="ResultsCSE" sheetId="16" state="hidden" r:id="rId19"/>
    <sheet name="ResultsELEC" sheetId="17" state="hidden" r:id="rId20"/>
    <sheet name="VAT" sheetId="22" state="hidden" r:id="rId21"/>
    <sheet name="IAPU" sheetId="23" state="hidden" r:id="rId22"/>
    <sheet name="ResultsVAT" sheetId="21" state="hidden" r:id="rId23"/>
    <sheet name="ResultsIAPU" sheetId="24" state="hidden" r:id="rId24"/>
  </sheets>
  <definedNames>
    <definedName name="formatResults">ResultsEXR10!$A$50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50" i="26" l="1"/>
  <c r="A50" i="18"/>
  <c r="A50" i="13"/>
  <c r="A50" i="7"/>
  <c r="B29" i="7" l="1" a="1"/>
  <c r="F47" i="7" s="1"/>
  <c r="B29" i="13" a="1"/>
  <c r="E47" i="13" s="1"/>
  <c r="B29" i="18" a="1"/>
  <c r="B29" i="26" a="1"/>
  <c r="C37" i="26" s="1"/>
  <c r="B29" i="27" a="1"/>
  <c r="G47" i="27" s="1"/>
  <c r="B29" i="30" a="1"/>
  <c r="E47" i="30" s="1"/>
  <c r="B29" i="31" a="1"/>
  <c r="G47" i="31" s="1"/>
  <c r="B29" i="34" a="1"/>
  <c r="G47" i="34" s="1"/>
  <c r="B30" i="7" l="1"/>
  <c r="F33" i="7"/>
  <c r="C37" i="7"/>
  <c r="F40" i="7"/>
  <c r="D44" i="7"/>
  <c r="B31" i="7"/>
  <c r="E34" i="7"/>
  <c r="B38" i="7"/>
  <c r="F41" i="7"/>
  <c r="C45" i="7"/>
  <c r="G31" i="7"/>
  <c r="D35" i="7"/>
  <c r="B39" i="7"/>
  <c r="E42" i="7"/>
  <c r="B46" i="7"/>
  <c r="C29" i="7"/>
  <c r="F32" i="7"/>
  <c r="D36" i="7"/>
  <c r="G39" i="7"/>
  <c r="D43" i="7"/>
  <c r="D47" i="7"/>
  <c r="D29" i="13"/>
  <c r="C31" i="13"/>
  <c r="B33" i="13"/>
  <c r="F34" i="13"/>
  <c r="E36" i="13"/>
  <c r="D38" i="13"/>
  <c r="B40" i="13"/>
  <c r="G41" i="13"/>
  <c r="F43" i="13"/>
  <c r="D45" i="13"/>
  <c r="C47" i="13"/>
  <c r="G29" i="13"/>
  <c r="F31" i="13"/>
  <c r="D33" i="13"/>
  <c r="C35" i="13"/>
  <c r="B37" i="13"/>
  <c r="F38" i="13"/>
  <c r="E40" i="13"/>
  <c r="D42" i="13"/>
  <c r="B44" i="13"/>
  <c r="G45" i="13"/>
  <c r="F47" i="13"/>
  <c r="D30" i="13"/>
  <c r="B32" i="13"/>
  <c r="A54" i="13" s="1"/>
  <c r="G33" i="13"/>
  <c r="F35" i="13"/>
  <c r="D37" i="13"/>
  <c r="C39" i="13"/>
  <c r="B41" i="13"/>
  <c r="F42" i="13"/>
  <c r="E44" i="13"/>
  <c r="D46" i="13"/>
  <c r="B29" i="13"/>
  <c r="F30" i="13"/>
  <c r="E32" i="13"/>
  <c r="D34" i="13"/>
  <c r="B36" i="13"/>
  <c r="G37" i="13"/>
  <c r="F39" i="13"/>
  <c r="D41" i="13"/>
  <c r="C43" i="13"/>
  <c r="B45" i="13"/>
  <c r="F46" i="13"/>
  <c r="E47" i="18"/>
  <c r="F47" i="18"/>
  <c r="F46" i="18"/>
  <c r="G45" i="18"/>
  <c r="B45" i="18"/>
  <c r="B44" i="18"/>
  <c r="C43" i="18"/>
  <c r="D42" i="18"/>
  <c r="D41" i="18"/>
  <c r="E40" i="18"/>
  <c r="F39" i="18"/>
  <c r="F38" i="18"/>
  <c r="G37" i="18"/>
  <c r="B37" i="18"/>
  <c r="B36" i="18"/>
  <c r="C35" i="18"/>
  <c r="D34" i="18"/>
  <c r="D33" i="18"/>
  <c r="E32" i="18"/>
  <c r="F31" i="18"/>
  <c r="F30" i="18"/>
  <c r="G29" i="18"/>
  <c r="B29" i="18"/>
  <c r="B30" i="18"/>
  <c r="C31" i="18"/>
  <c r="D32" i="18"/>
  <c r="F33" i="18"/>
  <c r="F34" i="18"/>
  <c r="G35" i="18"/>
  <c r="C37" i="18"/>
  <c r="D38" i="18"/>
  <c r="D39" i="18"/>
  <c r="F40" i="18"/>
  <c r="G41" i="18"/>
  <c r="B43" i="18"/>
  <c r="D44" i="18"/>
  <c r="D45" i="18"/>
  <c r="E46" i="18"/>
  <c r="G47" i="18"/>
  <c r="D29" i="34"/>
  <c r="C29" i="30"/>
  <c r="B30" i="30"/>
  <c r="B31" i="30"/>
  <c r="G31" i="30"/>
  <c r="F32" i="30"/>
  <c r="F33" i="30"/>
  <c r="E34" i="30"/>
  <c r="D35" i="30"/>
  <c r="D36" i="30"/>
  <c r="C37" i="30"/>
  <c r="B38" i="30"/>
  <c r="B39" i="30"/>
  <c r="G39" i="30"/>
  <c r="F40" i="30"/>
  <c r="F41" i="30"/>
  <c r="E42" i="30"/>
  <c r="D43" i="30"/>
  <c r="D44" i="30"/>
  <c r="C45" i="30"/>
  <c r="B46" i="30"/>
  <c r="B47" i="30"/>
  <c r="G47" i="30"/>
  <c r="C29" i="26"/>
  <c r="B30" i="26"/>
  <c r="B31" i="26"/>
  <c r="G31" i="26"/>
  <c r="B33" i="26"/>
  <c r="D34" i="26"/>
  <c r="D35" i="26"/>
  <c r="E36" i="26"/>
  <c r="G37" i="26"/>
  <c r="B39" i="26"/>
  <c r="B40" i="26"/>
  <c r="D41" i="26"/>
  <c r="E42" i="26"/>
  <c r="F43" i="26"/>
  <c r="B45" i="26"/>
  <c r="B46" i="26"/>
  <c r="C47" i="26"/>
  <c r="C29" i="18"/>
  <c r="D30" i="18"/>
  <c r="D31" i="18"/>
  <c r="F32" i="18"/>
  <c r="G33" i="18"/>
  <c r="B35" i="18"/>
  <c r="D36" i="18"/>
  <c r="D37" i="18"/>
  <c r="E38" i="18"/>
  <c r="G39" i="18"/>
  <c r="B41" i="18"/>
  <c r="B42" i="18"/>
  <c r="D43" i="18"/>
  <c r="E44" i="18"/>
  <c r="F45" i="18"/>
  <c r="B47" i="18"/>
  <c r="D29" i="30"/>
  <c r="D30" i="30"/>
  <c r="C31" i="30"/>
  <c r="B32" i="30"/>
  <c r="B33" i="30"/>
  <c r="G33" i="30"/>
  <c r="F34" i="30"/>
  <c r="F35" i="30"/>
  <c r="E36" i="30"/>
  <c r="D37" i="30"/>
  <c r="D38" i="30"/>
  <c r="C39" i="30"/>
  <c r="B40" i="30"/>
  <c r="B41" i="30"/>
  <c r="G41" i="30"/>
  <c r="F42" i="30"/>
  <c r="F43" i="30"/>
  <c r="E44" i="30"/>
  <c r="D45" i="30"/>
  <c r="D46" i="30"/>
  <c r="C47" i="30"/>
  <c r="D29" i="26"/>
  <c r="D30" i="26"/>
  <c r="C31" i="26"/>
  <c r="B32" i="26"/>
  <c r="D33" i="26"/>
  <c r="E34" i="26"/>
  <c r="F35" i="26"/>
  <c r="B37" i="26"/>
  <c r="B38" i="26"/>
  <c r="C39" i="26"/>
  <c r="E40" i="26"/>
  <c r="F41" i="26"/>
  <c r="F42" i="26"/>
  <c r="B44" i="26"/>
  <c r="C45" i="26"/>
  <c r="D46" i="26"/>
  <c r="F47" i="26"/>
  <c r="D29" i="18"/>
  <c r="E30" i="18"/>
  <c r="G31" i="18"/>
  <c r="B33" i="18"/>
  <c r="B34" i="18"/>
  <c r="D35" i="18"/>
  <c r="E36" i="18"/>
  <c r="F37" i="18"/>
  <c r="B39" i="18"/>
  <c r="B40" i="18"/>
  <c r="C41" i="18"/>
  <c r="E42" i="18"/>
  <c r="F43" i="18"/>
  <c r="F44" i="18"/>
  <c r="B46" i="18"/>
  <c r="C47" i="18"/>
  <c r="F29" i="30"/>
  <c r="E30" i="30"/>
  <c r="D31" i="30"/>
  <c r="D32" i="30"/>
  <c r="C33" i="30"/>
  <c r="B34" i="30"/>
  <c r="B35" i="30"/>
  <c r="G35" i="30"/>
  <c r="F36" i="30"/>
  <c r="F37" i="30"/>
  <c r="E38" i="30"/>
  <c r="D39" i="30"/>
  <c r="D40" i="30"/>
  <c r="C41" i="30"/>
  <c r="B42" i="30"/>
  <c r="B43" i="30"/>
  <c r="G43" i="30"/>
  <c r="F44" i="30"/>
  <c r="F45" i="30"/>
  <c r="E46" i="30"/>
  <c r="D47" i="30"/>
  <c r="D46" i="18"/>
  <c r="E47" i="26"/>
  <c r="D47" i="26"/>
  <c r="E46" i="26"/>
  <c r="F45" i="26"/>
  <c r="F44" i="26"/>
  <c r="G43" i="26"/>
  <c r="B43" i="26"/>
  <c r="B42" i="26"/>
  <c r="C41" i="26"/>
  <c r="D40" i="26"/>
  <c r="D39" i="26"/>
  <c r="E38" i="26"/>
  <c r="F37" i="26"/>
  <c r="F36" i="26"/>
  <c r="G35" i="26"/>
  <c r="B35" i="26"/>
  <c r="B34" i="26"/>
  <c r="C33" i="26"/>
  <c r="D32" i="26"/>
  <c r="F29" i="26"/>
  <c r="E30" i="26"/>
  <c r="D31" i="26"/>
  <c r="E32" i="26"/>
  <c r="F33" i="26"/>
  <c r="F34" i="26"/>
  <c r="B36" i="26"/>
  <c r="D38" i="26"/>
  <c r="F39" i="26"/>
  <c r="F40" i="26"/>
  <c r="G41" i="26"/>
  <c r="C43" i="26"/>
  <c r="D44" i="26"/>
  <c r="D45" i="26"/>
  <c r="F46" i="26"/>
  <c r="G47" i="26"/>
  <c r="F29" i="18"/>
  <c r="B31" i="18"/>
  <c r="B32" i="18"/>
  <c r="C33" i="18"/>
  <c r="E34" i="18"/>
  <c r="F35" i="18"/>
  <c r="F36" i="18"/>
  <c r="B38" i="18"/>
  <c r="C39" i="18"/>
  <c r="D40" i="18"/>
  <c r="F41" i="18"/>
  <c r="F42" i="18"/>
  <c r="G43" i="18"/>
  <c r="C45" i="18"/>
  <c r="D47" i="18"/>
  <c r="B29" i="30"/>
  <c r="G29" i="30"/>
  <c r="F30" i="30"/>
  <c r="F31" i="30"/>
  <c r="E32" i="30"/>
  <c r="D33" i="30"/>
  <c r="D34" i="30"/>
  <c r="C35" i="30"/>
  <c r="B36" i="30"/>
  <c r="B37" i="30"/>
  <c r="G37" i="30"/>
  <c r="F38" i="30"/>
  <c r="F39" i="30"/>
  <c r="E40" i="30"/>
  <c r="D41" i="30"/>
  <c r="D42" i="30"/>
  <c r="C43" i="30"/>
  <c r="B44" i="30"/>
  <c r="B45" i="30"/>
  <c r="G45" i="30"/>
  <c r="F46" i="30"/>
  <c r="F47" i="30"/>
  <c r="B29" i="26"/>
  <c r="G29" i="26"/>
  <c r="F30" i="26"/>
  <c r="F31" i="26"/>
  <c r="F32" i="26"/>
  <c r="G33" i="26"/>
  <c r="C35" i="26"/>
  <c r="D36" i="26"/>
  <c r="D37" i="26"/>
  <c r="F38" i="26"/>
  <c r="G39" i="26"/>
  <c r="B41" i="26"/>
  <c r="D42" i="26"/>
  <c r="D43" i="26"/>
  <c r="E44" i="26"/>
  <c r="G45" i="26"/>
  <c r="B47" i="26"/>
  <c r="C29" i="13"/>
  <c r="B30" i="13"/>
  <c r="B31" i="13"/>
  <c r="G31" i="13"/>
  <c r="F32" i="13"/>
  <c r="F33" i="13"/>
  <c r="E34" i="13"/>
  <c r="D35" i="13"/>
  <c r="D36" i="13"/>
  <c r="C37" i="13"/>
  <c r="B38" i="13"/>
  <c r="B39" i="13"/>
  <c r="G39" i="13"/>
  <c r="F40" i="13"/>
  <c r="F41" i="13"/>
  <c r="E42" i="13"/>
  <c r="D43" i="13"/>
  <c r="D44" i="13"/>
  <c r="C45" i="13"/>
  <c r="B46" i="13"/>
  <c r="B47" i="13"/>
  <c r="G47" i="13"/>
  <c r="D29" i="7"/>
  <c r="D30" i="7"/>
  <c r="C31" i="7"/>
  <c r="B32" i="7"/>
  <c r="B33" i="7"/>
  <c r="G33" i="7"/>
  <c r="F34" i="7"/>
  <c r="F35" i="7"/>
  <c r="E36" i="7"/>
  <c r="D37" i="7"/>
  <c r="D38" i="7"/>
  <c r="C39" i="7"/>
  <c r="B40" i="7"/>
  <c r="B41" i="7"/>
  <c r="G41" i="7"/>
  <c r="F42" i="7"/>
  <c r="F43" i="7"/>
  <c r="E44" i="7"/>
  <c r="D45" i="7"/>
  <c r="E46" i="7"/>
  <c r="G47" i="7"/>
  <c r="F29" i="7"/>
  <c r="E30" i="7"/>
  <c r="D31" i="7"/>
  <c r="D32" i="7"/>
  <c r="C33" i="7"/>
  <c r="B34" i="7"/>
  <c r="B35" i="7"/>
  <c r="G35" i="7"/>
  <c r="F36" i="7"/>
  <c r="F37" i="7"/>
  <c r="E38" i="7"/>
  <c r="D39" i="7"/>
  <c r="D40" i="7"/>
  <c r="C41" i="7"/>
  <c r="B42" i="7"/>
  <c r="B43" i="7"/>
  <c r="G43" i="7"/>
  <c r="F44" i="7"/>
  <c r="F45" i="7"/>
  <c r="F46" i="7"/>
  <c r="F29" i="13"/>
  <c r="E30" i="13"/>
  <c r="D31" i="13"/>
  <c r="D32" i="13"/>
  <c r="C33" i="13"/>
  <c r="A55" i="13" s="1"/>
  <c r="B34" i="13"/>
  <c r="B35" i="13"/>
  <c r="G35" i="13"/>
  <c r="F36" i="13"/>
  <c r="F37" i="13"/>
  <c r="E38" i="13"/>
  <c r="D39" i="13"/>
  <c r="D40" i="13"/>
  <c r="C41" i="13"/>
  <c r="B42" i="13"/>
  <c r="B43" i="13"/>
  <c r="G43" i="13"/>
  <c r="F44" i="13"/>
  <c r="F45" i="13"/>
  <c r="E46" i="13"/>
  <c r="D47" i="13"/>
  <c r="B29" i="7"/>
  <c r="G29" i="7"/>
  <c r="F30" i="7"/>
  <c r="F31" i="7"/>
  <c r="E32" i="7"/>
  <c r="D33" i="7"/>
  <c r="D34" i="7"/>
  <c r="C35" i="7"/>
  <c r="B36" i="7"/>
  <c r="B37" i="7"/>
  <c r="G37" i="7"/>
  <c r="F38" i="7"/>
  <c r="F39" i="7"/>
  <c r="E40" i="7"/>
  <c r="D41" i="7"/>
  <c r="D42" i="7"/>
  <c r="C43" i="7"/>
  <c r="B44" i="7"/>
  <c r="B45" i="7"/>
  <c r="G45" i="7"/>
  <c r="C47" i="7"/>
  <c r="E29" i="7"/>
  <c r="C30" i="7"/>
  <c r="G30" i="7"/>
  <c r="E31" i="7"/>
  <c r="C32" i="7"/>
  <c r="G32" i="7"/>
  <c r="E33" i="7"/>
  <c r="C34" i="7"/>
  <c r="G34" i="7"/>
  <c r="E35" i="7"/>
  <c r="C36" i="7"/>
  <c r="G36" i="7"/>
  <c r="E37" i="7"/>
  <c r="C38" i="7"/>
  <c r="G38" i="7"/>
  <c r="E39" i="7"/>
  <c r="C40" i="7"/>
  <c r="G40" i="7"/>
  <c r="E41" i="7"/>
  <c r="C42" i="7"/>
  <c r="G42" i="7"/>
  <c r="E43" i="7"/>
  <c r="C44" i="7"/>
  <c r="G44" i="7"/>
  <c r="E45" i="7"/>
  <c r="C46" i="7"/>
  <c r="G46" i="7"/>
  <c r="E47" i="7"/>
  <c r="D46" i="7"/>
  <c r="B47" i="7"/>
  <c r="E29" i="13"/>
  <c r="C30" i="13"/>
  <c r="G30" i="13"/>
  <c r="E31" i="13"/>
  <c r="C32" i="13"/>
  <c r="G32" i="13"/>
  <c r="E33" i="13"/>
  <c r="C34" i="13"/>
  <c r="G34" i="13"/>
  <c r="E35" i="13"/>
  <c r="C36" i="13"/>
  <c r="G36" i="13"/>
  <c r="E37" i="13"/>
  <c r="C38" i="13"/>
  <c r="G38" i="13"/>
  <c r="E39" i="13"/>
  <c r="C40" i="13"/>
  <c r="A62" i="13" s="1"/>
  <c r="G40" i="13"/>
  <c r="E41" i="13"/>
  <c r="C42" i="13"/>
  <c r="G42" i="13"/>
  <c r="E43" i="13"/>
  <c r="C44" i="13"/>
  <c r="G44" i="13"/>
  <c r="E45" i="13"/>
  <c r="C46" i="13"/>
  <c r="G46" i="13"/>
  <c r="E29" i="18"/>
  <c r="C30" i="18"/>
  <c r="G30" i="18"/>
  <c r="E31" i="18"/>
  <c r="C32" i="18"/>
  <c r="G32" i="18"/>
  <c r="E33" i="18"/>
  <c r="C34" i="18"/>
  <c r="G34" i="18"/>
  <c r="E35" i="18"/>
  <c r="C36" i="18"/>
  <c r="G36" i="18"/>
  <c r="E37" i="18"/>
  <c r="C38" i="18"/>
  <c r="G38" i="18"/>
  <c r="E39" i="18"/>
  <c r="C40" i="18"/>
  <c r="G40" i="18"/>
  <c r="E41" i="18"/>
  <c r="C42" i="18"/>
  <c r="G42" i="18"/>
  <c r="E43" i="18"/>
  <c r="C44" i="18"/>
  <c r="G44" i="18"/>
  <c r="E45" i="18"/>
  <c r="C46" i="18"/>
  <c r="G46" i="18"/>
  <c r="E29" i="26"/>
  <c r="C30" i="26"/>
  <c r="G30" i="26"/>
  <c r="E31" i="26"/>
  <c r="C32" i="26"/>
  <c r="G32" i="26"/>
  <c r="E33" i="26"/>
  <c r="C34" i="26"/>
  <c r="G34" i="26"/>
  <c r="E35" i="26"/>
  <c r="C36" i="26"/>
  <c r="G36" i="26"/>
  <c r="E37" i="26"/>
  <c r="C38" i="26"/>
  <c r="G38" i="26"/>
  <c r="E39" i="26"/>
  <c r="C40" i="26"/>
  <c r="G40" i="26"/>
  <c r="E41" i="26"/>
  <c r="C42" i="26"/>
  <c r="G42" i="26"/>
  <c r="E43" i="26"/>
  <c r="C44" i="26"/>
  <c r="G44" i="26"/>
  <c r="E45" i="26"/>
  <c r="C46" i="26"/>
  <c r="G46" i="26"/>
  <c r="E29" i="27"/>
  <c r="C30" i="27"/>
  <c r="G30" i="27"/>
  <c r="E31" i="27"/>
  <c r="C32" i="27"/>
  <c r="G32" i="27"/>
  <c r="E33" i="27"/>
  <c r="C34" i="27"/>
  <c r="G34" i="27"/>
  <c r="E35" i="27"/>
  <c r="C36" i="27"/>
  <c r="G36" i="27"/>
  <c r="E37" i="27"/>
  <c r="C38" i="27"/>
  <c r="G38" i="27"/>
  <c r="E39" i="27"/>
  <c r="C40" i="27"/>
  <c r="G40" i="27"/>
  <c r="E41" i="27"/>
  <c r="C42" i="27"/>
  <c r="G42" i="27"/>
  <c r="E43" i="27"/>
  <c r="C44" i="27"/>
  <c r="G44" i="27"/>
  <c r="E45" i="27"/>
  <c r="C46" i="27"/>
  <c r="G46" i="27"/>
  <c r="E47" i="27"/>
  <c r="G29" i="27"/>
  <c r="E30" i="27"/>
  <c r="G31" i="27"/>
  <c r="E32" i="27"/>
  <c r="C33" i="27"/>
  <c r="E34" i="27"/>
  <c r="C35" i="27"/>
  <c r="E36" i="27"/>
  <c r="C37" i="27"/>
  <c r="C39" i="27"/>
  <c r="D29" i="27"/>
  <c r="B30" i="27"/>
  <c r="F30" i="27"/>
  <c r="D31" i="27"/>
  <c r="B32" i="27"/>
  <c r="F32" i="27"/>
  <c r="D33" i="27"/>
  <c r="B34" i="27"/>
  <c r="F34" i="27"/>
  <c r="D35" i="27"/>
  <c r="B36" i="27"/>
  <c r="F36" i="27"/>
  <c r="D37" i="27"/>
  <c r="B38" i="27"/>
  <c r="F38" i="27"/>
  <c r="D39" i="27"/>
  <c r="B40" i="27"/>
  <c r="F40" i="27"/>
  <c r="D41" i="27"/>
  <c r="B42" i="27"/>
  <c r="F42" i="27"/>
  <c r="D43" i="27"/>
  <c r="B44" i="27"/>
  <c r="F44" i="27"/>
  <c r="D45" i="27"/>
  <c r="B46" i="27"/>
  <c r="F46" i="27"/>
  <c r="D47" i="27"/>
  <c r="B29" i="27"/>
  <c r="F29" i="27"/>
  <c r="D30" i="27"/>
  <c r="B31" i="27"/>
  <c r="F31" i="27"/>
  <c r="D32" i="27"/>
  <c r="B33" i="27"/>
  <c r="F33" i="27"/>
  <c r="D34" i="27"/>
  <c r="B35" i="27"/>
  <c r="F35" i="27"/>
  <c r="D36" i="27"/>
  <c r="B37" i="27"/>
  <c r="F37" i="27"/>
  <c r="D38" i="27"/>
  <c r="B39" i="27"/>
  <c r="F39" i="27"/>
  <c r="D40" i="27"/>
  <c r="B41" i="27"/>
  <c r="F41" i="27"/>
  <c r="D42" i="27"/>
  <c r="B43" i="27"/>
  <c r="F43" i="27"/>
  <c r="D44" i="27"/>
  <c r="B45" i="27"/>
  <c r="F45" i="27"/>
  <c r="D46" i="27"/>
  <c r="B47" i="27"/>
  <c r="F47" i="27"/>
  <c r="C29" i="27"/>
  <c r="C31" i="27"/>
  <c r="G33" i="27"/>
  <c r="G35" i="27"/>
  <c r="G37" i="27"/>
  <c r="E38" i="27"/>
  <c r="G39" i="27"/>
  <c r="E40" i="27"/>
  <c r="C41" i="27"/>
  <c r="G41" i="27"/>
  <c r="E42" i="27"/>
  <c r="C43" i="27"/>
  <c r="G43" i="27"/>
  <c r="E44" i="27"/>
  <c r="C45" i="27"/>
  <c r="G45" i="27"/>
  <c r="E46" i="27"/>
  <c r="C47" i="27"/>
  <c r="E29" i="30"/>
  <c r="C30" i="30"/>
  <c r="G30" i="30"/>
  <c r="E31" i="30"/>
  <c r="C32" i="30"/>
  <c r="G32" i="30"/>
  <c r="E33" i="30"/>
  <c r="C34" i="30"/>
  <c r="G34" i="30"/>
  <c r="E35" i="30"/>
  <c r="C36" i="30"/>
  <c r="G36" i="30"/>
  <c r="E37" i="30"/>
  <c r="C38" i="30"/>
  <c r="G38" i="30"/>
  <c r="E39" i="30"/>
  <c r="C40" i="30"/>
  <c r="G40" i="30"/>
  <c r="E41" i="30"/>
  <c r="C42" i="30"/>
  <c r="G42" i="30"/>
  <c r="E43" i="30"/>
  <c r="C44" i="30"/>
  <c r="G44" i="30"/>
  <c r="E45" i="30"/>
  <c r="C46" i="30"/>
  <c r="G46" i="30"/>
  <c r="G30" i="31"/>
  <c r="D29" i="31"/>
  <c r="B30" i="31"/>
  <c r="F30" i="31"/>
  <c r="D31" i="31"/>
  <c r="B32" i="31"/>
  <c r="F32" i="31"/>
  <c r="D33" i="31"/>
  <c r="B34" i="31"/>
  <c r="F34" i="31"/>
  <c r="D35" i="31"/>
  <c r="B36" i="31"/>
  <c r="F36" i="31"/>
  <c r="D37" i="31"/>
  <c r="B38" i="31"/>
  <c r="F38" i="31"/>
  <c r="D39" i="31"/>
  <c r="B40" i="31"/>
  <c r="F40" i="31"/>
  <c r="D41" i="31"/>
  <c r="B42" i="31"/>
  <c r="F42" i="31"/>
  <c r="D43" i="31"/>
  <c r="B44" i="31"/>
  <c r="F44" i="31"/>
  <c r="D45" i="31"/>
  <c r="B46" i="31"/>
  <c r="F46" i="31"/>
  <c r="D47" i="31"/>
  <c r="E29" i="31"/>
  <c r="C30" i="31"/>
  <c r="E31" i="31"/>
  <c r="C32" i="31"/>
  <c r="G32" i="31"/>
  <c r="E33" i="31"/>
  <c r="C34" i="31"/>
  <c r="G34" i="31"/>
  <c r="E35" i="31"/>
  <c r="C36" i="31"/>
  <c r="G36" i="31"/>
  <c r="E37" i="31"/>
  <c r="C38" i="31"/>
  <c r="G38" i="31"/>
  <c r="E39" i="31"/>
  <c r="C40" i="31"/>
  <c r="G40" i="31"/>
  <c r="E41" i="31"/>
  <c r="C42" i="31"/>
  <c r="G42" i="31"/>
  <c r="E43" i="31"/>
  <c r="C44" i="31"/>
  <c r="G44" i="31"/>
  <c r="E45" i="31"/>
  <c r="C46" i="31"/>
  <c r="G46" i="31"/>
  <c r="E47" i="31"/>
  <c r="B29" i="31"/>
  <c r="F29" i="31"/>
  <c r="D30" i="31"/>
  <c r="B31" i="31"/>
  <c r="F31" i="31"/>
  <c r="D32" i="31"/>
  <c r="B33" i="31"/>
  <c r="F33" i="31"/>
  <c r="D34" i="31"/>
  <c r="B35" i="31"/>
  <c r="F35" i="31"/>
  <c r="D36" i="31"/>
  <c r="B37" i="31"/>
  <c r="F37" i="31"/>
  <c r="D38" i="31"/>
  <c r="B39" i="31"/>
  <c r="F39" i="31"/>
  <c r="D40" i="31"/>
  <c r="B41" i="31"/>
  <c r="F41" i="31"/>
  <c r="D42" i="31"/>
  <c r="B43" i="31"/>
  <c r="F43" i="31"/>
  <c r="D44" i="31"/>
  <c r="B45" i="31"/>
  <c r="F45" i="31"/>
  <c r="D46" i="31"/>
  <c r="B47" i="31"/>
  <c r="F47" i="31"/>
  <c r="C29" i="31"/>
  <c r="G29" i="31"/>
  <c r="E30" i="31"/>
  <c r="C31" i="31"/>
  <c r="G31" i="31"/>
  <c r="E32" i="31"/>
  <c r="C33" i="31"/>
  <c r="G33" i="31"/>
  <c r="E34" i="31"/>
  <c r="C35" i="31"/>
  <c r="G35" i="31"/>
  <c r="E36" i="31"/>
  <c r="C37" i="31"/>
  <c r="G37" i="31"/>
  <c r="E38" i="31"/>
  <c r="C39" i="31"/>
  <c r="G39" i="31"/>
  <c r="E40" i="31"/>
  <c r="C41" i="31"/>
  <c r="G41" i="31"/>
  <c r="E42" i="31"/>
  <c r="C43" i="31"/>
  <c r="G43" i="31"/>
  <c r="E44" i="31"/>
  <c r="C45" i="31"/>
  <c r="G45" i="31"/>
  <c r="E46" i="31"/>
  <c r="C47" i="31"/>
  <c r="E29" i="34"/>
  <c r="C30" i="34"/>
  <c r="G30" i="34"/>
  <c r="E31" i="34"/>
  <c r="C32" i="34"/>
  <c r="G32" i="34"/>
  <c r="E33" i="34"/>
  <c r="C34" i="34"/>
  <c r="G34" i="34"/>
  <c r="E35" i="34"/>
  <c r="C36" i="34"/>
  <c r="G36" i="34"/>
  <c r="E37" i="34"/>
  <c r="C38" i="34"/>
  <c r="G38" i="34"/>
  <c r="E39" i="34"/>
  <c r="C40" i="34"/>
  <c r="G40" i="34"/>
  <c r="E41" i="34"/>
  <c r="C42" i="34"/>
  <c r="G42" i="34"/>
  <c r="E43" i="34"/>
  <c r="C44" i="34"/>
  <c r="G44" i="34"/>
  <c r="E45" i="34"/>
  <c r="C46" i="34"/>
  <c r="G46" i="34"/>
  <c r="E47" i="34"/>
  <c r="B30" i="34"/>
  <c r="F30" i="34"/>
  <c r="D31" i="34"/>
  <c r="B32" i="34"/>
  <c r="F32" i="34"/>
  <c r="D33" i="34"/>
  <c r="B34" i="34"/>
  <c r="F34" i="34"/>
  <c r="D35" i="34"/>
  <c r="B36" i="34"/>
  <c r="F36" i="34"/>
  <c r="D37" i="34"/>
  <c r="B38" i="34"/>
  <c r="F38" i="34"/>
  <c r="D39" i="34"/>
  <c r="B40" i="34"/>
  <c r="F40" i="34"/>
  <c r="D41" i="34"/>
  <c r="B42" i="34"/>
  <c r="F42" i="34"/>
  <c r="D43" i="34"/>
  <c r="B44" i="34"/>
  <c r="F44" i="34"/>
  <c r="D45" i="34"/>
  <c r="B46" i="34"/>
  <c r="F46" i="34"/>
  <c r="D47" i="34"/>
  <c r="B29" i="34"/>
  <c r="F29" i="34"/>
  <c r="D30" i="34"/>
  <c r="B31" i="34"/>
  <c r="F31" i="34"/>
  <c r="D32" i="34"/>
  <c r="B33" i="34"/>
  <c r="F33" i="34"/>
  <c r="D34" i="34"/>
  <c r="B35" i="34"/>
  <c r="F35" i="34"/>
  <c r="D36" i="34"/>
  <c r="B37" i="34"/>
  <c r="F37" i="34"/>
  <c r="D38" i="34"/>
  <c r="B39" i="34"/>
  <c r="F39" i="34"/>
  <c r="D40" i="34"/>
  <c r="B41" i="34"/>
  <c r="F41" i="34"/>
  <c r="D42" i="34"/>
  <c r="B43" i="34"/>
  <c r="F43" i="34"/>
  <c r="D44" i="34"/>
  <c r="B45" i="34"/>
  <c r="F45" i="34"/>
  <c r="D46" i="34"/>
  <c r="B47" i="34"/>
  <c r="F47" i="34"/>
  <c r="C29" i="34"/>
  <c r="G29" i="34"/>
  <c r="E30" i="34"/>
  <c r="C31" i="34"/>
  <c r="G31" i="34"/>
  <c r="E32" i="34"/>
  <c r="C33" i="34"/>
  <c r="G33" i="34"/>
  <c r="E34" i="34"/>
  <c r="C35" i="34"/>
  <c r="G35" i="34"/>
  <c r="E36" i="34"/>
  <c r="C37" i="34"/>
  <c r="G37" i="34"/>
  <c r="E38" i="34"/>
  <c r="C39" i="34"/>
  <c r="G39" i="34"/>
  <c r="E40" i="34"/>
  <c r="C41" i="34"/>
  <c r="G41" i="34"/>
  <c r="E42" i="34"/>
  <c r="C43" i="34"/>
  <c r="G43" i="34"/>
  <c r="E44" i="34"/>
  <c r="C45" i="34"/>
  <c r="G45" i="34"/>
  <c r="E46" i="34"/>
  <c r="C47" i="34"/>
  <c r="B4" i="34" a="1"/>
  <c r="E4" i="34" s="1"/>
  <c r="A58" i="30" l="1"/>
  <c r="A55" i="30"/>
  <c r="A58" i="26"/>
  <c r="A68" i="18"/>
  <c r="A54" i="18"/>
  <c r="A53" i="27"/>
  <c r="A69" i="27"/>
  <c r="A56" i="27"/>
  <c r="A65" i="31"/>
  <c r="A57" i="31"/>
  <c r="A68" i="7"/>
  <c r="A66" i="7"/>
  <c r="A61" i="7"/>
  <c r="A57" i="7"/>
  <c r="A58" i="7"/>
  <c r="A52" i="7"/>
  <c r="A60" i="7"/>
  <c r="A53" i="7"/>
  <c r="A58" i="13"/>
  <c r="A67" i="13"/>
  <c r="A64" i="13"/>
  <c r="A57" i="13"/>
  <c r="A59" i="13"/>
  <c r="A66" i="13"/>
  <c r="A63" i="13"/>
  <c r="A56" i="13"/>
  <c r="A51" i="13"/>
  <c r="A65" i="34"/>
  <c r="A68" i="34"/>
  <c r="A60" i="34"/>
  <c r="A57" i="34"/>
  <c r="A52" i="34"/>
  <c r="A54" i="7"/>
  <c r="A61" i="26"/>
  <c r="A52" i="26"/>
  <c r="A68" i="30"/>
  <c r="A61" i="30"/>
  <c r="A52" i="18"/>
  <c r="A59" i="7"/>
  <c r="A51" i="30"/>
  <c r="A56" i="7"/>
  <c r="A69" i="13"/>
  <c r="A53" i="18"/>
  <c r="A56" i="26"/>
  <c r="A64" i="30"/>
  <c r="A57" i="30"/>
  <c r="A62" i="18"/>
  <c r="A54" i="30"/>
  <c r="A69" i="18"/>
  <c r="A64" i="18"/>
  <c r="A55" i="26"/>
  <c r="A60" i="30"/>
  <c r="A53" i="30"/>
  <c r="A65" i="18"/>
  <c r="A51" i="18"/>
  <c r="A58" i="18"/>
  <c r="A64" i="27"/>
  <c r="A64" i="7"/>
  <c r="A52" i="13"/>
  <c r="A65" i="30"/>
  <c r="A59" i="26"/>
  <c r="A54" i="26"/>
  <c r="A62" i="30"/>
  <c r="A61" i="34"/>
  <c r="A69" i="31"/>
  <c r="A58" i="31"/>
  <c r="A57" i="27"/>
  <c r="A68" i="27"/>
  <c r="A60" i="27"/>
  <c r="A52" i="27"/>
  <c r="A63" i="7"/>
  <c r="A68" i="13"/>
  <c r="A61" i="13"/>
  <c r="A69" i="26"/>
  <c r="A51" i="26"/>
  <c r="A67" i="30"/>
  <c r="A57" i="26"/>
  <c r="A64" i="26"/>
  <c r="A56" i="30"/>
  <c r="A61" i="18"/>
  <c r="A56" i="18"/>
  <c r="A66" i="26"/>
  <c r="A63" i="18"/>
  <c r="A68" i="26"/>
  <c r="A52" i="30"/>
  <c r="A59" i="18"/>
  <c r="A66" i="18"/>
  <c r="A62" i="31"/>
  <c r="A54" i="31"/>
  <c r="A61" i="27"/>
  <c r="A67" i="34"/>
  <c r="A59" i="34"/>
  <c r="A51" i="34"/>
  <c r="A62" i="34"/>
  <c r="A54" i="34"/>
  <c r="A67" i="31"/>
  <c r="A59" i="31"/>
  <c r="A51" i="31"/>
  <c r="A64" i="31"/>
  <c r="A56" i="31"/>
  <c r="A63" i="27"/>
  <c r="A55" i="27"/>
  <c r="A66" i="27"/>
  <c r="A58" i="27"/>
  <c r="A51" i="7"/>
  <c r="A69" i="34"/>
  <c r="A53" i="34"/>
  <c r="A64" i="34"/>
  <c r="A56" i="34"/>
  <c r="A61" i="31"/>
  <c r="A53" i="31"/>
  <c r="A66" i="31"/>
  <c r="A65" i="27"/>
  <c r="A63" i="34"/>
  <c r="A55" i="34"/>
  <c r="A66" i="34"/>
  <c r="A58" i="34"/>
  <c r="A63" i="31"/>
  <c r="A55" i="31"/>
  <c r="A68" i="31"/>
  <c r="A60" i="31"/>
  <c r="A52" i="31"/>
  <c r="A67" i="27"/>
  <c r="A59" i="27"/>
  <c r="A51" i="27"/>
  <c r="A62" i="27"/>
  <c r="A54" i="27"/>
  <c r="A69" i="7"/>
  <c r="A67" i="7"/>
  <c r="A65" i="13"/>
  <c r="A65" i="7"/>
  <c r="A62" i="7"/>
  <c r="A55" i="7"/>
  <c r="A60" i="13"/>
  <c r="A53" i="13"/>
  <c r="A63" i="26"/>
  <c r="A66" i="30"/>
  <c r="A59" i="30"/>
  <c r="A60" i="18"/>
  <c r="A65" i="26"/>
  <c r="A55" i="18"/>
  <c r="A60" i="26"/>
  <c r="A63" i="30"/>
  <c r="A57" i="18"/>
  <c r="A67" i="26"/>
  <c r="A62" i="26"/>
  <c r="A53" i="26"/>
  <c r="A69" i="30"/>
  <c r="A67" i="18"/>
  <c r="D22" i="34"/>
  <c r="F21" i="34"/>
  <c r="B21" i="34"/>
  <c r="D20" i="34"/>
  <c r="F19" i="34"/>
  <c r="B19" i="34"/>
  <c r="D18" i="34"/>
  <c r="F17" i="34"/>
  <c r="B17" i="34"/>
  <c r="D16" i="34"/>
  <c r="F15" i="34"/>
  <c r="B15" i="34"/>
  <c r="D14" i="34"/>
  <c r="F13" i="34"/>
  <c r="B13" i="34"/>
  <c r="D12" i="34"/>
  <c r="F11" i="34"/>
  <c r="B11" i="34"/>
  <c r="D10" i="34"/>
  <c r="F9" i="34"/>
  <c r="B9" i="34"/>
  <c r="D8" i="34"/>
  <c r="F7" i="34"/>
  <c r="B7" i="34"/>
  <c r="D6" i="34"/>
  <c r="F5" i="34"/>
  <c r="B5" i="34"/>
  <c r="D4" i="34"/>
  <c r="G22" i="34"/>
  <c r="C22" i="34"/>
  <c r="E21" i="34"/>
  <c r="G20" i="34"/>
  <c r="C20" i="34"/>
  <c r="E19" i="34"/>
  <c r="G18" i="34"/>
  <c r="C18" i="34"/>
  <c r="E17" i="34"/>
  <c r="G16" i="34"/>
  <c r="C16" i="34"/>
  <c r="E15" i="34"/>
  <c r="G14" i="34"/>
  <c r="C14" i="34"/>
  <c r="E13" i="34"/>
  <c r="G12" i="34"/>
  <c r="C12" i="34"/>
  <c r="E11" i="34"/>
  <c r="G10" i="34"/>
  <c r="C10" i="34"/>
  <c r="E9" i="34"/>
  <c r="G8" i="34"/>
  <c r="C8" i="34"/>
  <c r="E7" i="34"/>
  <c r="G6" i="34"/>
  <c r="C6" i="34"/>
  <c r="E5" i="34"/>
  <c r="G4" i="34"/>
  <c r="C4" i="34"/>
  <c r="G21" i="34"/>
  <c r="C21" i="34"/>
  <c r="G19" i="34"/>
  <c r="C19" i="34"/>
  <c r="G17" i="34"/>
  <c r="F22" i="34"/>
  <c r="B22" i="34"/>
  <c r="D21" i="34"/>
  <c r="F20" i="34"/>
  <c r="B20" i="34"/>
  <c r="D19" i="34"/>
  <c r="F18" i="34"/>
  <c r="B18" i="34"/>
  <c r="D17" i="34"/>
  <c r="F16" i="34"/>
  <c r="B16" i="34"/>
  <c r="D15" i="34"/>
  <c r="F14" i="34"/>
  <c r="B14" i="34"/>
  <c r="D13" i="34"/>
  <c r="F12" i="34"/>
  <c r="B12" i="34"/>
  <c r="D11" i="34"/>
  <c r="F10" i="34"/>
  <c r="B10" i="34"/>
  <c r="D9" i="34"/>
  <c r="F8" i="34"/>
  <c r="B8" i="34"/>
  <c r="D7" i="34"/>
  <c r="F6" i="34"/>
  <c r="B6" i="34"/>
  <c r="D5" i="34"/>
  <c r="F4" i="34"/>
  <c r="B4" i="34"/>
  <c r="E22" i="34"/>
  <c r="E20" i="34"/>
  <c r="E18" i="34"/>
  <c r="C17" i="34"/>
  <c r="E16" i="34"/>
  <c r="G15" i="34"/>
  <c r="C15" i="34"/>
  <c r="E14" i="34"/>
  <c r="G13" i="34"/>
  <c r="C13" i="34"/>
  <c r="E12" i="34"/>
  <c r="G11" i="34"/>
  <c r="C11" i="34"/>
  <c r="E10" i="34"/>
  <c r="G9" i="34"/>
  <c r="C9" i="34"/>
  <c r="E8" i="34"/>
  <c r="G7" i="34"/>
  <c r="C7" i="34"/>
  <c r="E6" i="34"/>
  <c r="G5" i="34"/>
  <c r="C5" i="34"/>
  <c r="B4" i="31" a="1"/>
  <c r="C4" i="31" s="1"/>
  <c r="B4" i="31"/>
  <c r="E4" i="31"/>
  <c r="F4" i="31"/>
  <c r="C5" i="31"/>
  <c r="D5" i="31"/>
  <c r="G5" i="31"/>
  <c r="B6" i="31"/>
  <c r="E6" i="31"/>
  <c r="F6" i="31"/>
  <c r="C7" i="31"/>
  <c r="D7" i="31"/>
  <c r="G7" i="31"/>
  <c r="B8" i="31"/>
  <c r="E8" i="31"/>
  <c r="F8" i="31"/>
  <c r="C9" i="31"/>
  <c r="D9" i="31"/>
  <c r="G9" i="31"/>
  <c r="B10" i="31"/>
  <c r="E10" i="31"/>
  <c r="F10" i="31"/>
  <c r="C11" i="31"/>
  <c r="D11" i="31"/>
  <c r="G11" i="31"/>
  <c r="B12" i="31"/>
  <c r="E12" i="31"/>
  <c r="F12" i="31"/>
  <c r="C13" i="31"/>
  <c r="D13" i="31"/>
  <c r="G13" i="31"/>
  <c r="B14" i="31"/>
  <c r="E14" i="31"/>
  <c r="F14" i="31"/>
  <c r="C15" i="31"/>
  <c r="D15" i="31"/>
  <c r="G15" i="31"/>
  <c r="B16" i="31"/>
  <c r="E16" i="31"/>
  <c r="F16" i="31"/>
  <c r="C17" i="31"/>
  <c r="D17" i="31"/>
  <c r="G17" i="31"/>
  <c r="B18" i="31"/>
  <c r="D18" i="31"/>
  <c r="E18" i="31"/>
  <c r="F18" i="31"/>
  <c r="B19" i="31"/>
  <c r="C19" i="31"/>
  <c r="D19" i="31"/>
  <c r="F19" i="31"/>
  <c r="G19" i="31"/>
  <c r="B20" i="31"/>
  <c r="D20" i="31"/>
  <c r="E20" i="31"/>
  <c r="F20" i="31"/>
  <c r="B21" i="31"/>
  <c r="C21" i="31"/>
  <c r="D21" i="31"/>
  <c r="F21" i="31"/>
  <c r="G21" i="31"/>
  <c r="B22" i="31"/>
  <c r="D22" i="31"/>
  <c r="E22" i="31"/>
  <c r="F22" i="31"/>
  <c r="F17" i="31" l="1"/>
  <c r="B17" i="31"/>
  <c r="D16" i="31"/>
  <c r="F15" i="31"/>
  <c r="B15" i="31"/>
  <c r="D14" i="31"/>
  <c r="F13" i="31"/>
  <c r="B13" i="31"/>
  <c r="D12" i="31"/>
  <c r="F11" i="31"/>
  <c r="B11" i="31"/>
  <c r="D10" i="31"/>
  <c r="F9" i="31"/>
  <c r="B9" i="31"/>
  <c r="D8" i="31"/>
  <c r="F7" i="31"/>
  <c r="B7" i="31"/>
  <c r="D6" i="31"/>
  <c r="F5" i="31"/>
  <c r="B5" i="31"/>
  <c r="D4" i="31"/>
  <c r="G22" i="31"/>
  <c r="C22" i="31"/>
  <c r="E21" i="31"/>
  <c r="G20" i="31"/>
  <c r="C20" i="31"/>
  <c r="E19" i="31"/>
  <c r="G18" i="31"/>
  <c r="C18" i="31"/>
  <c r="E17" i="31"/>
  <c r="G16" i="31"/>
  <c r="C16" i="31"/>
  <c r="E15" i="31"/>
  <c r="G14" i="31"/>
  <c r="C14" i="31"/>
  <c r="E13" i="31"/>
  <c r="G12" i="31"/>
  <c r="C12" i="31"/>
  <c r="E11" i="31"/>
  <c r="G10" i="31"/>
  <c r="C10" i="31"/>
  <c r="E9" i="31"/>
  <c r="G8" i="31"/>
  <c r="C8" i="31"/>
  <c r="E7" i="31"/>
  <c r="G6" i="31"/>
  <c r="C6" i="31"/>
  <c r="E5" i="31"/>
  <c r="G4" i="31"/>
  <c r="B4" i="30" a="1"/>
  <c r="B4" i="30" s="1"/>
  <c r="E22" i="30" l="1"/>
  <c r="G21" i="30"/>
  <c r="C21" i="30"/>
  <c r="E20" i="30"/>
  <c r="G19" i="30"/>
  <c r="C19" i="30"/>
  <c r="E18" i="30"/>
  <c r="G17" i="30"/>
  <c r="C17" i="30"/>
  <c r="E16" i="30"/>
  <c r="G15" i="30"/>
  <c r="C15" i="30"/>
  <c r="E14" i="30"/>
  <c r="G13" i="30"/>
  <c r="C13" i="30"/>
  <c r="E12" i="30"/>
  <c r="G11" i="30"/>
  <c r="C11" i="30"/>
  <c r="E10" i="30"/>
  <c r="G9" i="30"/>
  <c r="C9" i="30"/>
  <c r="E8" i="30"/>
  <c r="G7" i="30"/>
  <c r="C7" i="30"/>
  <c r="E6" i="30"/>
  <c r="G5" i="30"/>
  <c r="C5" i="30"/>
  <c r="E4" i="30"/>
  <c r="D22" i="30"/>
  <c r="B21" i="30"/>
  <c r="F19" i="30"/>
  <c r="D18" i="30"/>
  <c r="B17" i="30"/>
  <c r="F15" i="30"/>
  <c r="D14" i="30"/>
  <c r="B13" i="30"/>
  <c r="F11" i="30"/>
  <c r="D10" i="30"/>
  <c r="B9" i="30"/>
  <c r="F7" i="30"/>
  <c r="D6" i="30"/>
  <c r="B5" i="30"/>
  <c r="G22" i="30"/>
  <c r="C22" i="30"/>
  <c r="E21" i="30"/>
  <c r="G20" i="30"/>
  <c r="C20" i="30"/>
  <c r="E19" i="30"/>
  <c r="G18" i="30"/>
  <c r="C18" i="30"/>
  <c r="E17" i="30"/>
  <c r="G16" i="30"/>
  <c r="C16" i="30"/>
  <c r="E15" i="30"/>
  <c r="G14" i="30"/>
  <c r="C14" i="30"/>
  <c r="E13" i="30"/>
  <c r="G12" i="30"/>
  <c r="C12" i="30"/>
  <c r="E11" i="30"/>
  <c r="G10" i="30"/>
  <c r="C10" i="30"/>
  <c r="E9" i="30"/>
  <c r="G8" i="30"/>
  <c r="C8" i="30"/>
  <c r="E7" i="30"/>
  <c r="G6" i="30"/>
  <c r="C6" i="30"/>
  <c r="E5" i="30"/>
  <c r="G4" i="30"/>
  <c r="C4" i="30"/>
  <c r="F21" i="30"/>
  <c r="D20" i="30"/>
  <c r="B19" i="30"/>
  <c r="F17" i="30"/>
  <c r="D16" i="30"/>
  <c r="B15" i="30"/>
  <c r="F13" i="30"/>
  <c r="D12" i="30"/>
  <c r="B11" i="30"/>
  <c r="F9" i="30"/>
  <c r="D8" i="30"/>
  <c r="B7" i="30"/>
  <c r="F5" i="30"/>
  <c r="D4" i="30"/>
  <c r="F22" i="30"/>
  <c r="B22" i="30"/>
  <c r="D21" i="30"/>
  <c r="F20" i="30"/>
  <c r="B20" i="30"/>
  <c r="D19" i="30"/>
  <c r="F18" i="30"/>
  <c r="B18" i="30"/>
  <c r="D17" i="30"/>
  <c r="F16" i="30"/>
  <c r="B16" i="30"/>
  <c r="D15" i="30"/>
  <c r="F14" i="30"/>
  <c r="B14" i="30"/>
  <c r="D13" i="30"/>
  <c r="F12" i="30"/>
  <c r="B12" i="30"/>
  <c r="D11" i="30"/>
  <c r="F10" i="30"/>
  <c r="B10" i="30"/>
  <c r="D9" i="30"/>
  <c r="F8" i="30"/>
  <c r="B8" i="30"/>
  <c r="D7" i="30"/>
  <c r="F6" i="30"/>
  <c r="B6" i="30"/>
  <c r="D5" i="30"/>
  <c r="F4" i="30"/>
  <c r="B4" i="27" a="1"/>
  <c r="B4" i="27" s="1"/>
  <c r="B4" i="26" a="1"/>
  <c r="E10" i="26" s="1"/>
  <c r="G21" i="27" l="1"/>
  <c r="C21" i="27"/>
  <c r="G19" i="27"/>
  <c r="E18" i="27"/>
  <c r="C17" i="27"/>
  <c r="G15" i="27"/>
  <c r="E14" i="27"/>
  <c r="C13" i="27"/>
  <c r="G11" i="27"/>
  <c r="E10" i="27"/>
  <c r="C9" i="27"/>
  <c r="E8" i="27"/>
  <c r="C7" i="27"/>
  <c r="E6" i="27"/>
  <c r="C5" i="27"/>
  <c r="E4" i="27"/>
  <c r="D22" i="27"/>
  <c r="B21" i="27"/>
  <c r="F19" i="27"/>
  <c r="B19" i="27"/>
  <c r="F17" i="27"/>
  <c r="D16" i="27"/>
  <c r="B15" i="27"/>
  <c r="F13" i="27"/>
  <c r="D12" i="27"/>
  <c r="B11" i="27"/>
  <c r="F9" i="27"/>
  <c r="D8" i="27"/>
  <c r="B5" i="27"/>
  <c r="G22" i="27"/>
  <c r="C20" i="27"/>
  <c r="C18" i="27"/>
  <c r="C16" i="27"/>
  <c r="E13" i="27"/>
  <c r="C12" i="27"/>
  <c r="G10" i="27"/>
  <c r="C8" i="27"/>
  <c r="C4" i="27"/>
  <c r="E22" i="27"/>
  <c r="E20" i="27"/>
  <c r="C19" i="27"/>
  <c r="G17" i="27"/>
  <c r="E16" i="27"/>
  <c r="C15" i="27"/>
  <c r="G13" i="27"/>
  <c r="E12" i="27"/>
  <c r="C11" i="27"/>
  <c r="G9" i="27"/>
  <c r="G7" i="27"/>
  <c r="G5" i="27"/>
  <c r="F21" i="27"/>
  <c r="D20" i="27"/>
  <c r="D18" i="27"/>
  <c r="B17" i="27"/>
  <c r="F15" i="27"/>
  <c r="D14" i="27"/>
  <c r="B13" i="27"/>
  <c r="F11" i="27"/>
  <c r="D10" i="27"/>
  <c r="B9" i="27"/>
  <c r="F7" i="27"/>
  <c r="B7" i="27"/>
  <c r="D6" i="27"/>
  <c r="F5" i="27"/>
  <c r="D4" i="27"/>
  <c r="C22" i="27"/>
  <c r="E21" i="27"/>
  <c r="G20" i="27"/>
  <c r="E19" i="27"/>
  <c r="G18" i="27"/>
  <c r="E17" i="27"/>
  <c r="G16" i="27"/>
  <c r="E15" i="27"/>
  <c r="G14" i="27"/>
  <c r="C14" i="27"/>
  <c r="G12" i="27"/>
  <c r="E11" i="27"/>
  <c r="C10" i="27"/>
  <c r="E9" i="27"/>
  <c r="G8" i="27"/>
  <c r="E7" i="27"/>
  <c r="G6" i="27"/>
  <c r="C6" i="27"/>
  <c r="E5" i="27"/>
  <c r="G4" i="27"/>
  <c r="F22" i="27"/>
  <c r="B22" i="27"/>
  <c r="D21" i="27"/>
  <c r="F20" i="27"/>
  <c r="B20" i="27"/>
  <c r="D19" i="27"/>
  <c r="F18" i="27"/>
  <c r="B18" i="27"/>
  <c r="D17" i="27"/>
  <c r="F16" i="27"/>
  <c r="B16" i="27"/>
  <c r="D15" i="27"/>
  <c r="F14" i="27"/>
  <c r="B14" i="27"/>
  <c r="D13" i="27"/>
  <c r="F12" i="27"/>
  <c r="B12" i="27"/>
  <c r="D11" i="27"/>
  <c r="F10" i="27"/>
  <c r="B10" i="27"/>
  <c r="D9" i="27"/>
  <c r="F8" i="27"/>
  <c r="B8" i="27"/>
  <c r="D7" i="27"/>
  <c r="F6" i="27"/>
  <c r="B6" i="27"/>
  <c r="D5" i="27"/>
  <c r="F4" i="27"/>
  <c r="D22" i="26"/>
  <c r="B21" i="26"/>
  <c r="F19" i="26"/>
  <c r="D18" i="26"/>
  <c r="B17" i="26"/>
  <c r="F15" i="26"/>
  <c r="D14" i="26"/>
  <c r="F13" i="26"/>
  <c r="D12" i="26"/>
  <c r="B11" i="26"/>
  <c r="F9" i="26"/>
  <c r="D8" i="26"/>
  <c r="F5" i="26"/>
  <c r="G22" i="26"/>
  <c r="E21" i="26"/>
  <c r="G20" i="26"/>
  <c r="C20" i="26"/>
  <c r="E19" i="26"/>
  <c r="G18" i="26"/>
  <c r="C18" i="26"/>
  <c r="E17" i="26"/>
  <c r="G16" i="26"/>
  <c r="C16" i="26"/>
  <c r="E15" i="26"/>
  <c r="G14" i="26"/>
  <c r="C14" i="26"/>
  <c r="E13" i="26"/>
  <c r="G12" i="26"/>
  <c r="C12" i="26"/>
  <c r="E11" i="26"/>
  <c r="G10" i="26"/>
  <c r="C10" i="26"/>
  <c r="E9" i="26"/>
  <c r="G8" i="26"/>
  <c r="C8" i="26"/>
  <c r="E7" i="26"/>
  <c r="G6" i="26"/>
  <c r="C6" i="26"/>
  <c r="E5" i="26"/>
  <c r="G4" i="26"/>
  <c r="C4" i="26"/>
  <c r="E22" i="26"/>
  <c r="G21" i="26"/>
  <c r="C21" i="26"/>
  <c r="E20" i="26"/>
  <c r="G19" i="26"/>
  <c r="E18" i="26"/>
  <c r="G17" i="26"/>
  <c r="C17" i="26"/>
  <c r="E16" i="26"/>
  <c r="G15" i="26"/>
  <c r="C15" i="26"/>
  <c r="E14" i="26"/>
  <c r="G13" i="26"/>
  <c r="C13" i="26"/>
  <c r="E12" i="26"/>
  <c r="G11" i="26"/>
  <c r="C11" i="26"/>
  <c r="G9" i="26"/>
  <c r="C9" i="26"/>
  <c r="E8" i="26"/>
  <c r="G7" i="26"/>
  <c r="C7" i="26"/>
  <c r="E6" i="26"/>
  <c r="G5" i="26"/>
  <c r="C5" i="26"/>
  <c r="E4" i="26"/>
  <c r="F21" i="26"/>
  <c r="D20" i="26"/>
  <c r="B19" i="26"/>
  <c r="F17" i="26"/>
  <c r="D16" i="26"/>
  <c r="B15" i="26"/>
  <c r="B13" i="26"/>
  <c r="F11" i="26"/>
  <c r="D10" i="26"/>
  <c r="B9" i="26"/>
  <c r="F7" i="26"/>
  <c r="B7" i="26"/>
  <c r="D6" i="26"/>
  <c r="B5" i="26"/>
  <c r="D4" i="26"/>
  <c r="C22" i="26"/>
  <c r="F22" i="26"/>
  <c r="B22" i="26"/>
  <c r="D21" i="26"/>
  <c r="F20" i="26"/>
  <c r="B20" i="26"/>
  <c r="D19" i="26"/>
  <c r="F18" i="26"/>
  <c r="B18" i="26"/>
  <c r="D17" i="26"/>
  <c r="F16" i="26"/>
  <c r="B16" i="26"/>
  <c r="D15" i="26"/>
  <c r="F14" i="26"/>
  <c r="B14" i="26"/>
  <c r="D13" i="26"/>
  <c r="F12" i="26"/>
  <c r="B12" i="26"/>
  <c r="D11" i="26"/>
  <c r="F10" i="26"/>
  <c r="B10" i="26"/>
  <c r="D9" i="26"/>
  <c r="F8" i="26"/>
  <c r="B8" i="26"/>
  <c r="D7" i="26"/>
  <c r="F6" i="26"/>
  <c r="B6" i="26"/>
  <c r="D5" i="26"/>
  <c r="F4" i="26"/>
  <c r="B4" i="26"/>
  <c r="C19" i="26"/>
  <c r="B4" i="13" a="1"/>
  <c r="C4" i="13" s="1"/>
  <c r="C21" i="13" l="1"/>
  <c r="E18" i="13"/>
  <c r="G15" i="13"/>
  <c r="C13" i="13"/>
  <c r="E10" i="13"/>
  <c r="G7" i="13"/>
  <c r="E6" i="13"/>
  <c r="B22" i="13"/>
  <c r="D19" i="13"/>
  <c r="F16" i="13"/>
  <c r="B14" i="13"/>
  <c r="D11" i="13"/>
  <c r="B10" i="13"/>
  <c r="D7" i="13"/>
  <c r="F4" i="13"/>
  <c r="G21" i="13"/>
  <c r="E20" i="13"/>
  <c r="C19" i="13"/>
  <c r="G17" i="13"/>
  <c r="E16" i="13"/>
  <c r="C15" i="13"/>
  <c r="G13" i="13"/>
  <c r="E12" i="13"/>
  <c r="C11" i="13"/>
  <c r="G9" i="13"/>
  <c r="E8" i="13"/>
  <c r="C7" i="13"/>
  <c r="G5" i="13"/>
  <c r="E4" i="13"/>
  <c r="E22" i="13"/>
  <c r="G19" i="13"/>
  <c r="C17" i="13"/>
  <c r="E14" i="13"/>
  <c r="G11" i="13"/>
  <c r="C9" i="13"/>
  <c r="C5" i="13"/>
  <c r="F20" i="13"/>
  <c r="B18" i="13"/>
  <c r="D15" i="13"/>
  <c r="F12" i="13"/>
  <c r="F8" i="13"/>
  <c r="B6" i="13"/>
  <c r="F22" i="13"/>
  <c r="D21" i="13"/>
  <c r="B20" i="13"/>
  <c r="F18" i="13"/>
  <c r="D17" i="13"/>
  <c r="B16" i="13"/>
  <c r="F14" i="13"/>
  <c r="D13" i="13"/>
  <c r="B12" i="13"/>
  <c r="F10" i="13"/>
  <c r="D9" i="13"/>
  <c r="B8" i="13"/>
  <c r="F6" i="13"/>
  <c r="D5" i="13"/>
  <c r="B4" i="13"/>
  <c r="D22" i="13"/>
  <c r="F21" i="13"/>
  <c r="B21" i="13"/>
  <c r="D20" i="13"/>
  <c r="F19" i="13"/>
  <c r="B19" i="13"/>
  <c r="D18" i="13"/>
  <c r="F17" i="13"/>
  <c r="B17" i="13"/>
  <c r="D16" i="13"/>
  <c r="F15" i="13"/>
  <c r="B15" i="13"/>
  <c r="D14" i="13"/>
  <c r="F13" i="13"/>
  <c r="B13" i="13"/>
  <c r="D12" i="13"/>
  <c r="F11" i="13"/>
  <c r="B11" i="13"/>
  <c r="D10" i="13"/>
  <c r="F9" i="13"/>
  <c r="B9" i="13"/>
  <c r="D8" i="13"/>
  <c r="F7" i="13"/>
  <c r="B7" i="13"/>
  <c r="D6" i="13"/>
  <c r="F5" i="13"/>
  <c r="B5" i="13"/>
  <c r="D4" i="13"/>
  <c r="G22" i="13"/>
  <c r="C22" i="13"/>
  <c r="E21" i="13"/>
  <c r="G20" i="13"/>
  <c r="C20" i="13"/>
  <c r="E19" i="13"/>
  <c r="G18" i="13"/>
  <c r="C18" i="13"/>
  <c r="E17" i="13"/>
  <c r="G16" i="13"/>
  <c r="C16" i="13"/>
  <c r="E15" i="13"/>
  <c r="G14" i="13"/>
  <c r="C14" i="13"/>
  <c r="E13" i="13"/>
  <c r="G12" i="13"/>
  <c r="C12" i="13"/>
  <c r="E11" i="13"/>
  <c r="G10" i="13"/>
  <c r="C10" i="13"/>
  <c r="E9" i="13"/>
  <c r="G8" i="13"/>
  <c r="C8" i="13"/>
  <c r="E7" i="13"/>
  <c r="G6" i="13"/>
  <c r="C6" i="13"/>
  <c r="E5" i="13"/>
  <c r="G4" i="13"/>
  <c r="B2" i="23" a="1"/>
  <c r="B3" i="23" s="1"/>
  <c r="B2" i="22" a="1"/>
  <c r="B3" i="22" s="1"/>
  <c r="F20" i="23" l="1"/>
  <c r="D19" i="23"/>
  <c r="B18" i="23"/>
  <c r="F16" i="23"/>
  <c r="D15" i="23"/>
  <c r="B14" i="23"/>
  <c r="F12" i="23"/>
  <c r="D11" i="23"/>
  <c r="B10" i="23"/>
  <c r="F8" i="23"/>
  <c r="D7" i="23"/>
  <c r="B6" i="23"/>
  <c r="F4" i="23"/>
  <c r="D3" i="23"/>
  <c r="B2" i="23"/>
  <c r="C19" i="23"/>
  <c r="E16" i="23"/>
  <c r="G13" i="23"/>
  <c r="C11" i="23"/>
  <c r="E8" i="23"/>
  <c r="G5" i="23"/>
  <c r="C3" i="23"/>
  <c r="C18" i="23"/>
  <c r="E15" i="23"/>
  <c r="G12" i="23"/>
  <c r="C10" i="23"/>
  <c r="C6" i="23"/>
  <c r="E3" i="23"/>
  <c r="D18" i="23"/>
  <c r="D14" i="23"/>
  <c r="F11" i="23"/>
  <c r="B9" i="23"/>
  <c r="B5" i="23"/>
  <c r="D2" i="23"/>
  <c r="E18" i="23"/>
  <c r="G15" i="23"/>
  <c r="C13" i="23"/>
  <c r="E10" i="23"/>
  <c r="G7" i="23"/>
  <c r="C5" i="23"/>
  <c r="G3" i="23"/>
  <c r="B20" i="23"/>
  <c r="D17" i="23"/>
  <c r="D13" i="23"/>
  <c r="F10" i="23"/>
  <c r="B8" i="23"/>
  <c r="B4" i="23"/>
  <c r="C20" i="23"/>
  <c r="G18" i="23"/>
  <c r="E17" i="23"/>
  <c r="C16" i="23"/>
  <c r="G14" i="23"/>
  <c r="E13" i="23"/>
  <c r="C12" i="23"/>
  <c r="G10" i="23"/>
  <c r="E9" i="23"/>
  <c r="C8" i="23"/>
  <c r="G6" i="23"/>
  <c r="E5" i="23"/>
  <c r="C4" i="23"/>
  <c r="G2" i="23"/>
  <c r="E20" i="23"/>
  <c r="G17" i="23"/>
  <c r="C15" i="23"/>
  <c r="E12" i="23"/>
  <c r="G9" i="23"/>
  <c r="C7" i="23"/>
  <c r="E4" i="23"/>
  <c r="G20" i="23"/>
  <c r="E19" i="23"/>
  <c r="G16" i="23"/>
  <c r="C14" i="23"/>
  <c r="E11" i="23"/>
  <c r="G8" i="23"/>
  <c r="E7" i="23"/>
  <c r="G4" i="23"/>
  <c r="C2" i="23"/>
  <c r="F19" i="23"/>
  <c r="B17" i="23"/>
  <c r="F15" i="23"/>
  <c r="B13" i="23"/>
  <c r="D10" i="23"/>
  <c r="F7" i="23"/>
  <c r="D6" i="23"/>
  <c r="F3" i="23"/>
  <c r="G19" i="23"/>
  <c r="C17" i="23"/>
  <c r="E14" i="23"/>
  <c r="G11" i="23"/>
  <c r="C9" i="23"/>
  <c r="E6" i="23"/>
  <c r="E2" i="23"/>
  <c r="F18" i="23"/>
  <c r="B16" i="23"/>
  <c r="F14" i="23"/>
  <c r="B12" i="23"/>
  <c r="D9" i="23"/>
  <c r="F6" i="23"/>
  <c r="D5" i="23"/>
  <c r="F2" i="23"/>
  <c r="D20" i="23"/>
  <c r="B19" i="23"/>
  <c r="F17" i="23"/>
  <c r="D16" i="23"/>
  <c r="B15" i="23"/>
  <c r="F13" i="23"/>
  <c r="D12" i="23"/>
  <c r="B11" i="23"/>
  <c r="F9" i="23"/>
  <c r="D8" i="23"/>
  <c r="B7" i="23"/>
  <c r="F5" i="23"/>
  <c r="D4" i="23"/>
  <c r="E20" i="22"/>
  <c r="E16" i="22"/>
  <c r="E12" i="22"/>
  <c r="E8" i="22"/>
  <c r="E4" i="22"/>
  <c r="D19" i="22"/>
  <c r="C18" i="22"/>
  <c r="C2" i="22"/>
  <c r="C19" i="22"/>
  <c r="G13" i="22"/>
  <c r="G9" i="22"/>
  <c r="G5" i="22"/>
  <c r="F20" i="22"/>
  <c r="D15" i="22"/>
  <c r="D11" i="22"/>
  <c r="D7" i="22"/>
  <c r="D3" i="22"/>
  <c r="E19" i="22"/>
  <c r="C14" i="22"/>
  <c r="C10" i="22"/>
  <c r="G4" i="22"/>
  <c r="D18" i="22"/>
  <c r="B13" i="22"/>
  <c r="B9" i="22"/>
  <c r="B5" i="22"/>
  <c r="G19" i="22"/>
  <c r="E14" i="22"/>
  <c r="E10" i="22"/>
  <c r="C5" i="22"/>
  <c r="B20" i="22"/>
  <c r="D17" i="22"/>
  <c r="B16" i="22"/>
  <c r="F14" i="22"/>
  <c r="D13" i="22"/>
  <c r="B12" i="22"/>
  <c r="F10" i="22"/>
  <c r="D9" i="22"/>
  <c r="B8" i="22"/>
  <c r="F6" i="22"/>
  <c r="D5" i="22"/>
  <c r="B4" i="22"/>
  <c r="F2" i="22"/>
  <c r="G17" i="22"/>
  <c r="C15" i="22"/>
  <c r="C11" i="22"/>
  <c r="C7" i="22"/>
  <c r="C3" i="22"/>
  <c r="B18" i="22"/>
  <c r="B14" i="22"/>
  <c r="B10" i="22"/>
  <c r="B6" i="22"/>
  <c r="B2" i="22"/>
  <c r="G16" i="22"/>
  <c r="G12" i="22"/>
  <c r="G8" i="22"/>
  <c r="C6" i="22"/>
  <c r="F19" i="22"/>
  <c r="F15" i="22"/>
  <c r="F11" i="22"/>
  <c r="F7" i="22"/>
  <c r="D2" i="22"/>
  <c r="C17" i="22"/>
  <c r="C13" i="22"/>
  <c r="C9" i="22"/>
  <c r="E6" i="22"/>
  <c r="E2" i="22"/>
  <c r="C20" i="22"/>
  <c r="G18" i="22"/>
  <c r="E17" i="22"/>
  <c r="C16" i="22"/>
  <c r="G14" i="22"/>
  <c r="E13" i="22"/>
  <c r="C12" i="22"/>
  <c r="G10" i="22"/>
  <c r="E9" i="22"/>
  <c r="C8" i="22"/>
  <c r="G6" i="22"/>
  <c r="E5" i="22"/>
  <c r="C4" i="22"/>
  <c r="G2" i="22"/>
  <c r="F16" i="22"/>
  <c r="F12" i="22"/>
  <c r="F8" i="22"/>
  <c r="F4" i="22"/>
  <c r="G20" i="22"/>
  <c r="E15" i="22"/>
  <c r="E11" i="22"/>
  <c r="E7" i="22"/>
  <c r="E3" i="22"/>
  <c r="B17" i="22"/>
  <c r="D14" i="22"/>
  <c r="D10" i="22"/>
  <c r="D6" i="22"/>
  <c r="F3" i="22"/>
  <c r="E18" i="22"/>
  <c r="G15" i="22"/>
  <c r="G11" i="22"/>
  <c r="G7" i="22"/>
  <c r="G3" i="22"/>
  <c r="F18" i="22"/>
  <c r="D20" i="22"/>
  <c r="B19" i="22"/>
  <c r="F17" i="22"/>
  <c r="D16" i="22"/>
  <c r="B15" i="22"/>
  <c r="F13" i="22"/>
  <c r="D12" i="22"/>
  <c r="B11" i="22"/>
  <c r="F9" i="22"/>
  <c r="D8" i="22"/>
  <c r="B7" i="22"/>
  <c r="F5" i="22"/>
  <c r="D4" i="22"/>
  <c r="B2" i="20" a="1"/>
  <c r="B2" i="20" s="1"/>
  <c r="B2" i="19" a="1"/>
  <c r="D2" i="19" s="1"/>
  <c r="B4" i="18" a="1"/>
  <c r="D4" i="18" s="1"/>
  <c r="B4" i="7" a="1"/>
  <c r="B4" i="7" s="1"/>
  <c r="E20" i="20" l="1"/>
  <c r="C2" i="19"/>
  <c r="E22" i="18"/>
  <c r="F20" i="18"/>
  <c r="G18" i="18"/>
  <c r="C17" i="18"/>
  <c r="D15" i="18"/>
  <c r="E13" i="18"/>
  <c r="G11" i="18"/>
  <c r="B10" i="18"/>
  <c r="C8" i="18"/>
  <c r="E6" i="18"/>
  <c r="F4" i="18"/>
  <c r="C18" i="19"/>
  <c r="C10" i="19"/>
  <c r="G4" i="19"/>
  <c r="G21" i="18"/>
  <c r="B20" i="18"/>
  <c r="C18" i="18"/>
  <c r="E16" i="18"/>
  <c r="F14" i="18"/>
  <c r="G12" i="18"/>
  <c r="C11" i="18"/>
  <c r="D9" i="18"/>
  <c r="E7" i="18"/>
  <c r="G5" i="18"/>
  <c r="B4" i="18"/>
  <c r="E15" i="19"/>
  <c r="E9" i="19"/>
  <c r="C4" i="19"/>
  <c r="G12" i="19"/>
  <c r="E7" i="19"/>
  <c r="E21" i="18"/>
  <c r="G19" i="18"/>
  <c r="B18" i="18"/>
  <c r="C16" i="18"/>
  <c r="E14" i="18"/>
  <c r="F12" i="18"/>
  <c r="G10" i="18"/>
  <c r="C9" i="18"/>
  <c r="D7" i="18"/>
  <c r="E5" i="18"/>
  <c r="F22" i="18"/>
  <c r="G20" i="18"/>
  <c r="C19" i="18"/>
  <c r="D17" i="18"/>
  <c r="E15" i="18"/>
  <c r="G13" i="18"/>
  <c r="B12" i="18"/>
  <c r="C10" i="18"/>
  <c r="E8" i="18"/>
  <c r="F6" i="18"/>
  <c r="G4" i="18"/>
  <c r="G20" i="19"/>
  <c r="C12" i="19"/>
  <c r="G6" i="19"/>
  <c r="D20" i="20"/>
  <c r="F19" i="20"/>
  <c r="B19" i="20"/>
  <c r="D18" i="20"/>
  <c r="F17" i="20"/>
  <c r="B17" i="20"/>
  <c r="D16" i="20"/>
  <c r="F15" i="20"/>
  <c r="B15" i="20"/>
  <c r="D14" i="20"/>
  <c r="F13" i="20"/>
  <c r="B13" i="20"/>
  <c r="D12" i="20"/>
  <c r="F11" i="20"/>
  <c r="B11" i="20"/>
  <c r="D10" i="20"/>
  <c r="F9" i="20"/>
  <c r="B9" i="20"/>
  <c r="D8" i="20"/>
  <c r="F7" i="20"/>
  <c r="B7" i="20"/>
  <c r="D6" i="20"/>
  <c r="F5" i="20"/>
  <c r="B5" i="20"/>
  <c r="D4" i="20"/>
  <c r="F3" i="20"/>
  <c r="B3" i="20"/>
  <c r="D2" i="20"/>
  <c r="G19" i="20"/>
  <c r="C19" i="20"/>
  <c r="E18" i="20"/>
  <c r="G17" i="20"/>
  <c r="C17" i="20"/>
  <c r="E16" i="20"/>
  <c r="G15" i="20"/>
  <c r="C15" i="20"/>
  <c r="E14" i="20"/>
  <c r="G13" i="20"/>
  <c r="C13" i="20"/>
  <c r="E12" i="20"/>
  <c r="G11" i="20"/>
  <c r="C11" i="20"/>
  <c r="E10" i="20"/>
  <c r="G9" i="20"/>
  <c r="C9" i="20"/>
  <c r="E8" i="20"/>
  <c r="G7" i="20"/>
  <c r="C7" i="20"/>
  <c r="E6" i="20"/>
  <c r="G5" i="20"/>
  <c r="C5" i="20"/>
  <c r="E4" i="20"/>
  <c r="G3" i="20"/>
  <c r="C3" i="20"/>
  <c r="E2" i="20"/>
  <c r="G20" i="20"/>
  <c r="C20" i="20"/>
  <c r="E19" i="20"/>
  <c r="G18" i="20"/>
  <c r="C18" i="20"/>
  <c r="E17" i="20"/>
  <c r="G16" i="20"/>
  <c r="C16" i="20"/>
  <c r="E15" i="20"/>
  <c r="G14" i="20"/>
  <c r="C14" i="20"/>
  <c r="E13" i="20"/>
  <c r="G12" i="20"/>
  <c r="C12" i="20"/>
  <c r="E11" i="20"/>
  <c r="G10" i="20"/>
  <c r="C10" i="20"/>
  <c r="E9" i="20"/>
  <c r="G8" i="20"/>
  <c r="C8" i="20"/>
  <c r="E7" i="20"/>
  <c r="G6" i="20"/>
  <c r="C6" i="20"/>
  <c r="E5" i="20"/>
  <c r="G4" i="20"/>
  <c r="C4" i="20"/>
  <c r="E3" i="20"/>
  <c r="G2" i="20"/>
  <c r="C2" i="20"/>
  <c r="F20" i="20"/>
  <c r="B20" i="20"/>
  <c r="D19" i="20"/>
  <c r="F18" i="20"/>
  <c r="B18" i="20"/>
  <c r="D17" i="20"/>
  <c r="F16" i="20"/>
  <c r="B16" i="20"/>
  <c r="D15" i="20"/>
  <c r="F14" i="20"/>
  <c r="B14" i="20"/>
  <c r="D13" i="20"/>
  <c r="F12" i="20"/>
  <c r="B12" i="20"/>
  <c r="D11" i="20"/>
  <c r="F10" i="20"/>
  <c r="B10" i="20"/>
  <c r="D9" i="20"/>
  <c r="F8" i="20"/>
  <c r="B8" i="20"/>
  <c r="D7" i="20"/>
  <c r="F6" i="20"/>
  <c r="B6" i="20"/>
  <c r="D5" i="20"/>
  <c r="F4" i="20"/>
  <c r="B4" i="20"/>
  <c r="D3" i="20"/>
  <c r="F2" i="20"/>
  <c r="E19" i="19"/>
  <c r="G16" i="19"/>
  <c r="C14" i="19"/>
  <c r="E11" i="19"/>
  <c r="G8" i="19"/>
  <c r="C6" i="19"/>
  <c r="E3" i="19"/>
  <c r="G18" i="19"/>
  <c r="C16" i="19"/>
  <c r="E13" i="19"/>
  <c r="G10" i="19"/>
  <c r="C8" i="19"/>
  <c r="E5" i="19"/>
  <c r="G2" i="19"/>
  <c r="C20" i="19"/>
  <c r="E17" i="19"/>
  <c r="G14" i="19"/>
  <c r="F20" i="19"/>
  <c r="B20" i="19"/>
  <c r="D19" i="19"/>
  <c r="F18" i="19"/>
  <c r="B18" i="19"/>
  <c r="D17" i="19"/>
  <c r="F16" i="19"/>
  <c r="B16" i="19"/>
  <c r="D15" i="19"/>
  <c r="F14" i="19"/>
  <c r="B14" i="19"/>
  <c r="D13" i="19"/>
  <c r="F12" i="19"/>
  <c r="B12" i="19"/>
  <c r="D11" i="19"/>
  <c r="F10" i="19"/>
  <c r="B10" i="19"/>
  <c r="D9" i="19"/>
  <c r="F8" i="19"/>
  <c r="B8" i="19"/>
  <c r="D7" i="19"/>
  <c r="F6" i="19"/>
  <c r="B6" i="19"/>
  <c r="D5" i="19"/>
  <c r="F4" i="19"/>
  <c r="B4" i="19"/>
  <c r="D3" i="19"/>
  <c r="F2" i="19"/>
  <c r="B2" i="19"/>
  <c r="E20" i="19"/>
  <c r="G19" i="19"/>
  <c r="C19" i="19"/>
  <c r="E18" i="19"/>
  <c r="G17" i="19"/>
  <c r="C17" i="19"/>
  <c r="E16" i="19"/>
  <c r="G15" i="19"/>
  <c r="C15" i="19"/>
  <c r="E14" i="19"/>
  <c r="G13" i="19"/>
  <c r="C13" i="19"/>
  <c r="E12" i="19"/>
  <c r="G11" i="19"/>
  <c r="C11" i="19"/>
  <c r="E10" i="19"/>
  <c r="G9" i="19"/>
  <c r="C9" i="19"/>
  <c r="E8" i="19"/>
  <c r="G7" i="19"/>
  <c r="C7" i="19"/>
  <c r="E6" i="19"/>
  <c r="G5" i="19"/>
  <c r="C5" i="19"/>
  <c r="E4" i="19"/>
  <c r="G3" i="19"/>
  <c r="C3" i="19"/>
  <c r="E2" i="19"/>
  <c r="D20" i="19"/>
  <c r="F19" i="19"/>
  <c r="B19" i="19"/>
  <c r="D18" i="19"/>
  <c r="F17" i="19"/>
  <c r="B17" i="19"/>
  <c r="D16" i="19"/>
  <c r="F15" i="19"/>
  <c r="B15" i="19"/>
  <c r="D14" i="19"/>
  <c r="F13" i="19"/>
  <c r="B13" i="19"/>
  <c r="D12" i="19"/>
  <c r="F11" i="19"/>
  <c r="B11" i="19"/>
  <c r="D10" i="19"/>
  <c r="F9" i="19"/>
  <c r="B9" i="19"/>
  <c r="D8" i="19"/>
  <c r="F7" i="19"/>
  <c r="B7" i="19"/>
  <c r="D6" i="19"/>
  <c r="F5" i="19"/>
  <c r="B5" i="19"/>
  <c r="D4" i="19"/>
  <c r="F3" i="19"/>
  <c r="B3" i="19"/>
  <c r="C22" i="18"/>
  <c r="D21" i="18"/>
  <c r="E20" i="18"/>
  <c r="E19" i="18"/>
  <c r="F18" i="18"/>
  <c r="G17" i="18"/>
  <c r="G16" i="18"/>
  <c r="B16" i="18"/>
  <c r="C15" i="18"/>
  <c r="C14" i="18"/>
  <c r="D13" i="18"/>
  <c r="E12" i="18"/>
  <c r="E11" i="18"/>
  <c r="F10" i="18"/>
  <c r="G9" i="18"/>
  <c r="G8" i="18"/>
  <c r="B8" i="18"/>
  <c r="C7" i="18"/>
  <c r="C6" i="18"/>
  <c r="D5" i="18"/>
  <c r="E4" i="18"/>
  <c r="G22" i="18"/>
  <c r="B22" i="18"/>
  <c r="C21" i="18"/>
  <c r="C20" i="18"/>
  <c r="D19" i="18"/>
  <c r="E18" i="18"/>
  <c r="E17" i="18"/>
  <c r="F16" i="18"/>
  <c r="G15" i="18"/>
  <c r="G14" i="18"/>
  <c r="B14" i="18"/>
  <c r="C13" i="18"/>
  <c r="C12" i="18"/>
  <c r="D11" i="18"/>
  <c r="E10" i="18"/>
  <c r="E9" i="18"/>
  <c r="F8" i="18"/>
  <c r="G7" i="18"/>
  <c r="G6" i="18"/>
  <c r="B6" i="18"/>
  <c r="C5" i="18"/>
  <c r="C4" i="18"/>
  <c r="D22" i="18"/>
  <c r="F21" i="18"/>
  <c r="B21" i="18"/>
  <c r="D20" i="18"/>
  <c r="F19" i="18"/>
  <c r="B19" i="18"/>
  <c r="D18" i="18"/>
  <c r="F17" i="18"/>
  <c r="B17" i="18"/>
  <c r="D16" i="18"/>
  <c r="F15" i="18"/>
  <c r="B15" i="18"/>
  <c r="D14" i="18"/>
  <c r="F13" i="18"/>
  <c r="B13" i="18"/>
  <c r="D12" i="18"/>
  <c r="F11" i="18"/>
  <c r="B11" i="18"/>
  <c r="D10" i="18"/>
  <c r="F9" i="18"/>
  <c r="B9" i="18"/>
  <c r="D8" i="18"/>
  <c r="F7" i="18"/>
  <c r="B7" i="18"/>
  <c r="D6" i="18"/>
  <c r="F5" i="18"/>
  <c r="B5" i="18"/>
  <c r="E22" i="7"/>
  <c r="D22" i="7"/>
  <c r="F21" i="7"/>
  <c r="B21" i="7"/>
  <c r="D20" i="7"/>
  <c r="F19" i="7"/>
  <c r="B19" i="7"/>
  <c r="D18" i="7"/>
  <c r="F17" i="7"/>
  <c r="B17" i="7"/>
  <c r="D16" i="7"/>
  <c r="F15" i="7"/>
  <c r="B15" i="7"/>
  <c r="D14" i="7"/>
  <c r="F13" i="7"/>
  <c r="B13" i="7"/>
  <c r="D12" i="7"/>
  <c r="F11" i="7"/>
  <c r="B11" i="7"/>
  <c r="D10" i="7"/>
  <c r="F9" i="7"/>
  <c r="B9" i="7"/>
  <c r="D8" i="7"/>
  <c r="F7" i="7"/>
  <c r="B7" i="7"/>
  <c r="D6" i="7"/>
  <c r="F5" i="7"/>
  <c r="B5" i="7"/>
  <c r="D4" i="7"/>
  <c r="G21" i="7"/>
  <c r="C21" i="7"/>
  <c r="E20" i="7"/>
  <c r="G19" i="7"/>
  <c r="C19" i="7"/>
  <c r="E18" i="7"/>
  <c r="G17" i="7"/>
  <c r="C17" i="7"/>
  <c r="E16" i="7"/>
  <c r="G15" i="7"/>
  <c r="C15" i="7"/>
  <c r="E14" i="7"/>
  <c r="G13" i="7"/>
  <c r="C13" i="7"/>
  <c r="E12" i="7"/>
  <c r="G11" i="7"/>
  <c r="C11" i="7"/>
  <c r="E10" i="7"/>
  <c r="G9" i="7"/>
  <c r="C9" i="7"/>
  <c r="E8" i="7"/>
  <c r="G7" i="7"/>
  <c r="C7" i="7"/>
  <c r="E6" i="7"/>
  <c r="G5" i="7"/>
  <c r="C5" i="7"/>
  <c r="E4" i="7"/>
  <c r="G22" i="7"/>
  <c r="C22" i="7"/>
  <c r="E21" i="7"/>
  <c r="G20" i="7"/>
  <c r="C20" i="7"/>
  <c r="E19" i="7"/>
  <c r="G18" i="7"/>
  <c r="C18" i="7"/>
  <c r="E17" i="7"/>
  <c r="G16" i="7"/>
  <c r="C16" i="7"/>
  <c r="E15" i="7"/>
  <c r="G14" i="7"/>
  <c r="C14" i="7"/>
  <c r="E13" i="7"/>
  <c r="G12" i="7"/>
  <c r="C12" i="7"/>
  <c r="E11" i="7"/>
  <c r="G10" i="7"/>
  <c r="C10" i="7"/>
  <c r="E9" i="7"/>
  <c r="G8" i="7"/>
  <c r="C8" i="7"/>
  <c r="E7" i="7"/>
  <c r="G6" i="7"/>
  <c r="C6" i="7"/>
  <c r="E5" i="7"/>
  <c r="G4" i="7"/>
  <c r="C4" i="7"/>
  <c r="F22" i="7"/>
  <c r="B22" i="7"/>
  <c r="D21" i="7"/>
  <c r="F20" i="7"/>
  <c r="B20" i="7"/>
  <c r="D19" i="7"/>
  <c r="F18" i="7"/>
  <c r="B18" i="7"/>
  <c r="D17" i="7"/>
  <c r="F16" i="7"/>
  <c r="B16" i="7"/>
  <c r="D15" i="7"/>
  <c r="F14" i="7"/>
  <c r="B14" i="7"/>
  <c r="D13" i="7"/>
  <c r="F12" i="7"/>
  <c r="B12" i="7"/>
  <c r="D11" i="7"/>
  <c r="F10" i="7"/>
  <c r="B10" i="7"/>
  <c r="D9" i="7"/>
  <c r="F8" i="7"/>
  <c r="B8" i="7"/>
  <c r="D7" i="7"/>
  <c r="F6" i="7"/>
  <c r="B6" i="7"/>
  <c r="D5" i="7"/>
  <c r="F4" i="7"/>
</calcChain>
</file>

<file path=xl/sharedStrings.xml><?xml version="1.0" encoding="utf-8"?>
<sst xmlns="http://schemas.openxmlformats.org/spreadsheetml/2006/main" count="816" uniqueCount="224">
  <si>
    <t>1 an</t>
  </si>
  <si>
    <t>2 ans</t>
  </si>
  <si>
    <t>3 ans</t>
  </si>
  <si>
    <t>5 ans</t>
  </si>
  <si>
    <t>10 ans</t>
  </si>
  <si>
    <t>35 ans</t>
  </si>
  <si>
    <t>PIB en volume</t>
  </si>
  <si>
    <t>VA du secteur marchand</t>
  </si>
  <si>
    <t>Consommation des ménages</t>
  </si>
  <si>
    <t>Investissement</t>
  </si>
  <si>
    <t>Investissement des SNF et SI</t>
  </si>
  <si>
    <t>Exportations</t>
  </si>
  <si>
    <t>Importations</t>
  </si>
  <si>
    <t>Prix à la consommation des ménages</t>
  </si>
  <si>
    <t>Prix de production marchande</t>
  </si>
  <si>
    <t>Salaire réel net</t>
  </si>
  <si>
    <t>Coût réel du travail</t>
  </si>
  <si>
    <t>Emploi salarié en milliers</t>
  </si>
  <si>
    <t>Taux de chômage (en points)</t>
  </si>
  <si>
    <t>Balance commerciale (en points de PIB)</t>
  </si>
  <si>
    <t>Emissions de CO2</t>
  </si>
  <si>
    <t>Energie finale</t>
  </si>
  <si>
    <t>Electricité finale</t>
  </si>
  <si>
    <t>Produits pétroliers (en Mtep ep)</t>
  </si>
  <si>
    <t>Gaz naturel (en Mtep ep)</t>
  </si>
  <si>
    <t>Hausse permanente de 1% de PIB en valeur de la taxe sur l'électricité</t>
  </si>
  <si>
    <t>Hausse permanente de 1% de PIB en valeur de la TVA</t>
  </si>
  <si>
    <t>Baisse permanente de 1% de PIB en valeur des cotisations employeurs</t>
  </si>
  <si>
    <t>Hausse permanente de 1% de PIB en volume des IAPU</t>
  </si>
  <si>
    <t xml:space="preserve">Dépréciation permanente de 10% de l'euro </t>
  </si>
  <si>
    <t>Hausse de la dépense publique d'un montant de 1 point de PIB</t>
  </si>
  <si>
    <t xml:space="preserve">Baisse des cotisations sociales employeurs de 1% du PIB ex ante </t>
  </si>
  <si>
    <t>Revenu disponible des ménages</t>
  </si>
  <si>
    <t>Taux d'épargne</t>
  </si>
  <si>
    <t>Prix de la consommation des ménages</t>
  </si>
  <si>
    <t xml:space="preserve">Prix de production </t>
  </si>
  <si>
    <t xml:space="preserve">Prix de VA </t>
  </si>
  <si>
    <t>Prix de CI</t>
  </si>
  <si>
    <t>Prix des exportations</t>
  </si>
  <si>
    <t>Prix des importations</t>
  </si>
  <si>
    <t xml:space="preserve">Salaire nominal brut </t>
  </si>
  <si>
    <t>Emploi salarié (en milliers)</t>
  </si>
  <si>
    <t>Taux de chômage</t>
  </si>
  <si>
    <t>Balance commerciale (en pts de PIB)</t>
  </si>
  <si>
    <t>Solde primaire des APU  (en pts de PIB)</t>
  </si>
  <si>
    <t xml:space="preserve">ThreeME </t>
  </si>
  <si>
    <t>Mesange</t>
  </si>
  <si>
    <t>ThreeME</t>
  </si>
  <si>
    <t>Baisse de l'impôt sur le revenu des ménages de 1% du PIB ex ante</t>
  </si>
  <si>
    <t>Hausse de la TVA de 1% du PIB ex ante</t>
  </si>
  <si>
    <t>Hausse permanente de 1% de la demande mondiale adressée à la France</t>
  </si>
  <si>
    <t xml:space="preserve">Hausse de 10% du prix des énergies fossiles </t>
  </si>
  <si>
    <t>Hausse de la taxe carbone de 1 point de PIB</t>
  </si>
  <si>
    <t>Investment</t>
  </si>
  <si>
    <t>Exports</t>
  </si>
  <si>
    <t>Imports</t>
  </si>
  <si>
    <t>Household consumption</t>
  </si>
  <si>
    <t xml:space="preserve">Household disposable income </t>
  </si>
  <si>
    <t>Saving rate</t>
  </si>
  <si>
    <t>1 year</t>
  </si>
  <si>
    <t>2 years</t>
  </si>
  <si>
    <t>3 years</t>
  </si>
  <si>
    <t>5 years</t>
  </si>
  <si>
    <t>10 years</t>
  </si>
  <si>
    <t>35 years</t>
  </si>
  <si>
    <t xml:space="preserve">3 years </t>
  </si>
  <si>
    <t>Increase of the carbon tax by 1% of GDP</t>
  </si>
  <si>
    <t>Export price index</t>
  </si>
  <si>
    <t>Import price index</t>
  </si>
  <si>
    <t>Household consumption price index</t>
  </si>
  <si>
    <t>Production price index</t>
  </si>
  <si>
    <t>Added value price index</t>
  </si>
  <si>
    <t>Gross nominal wage</t>
  </si>
  <si>
    <t>Real cost of labor</t>
  </si>
  <si>
    <t>Unemployment rate</t>
  </si>
  <si>
    <t>Intermediate consumption price index</t>
  </si>
  <si>
    <t>Wage employment (in thousands)</t>
  </si>
  <si>
    <t>Trade balance (in points of GDP)</t>
  </si>
  <si>
    <t>Public budget balance (in points of GDP)</t>
  </si>
  <si>
    <t>10% permanent devaluation of the euro</t>
  </si>
  <si>
    <t xml:space="preserve">1 point of GDP increase of public spending </t>
  </si>
  <si>
    <t xml:space="preserve">Decrease of Social Employer Contributions by 1% of the ex ante GDP </t>
  </si>
  <si>
    <t>1% of ex ante GDP increase of the VAT</t>
  </si>
  <si>
    <t>Decrease of the household income tax by 1% of the ex ante GDP</t>
  </si>
  <si>
    <t xml:space="preserve">1% permanent increase of the world demand to France </t>
  </si>
  <si>
    <t>10% increase of fossil fuel prices</t>
  </si>
  <si>
    <t>% en écart au compte central</t>
  </si>
  <si>
    <t xml:space="preserve">% en écart au compte central </t>
  </si>
  <si>
    <t xml:space="preserve">% deviation from baseline </t>
  </si>
  <si>
    <t>GDP in volume</t>
  </si>
  <si>
    <t>LT</t>
  </si>
  <si>
    <t>100*(GDP_1/GDP_0-1)</t>
  </si>
  <si>
    <t>100*(CH_1/CH_0-1)</t>
  </si>
  <si>
    <t>100*(I_1/I_0-1)</t>
  </si>
  <si>
    <t>100*(X_1/X_0-1)</t>
  </si>
  <si>
    <t>100*(M_1/M_0-1)</t>
  </si>
  <si>
    <t>100*((DISPINC_AT_VAL_1/PCH_1)/(DISPINC_AT_VAL_0/PCH_0)-1)</t>
  </si>
  <si>
    <t>100*(RSAV_H_VAL_1-RSAV_H_VAL_0)</t>
  </si>
  <si>
    <t>100*(PCH_1/PCH_0-1)</t>
  </si>
  <si>
    <t>100*(PY_1/PY_0-1)</t>
  </si>
  <si>
    <t>100*(PVA_1/PVA_0-1)</t>
  </si>
  <si>
    <t>100*(PCI_1/PCI_0-1)</t>
  </si>
  <si>
    <t>100*(PX_1/PCI_0-1)</t>
  </si>
  <si>
    <t>100*(PM_1/PCI_0-1)</t>
  </si>
  <si>
    <t>100*(W_1/W_0-1)</t>
  </si>
  <si>
    <t>100*((C_L_1/PVA_1)/(C_L_0/PVA_0)-1)</t>
  </si>
  <si>
    <t>F_L_1-F_L_0</t>
  </si>
  <si>
    <t>100*(UNR_1-UNR_0)</t>
  </si>
  <si>
    <t>100*(RBAL_TRADE_VAL_1-RBAL_TRADE_VAL_0)</t>
  </si>
  <si>
    <t>100*(RBAL_G_PRIM_VAL_1-RBAL_G_PRIM_VAL_0)</t>
  </si>
  <si>
    <t>100*(GDP_2/GDP_0-1)</t>
  </si>
  <si>
    <t>100*(CH_2/CH_0-1)</t>
  </si>
  <si>
    <t>100*(I_2/I_0-1)</t>
  </si>
  <si>
    <t>100*(X_2/X_0-1)</t>
  </si>
  <si>
    <t>100*(M_2/M_0-1)</t>
  </si>
  <si>
    <t>100*((DISPINC_AT_VAL_2/PCH_2)/(DISPINC_AT_VAL_0/PCH_0)-1)</t>
  </si>
  <si>
    <t>100*(RSAV_H_VAL_2-RSAV_H_VAL_0)</t>
  </si>
  <si>
    <t>100*(PCH_2/PCH_0-1)</t>
  </si>
  <si>
    <t>100*(PY_2/PY_0-1)</t>
  </si>
  <si>
    <t>100*(PVA_2/PVA_0-1)</t>
  </si>
  <si>
    <t>100*(PCI_2/PCI_0-1)</t>
  </si>
  <si>
    <t>100*(PX_2/PCI_0-1)</t>
  </si>
  <si>
    <t>100*(PM_2/PCI_0-1)</t>
  </si>
  <si>
    <t>100*(W_2/W_0-1)</t>
  </si>
  <si>
    <t>100*((C_L_2/PVA_2)/(C_L_0/PVA_0)-1)</t>
  </si>
  <si>
    <t>F_L_2-F_L_0</t>
  </si>
  <si>
    <t>100*(UNR_2-UNR_0)</t>
  </si>
  <si>
    <t>100*(RBAL_TRADE_VAL_2-RBAL_TRADE_VAL_0)</t>
  </si>
  <si>
    <t>100*(RBAL_G_PRIM_VAL_2-RBAL_G_PRIM_VAL_0)</t>
  </si>
  <si>
    <t>100*(GDP_7/GDP_0-1)</t>
  </si>
  <si>
    <t>100*(CH_7/CH_0-1)</t>
  </si>
  <si>
    <t>100*(I_7/I_0-1)</t>
  </si>
  <si>
    <t>100*(X_7/X_0-1)</t>
  </si>
  <si>
    <t>100*(M_7/M_0-1)</t>
  </si>
  <si>
    <t>100*((DISPINC_AT_VAL_7/PCH_7)/(DISPINC_AT_VAL_0/PCH_0)-1)</t>
  </si>
  <si>
    <t>100*(RSAV_H_VAL_7-RSAV_H_VAL_0)</t>
  </si>
  <si>
    <t>100*(PCH_7/PCH_0-1)</t>
  </si>
  <si>
    <t>100*(PY_7/PY_0-1)</t>
  </si>
  <si>
    <t>100*(PVA_7/PVA_0-1)</t>
  </si>
  <si>
    <t>100*(PCI_7/PCI_0-1)</t>
  </si>
  <si>
    <t>100*(PX_7/PCI_0-1)</t>
  </si>
  <si>
    <t>100*(PM_7/PCI_0-1)</t>
  </si>
  <si>
    <t>100*(W_7/W_0-1)</t>
  </si>
  <si>
    <t>100*((C_L_7/PVA_7)/(C_L_0/PVA_0)-1)</t>
  </si>
  <si>
    <t>F_L_7-F_L_0</t>
  </si>
  <si>
    <t>100*(UNR_7-UNR_0)</t>
  </si>
  <si>
    <t>100*(RBAL_TRADE_VAL_7-RBAL_TRADE_VAL_0)</t>
  </si>
  <si>
    <t>100*(RBAL_G_PRIM_VAL_7-RBAL_G_PRIM_VAL_0)</t>
  </si>
  <si>
    <t>100*(GDP_4/GDP_0-1)</t>
  </si>
  <si>
    <t>100*(CH_4/CH_0-1)</t>
  </si>
  <si>
    <t>100*(I_4/I_0-1)</t>
  </si>
  <si>
    <t>100*(X_4/X_0-1)</t>
  </si>
  <si>
    <t>100*(M_4/M_0-1)</t>
  </si>
  <si>
    <t>100*((DISPINC_AT_VAL_4/PCH_4)/(DISPINC_AT_VAL_0/PCH_0)-1)</t>
  </si>
  <si>
    <t>100*(RSAV_H_VAL_4-RSAV_H_VAL_0)</t>
  </si>
  <si>
    <t>100*(PCH_4/PCH_0-1)</t>
  </si>
  <si>
    <t>100*(PY_4/PY_0-1)</t>
  </si>
  <si>
    <t>100*(PVA_4/PVA_0-1)</t>
  </si>
  <si>
    <t>100*(PCI_4/PCI_0-1)</t>
  </si>
  <si>
    <t>100*(PX_4/PCI_0-1)</t>
  </si>
  <si>
    <t>100*(PM_4/PCI_0-1)</t>
  </si>
  <si>
    <t>100*(W_4/W_0-1)</t>
  </si>
  <si>
    <t>100*((C_L_4/PVA_4)/(C_L_0/PVA_0)-1)</t>
  </si>
  <si>
    <t>F_L_4-F_L_0</t>
  </si>
  <si>
    <t>100*(UNR_4-UNR_0)</t>
  </si>
  <si>
    <t>100*(RBAL_TRADE_VAL_4-RBAL_TRADE_VAL_0)</t>
  </si>
  <si>
    <t>100*(RBAL_G_PRIM_VAL_4-RBAL_G_PRIM_VAL_0)</t>
  </si>
  <si>
    <t>100*(GDP_3/GDP_0-1)</t>
  </si>
  <si>
    <t>100*(CH_3/CH_0-1)</t>
  </si>
  <si>
    <t>100*(I_3/I_0-1)</t>
  </si>
  <si>
    <t>100*(X_3/X_0-1)</t>
  </si>
  <si>
    <t>100*(M_3/M_0-1)</t>
  </si>
  <si>
    <t>100*((DISPINC_AT_VAL_3/PCH_3)/(DISPINC_AT_VAL_0/PCH_0)-1)</t>
  </si>
  <si>
    <t>100*(RSAV_H_VAL_3-RSAV_H_VAL_0)</t>
  </si>
  <si>
    <t>100*(PCH_3/PCH_0-1)</t>
  </si>
  <si>
    <t>100*(PY_3/PY_0-1)</t>
  </si>
  <si>
    <t>100*(PVA_3/PVA_0-1)</t>
  </si>
  <si>
    <t>100*(PCI_3/PCI_0-1)</t>
  </si>
  <si>
    <t>100*(PX_3/PCI_0-1)</t>
  </si>
  <si>
    <t>100*(PM_3/PCI_0-1)</t>
  </si>
  <si>
    <t>100*(W_3/W_0-1)</t>
  </si>
  <si>
    <t>100*((C_L_3/PVA_3)/(C_L_0/PVA_0)-1)</t>
  </si>
  <si>
    <t>F_L_3-F_L_0</t>
  </si>
  <si>
    <t>100*(UNR_3-UNR_0)</t>
  </si>
  <si>
    <t>100*(RBAL_TRADE_VAL_3-RBAL_TRADE_VAL_0)</t>
  </si>
  <si>
    <t>100*(RBAL_G_PRIM_VAL_3-RBAL_G_PRIM_VAL_0)</t>
  </si>
  <si>
    <t>100*(GDP_5/GDP_0-1)</t>
  </si>
  <si>
    <t>100*(CH_5/CH_0-1)</t>
  </si>
  <si>
    <t>100*(I_5/I_0-1)</t>
  </si>
  <si>
    <t>100*(X_5/X_0-1)</t>
  </si>
  <si>
    <t>100*(M_5/M_0-1)</t>
  </si>
  <si>
    <t>100*((DISPINC_AT_VAL_5/PCH_5)/(DISPINC_AT_VAL_0/PCH_0)-1)</t>
  </si>
  <si>
    <t>100*(RSAV_H_VAL_5-RSAV_H_VAL_0)</t>
  </si>
  <si>
    <t>100*(PCH_5/PCH_0-1)</t>
  </si>
  <si>
    <t>100*(PY_5/PY_0-1)</t>
  </si>
  <si>
    <t>100*(PVA_5/PVA_0-1)</t>
  </si>
  <si>
    <t>100*(PCI_5/PCI_0-1)</t>
  </si>
  <si>
    <t>100*(PX_5/PCI_0-1)</t>
  </si>
  <si>
    <t>100*(PM_5/PCI_0-1)</t>
  </si>
  <si>
    <t>100*(W_5/W_0-1)</t>
  </si>
  <si>
    <t>100*((C_L_5/PVA_5)/(C_L_0/PVA_0)-1)</t>
  </si>
  <si>
    <t>F_L_5-F_L_0</t>
  </si>
  <si>
    <t>100*(UNR_5-UNR_0)</t>
  </si>
  <si>
    <t>100*(RBAL_TRADE_VAL_5-RBAL_TRADE_VAL_0)</t>
  </si>
  <si>
    <t>100*(RBAL_G_PRIM_VAL_5-RBAL_G_PRIM_VAL_0)</t>
  </si>
  <si>
    <t>100*(GDP_6/GDP_0-1)</t>
  </si>
  <si>
    <t>100*(CH_6/CH_0-1)</t>
  </si>
  <si>
    <t>100*(I_6/I_0-1)</t>
  </si>
  <si>
    <t>100*(X_6/X_0-1)</t>
  </si>
  <si>
    <t>100*(M_6/M_0-1)</t>
  </si>
  <si>
    <t>100*((DISPINC_AT_VAL_6/PCH_6)/(DISPINC_AT_VAL_0/PCH_0)-1)</t>
  </si>
  <si>
    <t>100*(RSAV_H_VAL_6-RSAV_H_VAL_0)</t>
  </si>
  <si>
    <t>100*(PCH_6/PCH_0-1)</t>
  </si>
  <si>
    <t>100*(PY_6/PY_0-1)</t>
  </si>
  <si>
    <t>100*(PVA_6/PVA_0-1)</t>
  </si>
  <si>
    <t>100*(PCI_6/PCI_0-1)</t>
  </si>
  <si>
    <t>100*(PX_6/PCI_0-1)</t>
  </si>
  <si>
    <t>100*(PM_6/PCI_0-1)</t>
  </si>
  <si>
    <t>100*(W_6/W_0-1)</t>
  </si>
  <si>
    <t>100*((C_L_6/PVA_6)/(C_L_0/PVA_0)-1)</t>
  </si>
  <si>
    <t>F_L_6-F_L_0</t>
  </si>
  <si>
    <t>100*(UNR_6-UNR_0)</t>
  </si>
  <si>
    <t>100*(RBAL_TRADE_VAL_6-RBAL_TRADE_VAL_0)</t>
  </si>
  <si>
    <t>100*(RBAL_G_PRIM_VAL_6-RBAL_G_PRIM_VAL_0)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</si>
</sst>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13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rgb="FF000000"/>
      <name val="Calibri"/>
      <family val="2"/>
    </font>
    <font>
      <i/>
      <sz val="11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rgb="FF000000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3" fillId="0" borderId="0"/>
  </cellStyleXfs>
  <cellXfs count="69">
    <xf numFmtId="0" fontId="0" fillId="0" borderId="0" xfId="0"/>
    <xf numFmtId="2" fontId="0" fillId="0" borderId="2" xfId="0" applyNumberFormat="1" applyBorder="1"/>
    <xf numFmtId="2" fontId="0" fillId="0" borderId="3" xfId="0" applyNumberFormat="1" applyBorder="1"/>
    <xf numFmtId="2" fontId="0" fillId="0" borderId="4" xfId="0" applyNumberFormat="1" applyBorder="1"/>
    <xf numFmtId="0" fontId="4" fillId="2" borderId="1" xfId="0" applyFont="1" applyFill="1" applyBorder="1" applyAlignment="1">
      <alignment wrapText="1"/>
    </xf>
    <xf numFmtId="0" fontId="4" fillId="2" borderId="1" xfId="0" applyFont="1" applyFill="1" applyBorder="1" applyAlignment="1">
      <alignment horizontal="center"/>
    </xf>
    <xf numFmtId="164" fontId="0" fillId="0" borderId="3" xfId="0" applyNumberFormat="1" applyBorder="1"/>
    <xf numFmtId="164" fontId="0" fillId="0" borderId="4" xfId="0" applyNumberFormat="1" applyBorder="1"/>
    <xf numFmtId="0" fontId="0" fillId="0" borderId="0" xfId="0" applyBorder="1"/>
    <xf numFmtId="0" fontId="5" fillId="3" borderId="5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 wrapText="1"/>
    </xf>
    <xf numFmtId="0" fontId="6" fillId="4" borderId="0" xfId="0" applyFont="1" applyFill="1" applyAlignment="1">
      <alignment horizontal="center" vertical="center" wrapText="1"/>
    </xf>
    <xf numFmtId="2" fontId="7" fillId="0" borderId="0" xfId="0" applyNumberFormat="1" applyFont="1" applyBorder="1" applyAlignment="1">
      <alignment horizontal="center" vertical="center"/>
    </xf>
    <xf numFmtId="2" fontId="7" fillId="0" borderId="7" xfId="0" applyNumberFormat="1" applyFont="1" applyBorder="1" applyAlignment="1">
      <alignment horizontal="center" vertical="center"/>
    </xf>
    <xf numFmtId="0" fontId="0" fillId="0" borderId="7" xfId="0" applyBorder="1"/>
    <xf numFmtId="0" fontId="0" fillId="0" borderId="6" xfId="0" applyBorder="1"/>
    <xf numFmtId="2" fontId="5" fillId="0" borderId="7" xfId="0" applyNumberFormat="1" applyFont="1" applyBorder="1"/>
    <xf numFmtId="2" fontId="8" fillId="0" borderId="0" xfId="0" applyNumberFormat="1" applyFont="1" applyBorder="1" applyAlignment="1">
      <alignment horizontal="center" vertical="center"/>
    </xf>
    <xf numFmtId="2" fontId="8" fillId="0" borderId="8" xfId="0" applyNumberFormat="1" applyFont="1" applyBorder="1" applyAlignment="1">
      <alignment horizontal="center" vertical="center"/>
    </xf>
    <xf numFmtId="2" fontId="8" fillId="0" borderId="7" xfId="0" applyNumberFormat="1" applyFont="1" applyBorder="1" applyAlignment="1">
      <alignment horizontal="center" vertical="center"/>
    </xf>
    <xf numFmtId="0" fontId="5" fillId="4" borderId="6" xfId="0" applyFont="1" applyFill="1" applyBorder="1" applyAlignment="1">
      <alignment wrapText="1"/>
    </xf>
    <xf numFmtId="0" fontId="5" fillId="3" borderId="9" xfId="0" applyFont="1" applyFill="1" applyBorder="1" applyAlignment="1">
      <alignment horizontal="center" vertical="center"/>
    </xf>
    <xf numFmtId="0" fontId="5" fillId="5" borderId="9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2" fillId="0" borderId="0" xfId="0" applyFont="1"/>
    <xf numFmtId="0" fontId="2" fillId="4" borderId="0" xfId="0" applyFont="1" applyFill="1" applyBorder="1"/>
    <xf numFmtId="0" fontId="2" fillId="4" borderId="7" xfId="0" applyFont="1" applyFill="1" applyBorder="1"/>
    <xf numFmtId="2" fontId="7" fillId="4" borderId="0" xfId="0" applyNumberFormat="1" applyFont="1" applyFill="1" applyBorder="1" applyAlignment="1">
      <alignment horizontal="center" vertical="center"/>
    </xf>
    <xf numFmtId="2" fontId="7" fillId="4" borderId="7" xfId="0" applyNumberFormat="1" applyFont="1" applyFill="1" applyBorder="1" applyAlignment="1">
      <alignment horizontal="center" vertical="center"/>
    </xf>
    <xf numFmtId="2" fontId="5" fillId="4" borderId="7" xfId="0" applyNumberFormat="1" applyFont="1" applyFill="1" applyBorder="1"/>
    <xf numFmtId="0" fontId="6" fillId="4" borderId="7" xfId="0" applyFont="1" applyFill="1" applyBorder="1" applyAlignment="1">
      <alignment horizontal="center" vertical="center" wrapText="1"/>
    </xf>
    <xf numFmtId="0" fontId="9" fillId="0" borderId="0" xfId="0" applyFont="1" applyAlignment="1">
      <alignment wrapText="1"/>
    </xf>
    <xf numFmtId="0" fontId="9" fillId="4" borderId="0" xfId="0" applyFont="1" applyFill="1" applyBorder="1" applyAlignment="1">
      <alignment horizontal="left" vertical="center" wrapText="1"/>
    </xf>
    <xf numFmtId="0" fontId="9" fillId="0" borderId="0" xfId="0" applyFont="1" applyBorder="1" applyAlignment="1">
      <alignment vertical="center" wrapText="1"/>
    </xf>
    <xf numFmtId="0" fontId="6" fillId="4" borderId="0" xfId="0" applyFont="1" applyFill="1" applyBorder="1" applyAlignment="1">
      <alignment horizontal="center" vertical="center" wrapText="1"/>
    </xf>
    <xf numFmtId="0" fontId="0" fillId="4" borderId="0" xfId="0" applyFill="1"/>
    <xf numFmtId="0" fontId="0" fillId="4" borderId="7" xfId="0" applyFill="1" applyBorder="1"/>
    <xf numFmtId="0" fontId="0" fillId="4" borderId="6" xfId="0" applyFill="1" applyBorder="1"/>
    <xf numFmtId="0" fontId="0" fillId="4" borderId="0" xfId="0" applyFill="1" applyBorder="1"/>
    <xf numFmtId="0" fontId="1" fillId="4" borderId="7" xfId="0" applyFont="1" applyFill="1" applyBorder="1"/>
    <xf numFmtId="0" fontId="10" fillId="6" borderId="8" xfId="0" applyFont="1" applyFill="1" applyBorder="1" applyAlignment="1">
      <alignment horizontal="center" vertical="center" wrapText="1"/>
    </xf>
    <xf numFmtId="0" fontId="10" fillId="6" borderId="0" xfId="0" applyFont="1" applyFill="1" applyBorder="1" applyAlignment="1">
      <alignment horizontal="center" vertical="center" wrapText="1"/>
    </xf>
    <xf numFmtId="0" fontId="10" fillId="6" borderId="7" xfId="0" applyFont="1" applyFill="1" applyBorder="1" applyAlignment="1">
      <alignment horizontal="center" vertical="center" wrapText="1"/>
    </xf>
    <xf numFmtId="2" fontId="5" fillId="4" borderId="7" xfId="0" applyNumberFormat="1" applyFont="1" applyFill="1" applyBorder="1" applyAlignment="1">
      <alignment wrapText="1"/>
    </xf>
    <xf numFmtId="2" fontId="0" fillId="0" borderId="0" xfId="0" applyNumberFormat="1" applyAlignment="1">
      <alignment horizontal="left" vertical="center"/>
    </xf>
    <xf numFmtId="0" fontId="4" fillId="3" borderId="0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5" borderId="8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center" vertical="center"/>
    </xf>
    <xf numFmtId="0" fontId="4" fillId="5" borderId="7" xfId="0" applyFont="1" applyFill="1" applyBorder="1" applyAlignment="1">
      <alignment horizontal="center" vertical="center"/>
    </xf>
    <xf numFmtId="0" fontId="11" fillId="0" borderId="0" xfId="0" applyFont="1" applyAlignment="1">
      <alignment horizontal="right"/>
    </xf>
    <xf numFmtId="0" fontId="4" fillId="3" borderId="8" xfId="0" applyFont="1" applyFill="1" applyBorder="1" applyAlignment="1">
      <alignment horizontal="center"/>
    </xf>
    <xf numFmtId="0" fontId="4" fillId="3" borderId="0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0" xfId="0" applyFont="1" applyFill="1" applyBorder="1" applyAlignment="1">
      <alignment horizontal="center"/>
    </xf>
    <xf numFmtId="0" fontId="4" fillId="5" borderId="7" xfId="0" applyFont="1" applyFill="1" applyBorder="1" applyAlignment="1">
      <alignment horizontal="center"/>
    </xf>
    <xf numFmtId="0" fontId="12" fillId="0" borderId="0" xfId="0" applyFont="1" applyBorder="1" applyAlignment="1">
      <alignment horizontal="right"/>
    </xf>
    <xf numFmtId="0" fontId="11" fillId="0" borderId="0" xfId="0" applyFont="1" applyBorder="1" applyAlignment="1">
      <alignment horizontal="right"/>
    </xf>
    <xf numFmtId="0" fontId="5" fillId="3" borderId="0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  <xf numFmtId="0" fontId="5" fillId="5" borderId="0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  <xf numFmtId="0" fontId="11" fillId="4" borderId="0" xfId="0" applyFont="1" applyFill="1" applyAlignment="1">
      <alignment horizontal="right"/>
    </xf>
    <xf numFmtId="0" fontId="12" fillId="4" borderId="0" xfId="0" applyFont="1" applyFill="1" applyAlignment="1">
      <alignment horizontal="right"/>
    </xf>
    <xf numFmtId="11" fontId="0" fillId="0" borderId="0" xfId="0" applyNumberFormat="1"/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/>
  <dimension ref="A1:M69"/>
  <sheetViews>
    <sheetView showGridLines="0" workbookViewId="0">
      <selection activeCell="G29" sqref="G29"/>
    </sheetView>
  </sheetViews>
  <sheetFormatPr defaultColWidth="11" defaultRowHeight="15.75" x14ac:dyDescent="0.25"/>
  <cols>
    <col min="1" max="1" width="37.125" customWidth="1"/>
  </cols>
  <sheetData>
    <row r="1" spans="1:13" ht="30" customHeight="1" x14ac:dyDescent="0.25">
      <c r="A1" s="34" t="s">
        <v>29</v>
      </c>
      <c r="B1" s="52" t="s">
        <v>86</v>
      </c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</row>
    <row r="2" spans="1:13" ht="29.25" customHeight="1" x14ac:dyDescent="0.25">
      <c r="A2" s="16"/>
      <c r="B2" s="47" t="s">
        <v>45</v>
      </c>
      <c r="C2" s="47"/>
      <c r="D2" s="47"/>
      <c r="E2" s="47"/>
      <c r="F2" s="47"/>
      <c r="G2" s="48"/>
      <c r="H2" s="49" t="s">
        <v>46</v>
      </c>
      <c r="I2" s="50"/>
      <c r="J2" s="50"/>
      <c r="K2" s="50"/>
      <c r="L2" s="50"/>
      <c r="M2" s="51"/>
    </row>
    <row r="3" spans="1:13" x14ac:dyDescent="0.25">
      <c r="A3" s="17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90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18" t="s">
        <v>6</v>
      </c>
      <c r="B4" s="14">
        <f t="array" ref="B4:G22">TRANSPOSE('EXR10'!$B$3:$T$8)</f>
        <v>2.7054999999999999E-2</v>
      </c>
      <c r="C4" s="14">
        <v>0.101908</v>
      </c>
      <c r="D4" s="14">
        <v>0.20824200000000001</v>
      </c>
      <c r="E4" s="14">
        <v>0.39630599999999999</v>
      </c>
      <c r="F4" s="14">
        <v>0.44303500000000001</v>
      </c>
      <c r="G4" s="15">
        <v>6.0935999999999997E-2</v>
      </c>
      <c r="H4" s="12">
        <v>0.48</v>
      </c>
      <c r="I4" s="36">
        <v>0.96</v>
      </c>
      <c r="J4" s="36">
        <v>1.36</v>
      </c>
      <c r="K4" s="36">
        <v>1.39</v>
      </c>
      <c r="L4" s="36">
        <v>0.99</v>
      </c>
      <c r="M4" s="32">
        <v>0.02</v>
      </c>
    </row>
    <row r="5" spans="1:13" x14ac:dyDescent="0.25">
      <c r="A5" s="18" t="s">
        <v>8</v>
      </c>
      <c r="B5" s="14">
        <v>-0.58429900000000001</v>
      </c>
      <c r="C5" s="14">
        <v>-0.77983199999999997</v>
      </c>
      <c r="D5" s="14">
        <v>-0.723912</v>
      </c>
      <c r="E5" s="14">
        <v>-0.32392500000000002</v>
      </c>
      <c r="F5" s="14">
        <v>0.48014499999999999</v>
      </c>
      <c r="G5" s="15">
        <v>-4.5576999999999999E-2</v>
      </c>
      <c r="H5" s="12">
        <v>-0.03</v>
      </c>
      <c r="I5" s="36">
        <v>0.22</v>
      </c>
      <c r="J5" s="36">
        <v>0.69</v>
      </c>
      <c r="K5" s="36">
        <v>1.1599999999999999</v>
      </c>
      <c r="L5" s="36">
        <v>1.1000000000000001</v>
      </c>
      <c r="M5" s="32">
        <v>-0.03</v>
      </c>
    </row>
    <row r="6" spans="1:13" x14ac:dyDescent="0.25">
      <c r="A6" s="18" t="s">
        <v>9</v>
      </c>
      <c r="B6" s="14">
        <v>-5.4912000000000002E-2</v>
      </c>
      <c r="C6" s="14">
        <v>-2.8493999999999998E-2</v>
      </c>
      <c r="D6" s="14">
        <v>4.7882000000000001E-2</v>
      </c>
      <c r="E6" s="14">
        <v>0.25002999999999997</v>
      </c>
      <c r="F6" s="14">
        <v>0.61790599999999996</v>
      </c>
      <c r="G6" s="15">
        <v>0.70793399999999995</v>
      </c>
      <c r="H6" s="12">
        <v>0.7</v>
      </c>
      <c r="I6" s="36">
        <v>1.61</v>
      </c>
      <c r="J6" s="36">
        <v>2.2400000000000002</v>
      </c>
      <c r="K6" s="36">
        <v>1.94</v>
      </c>
      <c r="L6" s="36">
        <v>0.93</v>
      </c>
      <c r="M6" s="32">
        <v>0</v>
      </c>
    </row>
    <row r="7" spans="1:13" x14ac:dyDescent="0.25">
      <c r="A7" s="18" t="s">
        <v>11</v>
      </c>
      <c r="B7" s="14">
        <v>0.98460499999999995</v>
      </c>
      <c r="C7" s="14">
        <v>1.5260830000000001</v>
      </c>
      <c r="D7" s="14">
        <v>1.7699309999999999</v>
      </c>
      <c r="E7" s="14">
        <v>1.71688</v>
      </c>
      <c r="F7" s="14">
        <v>0.48739399999999999</v>
      </c>
      <c r="G7" s="15">
        <v>-0.10648199999999999</v>
      </c>
      <c r="H7" s="12">
        <v>1.33</v>
      </c>
      <c r="I7" s="36">
        <v>2.15</v>
      </c>
      <c r="J7" s="36">
        <v>2.37</v>
      </c>
      <c r="K7" s="36">
        <v>2.31</v>
      </c>
      <c r="L7" s="36">
        <v>1.76</v>
      </c>
      <c r="M7" s="32">
        <v>0.47</v>
      </c>
    </row>
    <row r="8" spans="1:13" x14ac:dyDescent="0.25">
      <c r="A8" s="18" t="s">
        <v>12</v>
      </c>
      <c r="B8" s="14">
        <v>-0.56440599999999996</v>
      </c>
      <c r="C8" s="14">
        <v>-0.78077799999999997</v>
      </c>
      <c r="D8" s="14">
        <v>-0.78614099999999998</v>
      </c>
      <c r="E8" s="14">
        <v>-0.50890800000000003</v>
      </c>
      <c r="F8" s="14">
        <v>0.27418700000000001</v>
      </c>
      <c r="G8" s="15">
        <v>8.7840000000000001E-2</v>
      </c>
      <c r="H8" s="12">
        <v>0.38</v>
      </c>
      <c r="I8" s="36">
        <v>0.65</v>
      </c>
      <c r="J8" s="36">
        <v>1.1399999999999999</v>
      </c>
      <c r="K8" s="36">
        <v>1.07</v>
      </c>
      <c r="L8" s="36">
        <v>0.74</v>
      </c>
      <c r="M8" s="32">
        <v>0.28999999999999998</v>
      </c>
    </row>
    <row r="9" spans="1:13" x14ac:dyDescent="0.25">
      <c r="A9" s="18" t="s">
        <v>32</v>
      </c>
      <c r="B9" s="14">
        <v>-0.85897699999999999</v>
      </c>
      <c r="C9" s="14">
        <v>-0.79966800000000005</v>
      </c>
      <c r="D9" s="14">
        <v>-0.61979600000000001</v>
      </c>
      <c r="E9" s="14">
        <v>-0.20483899999999999</v>
      </c>
      <c r="F9" s="14">
        <v>0.466532</v>
      </c>
      <c r="G9" s="15">
        <v>-4.0475999999999998E-2</v>
      </c>
      <c r="H9" s="12">
        <v>-0.12</v>
      </c>
      <c r="I9" s="36">
        <v>0.35</v>
      </c>
      <c r="J9" s="36">
        <v>0.84</v>
      </c>
      <c r="K9" s="36">
        <v>1.28</v>
      </c>
      <c r="L9" s="36">
        <v>1.06</v>
      </c>
      <c r="M9" s="32">
        <v>-0.03</v>
      </c>
    </row>
    <row r="10" spans="1:13" x14ac:dyDescent="0.25">
      <c r="A10" s="18" t="s">
        <v>33</v>
      </c>
      <c r="B10" s="14">
        <v>-0.248306</v>
      </c>
      <c r="C10" s="14">
        <v>-1.7920999999999999E-2</v>
      </c>
      <c r="D10" s="14">
        <v>9.3893000000000004E-2</v>
      </c>
      <c r="E10" s="14">
        <v>0.106947</v>
      </c>
      <c r="F10" s="14">
        <v>-1.2144E-2</v>
      </c>
      <c r="G10" s="15">
        <v>4.5739999999999999E-3</v>
      </c>
      <c r="H10" s="12">
        <v>-7.0000000000000007E-2</v>
      </c>
      <c r="I10" s="36">
        <v>0.11</v>
      </c>
      <c r="J10" s="36">
        <v>0.12</v>
      </c>
      <c r="K10" s="36">
        <v>0.1</v>
      </c>
      <c r="L10" s="36">
        <v>-0.03</v>
      </c>
      <c r="M10" s="32">
        <v>0</v>
      </c>
    </row>
    <row r="11" spans="1:13" x14ac:dyDescent="0.25">
      <c r="A11" s="18" t="s">
        <v>34</v>
      </c>
      <c r="B11" s="14">
        <v>1.209363</v>
      </c>
      <c r="C11" s="14">
        <v>1.641022</v>
      </c>
      <c r="D11" s="14">
        <v>2.093318</v>
      </c>
      <c r="E11" s="14">
        <v>3.0624950000000002</v>
      </c>
      <c r="F11" s="14">
        <v>5.1384270000000001</v>
      </c>
      <c r="G11" s="15">
        <v>5.0754149999999996</v>
      </c>
      <c r="H11" s="12">
        <v>0.57999999999999996</v>
      </c>
      <c r="I11" s="36">
        <v>1.04</v>
      </c>
      <c r="J11" s="36">
        <v>1.46</v>
      </c>
      <c r="K11" s="36">
        <v>2.25</v>
      </c>
      <c r="L11" s="36">
        <v>3.26</v>
      </c>
      <c r="M11" s="32">
        <v>5.14</v>
      </c>
    </row>
    <row r="12" spans="1:13" x14ac:dyDescent="0.25">
      <c r="A12" s="18" t="s">
        <v>35</v>
      </c>
      <c r="B12" s="14">
        <v>0.55566400000000005</v>
      </c>
      <c r="C12" s="14">
        <v>1.065507</v>
      </c>
      <c r="D12" s="14">
        <v>1.5924799999999999</v>
      </c>
      <c r="E12" s="14">
        <v>2.7161749999999998</v>
      </c>
      <c r="F12" s="14">
        <v>5.126951</v>
      </c>
      <c r="G12" s="15">
        <v>5.0577100000000002</v>
      </c>
      <c r="H12" s="12">
        <v>0.41</v>
      </c>
      <c r="I12" s="36">
        <v>0.92</v>
      </c>
      <c r="J12" s="36">
        <v>1.45</v>
      </c>
      <c r="K12" s="36">
        <v>2.39</v>
      </c>
      <c r="L12" s="36">
        <v>3.42</v>
      </c>
      <c r="M12" s="32">
        <v>5.2</v>
      </c>
    </row>
    <row r="13" spans="1:13" x14ac:dyDescent="0.25">
      <c r="A13" s="18" t="s">
        <v>36</v>
      </c>
      <c r="B13" s="14">
        <v>-0.22221299999999999</v>
      </c>
      <c r="C13" s="14">
        <v>0.37153399999999998</v>
      </c>
      <c r="D13" s="14">
        <v>0.98610500000000001</v>
      </c>
      <c r="E13" s="14">
        <v>2.3001809999999998</v>
      </c>
      <c r="F13" s="14">
        <v>5.1249229999999999</v>
      </c>
      <c r="G13" s="15">
        <v>5.0456279999999998</v>
      </c>
      <c r="H13" s="12">
        <v>0.05</v>
      </c>
      <c r="I13" s="36">
        <v>0.44</v>
      </c>
      <c r="J13" s="36">
        <v>0.92</v>
      </c>
      <c r="K13" s="36">
        <v>1.81</v>
      </c>
      <c r="L13" s="36">
        <v>2.95</v>
      </c>
      <c r="M13" s="32">
        <v>5.22</v>
      </c>
    </row>
    <row r="14" spans="1:13" x14ac:dyDescent="0.25">
      <c r="A14" s="18" t="s">
        <v>37</v>
      </c>
      <c r="B14" s="14">
        <v>1.3270219999999999</v>
      </c>
      <c r="C14" s="14">
        <v>1.7533909999999999</v>
      </c>
      <c r="D14" s="14">
        <v>2.1934559999999999</v>
      </c>
      <c r="E14" s="14">
        <v>3.1284839999999998</v>
      </c>
      <c r="F14" s="14">
        <v>5.1289619999999996</v>
      </c>
      <c r="G14" s="15">
        <v>5.0696969999999997</v>
      </c>
      <c r="H14" s="12">
        <v>0.67</v>
      </c>
      <c r="I14" s="36">
        <v>1.18</v>
      </c>
      <c r="J14" s="36">
        <v>1.66</v>
      </c>
      <c r="K14" s="36">
        <v>2.54</v>
      </c>
      <c r="L14" s="36">
        <v>3.5</v>
      </c>
      <c r="M14" s="32">
        <v>5.17</v>
      </c>
    </row>
    <row r="15" spans="1:13" x14ac:dyDescent="0.25">
      <c r="A15" s="18" t="s">
        <v>38</v>
      </c>
      <c r="B15" s="14">
        <v>0.80003000000000002</v>
      </c>
      <c r="C15" s="14">
        <v>1.4368920000000001</v>
      </c>
      <c r="D15" s="14">
        <v>2.006723</v>
      </c>
      <c r="E15" s="14">
        <v>3.069353</v>
      </c>
      <c r="F15" s="14">
        <v>5.1688340000000004</v>
      </c>
      <c r="G15" s="15">
        <v>5.0714449999999998</v>
      </c>
      <c r="H15" s="12">
        <v>1.18</v>
      </c>
      <c r="I15" s="36">
        <v>1.74</v>
      </c>
      <c r="J15" s="36">
        <v>2.19</v>
      </c>
      <c r="K15" s="36">
        <v>3.01</v>
      </c>
      <c r="L15" s="36">
        <v>3.91</v>
      </c>
      <c r="M15" s="32">
        <v>5.33</v>
      </c>
    </row>
    <row r="16" spans="1:13" x14ac:dyDescent="0.25">
      <c r="A16" s="18" t="s">
        <v>39</v>
      </c>
      <c r="B16" s="14">
        <v>5</v>
      </c>
      <c r="C16" s="14">
        <v>5</v>
      </c>
      <c r="D16" s="14">
        <v>5</v>
      </c>
      <c r="E16" s="14">
        <v>4.9999989999999999</v>
      </c>
      <c r="F16" s="14">
        <v>4.9999989999999999</v>
      </c>
      <c r="G16" s="15">
        <v>4.9999989999999999</v>
      </c>
      <c r="H16" s="12">
        <v>1.74</v>
      </c>
      <c r="I16" s="36">
        <v>2.34</v>
      </c>
      <c r="J16" s="36">
        <v>2.66</v>
      </c>
      <c r="K16" s="36">
        <v>3.3</v>
      </c>
      <c r="L16" s="36">
        <v>4.09</v>
      </c>
      <c r="M16" s="32">
        <v>5.35</v>
      </c>
    </row>
    <row r="17" spans="1:13" x14ac:dyDescent="0.25">
      <c r="A17" s="18" t="s">
        <v>40</v>
      </c>
      <c r="B17" s="14">
        <v>4.9879E-2</v>
      </c>
      <c r="C17" s="14">
        <v>0.49098399999999998</v>
      </c>
      <c r="D17" s="14">
        <v>1.0838699999999999</v>
      </c>
      <c r="E17" s="14">
        <v>2.4040370000000002</v>
      </c>
      <c r="F17" s="14">
        <v>5.1721339999999998</v>
      </c>
      <c r="G17" s="15">
        <v>5.1505539999999996</v>
      </c>
      <c r="H17" s="12">
        <v>0.52</v>
      </c>
      <c r="I17" s="36">
        <v>1.47</v>
      </c>
      <c r="J17" s="36">
        <v>2.3199999999999998</v>
      </c>
      <c r="K17" s="36">
        <v>3.69</v>
      </c>
      <c r="L17" s="36">
        <v>4.6399999999999997</v>
      </c>
      <c r="M17" s="32">
        <v>5.25</v>
      </c>
    </row>
    <row r="18" spans="1:13" x14ac:dyDescent="0.25">
      <c r="A18" s="18" t="s">
        <v>16</v>
      </c>
      <c r="B18" s="14">
        <v>0.272698</v>
      </c>
      <c r="C18" s="14">
        <v>0.119008</v>
      </c>
      <c r="D18" s="14">
        <v>9.6809999999999993E-2</v>
      </c>
      <c r="E18" s="14">
        <v>0.101521</v>
      </c>
      <c r="F18" s="14">
        <v>4.4908999999999998E-2</v>
      </c>
      <c r="G18" s="15">
        <v>9.9886000000000003E-2</v>
      </c>
      <c r="H18" s="12">
        <v>0.47</v>
      </c>
      <c r="I18" s="36">
        <v>1.02</v>
      </c>
      <c r="J18" s="36">
        <v>1.39</v>
      </c>
      <c r="K18" s="36">
        <v>1.85</v>
      </c>
      <c r="L18" s="36">
        <v>1.65</v>
      </c>
      <c r="M18" s="32">
        <v>0.03</v>
      </c>
    </row>
    <row r="19" spans="1:13" x14ac:dyDescent="0.25">
      <c r="A19" s="18" t="s">
        <v>41</v>
      </c>
      <c r="B19" s="14">
        <v>23.422989999999999</v>
      </c>
      <c r="C19" s="14">
        <v>58.081409999999998</v>
      </c>
      <c r="D19" s="14">
        <v>95.473529999999997</v>
      </c>
      <c r="E19" s="14">
        <v>153.18780000000001</v>
      </c>
      <c r="F19" s="14">
        <v>127.2443</v>
      </c>
      <c r="G19" s="15">
        <v>10.23517</v>
      </c>
      <c r="H19" s="12">
        <v>24</v>
      </c>
      <c r="I19" s="36">
        <v>90</v>
      </c>
      <c r="J19" s="36">
        <v>160</v>
      </c>
      <c r="K19" s="36">
        <v>186</v>
      </c>
      <c r="L19" s="36">
        <v>98</v>
      </c>
      <c r="M19" s="32">
        <v>2</v>
      </c>
    </row>
    <row r="20" spans="1:13" x14ac:dyDescent="0.25">
      <c r="A20" s="18" t="s">
        <v>42</v>
      </c>
      <c r="B20" s="14">
        <v>-6.9959999999999994E-2</v>
      </c>
      <c r="C20" s="14">
        <v>-0.167216</v>
      </c>
      <c r="D20" s="14">
        <v>-0.26683800000000002</v>
      </c>
      <c r="E20" s="14">
        <v>-0.40809899999999999</v>
      </c>
      <c r="F20" s="14">
        <v>-0.30707099999999998</v>
      </c>
      <c r="G20" s="15">
        <v>-2.4306999999999999E-2</v>
      </c>
      <c r="H20" s="12">
        <v>-0.1</v>
      </c>
      <c r="I20" s="36">
        <v>-0.38</v>
      </c>
      <c r="J20" s="36">
        <v>-0.67</v>
      </c>
      <c r="K20" s="36">
        <v>-0.78</v>
      </c>
      <c r="L20" s="36">
        <v>-0.41</v>
      </c>
      <c r="M20" s="32">
        <v>-0.01</v>
      </c>
    </row>
    <row r="21" spans="1:13" x14ac:dyDescent="0.25">
      <c r="A21" s="18" t="s">
        <v>43</v>
      </c>
      <c r="B21" s="14">
        <v>-0.72557899999999997</v>
      </c>
      <c r="C21" s="14">
        <v>-0.36620399999999997</v>
      </c>
      <c r="D21" s="14">
        <v>-0.152367</v>
      </c>
      <c r="E21" s="14">
        <v>4.6863000000000002E-2</v>
      </c>
      <c r="F21" s="14">
        <v>9.5946000000000004E-2</v>
      </c>
      <c r="G21" s="15">
        <v>-2.8386999999999999E-2</v>
      </c>
      <c r="H21" s="12">
        <v>0.09</v>
      </c>
      <c r="I21" s="36">
        <v>0.25</v>
      </c>
      <c r="J21" s="36">
        <v>0.21</v>
      </c>
      <c r="K21" s="36">
        <v>0.28000000000000003</v>
      </c>
      <c r="L21" s="36">
        <v>0.24</v>
      </c>
      <c r="M21" s="32">
        <v>0.04</v>
      </c>
    </row>
    <row r="22" spans="1:13" x14ac:dyDescent="0.25">
      <c r="A22" s="18" t="s">
        <v>44</v>
      </c>
      <c r="B22" s="14">
        <v>-0.20808299999999999</v>
      </c>
      <c r="C22" s="14">
        <v>-0.172259</v>
      </c>
      <c r="D22" s="14">
        <v>-7.8768000000000005E-2</v>
      </c>
      <c r="E22" s="14">
        <v>0.12837200000000001</v>
      </c>
      <c r="F22" s="14">
        <v>0.41999300000000001</v>
      </c>
      <c r="G22" s="15">
        <v>-1.8962E-2</v>
      </c>
      <c r="H22" s="12">
        <v>0.11</v>
      </c>
      <c r="I22" s="36">
        <v>0.28000000000000003</v>
      </c>
      <c r="J22" s="36">
        <v>0.44</v>
      </c>
      <c r="K22" s="36">
        <v>0.41</v>
      </c>
      <c r="L22" s="36">
        <v>0.16</v>
      </c>
      <c r="M22" s="32">
        <v>-0.28000000000000003</v>
      </c>
    </row>
    <row r="23" spans="1:13" x14ac:dyDescent="0.25">
      <c r="A23" s="8"/>
      <c r="B23" s="8"/>
      <c r="C23" s="8"/>
      <c r="D23" s="8"/>
      <c r="E23" s="8"/>
      <c r="F23" s="8"/>
      <c r="G23" s="8"/>
      <c r="I23" s="8"/>
    </row>
    <row r="24" spans="1:13" x14ac:dyDescent="0.25">
      <c r="A24" s="8"/>
      <c r="B24" s="8"/>
      <c r="C24" s="8"/>
      <c r="D24" s="8"/>
      <c r="E24" s="8"/>
      <c r="F24" s="8"/>
      <c r="G24" s="8"/>
    </row>
    <row r="26" spans="1:13" x14ac:dyDescent="0.25">
      <c r="A26" s="34" t="s">
        <v>79</v>
      </c>
      <c r="B26" s="52" t="s">
        <v>88</v>
      </c>
      <c r="C26" s="52"/>
      <c r="D26" s="52"/>
      <c r="E26" s="52"/>
      <c r="F26" s="52"/>
      <c r="G26" s="52"/>
      <c r="H26" s="52"/>
      <c r="I26" s="52"/>
      <c r="J26" s="52"/>
      <c r="K26" s="52"/>
      <c r="L26" s="52"/>
      <c r="M26" s="52"/>
    </row>
    <row r="27" spans="1:13" x14ac:dyDescent="0.25">
      <c r="A27" s="16"/>
      <c r="B27" s="47" t="s">
        <v>45</v>
      </c>
      <c r="C27" s="47"/>
      <c r="D27" s="47"/>
      <c r="E27" s="47"/>
      <c r="F27" s="47"/>
      <c r="G27" s="48"/>
      <c r="H27" s="49" t="s">
        <v>46</v>
      </c>
      <c r="I27" s="50"/>
      <c r="J27" s="50"/>
      <c r="K27" s="50"/>
      <c r="L27" s="50"/>
      <c r="M27" s="51"/>
    </row>
    <row r="28" spans="1:13" x14ac:dyDescent="0.25">
      <c r="A28" s="17"/>
      <c r="B28" s="9" t="s">
        <v>59</v>
      </c>
      <c r="C28" s="9" t="s">
        <v>60</v>
      </c>
      <c r="D28" s="9" t="s">
        <v>61</v>
      </c>
      <c r="E28" s="9" t="s">
        <v>62</v>
      </c>
      <c r="F28" s="9" t="s">
        <v>63</v>
      </c>
      <c r="G28" s="11" t="s">
        <v>90</v>
      </c>
      <c r="H28" s="24" t="s">
        <v>59</v>
      </c>
      <c r="I28" s="10" t="s">
        <v>60</v>
      </c>
      <c r="J28" s="10" t="s">
        <v>65</v>
      </c>
      <c r="K28" s="10" t="s">
        <v>62</v>
      </c>
      <c r="L28" s="10" t="s">
        <v>63</v>
      </c>
      <c r="M28" s="25" t="s">
        <v>64</v>
      </c>
    </row>
    <row r="29" spans="1:13" x14ac:dyDescent="0.25">
      <c r="A29" s="31" t="s">
        <v>89</v>
      </c>
      <c r="B29" s="14">
        <f t="array" ref="B29:G47">TRANSPOSE('EXR10'!$B$3:$T$8)</f>
        <v>2.7054999999999999E-2</v>
      </c>
      <c r="C29" s="14">
        <v>0.101908</v>
      </c>
      <c r="D29" s="14">
        <v>0.20824200000000001</v>
      </c>
      <c r="E29" s="14">
        <v>0.39630599999999999</v>
      </c>
      <c r="F29" s="14">
        <v>0.44303500000000001</v>
      </c>
      <c r="G29" s="15">
        <v>6.0935999999999997E-2</v>
      </c>
      <c r="H29" s="12">
        <v>0.48</v>
      </c>
      <c r="I29" s="36">
        <v>0.96</v>
      </c>
      <c r="J29" s="36">
        <v>1.36</v>
      </c>
      <c r="K29" s="36">
        <v>1.39</v>
      </c>
      <c r="L29" s="36">
        <v>0.99</v>
      </c>
      <c r="M29" s="32">
        <v>0.02</v>
      </c>
    </row>
    <row r="30" spans="1:13" x14ac:dyDescent="0.25">
      <c r="A30" s="31" t="s">
        <v>56</v>
      </c>
      <c r="B30" s="14">
        <v>-0.58429900000000001</v>
      </c>
      <c r="C30" s="14">
        <v>-0.77983199999999997</v>
      </c>
      <c r="D30" s="14">
        <v>-0.723912</v>
      </c>
      <c r="E30" s="14">
        <v>-0.32392500000000002</v>
      </c>
      <c r="F30" s="14">
        <v>0.48014499999999999</v>
      </c>
      <c r="G30" s="15">
        <v>-4.5576999999999999E-2</v>
      </c>
      <c r="H30" s="12">
        <v>-0.03</v>
      </c>
      <c r="I30" s="36">
        <v>0.22</v>
      </c>
      <c r="J30" s="36">
        <v>0.69</v>
      </c>
      <c r="K30" s="36">
        <v>1.1599999999999999</v>
      </c>
      <c r="L30" s="36">
        <v>1.1000000000000001</v>
      </c>
      <c r="M30" s="32">
        <v>-0.03</v>
      </c>
    </row>
    <row r="31" spans="1:13" x14ac:dyDescent="0.25">
      <c r="A31" s="31" t="s">
        <v>53</v>
      </c>
      <c r="B31" s="14">
        <v>-5.4912000000000002E-2</v>
      </c>
      <c r="C31" s="14">
        <v>-2.8493999999999998E-2</v>
      </c>
      <c r="D31" s="14">
        <v>4.7882000000000001E-2</v>
      </c>
      <c r="E31" s="14">
        <v>0.25002999999999997</v>
      </c>
      <c r="F31" s="14">
        <v>0.61790599999999996</v>
      </c>
      <c r="G31" s="15">
        <v>0.70793399999999995</v>
      </c>
      <c r="H31" s="12">
        <v>0.7</v>
      </c>
      <c r="I31" s="36">
        <v>1.61</v>
      </c>
      <c r="J31" s="36">
        <v>2.2400000000000002</v>
      </c>
      <c r="K31" s="36">
        <v>1.94</v>
      </c>
      <c r="L31" s="36">
        <v>0.93</v>
      </c>
      <c r="M31" s="32">
        <v>0</v>
      </c>
    </row>
    <row r="32" spans="1:13" x14ac:dyDescent="0.25">
      <c r="A32" s="31" t="s">
        <v>54</v>
      </c>
      <c r="B32" s="14">
        <v>0.98460499999999995</v>
      </c>
      <c r="C32" s="14">
        <v>1.5260830000000001</v>
      </c>
      <c r="D32" s="14">
        <v>1.7699309999999999</v>
      </c>
      <c r="E32" s="14">
        <v>1.71688</v>
      </c>
      <c r="F32" s="14">
        <v>0.48739399999999999</v>
      </c>
      <c r="G32" s="15">
        <v>-0.10648199999999999</v>
      </c>
      <c r="H32" s="12">
        <v>1.33</v>
      </c>
      <c r="I32" s="36">
        <v>2.15</v>
      </c>
      <c r="J32" s="36">
        <v>2.37</v>
      </c>
      <c r="K32" s="36">
        <v>2.31</v>
      </c>
      <c r="L32" s="36">
        <v>1.76</v>
      </c>
      <c r="M32" s="32">
        <v>0.47</v>
      </c>
    </row>
    <row r="33" spans="1:13" x14ac:dyDescent="0.25">
      <c r="A33" s="31" t="s">
        <v>55</v>
      </c>
      <c r="B33" s="14">
        <v>-0.56440599999999996</v>
      </c>
      <c r="C33" s="14">
        <v>-0.78077799999999997</v>
      </c>
      <c r="D33" s="14">
        <v>-0.78614099999999998</v>
      </c>
      <c r="E33" s="14">
        <v>-0.50890800000000003</v>
      </c>
      <c r="F33" s="14">
        <v>0.27418700000000001</v>
      </c>
      <c r="G33" s="15">
        <v>8.7840000000000001E-2</v>
      </c>
      <c r="H33" s="12">
        <v>0.38</v>
      </c>
      <c r="I33" s="36">
        <v>0.65</v>
      </c>
      <c r="J33" s="36">
        <v>1.1399999999999999</v>
      </c>
      <c r="K33" s="36">
        <v>1.07</v>
      </c>
      <c r="L33" s="36">
        <v>0.74</v>
      </c>
      <c r="M33" s="32">
        <v>0.28999999999999998</v>
      </c>
    </row>
    <row r="34" spans="1:13" x14ac:dyDescent="0.25">
      <c r="A34" s="31" t="s">
        <v>57</v>
      </c>
      <c r="B34" s="14">
        <v>-0.85897699999999999</v>
      </c>
      <c r="C34" s="14">
        <v>-0.79966800000000005</v>
      </c>
      <c r="D34" s="14">
        <v>-0.61979600000000001</v>
      </c>
      <c r="E34" s="14">
        <v>-0.20483899999999999</v>
      </c>
      <c r="F34" s="14">
        <v>0.466532</v>
      </c>
      <c r="G34" s="15">
        <v>-4.0475999999999998E-2</v>
      </c>
      <c r="H34" s="12">
        <v>-0.12</v>
      </c>
      <c r="I34" s="36">
        <v>0.35</v>
      </c>
      <c r="J34" s="36">
        <v>0.84</v>
      </c>
      <c r="K34" s="36">
        <v>1.28</v>
      </c>
      <c r="L34" s="36">
        <v>1.06</v>
      </c>
      <c r="M34" s="32">
        <v>-0.03</v>
      </c>
    </row>
    <row r="35" spans="1:13" x14ac:dyDescent="0.25">
      <c r="A35" s="31" t="s">
        <v>58</v>
      </c>
      <c r="B35" s="14">
        <v>-0.248306</v>
      </c>
      <c r="C35" s="14">
        <v>-1.7920999999999999E-2</v>
      </c>
      <c r="D35" s="14">
        <v>9.3893000000000004E-2</v>
      </c>
      <c r="E35" s="14">
        <v>0.106947</v>
      </c>
      <c r="F35" s="14">
        <v>-1.2144E-2</v>
      </c>
      <c r="G35" s="15">
        <v>4.5739999999999999E-3</v>
      </c>
      <c r="H35" s="12">
        <v>-7.0000000000000007E-2</v>
      </c>
      <c r="I35" s="36">
        <v>0.11</v>
      </c>
      <c r="J35" s="36">
        <v>0.12</v>
      </c>
      <c r="K35" s="36">
        <v>0.1</v>
      </c>
      <c r="L35" s="36">
        <v>-0.03</v>
      </c>
      <c r="M35" s="32">
        <v>0</v>
      </c>
    </row>
    <row r="36" spans="1:13" x14ac:dyDescent="0.25">
      <c r="A36" s="31" t="s">
        <v>69</v>
      </c>
      <c r="B36" s="14">
        <v>1.209363</v>
      </c>
      <c r="C36" s="14">
        <v>1.641022</v>
      </c>
      <c r="D36" s="14">
        <v>2.093318</v>
      </c>
      <c r="E36" s="14">
        <v>3.0624950000000002</v>
      </c>
      <c r="F36" s="14">
        <v>5.1384270000000001</v>
      </c>
      <c r="G36" s="15">
        <v>5.0754149999999996</v>
      </c>
      <c r="H36" s="12">
        <v>0.57999999999999996</v>
      </c>
      <c r="I36" s="36">
        <v>1.04</v>
      </c>
      <c r="J36" s="36">
        <v>1.46</v>
      </c>
      <c r="K36" s="36">
        <v>2.25</v>
      </c>
      <c r="L36" s="36">
        <v>3.26</v>
      </c>
      <c r="M36" s="32">
        <v>5.14</v>
      </c>
    </row>
    <row r="37" spans="1:13" x14ac:dyDescent="0.25">
      <c r="A37" s="31" t="s">
        <v>70</v>
      </c>
      <c r="B37" s="14">
        <v>0.55566400000000005</v>
      </c>
      <c r="C37" s="14">
        <v>1.065507</v>
      </c>
      <c r="D37" s="14">
        <v>1.5924799999999999</v>
      </c>
      <c r="E37" s="14">
        <v>2.7161749999999998</v>
      </c>
      <c r="F37" s="14">
        <v>5.126951</v>
      </c>
      <c r="G37" s="15">
        <v>5.0577100000000002</v>
      </c>
      <c r="H37" s="12">
        <v>0.41</v>
      </c>
      <c r="I37" s="36">
        <v>0.92</v>
      </c>
      <c r="J37" s="36">
        <v>1.45</v>
      </c>
      <c r="K37" s="36">
        <v>2.39</v>
      </c>
      <c r="L37" s="36">
        <v>3.42</v>
      </c>
      <c r="M37" s="32">
        <v>5.2</v>
      </c>
    </row>
    <row r="38" spans="1:13" x14ac:dyDescent="0.25">
      <c r="A38" s="31" t="s">
        <v>71</v>
      </c>
      <c r="B38" s="14">
        <v>-0.22221299999999999</v>
      </c>
      <c r="C38" s="14">
        <v>0.37153399999999998</v>
      </c>
      <c r="D38" s="14">
        <v>0.98610500000000001</v>
      </c>
      <c r="E38" s="14">
        <v>2.3001809999999998</v>
      </c>
      <c r="F38" s="14">
        <v>5.1249229999999999</v>
      </c>
      <c r="G38" s="15">
        <v>5.0456279999999998</v>
      </c>
      <c r="H38" s="12">
        <v>0.05</v>
      </c>
      <c r="I38" s="36">
        <v>0.44</v>
      </c>
      <c r="J38" s="36">
        <v>0.92</v>
      </c>
      <c r="K38" s="36">
        <v>1.81</v>
      </c>
      <c r="L38" s="36">
        <v>2.95</v>
      </c>
      <c r="M38" s="32">
        <v>5.22</v>
      </c>
    </row>
    <row r="39" spans="1:13" x14ac:dyDescent="0.25">
      <c r="A39" s="31" t="s">
        <v>75</v>
      </c>
      <c r="B39" s="14">
        <v>1.3270219999999999</v>
      </c>
      <c r="C39" s="14">
        <v>1.7533909999999999</v>
      </c>
      <c r="D39" s="14">
        <v>2.1934559999999999</v>
      </c>
      <c r="E39" s="14">
        <v>3.1284839999999998</v>
      </c>
      <c r="F39" s="14">
        <v>5.1289619999999996</v>
      </c>
      <c r="G39" s="15">
        <v>5.0696969999999997</v>
      </c>
      <c r="H39" s="12">
        <v>0.67</v>
      </c>
      <c r="I39" s="36">
        <v>1.18</v>
      </c>
      <c r="J39" s="36">
        <v>1.66</v>
      </c>
      <c r="K39" s="36">
        <v>2.54</v>
      </c>
      <c r="L39" s="36">
        <v>3.5</v>
      </c>
      <c r="M39" s="32">
        <v>5.17</v>
      </c>
    </row>
    <row r="40" spans="1:13" x14ac:dyDescent="0.25">
      <c r="A40" s="31" t="s">
        <v>67</v>
      </c>
      <c r="B40" s="14">
        <v>0.80003000000000002</v>
      </c>
      <c r="C40" s="14">
        <v>1.4368920000000001</v>
      </c>
      <c r="D40" s="14">
        <v>2.006723</v>
      </c>
      <c r="E40" s="14">
        <v>3.069353</v>
      </c>
      <c r="F40" s="14">
        <v>5.1688340000000004</v>
      </c>
      <c r="G40" s="15">
        <v>5.0714449999999998</v>
      </c>
      <c r="H40" s="12">
        <v>1.18</v>
      </c>
      <c r="I40" s="36">
        <v>1.74</v>
      </c>
      <c r="J40" s="36">
        <v>2.19</v>
      </c>
      <c r="K40" s="36">
        <v>3.01</v>
      </c>
      <c r="L40" s="36">
        <v>3.91</v>
      </c>
      <c r="M40" s="32">
        <v>5.33</v>
      </c>
    </row>
    <row r="41" spans="1:13" x14ac:dyDescent="0.25">
      <c r="A41" s="31" t="s">
        <v>68</v>
      </c>
      <c r="B41" s="14">
        <v>5</v>
      </c>
      <c r="C41" s="14">
        <v>5</v>
      </c>
      <c r="D41" s="14">
        <v>5</v>
      </c>
      <c r="E41" s="14">
        <v>4.9999989999999999</v>
      </c>
      <c r="F41" s="14">
        <v>4.9999989999999999</v>
      </c>
      <c r="G41" s="15">
        <v>4.9999989999999999</v>
      </c>
      <c r="H41" s="12">
        <v>1.74</v>
      </c>
      <c r="I41" s="36">
        <v>2.34</v>
      </c>
      <c r="J41" s="36">
        <v>2.66</v>
      </c>
      <c r="K41" s="36">
        <v>3.3</v>
      </c>
      <c r="L41" s="36">
        <v>4.09</v>
      </c>
      <c r="M41" s="32">
        <v>5.35</v>
      </c>
    </row>
    <row r="42" spans="1:13" x14ac:dyDescent="0.25">
      <c r="A42" s="31" t="s">
        <v>72</v>
      </c>
      <c r="B42" s="14">
        <v>4.9879E-2</v>
      </c>
      <c r="C42" s="14">
        <v>0.49098399999999998</v>
      </c>
      <c r="D42" s="14">
        <v>1.0838699999999999</v>
      </c>
      <c r="E42" s="14">
        <v>2.4040370000000002</v>
      </c>
      <c r="F42" s="14">
        <v>5.1721339999999998</v>
      </c>
      <c r="G42" s="15">
        <v>5.1505539999999996</v>
      </c>
      <c r="H42" s="12">
        <v>0.52</v>
      </c>
      <c r="I42" s="36">
        <v>1.47</v>
      </c>
      <c r="J42" s="36">
        <v>2.3199999999999998</v>
      </c>
      <c r="K42" s="36">
        <v>3.69</v>
      </c>
      <c r="L42" s="36">
        <v>4.6399999999999997</v>
      </c>
      <c r="M42" s="32">
        <v>5.25</v>
      </c>
    </row>
    <row r="43" spans="1:13" x14ac:dyDescent="0.25">
      <c r="A43" s="31" t="s">
        <v>73</v>
      </c>
      <c r="B43" s="14">
        <v>0.272698</v>
      </c>
      <c r="C43" s="14">
        <v>0.119008</v>
      </c>
      <c r="D43" s="14">
        <v>9.6809999999999993E-2</v>
      </c>
      <c r="E43" s="14">
        <v>0.101521</v>
      </c>
      <c r="F43" s="14">
        <v>4.4908999999999998E-2</v>
      </c>
      <c r="G43" s="15">
        <v>9.9886000000000003E-2</v>
      </c>
      <c r="H43" s="12">
        <v>0.47</v>
      </c>
      <c r="I43" s="36">
        <v>1.02</v>
      </c>
      <c r="J43" s="36">
        <v>1.39</v>
      </c>
      <c r="K43" s="36">
        <v>1.85</v>
      </c>
      <c r="L43" s="36">
        <v>1.65</v>
      </c>
      <c r="M43" s="32">
        <v>0.03</v>
      </c>
    </row>
    <row r="44" spans="1:13" x14ac:dyDescent="0.25">
      <c r="A44" s="31" t="s">
        <v>76</v>
      </c>
      <c r="B44" s="14">
        <v>23.422989999999999</v>
      </c>
      <c r="C44" s="14">
        <v>58.081409999999998</v>
      </c>
      <c r="D44" s="14">
        <v>95.473529999999997</v>
      </c>
      <c r="E44" s="14">
        <v>153.18780000000001</v>
      </c>
      <c r="F44" s="14">
        <v>127.2443</v>
      </c>
      <c r="G44" s="15">
        <v>10.23517</v>
      </c>
      <c r="H44" s="12">
        <v>24</v>
      </c>
      <c r="I44" s="36">
        <v>90</v>
      </c>
      <c r="J44" s="36">
        <v>160</v>
      </c>
      <c r="K44" s="36">
        <v>186</v>
      </c>
      <c r="L44" s="36">
        <v>98</v>
      </c>
      <c r="M44" s="32">
        <v>2</v>
      </c>
    </row>
    <row r="45" spans="1:13" x14ac:dyDescent="0.25">
      <c r="A45" s="31" t="s">
        <v>74</v>
      </c>
      <c r="B45" s="14">
        <v>-6.9959999999999994E-2</v>
      </c>
      <c r="C45" s="14">
        <v>-0.167216</v>
      </c>
      <c r="D45" s="14">
        <v>-0.26683800000000002</v>
      </c>
      <c r="E45" s="14">
        <v>-0.40809899999999999</v>
      </c>
      <c r="F45" s="14">
        <v>-0.30707099999999998</v>
      </c>
      <c r="G45" s="15">
        <v>-2.4306999999999999E-2</v>
      </c>
      <c r="H45" s="12">
        <v>-0.1</v>
      </c>
      <c r="I45" s="36">
        <v>-0.38</v>
      </c>
      <c r="J45" s="36">
        <v>-0.67</v>
      </c>
      <c r="K45" s="36">
        <v>-0.78</v>
      </c>
      <c r="L45" s="36">
        <v>-0.41</v>
      </c>
      <c r="M45" s="32">
        <v>-0.01</v>
      </c>
    </row>
    <row r="46" spans="1:13" x14ac:dyDescent="0.25">
      <c r="A46" s="31" t="s">
        <v>77</v>
      </c>
      <c r="B46" s="14">
        <v>-0.72557899999999997</v>
      </c>
      <c r="C46" s="14">
        <v>-0.36620399999999997</v>
      </c>
      <c r="D46" s="14">
        <v>-0.152367</v>
      </c>
      <c r="E46" s="14">
        <v>4.6863000000000002E-2</v>
      </c>
      <c r="F46" s="14">
        <v>9.5946000000000004E-2</v>
      </c>
      <c r="G46" s="15">
        <v>-2.8386999999999999E-2</v>
      </c>
      <c r="H46" s="12">
        <v>0.09</v>
      </c>
      <c r="I46" s="36">
        <v>0.25</v>
      </c>
      <c r="J46" s="36">
        <v>0.21</v>
      </c>
      <c r="K46" s="36">
        <v>0.28000000000000003</v>
      </c>
      <c r="L46" s="36">
        <v>0.24</v>
      </c>
      <c r="M46" s="32">
        <v>0.04</v>
      </c>
    </row>
    <row r="47" spans="1:13" x14ac:dyDescent="0.25">
      <c r="A47" s="45" t="s">
        <v>78</v>
      </c>
      <c r="B47" s="14">
        <v>-0.20808299999999999</v>
      </c>
      <c r="C47" s="14">
        <v>-0.172259</v>
      </c>
      <c r="D47" s="14">
        <v>-7.8768000000000005E-2</v>
      </c>
      <c r="E47" s="14">
        <v>0.12837200000000001</v>
      </c>
      <c r="F47" s="14">
        <v>0.41999300000000001</v>
      </c>
      <c r="G47" s="15">
        <v>-1.8962E-2</v>
      </c>
      <c r="H47" s="12">
        <v>0.11</v>
      </c>
      <c r="I47" s="36">
        <v>0.28000000000000003</v>
      </c>
      <c r="J47" s="36">
        <v>0.44</v>
      </c>
      <c r="K47" s="36">
        <v>0.41</v>
      </c>
      <c r="L47" s="36">
        <v>0.16</v>
      </c>
      <c r="M47" s="32">
        <v>-0.28000000000000003</v>
      </c>
    </row>
    <row r="50" spans="1:1" x14ac:dyDescent="0.25">
      <c r="A50" s="46" t="str">
        <f>"0.00"</f>
        <v>0.00</v>
      </c>
    </row>
    <row r="51" spans="1:1" x14ac:dyDescent="0.25">
      <c r="A51" t="str">
        <f t="shared" ref="A51:A69" si="0">"\textbf{"&amp;A29&amp;"} &amp; "&amp;TEXT(B29,formatResults)&amp;" &amp; "&amp;TEXT(C29,formatResults)&amp;" &amp; "&amp;TEXT(D29,formatResults)&amp;" &amp; "&amp;TEXT(E29,formatResults)&amp;" &amp; "&amp;TEXT(F29,formatResults)&amp;" &amp; "&amp;TEXT(G29,formatResults)&amp;" \\"</f>
        <v>\textbf{GDP in volume} &amp; 0.03 &amp; 0.10 &amp; 0.21 &amp; 0.40 &amp; 0.44 &amp; 0.06 \\</v>
      </c>
    </row>
    <row r="52" spans="1:1" x14ac:dyDescent="0.25">
      <c r="A52" t="str">
        <f t="shared" si="0"/>
        <v>\textbf{Household consumption} &amp; -0.58 &amp; -0.78 &amp; -0.72 &amp; -0.32 &amp; 0.48 &amp; -0.05 \\</v>
      </c>
    </row>
    <row r="53" spans="1:1" x14ac:dyDescent="0.25">
      <c r="A53" t="str">
        <f t="shared" si="0"/>
        <v>\textbf{Investment} &amp; -0.05 &amp; -0.03 &amp; 0.05 &amp; 0.25 &amp; 0.62 &amp; 0.71 \\</v>
      </c>
    </row>
    <row r="54" spans="1:1" x14ac:dyDescent="0.25">
      <c r="A54" t="str">
        <f t="shared" si="0"/>
        <v>\textbf{Exports} &amp; 0.98 &amp; 1.53 &amp; 1.77 &amp; 1.72 &amp; 0.49 &amp; -0.11 \\</v>
      </c>
    </row>
    <row r="55" spans="1:1" x14ac:dyDescent="0.25">
      <c r="A55" t="str">
        <f t="shared" si="0"/>
        <v>\textbf{Imports} &amp; -0.56 &amp; -0.78 &amp; -0.79 &amp; -0.51 &amp; 0.27 &amp; 0.09 \\</v>
      </c>
    </row>
    <row r="56" spans="1:1" x14ac:dyDescent="0.25">
      <c r="A56" t="str">
        <f t="shared" si="0"/>
        <v>\textbf{Household disposable income } &amp; -0.86 &amp; -0.80 &amp; -0.62 &amp; -0.20 &amp; 0.47 &amp; -0.04 \\</v>
      </c>
    </row>
    <row r="57" spans="1:1" x14ac:dyDescent="0.25">
      <c r="A57" t="str">
        <f t="shared" si="0"/>
        <v>\textbf{Saving rate} &amp; -0.25 &amp; -0.02 &amp; 0.09 &amp; 0.11 &amp; -0.01 &amp; 0.00 \\</v>
      </c>
    </row>
    <row r="58" spans="1:1" x14ac:dyDescent="0.25">
      <c r="A58" t="str">
        <f t="shared" si="0"/>
        <v>\textbf{Household consumption price index} &amp; 1.21 &amp; 1.64 &amp; 2.09 &amp; 3.06 &amp; 5.14 &amp; 5.08 \\</v>
      </c>
    </row>
    <row r="59" spans="1:1" x14ac:dyDescent="0.25">
      <c r="A59" t="str">
        <f t="shared" si="0"/>
        <v>\textbf{Production price index} &amp; 0.56 &amp; 1.07 &amp; 1.59 &amp; 2.72 &amp; 5.13 &amp; 5.06 \\</v>
      </c>
    </row>
    <row r="60" spans="1:1" x14ac:dyDescent="0.25">
      <c r="A60" t="str">
        <f t="shared" si="0"/>
        <v>\textbf{Added value price index} &amp; -0.22 &amp; 0.37 &amp; 0.99 &amp; 2.30 &amp; 5.12 &amp; 5.05 \\</v>
      </c>
    </row>
    <row r="61" spans="1:1" x14ac:dyDescent="0.25">
      <c r="A61" t="str">
        <f t="shared" si="0"/>
        <v>\textbf{Intermediate consumption price index} &amp; 1.33 &amp; 1.75 &amp; 2.19 &amp; 3.13 &amp; 5.13 &amp; 5.07 \\</v>
      </c>
    </row>
    <row r="62" spans="1:1" x14ac:dyDescent="0.25">
      <c r="A62" t="str">
        <f t="shared" si="0"/>
        <v>\textbf{Export price index} &amp; 0.80 &amp; 1.44 &amp; 2.01 &amp; 3.07 &amp; 5.17 &amp; 5.07 \\</v>
      </c>
    </row>
    <row r="63" spans="1:1" x14ac:dyDescent="0.25">
      <c r="A63" t="str">
        <f t="shared" si="0"/>
        <v>\textbf{Import price index} &amp; 5.00 &amp; 5.00 &amp; 5.00 &amp; 5.00 &amp; 5.00 &amp; 5.00 \\</v>
      </c>
    </row>
    <row r="64" spans="1:1" x14ac:dyDescent="0.25">
      <c r="A64" t="str">
        <f t="shared" si="0"/>
        <v>\textbf{Gross nominal wage} &amp; 0.05 &amp; 0.49 &amp; 1.08 &amp; 2.40 &amp; 5.17 &amp; 5.15 \\</v>
      </c>
    </row>
    <row r="65" spans="1:1" x14ac:dyDescent="0.25">
      <c r="A65" t="str">
        <f t="shared" si="0"/>
        <v>\textbf{Real cost of labor} &amp; 0.27 &amp; 0.12 &amp; 0.10 &amp; 0.10 &amp; 0.04 &amp; 0.10 \\</v>
      </c>
    </row>
    <row r="66" spans="1:1" x14ac:dyDescent="0.25">
      <c r="A66" t="str">
        <f t="shared" si="0"/>
        <v>\textbf{Wage employment (in thousands)} &amp; 23.42 &amp; 58.08 &amp; 95.47 &amp; 153.19 &amp; 127.24 &amp; 10.24 \\</v>
      </c>
    </row>
    <row r="67" spans="1:1" x14ac:dyDescent="0.25">
      <c r="A67" t="str">
        <f t="shared" si="0"/>
        <v>\textbf{Unemployment rate} &amp; -0.07 &amp; -0.17 &amp; -0.27 &amp; -0.41 &amp; -0.31 &amp; -0.02 \\</v>
      </c>
    </row>
    <row r="68" spans="1:1" x14ac:dyDescent="0.25">
      <c r="A68" t="str">
        <f t="shared" si="0"/>
        <v>\textbf{Trade balance (in points of GDP)} &amp; -0.73 &amp; -0.37 &amp; -0.15 &amp; 0.05 &amp; 0.10 &amp; -0.03 \\</v>
      </c>
    </row>
    <row r="69" spans="1:1" x14ac:dyDescent="0.25">
      <c r="A69" t="str">
        <f t="shared" si="0"/>
        <v>\textbf{Public budget balance (in points of GDP)} &amp; -0.21 &amp; -0.17 &amp; -0.08 &amp; 0.13 &amp; 0.42 &amp; -0.02 \\</v>
      </c>
    </row>
  </sheetData>
  <mergeCells count="6">
    <mergeCell ref="B2:G2"/>
    <mergeCell ref="H2:M2"/>
    <mergeCell ref="B27:G27"/>
    <mergeCell ref="H27:M27"/>
    <mergeCell ref="B1:M1"/>
    <mergeCell ref="B26:M26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M69"/>
  <sheetViews>
    <sheetView showGridLines="0" workbookViewId="0">
      <selection activeCell="G29" sqref="G29"/>
    </sheetView>
  </sheetViews>
  <sheetFormatPr defaultColWidth="11" defaultRowHeight="15.75" x14ac:dyDescent="0.25"/>
  <cols>
    <col min="1" max="1" width="33.625" customWidth="1"/>
  </cols>
  <sheetData>
    <row r="1" spans="1:13" ht="30" customHeight="1" x14ac:dyDescent="0.25">
      <c r="A1" s="35" t="s">
        <v>30</v>
      </c>
      <c r="B1" s="59" t="s">
        <v>87</v>
      </c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</row>
    <row r="2" spans="1:13" x14ac:dyDescent="0.25">
      <c r="A2" s="16"/>
      <c r="B2" s="53" t="s">
        <v>47</v>
      </c>
      <c r="C2" s="54"/>
      <c r="D2" s="54"/>
      <c r="E2" s="54"/>
      <c r="F2" s="54"/>
      <c r="G2" s="55"/>
      <c r="H2" s="56" t="s">
        <v>46</v>
      </c>
      <c r="I2" s="57"/>
      <c r="J2" s="57"/>
      <c r="K2" s="57"/>
      <c r="L2" s="57"/>
      <c r="M2" s="58"/>
    </row>
    <row r="3" spans="1:13" x14ac:dyDescent="0.25">
      <c r="A3" s="22"/>
      <c r="B3" s="23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90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18" t="s">
        <v>6</v>
      </c>
      <c r="B4" s="20">
        <f t="array" ref="B4:G22">TRANSPOSE(EXPG1!$B$3:$T$8)</f>
        <v>0.82093499999999997</v>
      </c>
      <c r="C4" s="19">
        <v>1.032931</v>
      </c>
      <c r="D4" s="19">
        <v>1.1571400000000001</v>
      </c>
      <c r="E4" s="19">
        <v>1.1987140000000001</v>
      </c>
      <c r="F4" s="19">
        <v>0.84011999999999998</v>
      </c>
      <c r="G4" s="21">
        <v>0.27597300000000002</v>
      </c>
      <c r="H4" s="13">
        <v>0.78</v>
      </c>
      <c r="I4" s="13">
        <v>1.06</v>
      </c>
      <c r="J4" s="13">
        <v>1.03</v>
      </c>
      <c r="K4" s="13">
        <v>0.86</v>
      </c>
      <c r="L4" s="13">
        <v>0.53</v>
      </c>
      <c r="M4" s="32">
        <v>0.16</v>
      </c>
    </row>
    <row r="5" spans="1:13" x14ac:dyDescent="0.25">
      <c r="A5" s="18" t="s">
        <v>8</v>
      </c>
      <c r="B5" s="20">
        <v>0.63688299999999998</v>
      </c>
      <c r="C5" s="19">
        <v>1.112393</v>
      </c>
      <c r="D5" s="19">
        <v>1.453838</v>
      </c>
      <c r="E5" s="19">
        <v>1.816119</v>
      </c>
      <c r="F5" s="19">
        <v>1.76288</v>
      </c>
      <c r="G5" s="21">
        <v>0.43762000000000001</v>
      </c>
      <c r="H5" s="13">
        <v>0.69</v>
      </c>
      <c r="I5" s="13">
        <v>1.35</v>
      </c>
      <c r="J5" s="13">
        <v>1.64</v>
      </c>
      <c r="K5" s="13">
        <v>1.85</v>
      </c>
      <c r="L5" s="13">
        <v>1.63</v>
      </c>
      <c r="M5" s="32">
        <v>1.1499999999999999</v>
      </c>
    </row>
    <row r="6" spans="1:13" x14ac:dyDescent="0.25">
      <c r="A6" s="18" t="s">
        <v>9</v>
      </c>
      <c r="B6" s="20">
        <v>0.39239099999999999</v>
      </c>
      <c r="C6" s="19">
        <v>0.68341600000000002</v>
      </c>
      <c r="D6" s="19">
        <v>0.86925300000000005</v>
      </c>
      <c r="E6" s="19">
        <v>1.01762</v>
      </c>
      <c r="F6" s="19">
        <v>0.96345099999999995</v>
      </c>
      <c r="G6" s="21">
        <v>0.27630300000000002</v>
      </c>
      <c r="H6" s="13">
        <v>1.24</v>
      </c>
      <c r="I6" s="13">
        <v>1.96</v>
      </c>
      <c r="J6" s="13">
        <v>1.83</v>
      </c>
      <c r="K6" s="13">
        <v>1.29</v>
      </c>
      <c r="L6" s="13">
        <v>0.76</v>
      </c>
      <c r="M6" s="32">
        <v>0.47</v>
      </c>
    </row>
    <row r="7" spans="1:13" x14ac:dyDescent="0.25">
      <c r="A7" s="18" t="s">
        <v>11</v>
      </c>
      <c r="B7" s="20">
        <v>-3.6060000000000002E-2</v>
      </c>
      <c r="C7" s="19">
        <v>-0.126415</v>
      </c>
      <c r="D7" s="19">
        <v>-0.272455</v>
      </c>
      <c r="E7" s="19">
        <v>-0.68474100000000004</v>
      </c>
      <c r="F7" s="19">
        <v>-1.674933</v>
      </c>
      <c r="G7" s="21">
        <v>-0.70715399999999995</v>
      </c>
      <c r="H7" s="13">
        <v>0</v>
      </c>
      <c r="I7" s="13">
        <v>-0.16</v>
      </c>
      <c r="J7" s="13">
        <v>-0.38</v>
      </c>
      <c r="K7" s="13">
        <v>-0.78</v>
      </c>
      <c r="L7" s="13">
        <v>-1.27</v>
      </c>
      <c r="M7" s="32">
        <v>-1.73</v>
      </c>
    </row>
    <row r="8" spans="1:13" x14ac:dyDescent="0.25">
      <c r="A8" s="18" t="s">
        <v>12</v>
      </c>
      <c r="B8" s="20">
        <v>0.56763200000000003</v>
      </c>
      <c r="C8" s="19">
        <v>0.91445500000000002</v>
      </c>
      <c r="D8" s="19">
        <v>1.1700410000000001</v>
      </c>
      <c r="E8" s="19">
        <v>1.4840599999999999</v>
      </c>
      <c r="F8" s="19">
        <v>1.6270290000000001</v>
      </c>
      <c r="G8" s="21">
        <v>0.52424700000000002</v>
      </c>
      <c r="H8" s="13">
        <v>0.98</v>
      </c>
      <c r="I8" s="13">
        <v>1.51</v>
      </c>
      <c r="J8" s="13">
        <v>1.45</v>
      </c>
      <c r="K8" s="13">
        <v>1.33</v>
      </c>
      <c r="L8" s="13">
        <v>1.1599999999999999</v>
      </c>
      <c r="M8" s="32">
        <v>1.03</v>
      </c>
    </row>
    <row r="9" spans="1:13" x14ac:dyDescent="0.25">
      <c r="A9" s="18" t="s">
        <v>32</v>
      </c>
      <c r="B9" s="20">
        <v>0.93799100000000002</v>
      </c>
      <c r="C9" s="19">
        <v>1.2568109999999999</v>
      </c>
      <c r="D9" s="19">
        <v>1.496189</v>
      </c>
      <c r="E9" s="19">
        <v>1.7553190000000001</v>
      </c>
      <c r="F9" s="19">
        <v>1.707856</v>
      </c>
      <c r="G9" s="21">
        <v>0.44233699999999998</v>
      </c>
      <c r="H9" s="13">
        <v>1.22</v>
      </c>
      <c r="I9" s="13">
        <v>1.57</v>
      </c>
      <c r="J9" s="13">
        <v>1.82</v>
      </c>
      <c r="K9" s="13">
        <v>1.98</v>
      </c>
      <c r="L9" s="13">
        <v>1.58</v>
      </c>
      <c r="M9" s="32">
        <v>1.1499999999999999</v>
      </c>
    </row>
    <row r="10" spans="1:13" x14ac:dyDescent="0.25">
      <c r="A10" s="18" t="s">
        <v>33</v>
      </c>
      <c r="B10" s="20">
        <v>0.26735199999999998</v>
      </c>
      <c r="C10" s="19">
        <v>0.12782499999999999</v>
      </c>
      <c r="D10" s="19">
        <v>3.7397E-2</v>
      </c>
      <c r="E10" s="19">
        <v>-5.3551000000000001E-2</v>
      </c>
      <c r="F10" s="19">
        <v>-4.8486000000000001E-2</v>
      </c>
      <c r="G10" s="21">
        <v>4.2090000000000001E-3</v>
      </c>
      <c r="H10" s="13">
        <v>0.46</v>
      </c>
      <c r="I10" s="13">
        <v>0.19</v>
      </c>
      <c r="J10" s="13">
        <v>0.15</v>
      </c>
      <c r="K10" s="13">
        <v>0.11</v>
      </c>
      <c r="L10" s="13">
        <v>-0.04</v>
      </c>
      <c r="M10" s="32">
        <v>0</v>
      </c>
    </row>
    <row r="11" spans="1:13" x14ac:dyDescent="0.25">
      <c r="A11" s="18" t="s">
        <v>34</v>
      </c>
      <c r="B11" s="20">
        <v>0.15912499999999999</v>
      </c>
      <c r="C11" s="19">
        <v>0.42678100000000002</v>
      </c>
      <c r="D11" s="19">
        <v>0.75810599999999995</v>
      </c>
      <c r="E11" s="19">
        <v>1.4618500000000001</v>
      </c>
      <c r="F11" s="19">
        <v>2.4870770000000002</v>
      </c>
      <c r="G11" s="21">
        <v>0.76024400000000003</v>
      </c>
      <c r="H11" s="13">
        <v>0.2</v>
      </c>
      <c r="I11" s="13">
        <v>0.57999999999999996</v>
      </c>
      <c r="J11" s="13">
        <v>0.94</v>
      </c>
      <c r="K11" s="13">
        <v>1.42</v>
      </c>
      <c r="L11" s="13">
        <v>1.88</v>
      </c>
      <c r="M11" s="32">
        <v>2.69</v>
      </c>
    </row>
    <row r="12" spans="1:13" x14ac:dyDescent="0.25">
      <c r="A12" s="18" t="s">
        <v>35</v>
      </c>
      <c r="B12" s="20">
        <v>0.18810099999999999</v>
      </c>
      <c r="C12" s="19">
        <v>0.50794600000000001</v>
      </c>
      <c r="D12" s="19">
        <v>0.90452100000000002</v>
      </c>
      <c r="E12" s="19">
        <v>1.7422390000000001</v>
      </c>
      <c r="F12" s="19">
        <v>2.9359950000000001</v>
      </c>
      <c r="G12" s="21">
        <v>0.89118799999999998</v>
      </c>
      <c r="H12" s="13">
        <v>0.32</v>
      </c>
      <c r="I12" s="13">
        <v>0.77</v>
      </c>
      <c r="J12" s="13">
        <v>1.21</v>
      </c>
      <c r="K12" s="13">
        <v>1.76</v>
      </c>
      <c r="L12" s="13">
        <v>2.17</v>
      </c>
      <c r="M12" s="32">
        <v>2.95</v>
      </c>
    </row>
    <row r="13" spans="1:13" x14ac:dyDescent="0.25">
      <c r="A13" s="18" t="s">
        <v>36</v>
      </c>
      <c r="B13" s="20">
        <v>0.222165</v>
      </c>
      <c r="C13" s="19">
        <v>0.60084899999999997</v>
      </c>
      <c r="D13" s="19">
        <v>1.0702689999999999</v>
      </c>
      <c r="E13" s="19">
        <v>2.059361</v>
      </c>
      <c r="F13" s="19">
        <v>3.4569619999999999</v>
      </c>
      <c r="G13" s="21">
        <v>1.0460860000000001</v>
      </c>
      <c r="H13" s="13">
        <v>0.15</v>
      </c>
      <c r="I13" s="13">
        <v>0.59</v>
      </c>
      <c r="J13" s="13">
        <v>0.99</v>
      </c>
      <c r="K13" s="13">
        <v>1.51</v>
      </c>
      <c r="L13" s="13">
        <v>2.0299999999999998</v>
      </c>
      <c r="M13" s="32">
        <v>3.04</v>
      </c>
    </row>
    <row r="14" spans="1:13" x14ac:dyDescent="0.25">
      <c r="A14" s="18" t="s">
        <v>37</v>
      </c>
      <c r="B14" s="20">
        <v>0.15420700000000001</v>
      </c>
      <c r="C14" s="19">
        <v>0.415578</v>
      </c>
      <c r="D14" s="19">
        <v>0.73976299999999995</v>
      </c>
      <c r="E14" s="19">
        <v>1.4270080000000001</v>
      </c>
      <c r="F14" s="19">
        <v>2.4177569999999999</v>
      </c>
      <c r="G14" s="21">
        <v>0.73729299999999998</v>
      </c>
      <c r="H14" s="13">
        <v>0.16</v>
      </c>
      <c r="I14" s="13">
        <v>0.55000000000000004</v>
      </c>
      <c r="J14" s="13">
        <v>0.96</v>
      </c>
      <c r="K14" s="13">
        <v>1.47</v>
      </c>
      <c r="L14" s="13">
        <v>1.88</v>
      </c>
      <c r="M14" s="32">
        <v>2.59</v>
      </c>
    </row>
    <row r="15" spans="1:13" x14ac:dyDescent="0.25">
      <c r="A15" s="18" t="s">
        <v>38</v>
      </c>
      <c r="B15" s="20">
        <v>0.150391</v>
      </c>
      <c r="C15" s="19">
        <v>0.42277300000000001</v>
      </c>
      <c r="D15" s="19">
        <v>0.77082200000000001</v>
      </c>
      <c r="E15" s="19">
        <v>1.517963</v>
      </c>
      <c r="F15" s="19">
        <v>2.5730170000000001</v>
      </c>
      <c r="G15" s="21">
        <v>0.79157100000000002</v>
      </c>
      <c r="H15" s="13">
        <v>0.08</v>
      </c>
      <c r="I15" s="13">
        <v>0.37</v>
      </c>
      <c r="J15" s="13">
        <v>0.7</v>
      </c>
      <c r="K15" s="13">
        <v>1.1599999999999999</v>
      </c>
      <c r="L15" s="13">
        <v>1.58</v>
      </c>
      <c r="M15" s="32">
        <v>2.09</v>
      </c>
    </row>
    <row r="16" spans="1:13" x14ac:dyDescent="0.25">
      <c r="A16" s="18" t="s">
        <v>39</v>
      </c>
      <c r="B16" s="20">
        <v>-9.8000000000000004E-8</v>
      </c>
      <c r="C16" s="19">
        <v>-1.92E-7</v>
      </c>
      <c r="D16" s="19">
        <v>-2.8299999999999998E-7</v>
      </c>
      <c r="E16" s="19">
        <v>-5.4300000000000003E-7</v>
      </c>
      <c r="F16" s="19">
        <v>-8.1999999999999998E-7</v>
      </c>
      <c r="G16" s="21">
        <v>-7.9999999999999996E-7</v>
      </c>
      <c r="H16" s="13">
        <v>0.13</v>
      </c>
      <c r="I16" s="13">
        <v>0.41</v>
      </c>
      <c r="J16" s="13">
        <v>0.7</v>
      </c>
      <c r="K16" s="13">
        <v>1.1299999999999999</v>
      </c>
      <c r="L16" s="13">
        <v>1.52</v>
      </c>
      <c r="M16" s="32">
        <v>1.96</v>
      </c>
    </row>
    <row r="17" spans="1:13" x14ac:dyDescent="0.25">
      <c r="A17" s="18" t="s">
        <v>40</v>
      </c>
      <c r="B17" s="20">
        <v>0.26323400000000002</v>
      </c>
      <c r="C17" s="19">
        <v>0.67451499999999998</v>
      </c>
      <c r="D17" s="19">
        <v>1.155006</v>
      </c>
      <c r="E17" s="19">
        <v>2.1135869999999999</v>
      </c>
      <c r="F17" s="19">
        <v>3.4124639999999999</v>
      </c>
      <c r="G17" s="21">
        <v>1.091351</v>
      </c>
      <c r="H17" s="13">
        <v>0.52</v>
      </c>
      <c r="I17" s="13">
        <v>1.34</v>
      </c>
      <c r="J17" s="13">
        <v>2.0299999999999998</v>
      </c>
      <c r="K17" s="13">
        <v>2.85</v>
      </c>
      <c r="L17" s="13">
        <v>2.89</v>
      </c>
      <c r="M17" s="32">
        <v>3.21</v>
      </c>
    </row>
    <row r="18" spans="1:13" x14ac:dyDescent="0.25">
      <c r="A18" s="18" t="s">
        <v>16</v>
      </c>
      <c r="B18" s="20">
        <v>4.0978000000000001E-2</v>
      </c>
      <c r="C18" s="19">
        <v>7.3225999999999999E-2</v>
      </c>
      <c r="D18" s="19">
        <v>8.3839999999999998E-2</v>
      </c>
      <c r="E18" s="19">
        <v>5.3131999999999999E-2</v>
      </c>
      <c r="F18" s="19">
        <v>-4.3011000000000001E-2</v>
      </c>
      <c r="G18" s="21">
        <v>4.4796000000000002E-2</v>
      </c>
      <c r="H18" s="13">
        <v>0.37</v>
      </c>
      <c r="I18" s="13">
        <v>0.75</v>
      </c>
      <c r="J18" s="13">
        <v>1.03</v>
      </c>
      <c r="K18" s="13">
        <v>1.33</v>
      </c>
      <c r="L18" s="13">
        <v>0.84</v>
      </c>
      <c r="M18" s="32">
        <v>0.16</v>
      </c>
    </row>
    <row r="19" spans="1:13" x14ac:dyDescent="0.25">
      <c r="A19" s="18" t="s">
        <v>41</v>
      </c>
      <c r="B19" s="20">
        <v>121.3056</v>
      </c>
      <c r="C19" s="19">
        <v>219.59280000000001</v>
      </c>
      <c r="D19" s="19">
        <v>286.37520000000001</v>
      </c>
      <c r="E19" s="19">
        <v>332.92599999999999</v>
      </c>
      <c r="F19" s="19">
        <v>200.3914</v>
      </c>
      <c r="G19" s="21">
        <v>74.6952</v>
      </c>
      <c r="H19" s="13">
        <v>33</v>
      </c>
      <c r="I19" s="13">
        <v>94</v>
      </c>
      <c r="J19" s="13">
        <v>107</v>
      </c>
      <c r="K19" s="13">
        <v>44</v>
      </c>
      <c r="L19" s="13">
        <v>-8</v>
      </c>
      <c r="M19" s="32">
        <v>-42</v>
      </c>
    </row>
    <row r="20" spans="1:13" x14ac:dyDescent="0.25">
      <c r="A20" s="18" t="s">
        <v>42</v>
      </c>
      <c r="B20" s="20">
        <v>-0.36212699999999998</v>
      </c>
      <c r="C20" s="19">
        <v>-0.623552</v>
      </c>
      <c r="D20" s="19">
        <v>-0.78304700000000005</v>
      </c>
      <c r="E20" s="19">
        <v>-0.86210299999999995</v>
      </c>
      <c r="F20" s="19">
        <v>-0.47745599999999999</v>
      </c>
      <c r="G20" s="21">
        <v>-0.17218</v>
      </c>
      <c r="H20" s="13">
        <v>-0.36</v>
      </c>
      <c r="I20" s="13">
        <v>-0.61</v>
      </c>
      <c r="J20" s="13">
        <v>-0.67</v>
      </c>
      <c r="K20" s="13">
        <v>-0.41</v>
      </c>
      <c r="L20" s="13">
        <v>-0.19</v>
      </c>
      <c r="M20" s="32">
        <v>-0.05</v>
      </c>
    </row>
    <row r="21" spans="1:13" x14ac:dyDescent="0.25">
      <c r="A21" s="18" t="s">
        <v>43</v>
      </c>
      <c r="B21" s="20">
        <v>-9.4513E-2</v>
      </c>
      <c r="C21" s="19">
        <v>-0.12664500000000001</v>
      </c>
      <c r="D21" s="19">
        <v>-0.13073000000000001</v>
      </c>
      <c r="E21" s="19">
        <v>-0.10997800000000001</v>
      </c>
      <c r="F21" s="19">
        <v>-0.113936</v>
      </c>
      <c r="G21" s="21">
        <v>-8.5228999999999999E-2</v>
      </c>
      <c r="H21" s="13">
        <v>-0.3</v>
      </c>
      <c r="I21" s="13">
        <v>-0.5</v>
      </c>
      <c r="J21" s="13">
        <v>-0.54</v>
      </c>
      <c r="K21" s="13">
        <v>-0.62</v>
      </c>
      <c r="L21" s="13">
        <v>-0.71</v>
      </c>
      <c r="M21" s="32">
        <v>-0.79</v>
      </c>
    </row>
    <row r="22" spans="1:13" x14ac:dyDescent="0.25">
      <c r="A22" s="18" t="s">
        <v>44</v>
      </c>
      <c r="B22" s="20">
        <v>-0.53194399999999997</v>
      </c>
      <c r="C22" s="19">
        <v>-0.26442199999999999</v>
      </c>
      <c r="D22" s="19">
        <v>-7.8936999999999993E-2</v>
      </c>
      <c r="E22" s="19">
        <v>0.10792300000000001</v>
      </c>
      <c r="F22" s="19">
        <v>0.116006</v>
      </c>
      <c r="G22" s="21">
        <v>-0.22904099999999999</v>
      </c>
      <c r="H22" s="13">
        <v>-0.53</v>
      </c>
      <c r="I22" s="13">
        <v>-0.32</v>
      </c>
      <c r="J22" s="13">
        <v>-0.35</v>
      </c>
      <c r="K22" s="13">
        <v>-0.54</v>
      </c>
      <c r="L22" s="13">
        <v>-0.68</v>
      </c>
      <c r="M22" s="32">
        <v>-0.85</v>
      </c>
    </row>
    <row r="23" spans="1:13" x14ac:dyDescent="0.25">
      <c r="A23" s="8"/>
      <c r="B23" s="8"/>
      <c r="C23" s="8"/>
      <c r="D23" s="8"/>
      <c r="E23" s="8"/>
      <c r="F23" s="8"/>
      <c r="G23" s="8"/>
    </row>
    <row r="24" spans="1:13" x14ac:dyDescent="0.25">
      <c r="A24" s="8"/>
      <c r="B24" s="8"/>
      <c r="C24" s="8"/>
      <c r="D24" s="8"/>
      <c r="E24" s="8"/>
      <c r="F24" s="8"/>
      <c r="G24" s="8"/>
    </row>
    <row r="25" spans="1:13" x14ac:dyDescent="0.25">
      <c r="A25" s="8"/>
      <c r="B25" s="8"/>
      <c r="C25" s="8"/>
      <c r="D25" s="8"/>
      <c r="E25" s="8"/>
      <c r="F25" s="8"/>
      <c r="G25" s="8"/>
    </row>
    <row r="26" spans="1:13" ht="30" x14ac:dyDescent="0.25">
      <c r="A26" s="35" t="s">
        <v>80</v>
      </c>
      <c r="B26" s="60" t="s">
        <v>88</v>
      </c>
      <c r="C26" s="60"/>
      <c r="D26" s="60"/>
      <c r="E26" s="60"/>
      <c r="F26" s="60"/>
      <c r="G26" s="60"/>
      <c r="H26" s="60"/>
      <c r="I26" s="60"/>
      <c r="J26" s="60"/>
      <c r="K26" s="60"/>
      <c r="L26" s="60"/>
      <c r="M26" s="60"/>
    </row>
    <row r="27" spans="1:13" x14ac:dyDescent="0.25">
      <c r="A27" s="16"/>
      <c r="B27" s="47" t="s">
        <v>45</v>
      </c>
      <c r="C27" s="47"/>
      <c r="D27" s="47"/>
      <c r="E27" s="47"/>
      <c r="F27" s="47"/>
      <c r="G27" s="48"/>
      <c r="H27" s="49" t="s">
        <v>46</v>
      </c>
      <c r="I27" s="50"/>
      <c r="J27" s="50"/>
      <c r="K27" s="50"/>
      <c r="L27" s="50"/>
      <c r="M27" s="51"/>
    </row>
    <row r="28" spans="1:13" x14ac:dyDescent="0.25">
      <c r="A28" s="22"/>
      <c r="B28" s="9" t="s">
        <v>59</v>
      </c>
      <c r="C28" s="9" t="s">
        <v>60</v>
      </c>
      <c r="D28" s="9" t="s">
        <v>61</v>
      </c>
      <c r="E28" s="9" t="s">
        <v>62</v>
      </c>
      <c r="F28" s="9" t="s">
        <v>63</v>
      </c>
      <c r="G28" s="11" t="s">
        <v>90</v>
      </c>
      <c r="H28" s="24" t="s">
        <v>59</v>
      </c>
      <c r="I28" s="10" t="s">
        <v>60</v>
      </c>
      <c r="J28" s="10" t="s">
        <v>65</v>
      </c>
      <c r="K28" s="10" t="s">
        <v>62</v>
      </c>
      <c r="L28" s="10" t="s">
        <v>63</v>
      </c>
      <c r="M28" s="25" t="s">
        <v>64</v>
      </c>
    </row>
    <row r="29" spans="1:13" x14ac:dyDescent="0.25">
      <c r="A29" s="31" t="s">
        <v>89</v>
      </c>
      <c r="B29" s="20">
        <f t="array" ref="B29:G47">TRANSPOSE(EXPG1!$B$3:$T$8)</f>
        <v>0.82093499999999997</v>
      </c>
      <c r="C29" s="19">
        <v>1.032931</v>
      </c>
      <c r="D29" s="19">
        <v>1.1571400000000001</v>
      </c>
      <c r="E29" s="19">
        <v>1.1987140000000001</v>
      </c>
      <c r="F29" s="19">
        <v>0.84011999999999998</v>
      </c>
      <c r="G29" s="21">
        <v>0.27597300000000002</v>
      </c>
      <c r="H29" s="13">
        <v>0.78</v>
      </c>
      <c r="I29" s="13">
        <v>1.06</v>
      </c>
      <c r="J29" s="13">
        <v>1.03</v>
      </c>
      <c r="K29" s="13">
        <v>0.86</v>
      </c>
      <c r="L29" s="13">
        <v>0.53</v>
      </c>
      <c r="M29" s="32">
        <v>0.16</v>
      </c>
    </row>
    <row r="30" spans="1:13" x14ac:dyDescent="0.25">
      <c r="A30" s="31" t="s">
        <v>56</v>
      </c>
      <c r="B30" s="20">
        <v>0.63688299999999998</v>
      </c>
      <c r="C30" s="19">
        <v>1.112393</v>
      </c>
      <c r="D30" s="19">
        <v>1.453838</v>
      </c>
      <c r="E30" s="19">
        <v>1.816119</v>
      </c>
      <c r="F30" s="19">
        <v>1.76288</v>
      </c>
      <c r="G30" s="21">
        <v>0.43762000000000001</v>
      </c>
      <c r="H30" s="13">
        <v>0.69</v>
      </c>
      <c r="I30" s="13">
        <v>1.35</v>
      </c>
      <c r="J30" s="13">
        <v>1.64</v>
      </c>
      <c r="K30" s="13">
        <v>1.85</v>
      </c>
      <c r="L30" s="13">
        <v>1.63</v>
      </c>
      <c r="M30" s="32">
        <v>1.1499999999999999</v>
      </c>
    </row>
    <row r="31" spans="1:13" x14ac:dyDescent="0.25">
      <c r="A31" s="31" t="s">
        <v>53</v>
      </c>
      <c r="B31" s="20">
        <v>0.39239099999999999</v>
      </c>
      <c r="C31" s="19">
        <v>0.68341600000000002</v>
      </c>
      <c r="D31" s="19">
        <v>0.86925300000000005</v>
      </c>
      <c r="E31" s="19">
        <v>1.01762</v>
      </c>
      <c r="F31" s="19">
        <v>0.96345099999999995</v>
      </c>
      <c r="G31" s="21">
        <v>0.27630300000000002</v>
      </c>
      <c r="H31" s="13">
        <v>1.24</v>
      </c>
      <c r="I31" s="13">
        <v>1.96</v>
      </c>
      <c r="J31" s="13">
        <v>1.83</v>
      </c>
      <c r="K31" s="13">
        <v>1.29</v>
      </c>
      <c r="L31" s="13">
        <v>0.76</v>
      </c>
      <c r="M31" s="32">
        <v>0.47</v>
      </c>
    </row>
    <row r="32" spans="1:13" x14ac:dyDescent="0.25">
      <c r="A32" s="31" t="s">
        <v>54</v>
      </c>
      <c r="B32" s="20">
        <v>-3.6060000000000002E-2</v>
      </c>
      <c r="C32" s="19">
        <v>-0.126415</v>
      </c>
      <c r="D32" s="19">
        <v>-0.272455</v>
      </c>
      <c r="E32" s="19">
        <v>-0.68474100000000004</v>
      </c>
      <c r="F32" s="19">
        <v>-1.674933</v>
      </c>
      <c r="G32" s="21">
        <v>-0.70715399999999995</v>
      </c>
      <c r="H32" s="13">
        <v>0</v>
      </c>
      <c r="I32" s="13">
        <v>-0.16</v>
      </c>
      <c r="J32" s="13">
        <v>-0.38</v>
      </c>
      <c r="K32" s="13">
        <v>-0.78</v>
      </c>
      <c r="L32" s="13">
        <v>-1.27</v>
      </c>
      <c r="M32" s="32">
        <v>-1.73</v>
      </c>
    </row>
    <row r="33" spans="1:13" x14ac:dyDescent="0.25">
      <c r="A33" s="31" t="s">
        <v>55</v>
      </c>
      <c r="B33" s="20">
        <v>0.56763200000000003</v>
      </c>
      <c r="C33" s="19">
        <v>0.91445500000000002</v>
      </c>
      <c r="D33" s="19">
        <v>1.1700410000000001</v>
      </c>
      <c r="E33" s="19">
        <v>1.4840599999999999</v>
      </c>
      <c r="F33" s="19">
        <v>1.6270290000000001</v>
      </c>
      <c r="G33" s="21">
        <v>0.52424700000000002</v>
      </c>
      <c r="H33" s="13">
        <v>0.98</v>
      </c>
      <c r="I33" s="13">
        <v>1.51</v>
      </c>
      <c r="J33" s="13">
        <v>1.45</v>
      </c>
      <c r="K33" s="13">
        <v>1.33</v>
      </c>
      <c r="L33" s="13">
        <v>1.1599999999999999</v>
      </c>
      <c r="M33" s="32">
        <v>1.03</v>
      </c>
    </row>
    <row r="34" spans="1:13" x14ac:dyDescent="0.25">
      <c r="A34" s="31" t="s">
        <v>57</v>
      </c>
      <c r="B34" s="20">
        <v>0.93799100000000002</v>
      </c>
      <c r="C34" s="19">
        <v>1.2568109999999999</v>
      </c>
      <c r="D34" s="19">
        <v>1.496189</v>
      </c>
      <c r="E34" s="19">
        <v>1.7553190000000001</v>
      </c>
      <c r="F34" s="19">
        <v>1.707856</v>
      </c>
      <c r="G34" s="21">
        <v>0.44233699999999998</v>
      </c>
      <c r="H34" s="13">
        <v>1.22</v>
      </c>
      <c r="I34" s="13">
        <v>1.57</v>
      </c>
      <c r="J34" s="13">
        <v>1.82</v>
      </c>
      <c r="K34" s="13">
        <v>1.98</v>
      </c>
      <c r="L34" s="13">
        <v>1.58</v>
      </c>
      <c r="M34" s="32">
        <v>1.1499999999999999</v>
      </c>
    </row>
    <row r="35" spans="1:13" x14ac:dyDescent="0.25">
      <c r="A35" s="31" t="s">
        <v>58</v>
      </c>
      <c r="B35" s="20">
        <v>0.26735199999999998</v>
      </c>
      <c r="C35" s="19">
        <v>0.12782499999999999</v>
      </c>
      <c r="D35" s="19">
        <v>3.7397E-2</v>
      </c>
      <c r="E35" s="19">
        <v>-5.3551000000000001E-2</v>
      </c>
      <c r="F35" s="19">
        <v>-4.8486000000000001E-2</v>
      </c>
      <c r="G35" s="21">
        <v>4.2090000000000001E-3</v>
      </c>
      <c r="H35" s="13">
        <v>0.46</v>
      </c>
      <c r="I35" s="13">
        <v>0.19</v>
      </c>
      <c r="J35" s="13">
        <v>0.15</v>
      </c>
      <c r="K35" s="13">
        <v>0.11</v>
      </c>
      <c r="L35" s="13">
        <v>-0.04</v>
      </c>
      <c r="M35" s="32">
        <v>0</v>
      </c>
    </row>
    <row r="36" spans="1:13" x14ac:dyDescent="0.25">
      <c r="A36" s="31" t="s">
        <v>69</v>
      </c>
      <c r="B36" s="20">
        <v>0.15912499999999999</v>
      </c>
      <c r="C36" s="19">
        <v>0.42678100000000002</v>
      </c>
      <c r="D36" s="19">
        <v>0.75810599999999995</v>
      </c>
      <c r="E36" s="19">
        <v>1.4618500000000001</v>
      </c>
      <c r="F36" s="19">
        <v>2.4870770000000002</v>
      </c>
      <c r="G36" s="21">
        <v>0.76024400000000003</v>
      </c>
      <c r="H36" s="13">
        <v>0.2</v>
      </c>
      <c r="I36" s="13">
        <v>0.57999999999999996</v>
      </c>
      <c r="J36" s="13">
        <v>0.94</v>
      </c>
      <c r="K36" s="13">
        <v>1.42</v>
      </c>
      <c r="L36" s="13">
        <v>1.88</v>
      </c>
      <c r="M36" s="32">
        <v>2.69</v>
      </c>
    </row>
    <row r="37" spans="1:13" x14ac:dyDescent="0.25">
      <c r="A37" s="31" t="s">
        <v>70</v>
      </c>
      <c r="B37" s="20">
        <v>0.18810099999999999</v>
      </c>
      <c r="C37" s="19">
        <v>0.50794600000000001</v>
      </c>
      <c r="D37" s="19">
        <v>0.90452100000000002</v>
      </c>
      <c r="E37" s="19">
        <v>1.7422390000000001</v>
      </c>
      <c r="F37" s="19">
        <v>2.9359950000000001</v>
      </c>
      <c r="G37" s="21">
        <v>0.89118799999999998</v>
      </c>
      <c r="H37" s="13">
        <v>0.32</v>
      </c>
      <c r="I37" s="13">
        <v>0.77</v>
      </c>
      <c r="J37" s="13">
        <v>1.21</v>
      </c>
      <c r="K37" s="13">
        <v>1.76</v>
      </c>
      <c r="L37" s="13">
        <v>2.17</v>
      </c>
      <c r="M37" s="32">
        <v>2.95</v>
      </c>
    </row>
    <row r="38" spans="1:13" x14ac:dyDescent="0.25">
      <c r="A38" s="31" t="s">
        <v>71</v>
      </c>
      <c r="B38" s="20">
        <v>0.222165</v>
      </c>
      <c r="C38" s="19">
        <v>0.60084899999999997</v>
      </c>
      <c r="D38" s="19">
        <v>1.0702689999999999</v>
      </c>
      <c r="E38" s="19">
        <v>2.059361</v>
      </c>
      <c r="F38" s="19">
        <v>3.4569619999999999</v>
      </c>
      <c r="G38" s="21">
        <v>1.0460860000000001</v>
      </c>
      <c r="H38" s="13">
        <v>0.15</v>
      </c>
      <c r="I38" s="13">
        <v>0.59</v>
      </c>
      <c r="J38" s="13">
        <v>0.99</v>
      </c>
      <c r="K38" s="13">
        <v>1.51</v>
      </c>
      <c r="L38" s="13">
        <v>2.0299999999999998</v>
      </c>
      <c r="M38" s="32">
        <v>3.04</v>
      </c>
    </row>
    <row r="39" spans="1:13" x14ac:dyDescent="0.25">
      <c r="A39" s="31" t="s">
        <v>75</v>
      </c>
      <c r="B39" s="20">
        <v>0.15420700000000001</v>
      </c>
      <c r="C39" s="19">
        <v>0.415578</v>
      </c>
      <c r="D39" s="19">
        <v>0.73976299999999995</v>
      </c>
      <c r="E39" s="19">
        <v>1.4270080000000001</v>
      </c>
      <c r="F39" s="19">
        <v>2.4177569999999999</v>
      </c>
      <c r="G39" s="21">
        <v>0.73729299999999998</v>
      </c>
      <c r="H39" s="13">
        <v>0.16</v>
      </c>
      <c r="I39" s="13">
        <v>0.55000000000000004</v>
      </c>
      <c r="J39" s="13">
        <v>0.96</v>
      </c>
      <c r="K39" s="13">
        <v>1.47</v>
      </c>
      <c r="L39" s="13">
        <v>1.88</v>
      </c>
      <c r="M39" s="32">
        <v>2.59</v>
      </c>
    </row>
    <row r="40" spans="1:13" x14ac:dyDescent="0.25">
      <c r="A40" s="31" t="s">
        <v>67</v>
      </c>
      <c r="B40" s="20">
        <v>0.150391</v>
      </c>
      <c r="C40" s="19">
        <v>0.42277300000000001</v>
      </c>
      <c r="D40" s="19">
        <v>0.77082200000000001</v>
      </c>
      <c r="E40" s="19">
        <v>1.517963</v>
      </c>
      <c r="F40" s="19">
        <v>2.5730170000000001</v>
      </c>
      <c r="G40" s="21">
        <v>0.79157100000000002</v>
      </c>
      <c r="H40" s="13">
        <v>0.08</v>
      </c>
      <c r="I40" s="13">
        <v>0.37</v>
      </c>
      <c r="J40" s="13">
        <v>0.7</v>
      </c>
      <c r="K40" s="13">
        <v>1.1599999999999999</v>
      </c>
      <c r="L40" s="13">
        <v>1.58</v>
      </c>
      <c r="M40" s="32">
        <v>2.09</v>
      </c>
    </row>
    <row r="41" spans="1:13" x14ac:dyDescent="0.25">
      <c r="A41" s="31" t="s">
        <v>68</v>
      </c>
      <c r="B41" s="20">
        <v>-9.8000000000000004E-8</v>
      </c>
      <c r="C41" s="19">
        <v>-1.92E-7</v>
      </c>
      <c r="D41" s="19">
        <v>-2.8299999999999998E-7</v>
      </c>
      <c r="E41" s="19">
        <v>-5.4300000000000003E-7</v>
      </c>
      <c r="F41" s="19">
        <v>-8.1999999999999998E-7</v>
      </c>
      <c r="G41" s="21">
        <v>-7.9999999999999996E-7</v>
      </c>
      <c r="H41" s="13">
        <v>0.13</v>
      </c>
      <c r="I41" s="13">
        <v>0.41</v>
      </c>
      <c r="J41" s="13">
        <v>0.7</v>
      </c>
      <c r="K41" s="13">
        <v>1.1299999999999999</v>
      </c>
      <c r="L41" s="13">
        <v>1.52</v>
      </c>
      <c r="M41" s="32">
        <v>1.96</v>
      </c>
    </row>
    <row r="42" spans="1:13" x14ac:dyDescent="0.25">
      <c r="A42" s="31" t="s">
        <v>72</v>
      </c>
      <c r="B42" s="20">
        <v>0.26323400000000002</v>
      </c>
      <c r="C42" s="19">
        <v>0.67451499999999998</v>
      </c>
      <c r="D42" s="19">
        <v>1.155006</v>
      </c>
      <c r="E42" s="19">
        <v>2.1135869999999999</v>
      </c>
      <c r="F42" s="19">
        <v>3.4124639999999999</v>
      </c>
      <c r="G42" s="21">
        <v>1.091351</v>
      </c>
      <c r="H42" s="13">
        <v>0.52</v>
      </c>
      <c r="I42" s="13">
        <v>1.34</v>
      </c>
      <c r="J42" s="13">
        <v>2.0299999999999998</v>
      </c>
      <c r="K42" s="13">
        <v>2.85</v>
      </c>
      <c r="L42" s="13">
        <v>2.89</v>
      </c>
      <c r="M42" s="32">
        <v>3.21</v>
      </c>
    </row>
    <row r="43" spans="1:13" x14ac:dyDescent="0.25">
      <c r="A43" s="31" t="s">
        <v>73</v>
      </c>
      <c r="B43" s="20">
        <v>4.0978000000000001E-2</v>
      </c>
      <c r="C43" s="19">
        <v>7.3225999999999999E-2</v>
      </c>
      <c r="D43" s="19">
        <v>8.3839999999999998E-2</v>
      </c>
      <c r="E43" s="19">
        <v>5.3131999999999999E-2</v>
      </c>
      <c r="F43" s="19">
        <v>-4.3011000000000001E-2</v>
      </c>
      <c r="G43" s="21">
        <v>4.4796000000000002E-2</v>
      </c>
      <c r="H43" s="13">
        <v>0.37</v>
      </c>
      <c r="I43" s="13">
        <v>0.75</v>
      </c>
      <c r="J43" s="13">
        <v>1.03</v>
      </c>
      <c r="K43" s="13">
        <v>1.33</v>
      </c>
      <c r="L43" s="13">
        <v>0.84</v>
      </c>
      <c r="M43" s="32">
        <v>0.16</v>
      </c>
    </row>
    <row r="44" spans="1:13" x14ac:dyDescent="0.25">
      <c r="A44" s="31" t="s">
        <v>76</v>
      </c>
      <c r="B44" s="20">
        <v>121.3056</v>
      </c>
      <c r="C44" s="19">
        <v>219.59280000000001</v>
      </c>
      <c r="D44" s="19">
        <v>286.37520000000001</v>
      </c>
      <c r="E44" s="19">
        <v>332.92599999999999</v>
      </c>
      <c r="F44" s="19">
        <v>200.3914</v>
      </c>
      <c r="G44" s="21">
        <v>74.6952</v>
      </c>
      <c r="H44" s="13">
        <v>33</v>
      </c>
      <c r="I44" s="13">
        <v>94</v>
      </c>
      <c r="J44" s="13">
        <v>107</v>
      </c>
      <c r="K44" s="13">
        <v>44</v>
      </c>
      <c r="L44" s="13">
        <v>-8</v>
      </c>
      <c r="M44" s="32">
        <v>-42</v>
      </c>
    </row>
    <row r="45" spans="1:13" x14ac:dyDescent="0.25">
      <c r="A45" s="31" t="s">
        <v>74</v>
      </c>
      <c r="B45" s="20">
        <v>-0.36212699999999998</v>
      </c>
      <c r="C45" s="19">
        <v>-0.623552</v>
      </c>
      <c r="D45" s="19">
        <v>-0.78304700000000005</v>
      </c>
      <c r="E45" s="19">
        <v>-0.86210299999999995</v>
      </c>
      <c r="F45" s="19">
        <v>-0.47745599999999999</v>
      </c>
      <c r="G45" s="21">
        <v>-0.17218</v>
      </c>
      <c r="H45" s="13">
        <v>-0.36</v>
      </c>
      <c r="I45" s="13">
        <v>-0.61</v>
      </c>
      <c r="J45" s="13">
        <v>-0.67</v>
      </c>
      <c r="K45" s="13">
        <v>-0.41</v>
      </c>
      <c r="L45" s="13">
        <v>-0.19</v>
      </c>
      <c r="M45" s="32">
        <v>-0.05</v>
      </c>
    </row>
    <row r="46" spans="1:13" x14ac:dyDescent="0.25">
      <c r="A46" s="31" t="s">
        <v>77</v>
      </c>
      <c r="B46" s="20">
        <v>-9.4513E-2</v>
      </c>
      <c r="C46" s="19">
        <v>-0.12664500000000001</v>
      </c>
      <c r="D46" s="19">
        <v>-0.13073000000000001</v>
      </c>
      <c r="E46" s="19">
        <v>-0.10997800000000001</v>
      </c>
      <c r="F46" s="19">
        <v>-0.113936</v>
      </c>
      <c r="G46" s="21">
        <v>-8.5228999999999999E-2</v>
      </c>
      <c r="H46" s="13">
        <v>-0.3</v>
      </c>
      <c r="I46" s="13">
        <v>-0.5</v>
      </c>
      <c r="J46" s="13">
        <v>-0.54</v>
      </c>
      <c r="K46" s="13">
        <v>-0.62</v>
      </c>
      <c r="L46" s="13">
        <v>-0.71</v>
      </c>
      <c r="M46" s="32">
        <v>-0.79</v>
      </c>
    </row>
    <row r="47" spans="1:13" x14ac:dyDescent="0.25">
      <c r="A47" s="45" t="s">
        <v>78</v>
      </c>
      <c r="B47" s="20">
        <v>-0.53194399999999997</v>
      </c>
      <c r="C47" s="19">
        <v>-0.26442199999999999</v>
      </c>
      <c r="D47" s="19">
        <v>-7.8936999999999993E-2</v>
      </c>
      <c r="E47" s="19">
        <v>0.10792300000000001</v>
      </c>
      <c r="F47" s="19">
        <v>0.116006</v>
      </c>
      <c r="G47" s="21">
        <v>-0.22904099999999999</v>
      </c>
      <c r="H47" s="13">
        <v>-0.53</v>
      </c>
      <c r="I47" s="13">
        <v>-0.32</v>
      </c>
      <c r="J47" s="13">
        <v>-0.35</v>
      </c>
      <c r="K47" s="13">
        <v>-0.54</v>
      </c>
      <c r="L47" s="13">
        <v>-0.68</v>
      </c>
      <c r="M47" s="32">
        <v>-0.85</v>
      </c>
    </row>
    <row r="50" spans="1:1" x14ac:dyDescent="0.25">
      <c r="A50" t="str">
        <f>"0.00"</f>
        <v>0.00</v>
      </c>
    </row>
    <row r="51" spans="1:1" x14ac:dyDescent="0.25">
      <c r="A51" t="str">
        <f t="shared" ref="A51:A69" si="0">"\textbf{"&amp;A29&amp;"} &amp; "&amp;TEXT(B29,formatResults)&amp;" &amp; "&amp;TEXT(C29,formatResults)&amp;" &amp; "&amp;TEXT(D29,formatResults)&amp;" &amp; "&amp;TEXT(E29,formatResults)&amp;" &amp; "&amp;TEXT(F29,formatResults)&amp;" &amp; "&amp;TEXT(G29,formatResults)&amp;" \\"</f>
        <v>\textbf{GDP in volume} &amp; 0.82 &amp; 1.03 &amp; 1.16 &amp; 1.20 &amp; 0.84 &amp; 0.28 \\</v>
      </c>
    </row>
    <row r="52" spans="1:1" x14ac:dyDescent="0.25">
      <c r="A52" t="str">
        <f t="shared" si="0"/>
        <v>\textbf{Household consumption} &amp; 0.64 &amp; 1.11 &amp; 1.45 &amp; 1.82 &amp; 1.76 &amp; 0.44 \\</v>
      </c>
    </row>
    <row r="53" spans="1:1" x14ac:dyDescent="0.25">
      <c r="A53" t="str">
        <f t="shared" si="0"/>
        <v>\textbf{Investment} &amp; 0.39 &amp; 0.68 &amp; 0.87 &amp; 1.02 &amp; 0.96 &amp; 0.28 \\</v>
      </c>
    </row>
    <row r="54" spans="1:1" x14ac:dyDescent="0.25">
      <c r="A54" t="str">
        <f t="shared" si="0"/>
        <v>\textbf{Exports} &amp; -0.04 &amp; -0.13 &amp; -0.27 &amp; -0.68 &amp; -1.67 &amp; -0.71 \\</v>
      </c>
    </row>
    <row r="55" spans="1:1" x14ac:dyDescent="0.25">
      <c r="A55" t="str">
        <f t="shared" si="0"/>
        <v>\textbf{Imports} &amp; 0.57 &amp; 0.91 &amp; 1.17 &amp; 1.48 &amp; 1.63 &amp; 0.52 \\</v>
      </c>
    </row>
    <row r="56" spans="1:1" x14ac:dyDescent="0.25">
      <c r="A56" t="str">
        <f t="shared" si="0"/>
        <v>\textbf{Household disposable income } &amp; 0.94 &amp; 1.26 &amp; 1.50 &amp; 1.76 &amp; 1.71 &amp; 0.44 \\</v>
      </c>
    </row>
    <row r="57" spans="1:1" x14ac:dyDescent="0.25">
      <c r="A57" t="str">
        <f t="shared" si="0"/>
        <v>\textbf{Saving rate} &amp; 0.27 &amp; 0.13 &amp; 0.04 &amp; -0.05 &amp; -0.05 &amp; 0.00 \\</v>
      </c>
    </row>
    <row r="58" spans="1:1" x14ac:dyDescent="0.25">
      <c r="A58" t="str">
        <f t="shared" si="0"/>
        <v>\textbf{Household consumption price index} &amp; 0.16 &amp; 0.43 &amp; 0.76 &amp; 1.46 &amp; 2.49 &amp; 0.76 \\</v>
      </c>
    </row>
    <row r="59" spans="1:1" x14ac:dyDescent="0.25">
      <c r="A59" t="str">
        <f t="shared" si="0"/>
        <v>\textbf{Production price index} &amp; 0.19 &amp; 0.51 &amp; 0.90 &amp; 1.74 &amp; 2.94 &amp; 0.89 \\</v>
      </c>
    </row>
    <row r="60" spans="1:1" x14ac:dyDescent="0.25">
      <c r="A60" t="str">
        <f t="shared" si="0"/>
        <v>\textbf{Added value price index} &amp; 0.22 &amp; 0.60 &amp; 1.07 &amp; 2.06 &amp; 3.46 &amp; 1.05 \\</v>
      </c>
    </row>
    <row r="61" spans="1:1" x14ac:dyDescent="0.25">
      <c r="A61" t="str">
        <f t="shared" si="0"/>
        <v>\textbf{Intermediate consumption price index} &amp; 0.15 &amp; 0.42 &amp; 0.74 &amp; 1.43 &amp; 2.42 &amp; 0.74 \\</v>
      </c>
    </row>
    <row r="62" spans="1:1" x14ac:dyDescent="0.25">
      <c r="A62" t="str">
        <f t="shared" si="0"/>
        <v>\textbf{Export price index} &amp; 0.15 &amp; 0.42 &amp; 0.77 &amp; 1.52 &amp; 2.57 &amp; 0.79 \\</v>
      </c>
    </row>
    <row r="63" spans="1:1" x14ac:dyDescent="0.25">
      <c r="A63" t="str">
        <f t="shared" si="0"/>
        <v>\textbf{Import price index} &amp; 0.00 &amp; 0.00 &amp; 0.00 &amp; 0.00 &amp; 0.00 &amp; 0.00 \\</v>
      </c>
    </row>
    <row r="64" spans="1:1" x14ac:dyDescent="0.25">
      <c r="A64" t="str">
        <f t="shared" si="0"/>
        <v>\textbf{Gross nominal wage} &amp; 0.26 &amp; 0.67 &amp; 1.16 &amp; 2.11 &amp; 3.41 &amp; 1.09 \\</v>
      </c>
    </row>
    <row r="65" spans="1:1" x14ac:dyDescent="0.25">
      <c r="A65" t="str">
        <f t="shared" si="0"/>
        <v>\textbf{Real cost of labor} &amp; 0.04 &amp; 0.07 &amp; 0.08 &amp; 0.05 &amp; -0.04 &amp; 0.04 \\</v>
      </c>
    </row>
    <row r="66" spans="1:1" x14ac:dyDescent="0.25">
      <c r="A66" t="str">
        <f t="shared" si="0"/>
        <v>\textbf{Wage employment (in thousands)} &amp; 121.31 &amp; 219.59 &amp; 286.38 &amp; 332.93 &amp; 200.39 &amp; 74.70 \\</v>
      </c>
    </row>
    <row r="67" spans="1:1" x14ac:dyDescent="0.25">
      <c r="A67" t="str">
        <f t="shared" si="0"/>
        <v>\textbf{Unemployment rate} &amp; -0.36 &amp; -0.62 &amp; -0.78 &amp; -0.86 &amp; -0.48 &amp; -0.17 \\</v>
      </c>
    </row>
    <row r="68" spans="1:1" x14ac:dyDescent="0.25">
      <c r="A68" t="str">
        <f t="shared" si="0"/>
        <v>\textbf{Trade balance (in points of GDP)} &amp; -0.09 &amp; -0.13 &amp; -0.13 &amp; -0.11 &amp; -0.11 &amp; -0.09 \\</v>
      </c>
    </row>
    <row r="69" spans="1:1" x14ac:dyDescent="0.25">
      <c r="A69" t="str">
        <f t="shared" si="0"/>
        <v>\textbf{Public budget balance (in points of GDP)} &amp; -0.53 &amp; -0.26 &amp; -0.08 &amp; 0.11 &amp; 0.12 &amp; -0.23 \\</v>
      </c>
    </row>
  </sheetData>
  <mergeCells count="6">
    <mergeCell ref="B2:G2"/>
    <mergeCell ref="H2:M2"/>
    <mergeCell ref="B27:G27"/>
    <mergeCell ref="H27:M27"/>
    <mergeCell ref="B1:M1"/>
    <mergeCell ref="B26:M26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1:M69"/>
  <sheetViews>
    <sheetView showGridLines="0" topLeftCell="A3" workbookViewId="0">
      <selection activeCell="G29" sqref="G29"/>
    </sheetView>
  </sheetViews>
  <sheetFormatPr defaultColWidth="11" defaultRowHeight="15.75" x14ac:dyDescent="0.25"/>
  <cols>
    <col min="1" max="1" width="33.625" customWidth="1"/>
  </cols>
  <sheetData>
    <row r="1" spans="1:13" ht="30" customHeight="1" x14ac:dyDescent="0.25">
      <c r="A1" s="33" t="s">
        <v>31</v>
      </c>
      <c r="B1" s="52" t="s">
        <v>87</v>
      </c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</row>
    <row r="2" spans="1:13" ht="20.25" customHeight="1" x14ac:dyDescent="0.25">
      <c r="A2" s="28"/>
      <c r="B2" s="61" t="s">
        <v>47</v>
      </c>
      <c r="C2" s="61"/>
      <c r="D2" s="61"/>
      <c r="E2" s="61"/>
      <c r="F2" s="61"/>
      <c r="G2" s="62"/>
      <c r="H2" s="63" t="s">
        <v>46</v>
      </c>
      <c r="I2" s="64"/>
      <c r="J2" s="64"/>
      <c r="K2" s="64"/>
      <c r="L2" s="64"/>
      <c r="M2" s="65"/>
    </row>
    <row r="3" spans="1:13" ht="16.5" customHeight="1" x14ac:dyDescent="0.25">
      <c r="A3" s="22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90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TRANSPOSE(RSSC1!$B$3:$T$8)</f>
        <v>0.223744</v>
      </c>
      <c r="C4" s="29">
        <v>0.476516</v>
      </c>
      <c r="D4" s="29">
        <v>0.67999799999999999</v>
      </c>
      <c r="E4" s="29">
        <v>0.893876</v>
      </c>
      <c r="F4" s="29">
        <v>0.84974799999999995</v>
      </c>
      <c r="G4" s="30">
        <v>0.74866999999999995</v>
      </c>
      <c r="H4" s="12">
        <v>0.2</v>
      </c>
      <c r="I4" s="36">
        <v>0.55000000000000004</v>
      </c>
      <c r="J4" s="36">
        <v>0.76</v>
      </c>
      <c r="K4" s="36">
        <v>0.97</v>
      </c>
      <c r="L4" s="36">
        <v>1.29</v>
      </c>
      <c r="M4" s="32">
        <v>1.73</v>
      </c>
    </row>
    <row r="5" spans="1:13" x14ac:dyDescent="0.25">
      <c r="A5" s="31" t="s">
        <v>8</v>
      </c>
      <c r="B5" s="29">
        <v>0.380909</v>
      </c>
      <c r="C5" s="29">
        <v>0.78455799999999998</v>
      </c>
      <c r="D5" s="29">
        <v>1.0924069999999999</v>
      </c>
      <c r="E5" s="29">
        <v>1.4004319999999999</v>
      </c>
      <c r="F5" s="29">
        <v>1.382296</v>
      </c>
      <c r="G5" s="30">
        <v>1.185575</v>
      </c>
      <c r="H5" s="12">
        <v>0.3</v>
      </c>
      <c r="I5" s="36">
        <v>0.73</v>
      </c>
      <c r="J5" s="36">
        <v>0.92</v>
      </c>
      <c r="K5" s="36">
        <v>1.21</v>
      </c>
      <c r="L5" s="36">
        <v>1.82</v>
      </c>
      <c r="M5" s="32">
        <v>2.33</v>
      </c>
    </row>
    <row r="6" spans="1:13" x14ac:dyDescent="0.25">
      <c r="A6" s="31" t="s">
        <v>9</v>
      </c>
      <c r="B6" s="29">
        <v>9.0466000000000005E-2</v>
      </c>
      <c r="C6" s="29">
        <v>0.271621</v>
      </c>
      <c r="D6" s="29">
        <v>0.45607199999999998</v>
      </c>
      <c r="E6" s="29">
        <v>0.680064</v>
      </c>
      <c r="F6" s="29">
        <v>0.60643800000000003</v>
      </c>
      <c r="G6" s="30">
        <v>0.24390700000000001</v>
      </c>
      <c r="H6" s="12">
        <v>0.28000000000000003</v>
      </c>
      <c r="I6" s="36">
        <v>0.98</v>
      </c>
      <c r="J6" s="36">
        <v>1.38</v>
      </c>
      <c r="K6" s="36">
        <v>1.5</v>
      </c>
      <c r="L6" s="36">
        <v>1.63</v>
      </c>
      <c r="M6" s="32">
        <v>1.91</v>
      </c>
    </row>
    <row r="7" spans="1:13" x14ac:dyDescent="0.25">
      <c r="A7" s="31" t="s">
        <v>11</v>
      </c>
      <c r="B7" s="29">
        <v>9.6683000000000005E-2</v>
      </c>
      <c r="C7" s="29">
        <v>0.23069999999999999</v>
      </c>
      <c r="D7" s="29">
        <v>0.359375</v>
      </c>
      <c r="E7" s="29">
        <v>0.52142900000000003</v>
      </c>
      <c r="F7" s="29">
        <v>0.455036</v>
      </c>
      <c r="G7" s="30">
        <v>0.59369499999999997</v>
      </c>
      <c r="H7" s="12">
        <v>0.18</v>
      </c>
      <c r="I7" s="36">
        <v>0.47</v>
      </c>
      <c r="J7" s="36">
        <v>0.67</v>
      </c>
      <c r="K7" s="36">
        <v>0.96</v>
      </c>
      <c r="L7" s="36">
        <v>1.25</v>
      </c>
      <c r="M7" s="32">
        <v>1.86</v>
      </c>
    </row>
    <row r="8" spans="1:13" x14ac:dyDescent="0.25">
      <c r="A8" s="31" t="s">
        <v>12</v>
      </c>
      <c r="B8" s="29">
        <v>0.15101899999999999</v>
      </c>
      <c r="C8" s="29">
        <v>0.342225</v>
      </c>
      <c r="D8" s="29">
        <v>0.50499899999999998</v>
      </c>
      <c r="E8" s="29">
        <v>0.68758399999999997</v>
      </c>
      <c r="F8" s="29">
        <v>0.70189800000000002</v>
      </c>
      <c r="G8" s="30">
        <v>0.50702800000000003</v>
      </c>
      <c r="H8" s="12">
        <v>0.32</v>
      </c>
      <c r="I8" s="36">
        <v>0.72</v>
      </c>
      <c r="J8" s="36">
        <v>0.86</v>
      </c>
      <c r="K8" s="36">
        <v>0.94</v>
      </c>
      <c r="L8" s="36">
        <v>1.1000000000000001</v>
      </c>
      <c r="M8" s="32">
        <v>1.25</v>
      </c>
    </row>
    <row r="9" spans="1:13" x14ac:dyDescent="0.25">
      <c r="A9" s="31" t="s">
        <v>32</v>
      </c>
      <c r="B9" s="29">
        <v>0.56062999999999996</v>
      </c>
      <c r="C9" s="29">
        <v>0.92721900000000002</v>
      </c>
      <c r="D9" s="29">
        <v>1.1517550000000001</v>
      </c>
      <c r="E9" s="29">
        <v>1.3525180000000001</v>
      </c>
      <c r="F9" s="29">
        <v>1.3446709999999999</v>
      </c>
      <c r="G9" s="30">
        <v>1.18649</v>
      </c>
      <c r="H9" s="12">
        <v>0.4</v>
      </c>
      <c r="I9" s="36">
        <v>0.65</v>
      </c>
      <c r="J9" s="36">
        <v>0.85</v>
      </c>
      <c r="K9" s="36">
        <v>1.32</v>
      </c>
      <c r="L9" s="36">
        <v>1.87</v>
      </c>
      <c r="M9" s="32">
        <v>2.33</v>
      </c>
    </row>
    <row r="10" spans="1:13" x14ac:dyDescent="0.25">
      <c r="A10" s="31" t="s">
        <v>33</v>
      </c>
      <c r="B10" s="29">
        <v>0.16017200000000001</v>
      </c>
      <c r="C10" s="29">
        <v>0.12668199999999999</v>
      </c>
      <c r="D10" s="29">
        <v>5.2582999999999998E-2</v>
      </c>
      <c r="E10" s="29">
        <v>-4.2368999999999997E-2</v>
      </c>
      <c r="F10" s="29">
        <v>-3.3272999999999997E-2</v>
      </c>
      <c r="G10" s="30">
        <v>8.0999999999999996E-4</v>
      </c>
      <c r="H10" s="12">
        <v>0.08</v>
      </c>
      <c r="I10" s="36">
        <v>-7.0000000000000007E-2</v>
      </c>
      <c r="J10" s="36">
        <v>-7.0000000000000007E-2</v>
      </c>
      <c r="K10" s="36">
        <v>0.09</v>
      </c>
      <c r="L10" s="36">
        <v>0.04</v>
      </c>
      <c r="M10" s="32">
        <v>0</v>
      </c>
    </row>
    <row r="11" spans="1:13" x14ac:dyDescent="0.25">
      <c r="A11" s="31" t="s">
        <v>34</v>
      </c>
      <c r="B11" s="29">
        <v>-0.43143999999999999</v>
      </c>
      <c r="C11" s="29">
        <v>-0.69687900000000003</v>
      </c>
      <c r="D11" s="29">
        <v>-0.82708599999999999</v>
      </c>
      <c r="E11" s="29">
        <v>-0.83151299999999995</v>
      </c>
      <c r="F11" s="29">
        <v>-0.49689</v>
      </c>
      <c r="G11" s="30">
        <v>-0.769876</v>
      </c>
      <c r="H11" s="12">
        <v>-0.36</v>
      </c>
      <c r="I11" s="36">
        <v>-0.7</v>
      </c>
      <c r="J11" s="36">
        <v>-0.87</v>
      </c>
      <c r="K11" s="36">
        <v>-1.0900000000000001</v>
      </c>
      <c r="L11" s="36">
        <v>-1.32</v>
      </c>
      <c r="M11" s="32">
        <v>-2.27</v>
      </c>
    </row>
    <row r="12" spans="1:13" x14ac:dyDescent="0.25">
      <c r="A12" s="31" t="s">
        <v>35</v>
      </c>
      <c r="B12" s="29">
        <v>-0.50055099999999997</v>
      </c>
      <c r="C12" s="29">
        <v>-0.80978399999999995</v>
      </c>
      <c r="D12" s="29">
        <v>-0.95838999999999996</v>
      </c>
      <c r="E12" s="29">
        <v>-0.95074000000000003</v>
      </c>
      <c r="F12" s="29">
        <v>-0.54939199999999999</v>
      </c>
      <c r="G12" s="30">
        <v>-0.88458599999999998</v>
      </c>
      <c r="H12" s="12">
        <v>-0.46</v>
      </c>
      <c r="I12" s="36">
        <v>-0.87</v>
      </c>
      <c r="J12" s="36">
        <v>-1.02</v>
      </c>
      <c r="K12" s="36">
        <v>-1.17</v>
      </c>
      <c r="L12" s="36">
        <v>-1.32</v>
      </c>
      <c r="M12" s="32">
        <v>-2.2400000000000002</v>
      </c>
    </row>
    <row r="13" spans="1:13" x14ac:dyDescent="0.25">
      <c r="A13" s="31" t="s">
        <v>36</v>
      </c>
      <c r="B13" s="29">
        <v>-0.58850000000000002</v>
      </c>
      <c r="C13" s="29">
        <v>-0.95125000000000004</v>
      </c>
      <c r="D13" s="29">
        <v>-1.1235980000000001</v>
      </c>
      <c r="E13" s="29">
        <v>-1.10812</v>
      </c>
      <c r="F13" s="29">
        <v>-0.63267700000000004</v>
      </c>
      <c r="G13" s="30">
        <v>-1.0322640000000001</v>
      </c>
      <c r="H13" s="12">
        <v>-0.49</v>
      </c>
      <c r="I13" s="36">
        <v>-0.89</v>
      </c>
      <c r="J13" s="36">
        <v>-1.06</v>
      </c>
      <c r="K13" s="36">
        <v>-1.32</v>
      </c>
      <c r="L13" s="36">
        <v>-1.62</v>
      </c>
      <c r="M13" s="32">
        <v>-2.77</v>
      </c>
    </row>
    <row r="14" spans="1:13" x14ac:dyDescent="0.25">
      <c r="A14" s="31" t="s">
        <v>37</v>
      </c>
      <c r="B14" s="29">
        <v>-0.41324</v>
      </c>
      <c r="C14" s="29">
        <v>-0.66932199999999997</v>
      </c>
      <c r="D14" s="29">
        <v>-0.794377</v>
      </c>
      <c r="E14" s="29">
        <v>-0.79456199999999999</v>
      </c>
      <c r="F14" s="29">
        <v>-0.46675100000000003</v>
      </c>
      <c r="G14" s="30">
        <v>-0.73805100000000001</v>
      </c>
      <c r="H14" s="12">
        <v>-0.51</v>
      </c>
      <c r="I14" s="36">
        <v>-0.95</v>
      </c>
      <c r="J14" s="36">
        <v>-1.0900000000000001</v>
      </c>
      <c r="K14" s="36">
        <v>-1.26</v>
      </c>
      <c r="L14" s="36">
        <v>-1.44</v>
      </c>
      <c r="M14" s="32">
        <v>-2.2999999999999998</v>
      </c>
    </row>
    <row r="15" spans="1:13" x14ac:dyDescent="0.25">
      <c r="A15" s="31" t="s">
        <v>38</v>
      </c>
      <c r="B15" s="29">
        <v>-0.40181600000000001</v>
      </c>
      <c r="C15" s="29">
        <v>-0.67593800000000004</v>
      </c>
      <c r="D15" s="29">
        <v>-0.81917200000000001</v>
      </c>
      <c r="E15" s="29">
        <v>-0.82752099999999995</v>
      </c>
      <c r="F15" s="29">
        <v>-0.46151700000000001</v>
      </c>
      <c r="G15" s="30">
        <v>-0.75773999999999997</v>
      </c>
      <c r="H15" s="12">
        <v>-0.28000000000000003</v>
      </c>
      <c r="I15" s="36">
        <v>-0.65</v>
      </c>
      <c r="J15" s="36">
        <v>-0.82</v>
      </c>
      <c r="K15" s="36">
        <v>-1.02</v>
      </c>
      <c r="L15" s="36">
        <v>-1.25</v>
      </c>
      <c r="M15" s="32">
        <v>-1.89</v>
      </c>
    </row>
    <row r="16" spans="1:13" x14ac:dyDescent="0.25">
      <c r="A16" s="31" t="s">
        <v>39</v>
      </c>
      <c r="B16" s="29">
        <v>-9.8000000000000004E-8</v>
      </c>
      <c r="C16" s="29">
        <v>-1.92E-7</v>
      </c>
      <c r="D16" s="29">
        <v>-2.8299999999999998E-7</v>
      </c>
      <c r="E16" s="29">
        <v>-5.4300000000000003E-7</v>
      </c>
      <c r="F16" s="29">
        <v>-8.1999999999999998E-7</v>
      </c>
      <c r="G16" s="30">
        <v>-7.9999999999999996E-7</v>
      </c>
      <c r="H16" s="12">
        <v>-0.3</v>
      </c>
      <c r="I16" s="36">
        <v>-0.6</v>
      </c>
      <c r="J16" s="36">
        <v>-0.79</v>
      </c>
      <c r="K16" s="36">
        <v>-1</v>
      </c>
      <c r="L16" s="36">
        <v>-1.18</v>
      </c>
      <c r="M16" s="32">
        <v>-1.76</v>
      </c>
    </row>
    <row r="17" spans="1:13" x14ac:dyDescent="0.25">
      <c r="A17" s="31" t="s">
        <v>40</v>
      </c>
      <c r="B17" s="29">
        <v>7.2067000000000006E-2</v>
      </c>
      <c r="C17" s="29">
        <v>0.11271100000000001</v>
      </c>
      <c r="D17" s="29">
        <v>0.145678</v>
      </c>
      <c r="E17" s="29">
        <v>0.26488899999999999</v>
      </c>
      <c r="F17" s="29">
        <v>0.63168400000000002</v>
      </c>
      <c r="G17" s="30">
        <v>0.24224100000000001</v>
      </c>
      <c r="H17" s="12">
        <v>-0.14000000000000001</v>
      </c>
      <c r="I17" s="36">
        <v>-0.48</v>
      </c>
      <c r="J17" s="36">
        <v>-0.59</v>
      </c>
      <c r="K17" s="36">
        <v>-0.28000000000000003</v>
      </c>
      <c r="L17" s="36">
        <v>0.23</v>
      </c>
      <c r="M17" s="32">
        <v>-0.25</v>
      </c>
    </row>
    <row r="18" spans="1:13" x14ac:dyDescent="0.25">
      <c r="A18" s="31" t="s">
        <v>16</v>
      </c>
      <c r="B18" s="29">
        <v>-0.84653400000000001</v>
      </c>
      <c r="C18" s="29">
        <v>-0.44298300000000002</v>
      </c>
      <c r="D18" s="29">
        <v>-0.23660700000000001</v>
      </c>
      <c r="E18" s="29">
        <v>-0.13348399999999999</v>
      </c>
      <c r="F18" s="29">
        <v>-0.247726</v>
      </c>
      <c r="G18" s="30">
        <v>-0.23257</v>
      </c>
      <c r="H18" s="12">
        <v>-2.39</v>
      </c>
      <c r="I18" s="36">
        <v>-2.34</v>
      </c>
      <c r="J18" s="36">
        <v>-2.2799999999999998</v>
      </c>
      <c r="K18" s="36">
        <v>-1.71</v>
      </c>
      <c r="L18" s="36">
        <v>-0.9</v>
      </c>
      <c r="M18" s="32">
        <v>-0.21</v>
      </c>
    </row>
    <row r="19" spans="1:13" x14ac:dyDescent="0.25">
      <c r="A19" s="31" t="s">
        <v>41</v>
      </c>
      <c r="B19" s="29">
        <v>33.330039999999997</v>
      </c>
      <c r="C19" s="29">
        <v>88.892870000000002</v>
      </c>
      <c r="D19" s="29">
        <v>149.8886</v>
      </c>
      <c r="E19" s="29">
        <v>244.41390000000001</v>
      </c>
      <c r="F19" s="29">
        <v>271.27870000000001</v>
      </c>
      <c r="G19" s="30">
        <v>241.12700000000001</v>
      </c>
      <c r="H19" s="12">
        <v>83</v>
      </c>
      <c r="I19" s="36">
        <v>210</v>
      </c>
      <c r="J19" s="36">
        <v>290</v>
      </c>
      <c r="K19" s="36">
        <v>316</v>
      </c>
      <c r="L19" s="36">
        <v>318</v>
      </c>
      <c r="M19" s="32">
        <v>362</v>
      </c>
    </row>
    <row r="20" spans="1:13" x14ac:dyDescent="0.25">
      <c r="A20" s="31" t="s">
        <v>42</v>
      </c>
      <c r="B20" s="29">
        <v>-9.9544999999999995E-2</v>
      </c>
      <c r="C20" s="29">
        <v>-0.25649</v>
      </c>
      <c r="D20" s="29">
        <v>-0.41968100000000003</v>
      </c>
      <c r="E20" s="29">
        <v>-0.651559</v>
      </c>
      <c r="F20" s="29">
        <v>-0.67338600000000004</v>
      </c>
      <c r="G20" s="30">
        <v>-0.55982799999999999</v>
      </c>
      <c r="H20" s="12">
        <v>-0.35</v>
      </c>
      <c r="I20" s="36">
        <v>-0.87</v>
      </c>
      <c r="J20" s="36">
        <v>-1.21</v>
      </c>
      <c r="K20" s="36">
        <v>-1.32</v>
      </c>
      <c r="L20" s="36">
        <v>-1.33</v>
      </c>
      <c r="M20" s="32">
        <v>-1.51</v>
      </c>
    </row>
    <row r="21" spans="1:13" x14ac:dyDescent="0.25">
      <c r="A21" s="31" t="s">
        <v>43</v>
      </c>
      <c r="B21" s="29">
        <v>-0.12042</v>
      </c>
      <c r="C21" s="29">
        <v>-0.20660999999999999</v>
      </c>
      <c r="D21" s="29">
        <v>-0.25208599999999998</v>
      </c>
      <c r="E21" s="29">
        <v>-0.257548</v>
      </c>
      <c r="F21" s="29">
        <v>-0.17876400000000001</v>
      </c>
      <c r="G21" s="30">
        <v>-0.1787</v>
      </c>
      <c r="H21" s="12">
        <v>-0.04</v>
      </c>
      <c r="I21" s="36">
        <v>-0.1</v>
      </c>
      <c r="J21" s="36">
        <v>-0.08</v>
      </c>
      <c r="K21" s="36">
        <v>0</v>
      </c>
      <c r="L21" s="36">
        <v>0.03</v>
      </c>
      <c r="M21" s="32">
        <v>0.14000000000000001</v>
      </c>
    </row>
    <row r="22" spans="1:13" x14ac:dyDescent="0.25">
      <c r="A22" s="31" t="s">
        <v>44</v>
      </c>
      <c r="B22" s="29">
        <v>-0.64306200000000002</v>
      </c>
      <c r="C22" s="29">
        <v>-0.402142</v>
      </c>
      <c r="D22" s="29">
        <v>-0.252108</v>
      </c>
      <c r="E22" s="29">
        <v>-0.12775600000000001</v>
      </c>
      <c r="F22" s="29">
        <v>-0.18055399999999999</v>
      </c>
      <c r="G22" s="30">
        <v>-0.27131699999999997</v>
      </c>
      <c r="H22" s="12">
        <v>-0.72</v>
      </c>
      <c r="I22" s="36">
        <v>-0.42</v>
      </c>
      <c r="J22" s="36">
        <v>-0.27</v>
      </c>
      <c r="K22" s="36">
        <v>-0.24</v>
      </c>
      <c r="L22" s="36">
        <v>-0.17</v>
      </c>
      <c r="M22" s="32">
        <v>0.03</v>
      </c>
    </row>
    <row r="23" spans="1:13" x14ac:dyDescent="0.25">
      <c r="A23" s="27"/>
      <c r="B23" s="27"/>
      <c r="C23" s="27"/>
      <c r="D23" s="27"/>
      <c r="E23" s="27"/>
      <c r="F23" s="27"/>
      <c r="G23" s="27"/>
    </row>
    <row r="24" spans="1:13" x14ac:dyDescent="0.25">
      <c r="A24" s="26"/>
      <c r="B24" s="26"/>
      <c r="C24" s="26"/>
      <c r="D24" s="26"/>
      <c r="E24" s="26"/>
      <c r="F24" s="26"/>
      <c r="G24" s="26"/>
    </row>
    <row r="26" spans="1:13" ht="30" x14ac:dyDescent="0.25">
      <c r="A26" s="33" t="s">
        <v>81</v>
      </c>
      <c r="B26" s="52" t="s">
        <v>88</v>
      </c>
      <c r="C26" s="52"/>
      <c r="D26" s="52"/>
      <c r="E26" s="52"/>
      <c r="F26" s="52"/>
      <c r="G26" s="52"/>
      <c r="H26" s="52"/>
      <c r="I26" s="52"/>
      <c r="J26" s="52"/>
      <c r="K26" s="52"/>
      <c r="L26" s="52"/>
      <c r="M26" s="52"/>
    </row>
    <row r="27" spans="1:13" x14ac:dyDescent="0.25">
      <c r="A27" s="28"/>
      <c r="B27" s="47" t="s">
        <v>45</v>
      </c>
      <c r="C27" s="47"/>
      <c r="D27" s="47"/>
      <c r="E27" s="47"/>
      <c r="F27" s="47"/>
      <c r="G27" s="48"/>
      <c r="H27" s="49" t="s">
        <v>46</v>
      </c>
      <c r="I27" s="50"/>
      <c r="J27" s="50"/>
      <c r="K27" s="50"/>
      <c r="L27" s="50"/>
      <c r="M27" s="51"/>
    </row>
    <row r="28" spans="1:13" x14ac:dyDescent="0.25">
      <c r="A28" s="22"/>
      <c r="B28" s="9" t="s">
        <v>59</v>
      </c>
      <c r="C28" s="9" t="s">
        <v>60</v>
      </c>
      <c r="D28" s="9" t="s">
        <v>61</v>
      </c>
      <c r="E28" s="9" t="s">
        <v>62</v>
      </c>
      <c r="F28" s="9" t="s">
        <v>63</v>
      </c>
      <c r="G28" s="11" t="s">
        <v>90</v>
      </c>
      <c r="H28" s="24" t="s">
        <v>59</v>
      </c>
      <c r="I28" s="10" t="s">
        <v>60</v>
      </c>
      <c r="J28" s="10" t="s">
        <v>65</v>
      </c>
      <c r="K28" s="10" t="s">
        <v>62</v>
      </c>
      <c r="L28" s="10" t="s">
        <v>63</v>
      </c>
      <c r="M28" s="25" t="s">
        <v>64</v>
      </c>
    </row>
    <row r="29" spans="1:13" x14ac:dyDescent="0.25">
      <c r="A29" s="31" t="s">
        <v>89</v>
      </c>
      <c r="B29" s="29">
        <f t="array" ref="B29:G47">TRANSPOSE(RSSC1!$B$3:$T$8)</f>
        <v>0.223744</v>
      </c>
      <c r="C29" s="29">
        <v>0.476516</v>
      </c>
      <c r="D29" s="29">
        <v>0.67999799999999999</v>
      </c>
      <c r="E29" s="29">
        <v>0.893876</v>
      </c>
      <c r="F29" s="29">
        <v>0.84974799999999995</v>
      </c>
      <c r="G29" s="30">
        <v>0.74866999999999995</v>
      </c>
      <c r="H29" s="12">
        <v>0.2</v>
      </c>
      <c r="I29" s="36">
        <v>0.55000000000000004</v>
      </c>
      <c r="J29" s="36">
        <v>0.76</v>
      </c>
      <c r="K29" s="36">
        <v>0.97</v>
      </c>
      <c r="L29" s="36">
        <v>1.29</v>
      </c>
      <c r="M29" s="32">
        <v>1.73</v>
      </c>
    </row>
    <row r="30" spans="1:13" x14ac:dyDescent="0.25">
      <c r="A30" s="31" t="s">
        <v>56</v>
      </c>
      <c r="B30" s="29">
        <v>0.380909</v>
      </c>
      <c r="C30" s="29">
        <v>0.78455799999999998</v>
      </c>
      <c r="D30" s="29">
        <v>1.0924069999999999</v>
      </c>
      <c r="E30" s="29">
        <v>1.4004319999999999</v>
      </c>
      <c r="F30" s="29">
        <v>1.382296</v>
      </c>
      <c r="G30" s="30">
        <v>1.185575</v>
      </c>
      <c r="H30" s="12">
        <v>0.3</v>
      </c>
      <c r="I30" s="36">
        <v>0.73</v>
      </c>
      <c r="J30" s="36">
        <v>0.92</v>
      </c>
      <c r="K30" s="36">
        <v>1.21</v>
      </c>
      <c r="L30" s="36">
        <v>1.82</v>
      </c>
      <c r="M30" s="32">
        <v>2.33</v>
      </c>
    </row>
    <row r="31" spans="1:13" x14ac:dyDescent="0.25">
      <c r="A31" s="31" t="s">
        <v>53</v>
      </c>
      <c r="B31" s="29">
        <v>9.0466000000000005E-2</v>
      </c>
      <c r="C31" s="29">
        <v>0.271621</v>
      </c>
      <c r="D31" s="29">
        <v>0.45607199999999998</v>
      </c>
      <c r="E31" s="29">
        <v>0.680064</v>
      </c>
      <c r="F31" s="29">
        <v>0.60643800000000003</v>
      </c>
      <c r="G31" s="30">
        <v>0.24390700000000001</v>
      </c>
      <c r="H31" s="12">
        <v>0.28000000000000003</v>
      </c>
      <c r="I31" s="36">
        <v>0.98</v>
      </c>
      <c r="J31" s="36">
        <v>1.38</v>
      </c>
      <c r="K31" s="36">
        <v>1.5</v>
      </c>
      <c r="L31" s="36">
        <v>1.63</v>
      </c>
      <c r="M31" s="32">
        <v>1.91</v>
      </c>
    </row>
    <row r="32" spans="1:13" x14ac:dyDescent="0.25">
      <c r="A32" s="31" t="s">
        <v>54</v>
      </c>
      <c r="B32" s="29">
        <v>9.6683000000000005E-2</v>
      </c>
      <c r="C32" s="29">
        <v>0.23069999999999999</v>
      </c>
      <c r="D32" s="29">
        <v>0.359375</v>
      </c>
      <c r="E32" s="29">
        <v>0.52142900000000003</v>
      </c>
      <c r="F32" s="29">
        <v>0.455036</v>
      </c>
      <c r="G32" s="30">
        <v>0.59369499999999997</v>
      </c>
      <c r="H32" s="12">
        <v>0.18</v>
      </c>
      <c r="I32" s="36">
        <v>0.47</v>
      </c>
      <c r="J32" s="36">
        <v>0.67</v>
      </c>
      <c r="K32" s="36">
        <v>0.96</v>
      </c>
      <c r="L32" s="36">
        <v>1.25</v>
      </c>
      <c r="M32" s="32">
        <v>1.86</v>
      </c>
    </row>
    <row r="33" spans="1:13" x14ac:dyDescent="0.25">
      <c r="A33" s="31" t="s">
        <v>55</v>
      </c>
      <c r="B33" s="29">
        <v>0.15101899999999999</v>
      </c>
      <c r="C33" s="29">
        <v>0.342225</v>
      </c>
      <c r="D33" s="29">
        <v>0.50499899999999998</v>
      </c>
      <c r="E33" s="29">
        <v>0.68758399999999997</v>
      </c>
      <c r="F33" s="29">
        <v>0.70189800000000002</v>
      </c>
      <c r="G33" s="30">
        <v>0.50702800000000003</v>
      </c>
      <c r="H33" s="12">
        <v>0.32</v>
      </c>
      <c r="I33" s="36">
        <v>0.72</v>
      </c>
      <c r="J33" s="36">
        <v>0.86</v>
      </c>
      <c r="K33" s="36">
        <v>0.94</v>
      </c>
      <c r="L33" s="36">
        <v>1.1000000000000001</v>
      </c>
      <c r="M33" s="32">
        <v>1.25</v>
      </c>
    </row>
    <row r="34" spans="1:13" x14ac:dyDescent="0.25">
      <c r="A34" s="31" t="s">
        <v>57</v>
      </c>
      <c r="B34" s="29">
        <v>0.56062999999999996</v>
      </c>
      <c r="C34" s="29">
        <v>0.92721900000000002</v>
      </c>
      <c r="D34" s="29">
        <v>1.1517550000000001</v>
      </c>
      <c r="E34" s="29">
        <v>1.3525180000000001</v>
      </c>
      <c r="F34" s="29">
        <v>1.3446709999999999</v>
      </c>
      <c r="G34" s="30">
        <v>1.18649</v>
      </c>
      <c r="H34" s="12">
        <v>0.4</v>
      </c>
      <c r="I34" s="36">
        <v>0.65</v>
      </c>
      <c r="J34" s="36">
        <v>0.85</v>
      </c>
      <c r="K34" s="36">
        <v>1.32</v>
      </c>
      <c r="L34" s="36">
        <v>1.87</v>
      </c>
      <c r="M34" s="32">
        <v>2.33</v>
      </c>
    </row>
    <row r="35" spans="1:13" x14ac:dyDescent="0.25">
      <c r="A35" s="31" t="s">
        <v>58</v>
      </c>
      <c r="B35" s="29">
        <v>0.16017200000000001</v>
      </c>
      <c r="C35" s="29">
        <v>0.12668199999999999</v>
      </c>
      <c r="D35" s="29">
        <v>5.2582999999999998E-2</v>
      </c>
      <c r="E35" s="29">
        <v>-4.2368999999999997E-2</v>
      </c>
      <c r="F35" s="29">
        <v>-3.3272999999999997E-2</v>
      </c>
      <c r="G35" s="30">
        <v>8.0999999999999996E-4</v>
      </c>
      <c r="H35" s="12">
        <v>0.08</v>
      </c>
      <c r="I35" s="36">
        <v>-7.0000000000000007E-2</v>
      </c>
      <c r="J35" s="36">
        <v>-7.0000000000000007E-2</v>
      </c>
      <c r="K35" s="36">
        <v>0.09</v>
      </c>
      <c r="L35" s="36">
        <v>0.04</v>
      </c>
      <c r="M35" s="32">
        <v>0</v>
      </c>
    </row>
    <row r="36" spans="1:13" x14ac:dyDescent="0.25">
      <c r="A36" s="31" t="s">
        <v>69</v>
      </c>
      <c r="B36" s="29">
        <v>-0.43143999999999999</v>
      </c>
      <c r="C36" s="29">
        <v>-0.69687900000000003</v>
      </c>
      <c r="D36" s="29">
        <v>-0.82708599999999999</v>
      </c>
      <c r="E36" s="29">
        <v>-0.83151299999999995</v>
      </c>
      <c r="F36" s="29">
        <v>-0.49689</v>
      </c>
      <c r="G36" s="30">
        <v>-0.769876</v>
      </c>
      <c r="H36" s="12">
        <v>-0.36</v>
      </c>
      <c r="I36" s="36">
        <v>-0.7</v>
      </c>
      <c r="J36" s="36">
        <v>-0.87</v>
      </c>
      <c r="K36" s="36">
        <v>-1.0900000000000001</v>
      </c>
      <c r="L36" s="36">
        <v>-1.32</v>
      </c>
      <c r="M36" s="32">
        <v>-2.27</v>
      </c>
    </row>
    <row r="37" spans="1:13" x14ac:dyDescent="0.25">
      <c r="A37" s="31" t="s">
        <v>70</v>
      </c>
      <c r="B37" s="29">
        <v>-0.50055099999999997</v>
      </c>
      <c r="C37" s="29">
        <v>-0.80978399999999995</v>
      </c>
      <c r="D37" s="29">
        <v>-0.95838999999999996</v>
      </c>
      <c r="E37" s="29">
        <v>-0.95074000000000003</v>
      </c>
      <c r="F37" s="29">
        <v>-0.54939199999999999</v>
      </c>
      <c r="G37" s="30">
        <v>-0.88458599999999998</v>
      </c>
      <c r="H37" s="12">
        <v>-0.46</v>
      </c>
      <c r="I37" s="36">
        <v>-0.87</v>
      </c>
      <c r="J37" s="36">
        <v>-1.02</v>
      </c>
      <c r="K37" s="36">
        <v>-1.17</v>
      </c>
      <c r="L37" s="36">
        <v>-1.32</v>
      </c>
      <c r="M37" s="32">
        <v>-2.2400000000000002</v>
      </c>
    </row>
    <row r="38" spans="1:13" x14ac:dyDescent="0.25">
      <c r="A38" s="31" t="s">
        <v>71</v>
      </c>
      <c r="B38" s="29">
        <v>-0.58850000000000002</v>
      </c>
      <c r="C38" s="29">
        <v>-0.95125000000000004</v>
      </c>
      <c r="D38" s="29">
        <v>-1.1235980000000001</v>
      </c>
      <c r="E38" s="29">
        <v>-1.10812</v>
      </c>
      <c r="F38" s="29">
        <v>-0.63267700000000004</v>
      </c>
      <c r="G38" s="30">
        <v>-1.0322640000000001</v>
      </c>
      <c r="H38" s="12">
        <v>-0.49</v>
      </c>
      <c r="I38" s="36">
        <v>-0.89</v>
      </c>
      <c r="J38" s="36">
        <v>-1.06</v>
      </c>
      <c r="K38" s="36">
        <v>-1.32</v>
      </c>
      <c r="L38" s="36">
        <v>-1.62</v>
      </c>
      <c r="M38" s="32">
        <v>-2.77</v>
      </c>
    </row>
    <row r="39" spans="1:13" x14ac:dyDescent="0.25">
      <c r="A39" s="31" t="s">
        <v>75</v>
      </c>
      <c r="B39" s="29">
        <v>-0.41324</v>
      </c>
      <c r="C39" s="29">
        <v>-0.66932199999999997</v>
      </c>
      <c r="D39" s="29">
        <v>-0.794377</v>
      </c>
      <c r="E39" s="29">
        <v>-0.79456199999999999</v>
      </c>
      <c r="F39" s="29">
        <v>-0.46675100000000003</v>
      </c>
      <c r="G39" s="30">
        <v>-0.73805100000000001</v>
      </c>
      <c r="H39" s="12">
        <v>-0.51</v>
      </c>
      <c r="I39" s="36">
        <v>-0.95</v>
      </c>
      <c r="J39" s="36">
        <v>-1.0900000000000001</v>
      </c>
      <c r="K39" s="36">
        <v>-1.26</v>
      </c>
      <c r="L39" s="36">
        <v>-1.44</v>
      </c>
      <c r="M39" s="32">
        <v>-2.2999999999999998</v>
      </c>
    </row>
    <row r="40" spans="1:13" x14ac:dyDescent="0.25">
      <c r="A40" s="31" t="s">
        <v>67</v>
      </c>
      <c r="B40" s="29">
        <v>-0.40181600000000001</v>
      </c>
      <c r="C40" s="29">
        <v>-0.67593800000000004</v>
      </c>
      <c r="D40" s="29">
        <v>-0.81917200000000001</v>
      </c>
      <c r="E40" s="29">
        <v>-0.82752099999999995</v>
      </c>
      <c r="F40" s="29">
        <v>-0.46151700000000001</v>
      </c>
      <c r="G40" s="30">
        <v>-0.75773999999999997</v>
      </c>
      <c r="H40" s="12">
        <v>-0.28000000000000003</v>
      </c>
      <c r="I40" s="36">
        <v>-0.65</v>
      </c>
      <c r="J40" s="36">
        <v>-0.82</v>
      </c>
      <c r="K40" s="36">
        <v>-1.02</v>
      </c>
      <c r="L40" s="36">
        <v>-1.25</v>
      </c>
      <c r="M40" s="32">
        <v>-1.89</v>
      </c>
    </row>
    <row r="41" spans="1:13" x14ac:dyDescent="0.25">
      <c r="A41" s="31" t="s">
        <v>68</v>
      </c>
      <c r="B41" s="29">
        <v>-9.8000000000000004E-8</v>
      </c>
      <c r="C41" s="29">
        <v>-1.92E-7</v>
      </c>
      <c r="D41" s="29">
        <v>-2.8299999999999998E-7</v>
      </c>
      <c r="E41" s="29">
        <v>-5.4300000000000003E-7</v>
      </c>
      <c r="F41" s="29">
        <v>-8.1999999999999998E-7</v>
      </c>
      <c r="G41" s="30">
        <v>-7.9999999999999996E-7</v>
      </c>
      <c r="H41" s="12">
        <v>-0.3</v>
      </c>
      <c r="I41" s="36">
        <v>-0.6</v>
      </c>
      <c r="J41" s="36">
        <v>-0.79</v>
      </c>
      <c r="K41" s="36">
        <v>-1</v>
      </c>
      <c r="L41" s="36">
        <v>-1.18</v>
      </c>
      <c r="M41" s="32">
        <v>-1.76</v>
      </c>
    </row>
    <row r="42" spans="1:13" x14ac:dyDescent="0.25">
      <c r="A42" s="31" t="s">
        <v>72</v>
      </c>
      <c r="B42" s="29">
        <v>7.2067000000000006E-2</v>
      </c>
      <c r="C42" s="29">
        <v>0.11271100000000001</v>
      </c>
      <c r="D42" s="29">
        <v>0.145678</v>
      </c>
      <c r="E42" s="29">
        <v>0.26488899999999999</v>
      </c>
      <c r="F42" s="29">
        <v>0.63168400000000002</v>
      </c>
      <c r="G42" s="30">
        <v>0.24224100000000001</v>
      </c>
      <c r="H42" s="12">
        <v>-0.14000000000000001</v>
      </c>
      <c r="I42" s="36">
        <v>-0.48</v>
      </c>
      <c r="J42" s="36">
        <v>-0.59</v>
      </c>
      <c r="K42" s="36">
        <v>-0.28000000000000003</v>
      </c>
      <c r="L42" s="36">
        <v>0.23</v>
      </c>
      <c r="M42" s="32">
        <v>-0.25</v>
      </c>
    </row>
    <row r="43" spans="1:13" x14ac:dyDescent="0.25">
      <c r="A43" s="31" t="s">
        <v>73</v>
      </c>
      <c r="B43" s="29">
        <v>-0.84653400000000001</v>
      </c>
      <c r="C43" s="29">
        <v>-0.44298300000000002</v>
      </c>
      <c r="D43" s="29">
        <v>-0.23660700000000001</v>
      </c>
      <c r="E43" s="29">
        <v>-0.13348399999999999</v>
      </c>
      <c r="F43" s="29">
        <v>-0.247726</v>
      </c>
      <c r="G43" s="30">
        <v>-0.23257</v>
      </c>
      <c r="H43" s="12">
        <v>-2.39</v>
      </c>
      <c r="I43" s="36">
        <v>-2.34</v>
      </c>
      <c r="J43" s="36">
        <v>-2.2799999999999998</v>
      </c>
      <c r="K43" s="36">
        <v>-1.71</v>
      </c>
      <c r="L43" s="36">
        <v>-0.9</v>
      </c>
      <c r="M43" s="32">
        <v>-0.21</v>
      </c>
    </row>
    <row r="44" spans="1:13" x14ac:dyDescent="0.25">
      <c r="A44" s="31" t="s">
        <v>76</v>
      </c>
      <c r="B44" s="29">
        <v>33.330039999999997</v>
      </c>
      <c r="C44" s="29">
        <v>88.892870000000002</v>
      </c>
      <c r="D44" s="29">
        <v>149.8886</v>
      </c>
      <c r="E44" s="29">
        <v>244.41390000000001</v>
      </c>
      <c r="F44" s="29">
        <v>271.27870000000001</v>
      </c>
      <c r="G44" s="30">
        <v>241.12700000000001</v>
      </c>
      <c r="H44" s="12">
        <v>83</v>
      </c>
      <c r="I44" s="36">
        <v>210</v>
      </c>
      <c r="J44" s="36">
        <v>290</v>
      </c>
      <c r="K44" s="36">
        <v>316</v>
      </c>
      <c r="L44" s="36">
        <v>318</v>
      </c>
      <c r="M44" s="32">
        <v>362</v>
      </c>
    </row>
    <row r="45" spans="1:13" x14ac:dyDescent="0.25">
      <c r="A45" s="31" t="s">
        <v>74</v>
      </c>
      <c r="B45" s="29">
        <v>-9.9544999999999995E-2</v>
      </c>
      <c r="C45" s="29">
        <v>-0.25649</v>
      </c>
      <c r="D45" s="29">
        <v>-0.41968100000000003</v>
      </c>
      <c r="E45" s="29">
        <v>-0.651559</v>
      </c>
      <c r="F45" s="29">
        <v>-0.67338600000000004</v>
      </c>
      <c r="G45" s="30">
        <v>-0.55982799999999999</v>
      </c>
      <c r="H45" s="12">
        <v>-0.35</v>
      </c>
      <c r="I45" s="36">
        <v>-0.87</v>
      </c>
      <c r="J45" s="36">
        <v>-1.21</v>
      </c>
      <c r="K45" s="36">
        <v>-1.32</v>
      </c>
      <c r="L45" s="36">
        <v>-1.33</v>
      </c>
      <c r="M45" s="32">
        <v>-1.51</v>
      </c>
    </row>
    <row r="46" spans="1:13" x14ac:dyDescent="0.25">
      <c r="A46" s="31" t="s">
        <v>77</v>
      </c>
      <c r="B46" s="29">
        <v>-0.12042</v>
      </c>
      <c r="C46" s="29">
        <v>-0.20660999999999999</v>
      </c>
      <c r="D46" s="29">
        <v>-0.25208599999999998</v>
      </c>
      <c r="E46" s="29">
        <v>-0.257548</v>
      </c>
      <c r="F46" s="29">
        <v>-0.17876400000000001</v>
      </c>
      <c r="G46" s="30">
        <v>-0.1787</v>
      </c>
      <c r="H46" s="12">
        <v>-0.04</v>
      </c>
      <c r="I46" s="36">
        <v>-0.1</v>
      </c>
      <c r="J46" s="36">
        <v>-0.08</v>
      </c>
      <c r="K46" s="36">
        <v>0</v>
      </c>
      <c r="L46" s="36">
        <v>0.03</v>
      </c>
      <c r="M46" s="32">
        <v>0.14000000000000001</v>
      </c>
    </row>
    <row r="47" spans="1:13" x14ac:dyDescent="0.25">
      <c r="A47" s="45" t="s">
        <v>78</v>
      </c>
      <c r="B47" s="29">
        <v>-0.64306200000000002</v>
      </c>
      <c r="C47" s="29">
        <v>-0.402142</v>
      </c>
      <c r="D47" s="29">
        <v>-0.252108</v>
      </c>
      <c r="E47" s="29">
        <v>-0.12775600000000001</v>
      </c>
      <c r="F47" s="29">
        <v>-0.18055399999999999</v>
      </c>
      <c r="G47" s="30">
        <v>-0.27131699999999997</v>
      </c>
      <c r="H47" s="12">
        <v>-0.72</v>
      </c>
      <c r="I47" s="36">
        <v>-0.42</v>
      </c>
      <c r="J47" s="36">
        <v>-0.27</v>
      </c>
      <c r="K47" s="36">
        <v>-0.24</v>
      </c>
      <c r="L47" s="36">
        <v>-0.17</v>
      </c>
      <c r="M47" s="32">
        <v>0.03</v>
      </c>
    </row>
    <row r="50" spans="1:1" x14ac:dyDescent="0.25">
      <c r="A50" t="str">
        <f>"0.00"</f>
        <v>0.00</v>
      </c>
    </row>
    <row r="51" spans="1:1" x14ac:dyDescent="0.25">
      <c r="A51" t="str">
        <f t="shared" ref="A51:A69" si="0">"\textbf{"&amp;A29&amp;"} &amp; "&amp;TEXT(B29,formatResults)&amp;" &amp; "&amp;TEXT(C29,formatResults)&amp;" &amp; "&amp;TEXT(D29,formatResults)&amp;" &amp; "&amp;TEXT(E29,formatResults)&amp;" &amp; "&amp;TEXT(F29,formatResults)&amp;" &amp; "&amp;TEXT(G29,formatResults)&amp;" \\"</f>
        <v>\textbf{GDP in volume} &amp; 0.22 &amp; 0.48 &amp; 0.68 &amp; 0.89 &amp; 0.85 &amp; 0.75 \\</v>
      </c>
    </row>
    <row r="52" spans="1:1" x14ac:dyDescent="0.25">
      <c r="A52" t="str">
        <f t="shared" si="0"/>
        <v>\textbf{Household consumption} &amp; 0.38 &amp; 0.78 &amp; 1.09 &amp; 1.40 &amp; 1.38 &amp; 1.19 \\</v>
      </c>
    </row>
    <row r="53" spans="1:1" x14ac:dyDescent="0.25">
      <c r="A53" t="str">
        <f t="shared" si="0"/>
        <v>\textbf{Investment} &amp; 0.09 &amp; 0.27 &amp; 0.46 &amp; 0.68 &amp; 0.61 &amp; 0.24 \\</v>
      </c>
    </row>
    <row r="54" spans="1:1" x14ac:dyDescent="0.25">
      <c r="A54" t="str">
        <f t="shared" si="0"/>
        <v>\textbf{Exports} &amp; 0.10 &amp; 0.23 &amp; 0.36 &amp; 0.52 &amp; 0.46 &amp; 0.59 \\</v>
      </c>
    </row>
    <row r="55" spans="1:1" x14ac:dyDescent="0.25">
      <c r="A55" t="str">
        <f t="shared" si="0"/>
        <v>\textbf{Imports} &amp; 0.15 &amp; 0.34 &amp; 0.50 &amp; 0.69 &amp; 0.70 &amp; 0.51 \\</v>
      </c>
    </row>
    <row r="56" spans="1:1" x14ac:dyDescent="0.25">
      <c r="A56" t="str">
        <f t="shared" si="0"/>
        <v>\textbf{Household disposable income } &amp; 0.56 &amp; 0.93 &amp; 1.15 &amp; 1.35 &amp; 1.34 &amp; 1.19 \\</v>
      </c>
    </row>
    <row r="57" spans="1:1" x14ac:dyDescent="0.25">
      <c r="A57" t="str">
        <f t="shared" si="0"/>
        <v>\textbf{Saving rate} &amp; 0.16 &amp; 0.13 &amp; 0.05 &amp; -0.04 &amp; -0.03 &amp; 0.00 \\</v>
      </c>
    </row>
    <row r="58" spans="1:1" x14ac:dyDescent="0.25">
      <c r="A58" t="str">
        <f t="shared" si="0"/>
        <v>\textbf{Household consumption price index} &amp; -0.43 &amp; -0.70 &amp; -0.83 &amp; -0.83 &amp; -0.50 &amp; -0.77 \\</v>
      </c>
    </row>
    <row r="59" spans="1:1" x14ac:dyDescent="0.25">
      <c r="A59" t="str">
        <f t="shared" si="0"/>
        <v>\textbf{Production price index} &amp; -0.50 &amp; -0.81 &amp; -0.96 &amp; -0.95 &amp; -0.55 &amp; -0.88 \\</v>
      </c>
    </row>
    <row r="60" spans="1:1" x14ac:dyDescent="0.25">
      <c r="A60" t="str">
        <f t="shared" si="0"/>
        <v>\textbf{Added value price index} &amp; -0.59 &amp; -0.95 &amp; -1.12 &amp; -1.11 &amp; -0.63 &amp; -1.03 \\</v>
      </c>
    </row>
    <row r="61" spans="1:1" x14ac:dyDescent="0.25">
      <c r="A61" t="str">
        <f t="shared" si="0"/>
        <v>\textbf{Intermediate consumption price index} &amp; -0.41 &amp; -0.67 &amp; -0.79 &amp; -0.79 &amp; -0.47 &amp; -0.74 \\</v>
      </c>
    </row>
    <row r="62" spans="1:1" x14ac:dyDescent="0.25">
      <c r="A62" t="str">
        <f t="shared" si="0"/>
        <v>\textbf{Export price index} &amp; -0.40 &amp; -0.68 &amp; -0.82 &amp; -0.83 &amp; -0.46 &amp; -0.76 \\</v>
      </c>
    </row>
    <row r="63" spans="1:1" x14ac:dyDescent="0.25">
      <c r="A63" t="str">
        <f t="shared" si="0"/>
        <v>\textbf{Import price index} &amp; 0.00 &amp; 0.00 &amp; 0.00 &amp; 0.00 &amp; 0.00 &amp; 0.00 \\</v>
      </c>
    </row>
    <row r="64" spans="1:1" x14ac:dyDescent="0.25">
      <c r="A64" t="str">
        <f t="shared" si="0"/>
        <v>\textbf{Gross nominal wage} &amp; 0.07 &amp; 0.11 &amp; 0.15 &amp; 0.26 &amp; 0.63 &amp; 0.24 \\</v>
      </c>
    </row>
    <row r="65" spans="1:1" x14ac:dyDescent="0.25">
      <c r="A65" t="str">
        <f t="shared" si="0"/>
        <v>\textbf{Real cost of labor} &amp; -0.85 &amp; -0.44 &amp; -0.24 &amp; -0.13 &amp; -0.25 &amp; -0.23 \\</v>
      </c>
    </row>
    <row r="66" spans="1:1" x14ac:dyDescent="0.25">
      <c r="A66" t="str">
        <f t="shared" si="0"/>
        <v>\textbf{Wage employment (in thousands)} &amp; 33.33 &amp; 88.89 &amp; 149.89 &amp; 244.41 &amp; 271.28 &amp; 241.13 \\</v>
      </c>
    </row>
    <row r="67" spans="1:1" x14ac:dyDescent="0.25">
      <c r="A67" t="str">
        <f t="shared" si="0"/>
        <v>\textbf{Unemployment rate} &amp; -0.10 &amp; -0.26 &amp; -0.42 &amp; -0.65 &amp; -0.67 &amp; -0.56 \\</v>
      </c>
    </row>
    <row r="68" spans="1:1" x14ac:dyDescent="0.25">
      <c r="A68" t="str">
        <f t="shared" si="0"/>
        <v>\textbf{Trade balance (in points of GDP)} &amp; -0.12 &amp; -0.21 &amp; -0.25 &amp; -0.26 &amp; -0.18 &amp; -0.18 \\</v>
      </c>
    </row>
    <row r="69" spans="1:1" x14ac:dyDescent="0.25">
      <c r="A69" t="str">
        <f t="shared" si="0"/>
        <v>\textbf{Public budget balance (in points of GDP)} &amp; -0.64 &amp; -0.40 &amp; -0.25 &amp; -0.13 &amp; -0.18 &amp; -0.27 \\</v>
      </c>
    </row>
  </sheetData>
  <mergeCells count="6">
    <mergeCell ref="B2:G2"/>
    <mergeCell ref="H2:M2"/>
    <mergeCell ref="B27:G27"/>
    <mergeCell ref="H27:M27"/>
    <mergeCell ref="B1:M1"/>
    <mergeCell ref="B26:M26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8"/>
  <dimension ref="A1:M69"/>
  <sheetViews>
    <sheetView workbookViewId="0">
      <selection activeCell="G29" sqref="G29"/>
    </sheetView>
  </sheetViews>
  <sheetFormatPr defaultColWidth="11" defaultRowHeight="15.75" x14ac:dyDescent="0.25"/>
  <cols>
    <col min="1" max="1" width="37.125" style="37" customWidth="1"/>
    <col min="2" max="16384" width="11" style="37"/>
  </cols>
  <sheetData>
    <row r="1" spans="1:13" ht="30" customHeight="1" x14ac:dyDescent="0.25">
      <c r="A1" s="34" t="s">
        <v>49</v>
      </c>
      <c r="B1" s="66" t="s">
        <v>87</v>
      </c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</row>
    <row r="2" spans="1:13" ht="29.25" customHeight="1" x14ac:dyDescent="0.25">
      <c r="A2" s="38"/>
      <c r="B2" s="47" t="s">
        <v>45</v>
      </c>
      <c r="C2" s="47"/>
      <c r="D2" s="47"/>
      <c r="E2" s="47"/>
      <c r="F2" s="47"/>
      <c r="G2" s="48"/>
      <c r="H2" s="49" t="s">
        <v>46</v>
      </c>
      <c r="I2" s="50"/>
      <c r="J2" s="50"/>
      <c r="K2" s="50"/>
      <c r="L2" s="50"/>
      <c r="M2" s="51"/>
    </row>
    <row r="3" spans="1:13" x14ac:dyDescent="0.25">
      <c r="A3" s="39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90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TRANSPOSE('VAT1'!$B$3:$T$8)</f>
        <v>-0.55789500000000003</v>
      </c>
      <c r="C4" s="29">
        <v>-0.79746399999999995</v>
      </c>
      <c r="D4" s="29">
        <v>-0.89248799999999995</v>
      </c>
      <c r="E4" s="29">
        <v>-0.94588899999999998</v>
      </c>
      <c r="F4" s="29">
        <v>-0.86613099999999998</v>
      </c>
      <c r="G4" s="30">
        <v>-0.41701500000000002</v>
      </c>
      <c r="H4" s="13">
        <v>-0.32</v>
      </c>
      <c r="I4" s="13">
        <v>-0.66</v>
      </c>
      <c r="J4" s="13">
        <v>-0.72</v>
      </c>
      <c r="K4" s="13">
        <v>-0.81</v>
      </c>
      <c r="L4" s="13">
        <v>-0.78</v>
      </c>
      <c r="M4" s="13">
        <v>-0.7</v>
      </c>
    </row>
    <row r="5" spans="1:13" x14ac:dyDescent="0.25">
      <c r="A5" s="31" t="s">
        <v>8</v>
      </c>
      <c r="B5" s="29">
        <v>-1.0205839999999999</v>
      </c>
      <c r="C5" s="29">
        <v>-1.425014</v>
      </c>
      <c r="D5" s="29">
        <v>-1.566379</v>
      </c>
      <c r="E5" s="29">
        <v>-1.633953</v>
      </c>
      <c r="F5" s="29">
        <v>-1.473597</v>
      </c>
      <c r="G5" s="30">
        <v>-0.67840199999999995</v>
      </c>
      <c r="H5" s="13">
        <v>-0.57999999999999996</v>
      </c>
      <c r="I5" s="13">
        <v>-1.04</v>
      </c>
      <c r="J5" s="13">
        <v>-1.1399999999999999</v>
      </c>
      <c r="K5" s="13">
        <v>-1.53</v>
      </c>
      <c r="L5" s="13">
        <v>-1.87</v>
      </c>
      <c r="M5" s="13">
        <v>-1.76</v>
      </c>
    </row>
    <row r="6" spans="1:13" x14ac:dyDescent="0.25">
      <c r="A6" s="31" t="s">
        <v>9</v>
      </c>
      <c r="B6" s="29">
        <v>-0.54380099999999998</v>
      </c>
      <c r="C6" s="29">
        <v>-0.91881900000000005</v>
      </c>
      <c r="D6" s="29">
        <v>-1.1082099999999999</v>
      </c>
      <c r="E6" s="29">
        <v>-1.1802170000000001</v>
      </c>
      <c r="F6" s="29">
        <v>-0.97538999999999998</v>
      </c>
      <c r="G6" s="30">
        <v>1.5972E-2</v>
      </c>
      <c r="H6" s="13">
        <v>-0.45</v>
      </c>
      <c r="I6" s="13">
        <v>-1.36</v>
      </c>
      <c r="J6" s="13">
        <v>-1.44</v>
      </c>
      <c r="K6" s="13">
        <v>-1.34</v>
      </c>
      <c r="L6" s="13">
        <v>-1.1399999999999999</v>
      </c>
      <c r="M6" s="13">
        <v>-1.04</v>
      </c>
    </row>
    <row r="7" spans="1:13" x14ac:dyDescent="0.25">
      <c r="A7" s="31" t="s">
        <v>11</v>
      </c>
      <c r="B7" s="29">
        <v>-4.1292000000000002E-2</v>
      </c>
      <c r="C7" s="29">
        <v>-7.5694999999999998E-2</v>
      </c>
      <c r="D7" s="29">
        <v>-9.8830000000000001E-2</v>
      </c>
      <c r="E7" s="29">
        <v>-0.130301</v>
      </c>
      <c r="F7" s="29">
        <v>-0.19244</v>
      </c>
      <c r="G7" s="30">
        <v>-0.40312700000000001</v>
      </c>
      <c r="H7" s="13">
        <v>-0.17</v>
      </c>
      <c r="I7" s="13">
        <v>-0.33</v>
      </c>
      <c r="J7" s="13">
        <v>-0.37</v>
      </c>
      <c r="K7" s="13">
        <v>-0.32</v>
      </c>
      <c r="L7" s="13">
        <v>0.02</v>
      </c>
      <c r="M7" s="13">
        <v>0.08</v>
      </c>
    </row>
    <row r="8" spans="1:13" x14ac:dyDescent="0.25">
      <c r="A8" s="31" t="s">
        <v>12</v>
      </c>
      <c r="B8" s="29">
        <v>-0.58855100000000005</v>
      </c>
      <c r="C8" s="29">
        <v>-0.88445799999999997</v>
      </c>
      <c r="D8" s="29">
        <v>-0.99751999999999996</v>
      </c>
      <c r="E8" s="29">
        <v>-1.025825</v>
      </c>
      <c r="F8" s="29">
        <v>-0.87743899999999997</v>
      </c>
      <c r="G8" s="30">
        <v>-0.27689799999999998</v>
      </c>
      <c r="H8" s="13">
        <v>-0.65</v>
      </c>
      <c r="I8" s="13">
        <v>-1.08</v>
      </c>
      <c r="J8" s="13">
        <v>-1.02</v>
      </c>
      <c r="K8" s="13">
        <v>-1.1299999999999999</v>
      </c>
      <c r="L8" s="13">
        <v>-1.18</v>
      </c>
      <c r="M8" s="13">
        <v>-1.1599999999999999</v>
      </c>
    </row>
    <row r="9" spans="1:13" x14ac:dyDescent="0.25">
      <c r="A9" s="31" t="s">
        <v>32</v>
      </c>
      <c r="B9" s="29">
        <v>-1.4974080000000001</v>
      </c>
      <c r="C9" s="29">
        <v>-1.4890140000000001</v>
      </c>
      <c r="D9" s="29">
        <v>-1.4900850000000001</v>
      </c>
      <c r="E9" s="29">
        <v>-1.5459670000000001</v>
      </c>
      <c r="F9" s="29">
        <v>-1.4354819999999999</v>
      </c>
      <c r="G9" s="30">
        <v>-0.67943299999999995</v>
      </c>
      <c r="H9" s="13">
        <v>-1.1000000000000001</v>
      </c>
      <c r="I9" s="13">
        <v>-1.01</v>
      </c>
      <c r="J9" s="13">
        <v>-1.22</v>
      </c>
      <c r="K9" s="13">
        <v>-1.73</v>
      </c>
      <c r="L9" s="13">
        <v>-1.88</v>
      </c>
      <c r="M9" s="13">
        <v>-1.76</v>
      </c>
    </row>
    <row r="10" spans="1:13" x14ac:dyDescent="0.25">
      <c r="A10" s="31" t="s">
        <v>33</v>
      </c>
      <c r="B10" s="29">
        <v>-0.433838</v>
      </c>
      <c r="C10" s="29">
        <v>-5.8224999999999999E-2</v>
      </c>
      <c r="D10" s="29">
        <v>6.9411E-2</v>
      </c>
      <c r="E10" s="29">
        <v>8.0092999999999998E-2</v>
      </c>
      <c r="F10" s="29">
        <v>3.4657E-2</v>
      </c>
      <c r="G10" s="30">
        <v>-9.3099999999999997E-4</v>
      </c>
      <c r="H10" s="13">
        <v>-0.45</v>
      </c>
      <c r="I10" s="13">
        <v>0.03</v>
      </c>
      <c r="J10" s="13">
        <v>-7.0000000000000007E-2</v>
      </c>
      <c r="K10" s="13">
        <v>-0.18</v>
      </c>
      <c r="L10" s="13">
        <v>-0.01</v>
      </c>
      <c r="M10" s="13">
        <v>0</v>
      </c>
    </row>
    <row r="11" spans="1:13" x14ac:dyDescent="0.25">
      <c r="A11" s="31" t="s">
        <v>34</v>
      </c>
      <c r="B11" s="29">
        <v>1.7877369999999999</v>
      </c>
      <c r="C11" s="29">
        <v>1.7840750000000001</v>
      </c>
      <c r="D11" s="29">
        <v>1.779401</v>
      </c>
      <c r="E11" s="29">
        <v>1.7865759999999999</v>
      </c>
      <c r="F11" s="29">
        <v>1.7201709999999999</v>
      </c>
      <c r="G11" s="30">
        <v>1.3755470000000001</v>
      </c>
      <c r="H11" s="13">
        <v>1.48</v>
      </c>
      <c r="I11" s="13">
        <v>1.58</v>
      </c>
      <c r="J11" s="13">
        <v>1.52</v>
      </c>
      <c r="K11" s="13">
        <v>1.3</v>
      </c>
      <c r="L11" s="13">
        <v>0.89</v>
      </c>
      <c r="M11" s="13">
        <v>0.76</v>
      </c>
    </row>
    <row r="12" spans="1:13" x14ac:dyDescent="0.25">
      <c r="A12" s="31" t="s">
        <v>35</v>
      </c>
      <c r="B12" s="29">
        <v>0.16178799999999999</v>
      </c>
      <c r="C12" s="29">
        <v>0.18974299999999999</v>
      </c>
      <c r="D12" s="29">
        <v>0.20332600000000001</v>
      </c>
      <c r="E12" s="29">
        <v>0.252388</v>
      </c>
      <c r="F12" s="29">
        <v>0.33279599999999998</v>
      </c>
      <c r="G12" s="30">
        <v>0.60002599999999995</v>
      </c>
      <c r="H12" s="13">
        <v>0.43</v>
      </c>
      <c r="I12" s="13">
        <v>0.54</v>
      </c>
      <c r="J12" s="13">
        <v>0.41</v>
      </c>
      <c r="K12" s="13">
        <v>0.05</v>
      </c>
      <c r="L12" s="13">
        <v>-0.41</v>
      </c>
      <c r="M12" s="13">
        <v>-0.51</v>
      </c>
    </row>
    <row r="13" spans="1:13" x14ac:dyDescent="0.25">
      <c r="A13" s="31" t="s">
        <v>36</v>
      </c>
      <c r="B13" s="29">
        <v>0.20302100000000001</v>
      </c>
      <c r="C13" s="29">
        <v>0.23353299999999999</v>
      </c>
      <c r="D13" s="29">
        <v>0.24249899999999999</v>
      </c>
      <c r="E13" s="29">
        <v>0.28822300000000001</v>
      </c>
      <c r="F13" s="29">
        <v>0.37807600000000002</v>
      </c>
      <c r="G13" s="30">
        <v>0.70327099999999998</v>
      </c>
      <c r="H13" s="13">
        <v>0.02</v>
      </c>
      <c r="I13" s="13">
        <v>0.12</v>
      </c>
      <c r="J13" s="13">
        <v>0.06</v>
      </c>
      <c r="K13" s="13">
        <v>-0.17</v>
      </c>
      <c r="L13" s="13">
        <v>-0.6</v>
      </c>
      <c r="M13" s="13">
        <v>-0.76</v>
      </c>
    </row>
    <row r="14" spans="1:13" x14ac:dyDescent="0.25">
      <c r="A14" s="31" t="s">
        <v>37</v>
      </c>
      <c r="B14" s="29">
        <v>0.120907</v>
      </c>
      <c r="C14" s="29">
        <v>0.14630299999999999</v>
      </c>
      <c r="D14" s="29">
        <v>0.16445299999999999</v>
      </c>
      <c r="E14" s="29">
        <v>0.21682899999999999</v>
      </c>
      <c r="F14" s="29">
        <v>0.28786899999999999</v>
      </c>
      <c r="G14" s="30">
        <v>0.49756600000000001</v>
      </c>
      <c r="H14" s="13">
        <v>0.72</v>
      </c>
      <c r="I14" s="13">
        <v>0.84</v>
      </c>
      <c r="J14" s="13">
        <v>0.76</v>
      </c>
      <c r="K14" s="13">
        <v>0.48</v>
      </c>
      <c r="L14" s="13">
        <v>0.06</v>
      </c>
      <c r="M14" s="13">
        <v>-0.02</v>
      </c>
    </row>
    <row r="15" spans="1:13" x14ac:dyDescent="0.25">
      <c r="A15" s="31" t="s">
        <v>38</v>
      </c>
      <c r="B15" s="29">
        <v>0.17225399999999999</v>
      </c>
      <c r="C15" s="29">
        <v>0.19525400000000001</v>
      </c>
      <c r="D15" s="29">
        <v>0.19131600000000001</v>
      </c>
      <c r="E15" s="29">
        <v>0.20591100000000001</v>
      </c>
      <c r="F15" s="29">
        <v>0.27233000000000002</v>
      </c>
      <c r="G15" s="30">
        <v>0.50877700000000003</v>
      </c>
      <c r="H15" s="13">
        <v>0.31</v>
      </c>
      <c r="I15" s="13">
        <v>0.47</v>
      </c>
      <c r="J15" s="13">
        <v>0.45</v>
      </c>
      <c r="K15" s="13">
        <v>0.27</v>
      </c>
      <c r="L15" s="13">
        <v>-0.09</v>
      </c>
      <c r="M15" s="13">
        <v>-0.14000000000000001</v>
      </c>
    </row>
    <row r="16" spans="1:13" x14ac:dyDescent="0.25">
      <c r="A16" s="31" t="s">
        <v>39</v>
      </c>
      <c r="B16" s="29">
        <v>-9.8000000000000004E-8</v>
      </c>
      <c r="C16" s="29">
        <v>-1.92E-7</v>
      </c>
      <c r="D16" s="29">
        <v>-2.8299999999999998E-7</v>
      </c>
      <c r="E16" s="29">
        <v>-5.4300000000000003E-7</v>
      </c>
      <c r="F16" s="29">
        <v>-8.1999999999999998E-7</v>
      </c>
      <c r="G16" s="30">
        <v>-7.9999999999999996E-7</v>
      </c>
      <c r="H16" s="13">
        <v>0.3</v>
      </c>
      <c r="I16" s="13">
        <v>0.4</v>
      </c>
      <c r="J16" s="13">
        <v>0.4</v>
      </c>
      <c r="K16" s="13">
        <v>0.23</v>
      </c>
      <c r="L16" s="13">
        <v>-0.14000000000000001</v>
      </c>
      <c r="M16" s="13">
        <v>-0.16</v>
      </c>
    </row>
    <row r="17" spans="1:13" x14ac:dyDescent="0.25">
      <c r="A17" s="31" t="s">
        <v>40</v>
      </c>
      <c r="B17" s="29">
        <v>-0.127057</v>
      </c>
      <c r="C17" s="29">
        <v>0.15170700000000001</v>
      </c>
      <c r="D17" s="29">
        <v>0.39257900000000001</v>
      </c>
      <c r="E17" s="29">
        <v>0.60331299999999999</v>
      </c>
      <c r="F17" s="29">
        <v>0.63869600000000004</v>
      </c>
      <c r="G17" s="30">
        <v>0.82418100000000005</v>
      </c>
      <c r="H17" s="13">
        <v>0.61</v>
      </c>
      <c r="I17" s="13">
        <v>0.65</v>
      </c>
      <c r="J17" s="13">
        <v>0.15</v>
      </c>
      <c r="K17" s="13">
        <v>-0.93</v>
      </c>
      <c r="L17" s="13">
        <v>-1.67</v>
      </c>
      <c r="M17" s="13">
        <v>-1.64</v>
      </c>
    </row>
    <row r="18" spans="1:13" x14ac:dyDescent="0.25">
      <c r="A18" s="31" t="s">
        <v>16</v>
      </c>
      <c r="B18" s="29">
        <v>-0.32940999999999998</v>
      </c>
      <c r="C18" s="29">
        <v>-8.1636E-2</v>
      </c>
      <c r="D18" s="29">
        <v>0.14971699999999999</v>
      </c>
      <c r="E18" s="29">
        <v>0.31418400000000002</v>
      </c>
      <c r="F18" s="29">
        <v>0.25963900000000001</v>
      </c>
      <c r="G18" s="30">
        <v>0.12006600000000001</v>
      </c>
      <c r="H18" s="13">
        <v>0.59</v>
      </c>
      <c r="I18" s="13">
        <v>0.53</v>
      </c>
      <c r="J18" s="13">
        <v>0.1</v>
      </c>
      <c r="K18" s="13">
        <v>-0.77</v>
      </c>
      <c r="L18" s="13">
        <v>-1.08</v>
      </c>
      <c r="M18" s="13">
        <v>-0.89</v>
      </c>
    </row>
    <row r="19" spans="1:13" x14ac:dyDescent="0.25">
      <c r="A19" s="31" t="s">
        <v>41</v>
      </c>
      <c r="B19" s="29">
        <v>-58.378459999999997</v>
      </c>
      <c r="C19" s="29">
        <v>-124.94289999999999</v>
      </c>
      <c r="D19" s="29">
        <v>-178.44980000000001</v>
      </c>
      <c r="E19" s="29">
        <v>-240.2876</v>
      </c>
      <c r="F19" s="29">
        <v>-256.88600000000002</v>
      </c>
      <c r="G19" s="30">
        <v>-138.09350000000001</v>
      </c>
      <c r="H19" s="13">
        <v>-32</v>
      </c>
      <c r="I19" s="13">
        <v>-118</v>
      </c>
      <c r="J19" s="13">
        <v>-153</v>
      </c>
      <c r="K19" s="13">
        <v>-113</v>
      </c>
      <c r="L19" s="13">
        <v>-69</v>
      </c>
      <c r="M19" s="13">
        <v>-64</v>
      </c>
    </row>
    <row r="20" spans="1:13" x14ac:dyDescent="0.25">
      <c r="A20" s="31" t="s">
        <v>42</v>
      </c>
      <c r="B20" s="29">
        <v>0.17444200000000001</v>
      </c>
      <c r="C20" s="29">
        <v>0.35816799999999999</v>
      </c>
      <c r="D20" s="29">
        <v>0.49419299999999999</v>
      </c>
      <c r="E20" s="29">
        <v>0.633876</v>
      </c>
      <c r="F20" s="29">
        <v>0.64162399999999997</v>
      </c>
      <c r="G20" s="30">
        <v>0.31898100000000001</v>
      </c>
      <c r="H20" s="13">
        <v>0.13</v>
      </c>
      <c r="I20" s="13">
        <v>0.49</v>
      </c>
      <c r="J20" s="13">
        <v>0.64</v>
      </c>
      <c r="K20" s="13">
        <v>0.47</v>
      </c>
      <c r="L20" s="13">
        <v>0.28999999999999998</v>
      </c>
      <c r="M20" s="13">
        <v>0.27</v>
      </c>
    </row>
    <row r="21" spans="1:13" x14ac:dyDescent="0.25">
      <c r="A21" s="31" t="s">
        <v>43</v>
      </c>
      <c r="B21" s="29">
        <v>0.19809399999999999</v>
      </c>
      <c r="C21" s="29">
        <v>0.26696300000000001</v>
      </c>
      <c r="D21" s="29">
        <v>0.28760200000000002</v>
      </c>
      <c r="E21" s="29">
        <v>0.289908</v>
      </c>
      <c r="F21" s="29">
        <v>0.25409500000000002</v>
      </c>
      <c r="G21" s="30">
        <v>0.114413</v>
      </c>
      <c r="H21" s="13">
        <v>0.17</v>
      </c>
      <c r="I21" s="13">
        <v>0.27</v>
      </c>
      <c r="J21" s="13">
        <v>0.24</v>
      </c>
      <c r="K21" s="13">
        <v>0.28000000000000003</v>
      </c>
      <c r="L21" s="13">
        <v>0.4</v>
      </c>
      <c r="M21" s="13">
        <v>0.41</v>
      </c>
    </row>
    <row r="22" spans="1:13" x14ac:dyDescent="0.25">
      <c r="A22" s="31" t="s">
        <v>44</v>
      </c>
      <c r="B22" s="29">
        <v>0.444938</v>
      </c>
      <c r="C22" s="29">
        <v>0.30117500000000003</v>
      </c>
      <c r="D22" s="29">
        <v>0.18584700000000001</v>
      </c>
      <c r="E22" s="29">
        <v>2.6009999999999998E-2</v>
      </c>
      <c r="F22" s="29">
        <v>1.0827E-2</v>
      </c>
      <c r="G22" s="30">
        <v>0.15452099999999999</v>
      </c>
      <c r="H22" s="13">
        <v>0.8</v>
      </c>
      <c r="I22" s="13">
        <v>0.36</v>
      </c>
      <c r="J22" s="13">
        <v>0.28000000000000003</v>
      </c>
      <c r="K22" s="13">
        <v>0.37</v>
      </c>
      <c r="L22" s="13">
        <v>0.44</v>
      </c>
      <c r="M22" s="13">
        <v>0.47</v>
      </c>
    </row>
    <row r="23" spans="1:13" x14ac:dyDescent="0.25">
      <c r="A23" s="40"/>
      <c r="B23" s="40"/>
      <c r="C23" s="40"/>
      <c r="D23" s="40"/>
      <c r="E23" s="40"/>
      <c r="F23" s="40"/>
      <c r="G23" s="40"/>
      <c r="I23" s="40"/>
    </row>
    <row r="24" spans="1:13" x14ac:dyDescent="0.25">
      <c r="A24" s="40"/>
      <c r="B24" s="40"/>
      <c r="C24" s="40"/>
      <c r="D24" s="40"/>
      <c r="E24" s="40"/>
      <c r="F24" s="40"/>
      <c r="G24" s="40"/>
    </row>
    <row r="26" spans="1:13" x14ac:dyDescent="0.25">
      <c r="A26" s="34" t="s">
        <v>82</v>
      </c>
      <c r="B26" s="66" t="s">
        <v>88</v>
      </c>
      <c r="C26" s="66"/>
      <c r="D26" s="66"/>
      <c r="E26" s="66"/>
      <c r="F26" s="66"/>
      <c r="G26" s="66"/>
      <c r="H26" s="66"/>
      <c r="I26" s="66"/>
      <c r="J26" s="66"/>
      <c r="K26" s="66"/>
      <c r="L26" s="66"/>
      <c r="M26" s="66"/>
    </row>
    <row r="27" spans="1:13" x14ac:dyDescent="0.25">
      <c r="A27" s="38"/>
      <c r="B27" s="47" t="s">
        <v>45</v>
      </c>
      <c r="C27" s="47"/>
      <c r="D27" s="47"/>
      <c r="E27" s="47"/>
      <c r="F27" s="47"/>
      <c r="G27" s="48"/>
      <c r="H27" s="49" t="s">
        <v>46</v>
      </c>
      <c r="I27" s="50"/>
      <c r="J27" s="50"/>
      <c r="K27" s="50"/>
      <c r="L27" s="50"/>
      <c r="M27" s="51"/>
    </row>
    <row r="28" spans="1:13" x14ac:dyDescent="0.25">
      <c r="A28" s="39"/>
      <c r="B28" s="9" t="s">
        <v>59</v>
      </c>
      <c r="C28" s="9" t="s">
        <v>60</v>
      </c>
      <c r="D28" s="9" t="s">
        <v>61</v>
      </c>
      <c r="E28" s="9" t="s">
        <v>62</v>
      </c>
      <c r="F28" s="9" t="s">
        <v>63</v>
      </c>
      <c r="G28" s="11" t="s">
        <v>90</v>
      </c>
      <c r="H28" s="24" t="s">
        <v>59</v>
      </c>
      <c r="I28" s="10" t="s">
        <v>60</v>
      </c>
      <c r="J28" s="10" t="s">
        <v>65</v>
      </c>
      <c r="K28" s="10" t="s">
        <v>62</v>
      </c>
      <c r="L28" s="10" t="s">
        <v>63</v>
      </c>
      <c r="M28" s="25" t="s">
        <v>64</v>
      </c>
    </row>
    <row r="29" spans="1:13" x14ac:dyDescent="0.25">
      <c r="A29" s="31" t="s">
        <v>89</v>
      </c>
      <c r="B29" s="29">
        <f t="array" ref="B29:G47">TRANSPOSE('VAT1'!$B$3:$T$8)</f>
        <v>-0.55789500000000003</v>
      </c>
      <c r="C29" s="29">
        <v>-0.79746399999999995</v>
      </c>
      <c r="D29" s="29">
        <v>-0.89248799999999995</v>
      </c>
      <c r="E29" s="29">
        <v>-0.94588899999999998</v>
      </c>
      <c r="F29" s="29">
        <v>-0.86613099999999998</v>
      </c>
      <c r="G29" s="30">
        <v>-0.41701500000000002</v>
      </c>
      <c r="H29" s="13">
        <v>-0.32</v>
      </c>
      <c r="I29" s="13">
        <v>-0.66</v>
      </c>
      <c r="J29" s="13">
        <v>-0.72</v>
      </c>
      <c r="K29" s="13">
        <v>-0.81</v>
      </c>
      <c r="L29" s="13">
        <v>-0.78</v>
      </c>
      <c r="M29" s="13">
        <v>-0.7</v>
      </c>
    </row>
    <row r="30" spans="1:13" x14ac:dyDescent="0.25">
      <c r="A30" s="31" t="s">
        <v>56</v>
      </c>
      <c r="B30" s="29">
        <v>-1.0205839999999999</v>
      </c>
      <c r="C30" s="29">
        <v>-1.425014</v>
      </c>
      <c r="D30" s="29">
        <v>-1.566379</v>
      </c>
      <c r="E30" s="29">
        <v>-1.633953</v>
      </c>
      <c r="F30" s="29">
        <v>-1.473597</v>
      </c>
      <c r="G30" s="30">
        <v>-0.67840199999999995</v>
      </c>
      <c r="H30" s="13">
        <v>-0.57999999999999996</v>
      </c>
      <c r="I30" s="13">
        <v>-1.04</v>
      </c>
      <c r="J30" s="13">
        <v>-1.1399999999999999</v>
      </c>
      <c r="K30" s="13">
        <v>-1.53</v>
      </c>
      <c r="L30" s="13">
        <v>-1.87</v>
      </c>
      <c r="M30" s="13">
        <v>-1.76</v>
      </c>
    </row>
    <row r="31" spans="1:13" x14ac:dyDescent="0.25">
      <c r="A31" s="31" t="s">
        <v>53</v>
      </c>
      <c r="B31" s="29">
        <v>-0.54380099999999998</v>
      </c>
      <c r="C31" s="29">
        <v>-0.91881900000000005</v>
      </c>
      <c r="D31" s="29">
        <v>-1.1082099999999999</v>
      </c>
      <c r="E31" s="29">
        <v>-1.1802170000000001</v>
      </c>
      <c r="F31" s="29">
        <v>-0.97538999999999998</v>
      </c>
      <c r="G31" s="30">
        <v>1.5972E-2</v>
      </c>
      <c r="H31" s="13">
        <v>-0.45</v>
      </c>
      <c r="I31" s="13">
        <v>-1.36</v>
      </c>
      <c r="J31" s="13">
        <v>-1.44</v>
      </c>
      <c r="K31" s="13">
        <v>-1.34</v>
      </c>
      <c r="L31" s="13">
        <v>-1.1399999999999999</v>
      </c>
      <c r="M31" s="13">
        <v>-1.04</v>
      </c>
    </row>
    <row r="32" spans="1:13" x14ac:dyDescent="0.25">
      <c r="A32" s="31" t="s">
        <v>54</v>
      </c>
      <c r="B32" s="29">
        <v>-4.1292000000000002E-2</v>
      </c>
      <c r="C32" s="29">
        <v>-7.5694999999999998E-2</v>
      </c>
      <c r="D32" s="29">
        <v>-9.8830000000000001E-2</v>
      </c>
      <c r="E32" s="29">
        <v>-0.130301</v>
      </c>
      <c r="F32" s="29">
        <v>-0.19244</v>
      </c>
      <c r="G32" s="30">
        <v>-0.40312700000000001</v>
      </c>
      <c r="H32" s="13">
        <v>-0.17</v>
      </c>
      <c r="I32" s="13">
        <v>-0.33</v>
      </c>
      <c r="J32" s="13">
        <v>-0.37</v>
      </c>
      <c r="K32" s="13">
        <v>-0.32</v>
      </c>
      <c r="L32" s="13">
        <v>0.02</v>
      </c>
      <c r="M32" s="13">
        <v>0.08</v>
      </c>
    </row>
    <row r="33" spans="1:13" x14ac:dyDescent="0.25">
      <c r="A33" s="31" t="s">
        <v>55</v>
      </c>
      <c r="B33" s="29">
        <v>-0.58855100000000005</v>
      </c>
      <c r="C33" s="29">
        <v>-0.88445799999999997</v>
      </c>
      <c r="D33" s="29">
        <v>-0.99751999999999996</v>
      </c>
      <c r="E33" s="29">
        <v>-1.025825</v>
      </c>
      <c r="F33" s="29">
        <v>-0.87743899999999997</v>
      </c>
      <c r="G33" s="30">
        <v>-0.27689799999999998</v>
      </c>
      <c r="H33" s="13">
        <v>-0.65</v>
      </c>
      <c r="I33" s="13">
        <v>-1.08</v>
      </c>
      <c r="J33" s="13">
        <v>-1.02</v>
      </c>
      <c r="K33" s="13">
        <v>-1.1299999999999999</v>
      </c>
      <c r="L33" s="13">
        <v>-1.18</v>
      </c>
      <c r="M33" s="13">
        <v>-1.1599999999999999</v>
      </c>
    </row>
    <row r="34" spans="1:13" x14ac:dyDescent="0.25">
      <c r="A34" s="31" t="s">
        <v>57</v>
      </c>
      <c r="B34" s="29">
        <v>-1.4974080000000001</v>
      </c>
      <c r="C34" s="29">
        <v>-1.4890140000000001</v>
      </c>
      <c r="D34" s="29">
        <v>-1.4900850000000001</v>
      </c>
      <c r="E34" s="29">
        <v>-1.5459670000000001</v>
      </c>
      <c r="F34" s="29">
        <v>-1.4354819999999999</v>
      </c>
      <c r="G34" s="30">
        <v>-0.67943299999999995</v>
      </c>
      <c r="H34" s="13">
        <v>-1.1000000000000001</v>
      </c>
      <c r="I34" s="13">
        <v>-1.01</v>
      </c>
      <c r="J34" s="13">
        <v>-1.22</v>
      </c>
      <c r="K34" s="13">
        <v>-1.73</v>
      </c>
      <c r="L34" s="13">
        <v>-1.88</v>
      </c>
      <c r="M34" s="13">
        <v>-1.76</v>
      </c>
    </row>
    <row r="35" spans="1:13" x14ac:dyDescent="0.25">
      <c r="A35" s="31" t="s">
        <v>58</v>
      </c>
      <c r="B35" s="29">
        <v>-0.433838</v>
      </c>
      <c r="C35" s="29">
        <v>-5.8224999999999999E-2</v>
      </c>
      <c r="D35" s="29">
        <v>6.9411E-2</v>
      </c>
      <c r="E35" s="29">
        <v>8.0092999999999998E-2</v>
      </c>
      <c r="F35" s="29">
        <v>3.4657E-2</v>
      </c>
      <c r="G35" s="30">
        <v>-9.3099999999999997E-4</v>
      </c>
      <c r="H35" s="13">
        <v>-0.45</v>
      </c>
      <c r="I35" s="13">
        <v>0.03</v>
      </c>
      <c r="J35" s="13">
        <v>-7.0000000000000007E-2</v>
      </c>
      <c r="K35" s="13">
        <v>-0.18</v>
      </c>
      <c r="L35" s="13">
        <v>-0.01</v>
      </c>
      <c r="M35" s="13">
        <v>0</v>
      </c>
    </row>
    <row r="36" spans="1:13" x14ac:dyDescent="0.25">
      <c r="A36" s="31" t="s">
        <v>69</v>
      </c>
      <c r="B36" s="29">
        <v>1.7877369999999999</v>
      </c>
      <c r="C36" s="29">
        <v>1.7840750000000001</v>
      </c>
      <c r="D36" s="29">
        <v>1.779401</v>
      </c>
      <c r="E36" s="29">
        <v>1.7865759999999999</v>
      </c>
      <c r="F36" s="29">
        <v>1.7201709999999999</v>
      </c>
      <c r="G36" s="30">
        <v>1.3755470000000001</v>
      </c>
      <c r="H36" s="13">
        <v>1.48</v>
      </c>
      <c r="I36" s="13">
        <v>1.58</v>
      </c>
      <c r="J36" s="13">
        <v>1.52</v>
      </c>
      <c r="K36" s="13">
        <v>1.3</v>
      </c>
      <c r="L36" s="13">
        <v>0.89</v>
      </c>
      <c r="M36" s="13">
        <v>0.76</v>
      </c>
    </row>
    <row r="37" spans="1:13" x14ac:dyDescent="0.25">
      <c r="A37" s="31" t="s">
        <v>70</v>
      </c>
      <c r="B37" s="29">
        <v>0.16178799999999999</v>
      </c>
      <c r="C37" s="29">
        <v>0.18974299999999999</v>
      </c>
      <c r="D37" s="29">
        <v>0.20332600000000001</v>
      </c>
      <c r="E37" s="29">
        <v>0.252388</v>
      </c>
      <c r="F37" s="29">
        <v>0.33279599999999998</v>
      </c>
      <c r="G37" s="30">
        <v>0.60002599999999995</v>
      </c>
      <c r="H37" s="13">
        <v>0.43</v>
      </c>
      <c r="I37" s="13">
        <v>0.54</v>
      </c>
      <c r="J37" s="13">
        <v>0.41</v>
      </c>
      <c r="K37" s="13">
        <v>0.05</v>
      </c>
      <c r="L37" s="13">
        <v>-0.41</v>
      </c>
      <c r="M37" s="13">
        <v>-0.51</v>
      </c>
    </row>
    <row r="38" spans="1:13" x14ac:dyDescent="0.25">
      <c r="A38" s="31" t="s">
        <v>71</v>
      </c>
      <c r="B38" s="29">
        <v>0.20302100000000001</v>
      </c>
      <c r="C38" s="29">
        <v>0.23353299999999999</v>
      </c>
      <c r="D38" s="29">
        <v>0.24249899999999999</v>
      </c>
      <c r="E38" s="29">
        <v>0.28822300000000001</v>
      </c>
      <c r="F38" s="29">
        <v>0.37807600000000002</v>
      </c>
      <c r="G38" s="30">
        <v>0.70327099999999998</v>
      </c>
      <c r="H38" s="13">
        <v>0.02</v>
      </c>
      <c r="I38" s="13">
        <v>0.12</v>
      </c>
      <c r="J38" s="13">
        <v>0.06</v>
      </c>
      <c r="K38" s="13">
        <v>-0.17</v>
      </c>
      <c r="L38" s="13">
        <v>-0.6</v>
      </c>
      <c r="M38" s="13">
        <v>-0.76</v>
      </c>
    </row>
    <row r="39" spans="1:13" x14ac:dyDescent="0.25">
      <c r="A39" s="31" t="s">
        <v>75</v>
      </c>
      <c r="B39" s="29">
        <v>0.120907</v>
      </c>
      <c r="C39" s="29">
        <v>0.14630299999999999</v>
      </c>
      <c r="D39" s="29">
        <v>0.16445299999999999</v>
      </c>
      <c r="E39" s="29">
        <v>0.21682899999999999</v>
      </c>
      <c r="F39" s="29">
        <v>0.28786899999999999</v>
      </c>
      <c r="G39" s="30">
        <v>0.49756600000000001</v>
      </c>
      <c r="H39" s="13">
        <v>0.72</v>
      </c>
      <c r="I39" s="13">
        <v>0.84</v>
      </c>
      <c r="J39" s="13">
        <v>0.76</v>
      </c>
      <c r="K39" s="13">
        <v>0.48</v>
      </c>
      <c r="L39" s="13">
        <v>0.06</v>
      </c>
      <c r="M39" s="13">
        <v>-0.02</v>
      </c>
    </row>
    <row r="40" spans="1:13" x14ac:dyDescent="0.25">
      <c r="A40" s="31" t="s">
        <v>67</v>
      </c>
      <c r="B40" s="29">
        <v>0.17225399999999999</v>
      </c>
      <c r="C40" s="29">
        <v>0.19525400000000001</v>
      </c>
      <c r="D40" s="29">
        <v>0.19131600000000001</v>
      </c>
      <c r="E40" s="29">
        <v>0.20591100000000001</v>
      </c>
      <c r="F40" s="29">
        <v>0.27233000000000002</v>
      </c>
      <c r="G40" s="30">
        <v>0.50877700000000003</v>
      </c>
      <c r="H40" s="13">
        <v>0.31</v>
      </c>
      <c r="I40" s="13">
        <v>0.47</v>
      </c>
      <c r="J40" s="13">
        <v>0.45</v>
      </c>
      <c r="K40" s="13">
        <v>0.27</v>
      </c>
      <c r="L40" s="13">
        <v>-0.09</v>
      </c>
      <c r="M40" s="13">
        <v>-0.14000000000000001</v>
      </c>
    </row>
    <row r="41" spans="1:13" x14ac:dyDescent="0.25">
      <c r="A41" s="31" t="s">
        <v>68</v>
      </c>
      <c r="B41" s="29">
        <v>-9.8000000000000004E-8</v>
      </c>
      <c r="C41" s="29">
        <v>-1.92E-7</v>
      </c>
      <c r="D41" s="29">
        <v>-2.8299999999999998E-7</v>
      </c>
      <c r="E41" s="29">
        <v>-5.4300000000000003E-7</v>
      </c>
      <c r="F41" s="29">
        <v>-8.1999999999999998E-7</v>
      </c>
      <c r="G41" s="30">
        <v>-7.9999999999999996E-7</v>
      </c>
      <c r="H41" s="13">
        <v>0.3</v>
      </c>
      <c r="I41" s="13">
        <v>0.4</v>
      </c>
      <c r="J41" s="13">
        <v>0.4</v>
      </c>
      <c r="K41" s="13">
        <v>0.23</v>
      </c>
      <c r="L41" s="13">
        <v>-0.14000000000000001</v>
      </c>
      <c r="M41" s="13">
        <v>-0.16</v>
      </c>
    </row>
    <row r="42" spans="1:13" x14ac:dyDescent="0.25">
      <c r="A42" s="31" t="s">
        <v>72</v>
      </c>
      <c r="B42" s="29">
        <v>-0.127057</v>
      </c>
      <c r="C42" s="29">
        <v>0.15170700000000001</v>
      </c>
      <c r="D42" s="29">
        <v>0.39257900000000001</v>
      </c>
      <c r="E42" s="29">
        <v>0.60331299999999999</v>
      </c>
      <c r="F42" s="29">
        <v>0.63869600000000004</v>
      </c>
      <c r="G42" s="30">
        <v>0.82418100000000005</v>
      </c>
      <c r="H42" s="13">
        <v>0.61</v>
      </c>
      <c r="I42" s="13">
        <v>0.65</v>
      </c>
      <c r="J42" s="13">
        <v>0.15</v>
      </c>
      <c r="K42" s="13">
        <v>-0.93</v>
      </c>
      <c r="L42" s="13">
        <v>-1.67</v>
      </c>
      <c r="M42" s="13">
        <v>-1.64</v>
      </c>
    </row>
    <row r="43" spans="1:13" x14ac:dyDescent="0.25">
      <c r="A43" s="31" t="s">
        <v>73</v>
      </c>
      <c r="B43" s="29">
        <v>-0.32940999999999998</v>
      </c>
      <c r="C43" s="29">
        <v>-8.1636E-2</v>
      </c>
      <c r="D43" s="29">
        <v>0.14971699999999999</v>
      </c>
      <c r="E43" s="29">
        <v>0.31418400000000002</v>
      </c>
      <c r="F43" s="29">
        <v>0.25963900000000001</v>
      </c>
      <c r="G43" s="30">
        <v>0.12006600000000001</v>
      </c>
      <c r="H43" s="13">
        <v>0.59</v>
      </c>
      <c r="I43" s="13">
        <v>0.53</v>
      </c>
      <c r="J43" s="13">
        <v>0.1</v>
      </c>
      <c r="K43" s="13">
        <v>-0.77</v>
      </c>
      <c r="L43" s="13">
        <v>-1.08</v>
      </c>
      <c r="M43" s="13">
        <v>-0.89</v>
      </c>
    </row>
    <row r="44" spans="1:13" x14ac:dyDescent="0.25">
      <c r="A44" s="31" t="s">
        <v>76</v>
      </c>
      <c r="B44" s="29">
        <v>-58.378459999999997</v>
      </c>
      <c r="C44" s="29">
        <v>-124.94289999999999</v>
      </c>
      <c r="D44" s="29">
        <v>-178.44980000000001</v>
      </c>
      <c r="E44" s="29">
        <v>-240.2876</v>
      </c>
      <c r="F44" s="29">
        <v>-256.88600000000002</v>
      </c>
      <c r="G44" s="30">
        <v>-138.09350000000001</v>
      </c>
      <c r="H44" s="13">
        <v>-32</v>
      </c>
      <c r="I44" s="13">
        <v>-118</v>
      </c>
      <c r="J44" s="13">
        <v>-153</v>
      </c>
      <c r="K44" s="13">
        <v>-113</v>
      </c>
      <c r="L44" s="13">
        <v>-69</v>
      </c>
      <c r="M44" s="13">
        <v>-64</v>
      </c>
    </row>
    <row r="45" spans="1:13" x14ac:dyDescent="0.25">
      <c r="A45" s="31" t="s">
        <v>74</v>
      </c>
      <c r="B45" s="29">
        <v>0.17444200000000001</v>
      </c>
      <c r="C45" s="29">
        <v>0.35816799999999999</v>
      </c>
      <c r="D45" s="29">
        <v>0.49419299999999999</v>
      </c>
      <c r="E45" s="29">
        <v>0.633876</v>
      </c>
      <c r="F45" s="29">
        <v>0.64162399999999997</v>
      </c>
      <c r="G45" s="30">
        <v>0.31898100000000001</v>
      </c>
      <c r="H45" s="13">
        <v>0.13</v>
      </c>
      <c r="I45" s="13">
        <v>0.49</v>
      </c>
      <c r="J45" s="13">
        <v>0.64</v>
      </c>
      <c r="K45" s="13">
        <v>0.47</v>
      </c>
      <c r="L45" s="13">
        <v>0.28999999999999998</v>
      </c>
      <c r="M45" s="13">
        <v>0.27</v>
      </c>
    </row>
    <row r="46" spans="1:13" x14ac:dyDescent="0.25">
      <c r="A46" s="31" t="s">
        <v>77</v>
      </c>
      <c r="B46" s="29">
        <v>0.19809399999999999</v>
      </c>
      <c r="C46" s="29">
        <v>0.26696300000000001</v>
      </c>
      <c r="D46" s="29">
        <v>0.28760200000000002</v>
      </c>
      <c r="E46" s="29">
        <v>0.289908</v>
      </c>
      <c r="F46" s="29">
        <v>0.25409500000000002</v>
      </c>
      <c r="G46" s="30">
        <v>0.114413</v>
      </c>
      <c r="H46" s="13">
        <v>0.17</v>
      </c>
      <c r="I46" s="13">
        <v>0.27</v>
      </c>
      <c r="J46" s="13">
        <v>0.24</v>
      </c>
      <c r="K46" s="13">
        <v>0.28000000000000003</v>
      </c>
      <c r="L46" s="13">
        <v>0.4</v>
      </c>
      <c r="M46" s="13">
        <v>0.41</v>
      </c>
    </row>
    <row r="47" spans="1:13" x14ac:dyDescent="0.25">
      <c r="A47" s="45" t="s">
        <v>78</v>
      </c>
      <c r="B47" s="29">
        <v>0.444938</v>
      </c>
      <c r="C47" s="29">
        <v>0.30117500000000003</v>
      </c>
      <c r="D47" s="29">
        <v>0.18584700000000001</v>
      </c>
      <c r="E47" s="29">
        <v>2.6009999999999998E-2</v>
      </c>
      <c r="F47" s="29">
        <v>1.0827E-2</v>
      </c>
      <c r="G47" s="30">
        <v>0.15452099999999999</v>
      </c>
      <c r="H47" s="13">
        <v>0.8</v>
      </c>
      <c r="I47" s="13">
        <v>0.36</v>
      </c>
      <c r="J47" s="13">
        <v>0.28000000000000003</v>
      </c>
      <c r="K47" s="13">
        <v>0.37</v>
      </c>
      <c r="L47" s="13">
        <v>0.44</v>
      </c>
      <c r="M47" s="13">
        <v>0.47</v>
      </c>
    </row>
    <row r="50" spans="1:1" x14ac:dyDescent="0.25">
      <c r="A50" s="37" t="str">
        <f>"0.00"</f>
        <v>0.00</v>
      </c>
    </row>
    <row r="51" spans="1:1" x14ac:dyDescent="0.25">
      <c r="A51" s="37" t="str">
        <f t="shared" ref="A51:A69" si="0">"\textbf{"&amp;A29&amp;"} &amp; "&amp;TEXT(B29,formatResults)&amp;" &amp; "&amp;TEXT(C29,formatResults)&amp;" &amp; "&amp;TEXT(D29,formatResults)&amp;" &amp; "&amp;TEXT(E29,formatResults)&amp;" &amp; "&amp;TEXT(F29,formatResults)&amp;" &amp; "&amp;TEXT(G29,formatResults)&amp;" \\"</f>
        <v>\textbf{GDP in volume} &amp; -0.56 &amp; -0.80 &amp; -0.89 &amp; -0.95 &amp; -0.87 &amp; -0.42 \\</v>
      </c>
    </row>
    <row r="52" spans="1:1" x14ac:dyDescent="0.25">
      <c r="A52" s="37" t="str">
        <f t="shared" si="0"/>
        <v>\textbf{Household consumption} &amp; -1.02 &amp; -1.43 &amp; -1.57 &amp; -1.63 &amp; -1.47 &amp; -0.68 \\</v>
      </c>
    </row>
    <row r="53" spans="1:1" x14ac:dyDescent="0.25">
      <c r="A53" s="37" t="str">
        <f t="shared" si="0"/>
        <v>\textbf{Investment} &amp; -0.54 &amp; -0.92 &amp; -1.11 &amp; -1.18 &amp; -0.98 &amp; 0.02 \\</v>
      </c>
    </row>
    <row r="54" spans="1:1" x14ac:dyDescent="0.25">
      <c r="A54" s="37" t="str">
        <f t="shared" si="0"/>
        <v>\textbf{Exports} &amp; -0.04 &amp; -0.08 &amp; -0.10 &amp; -0.13 &amp; -0.19 &amp; -0.40 \\</v>
      </c>
    </row>
    <row r="55" spans="1:1" x14ac:dyDescent="0.25">
      <c r="A55" s="37" t="str">
        <f t="shared" si="0"/>
        <v>\textbf{Imports} &amp; -0.59 &amp; -0.88 &amp; -1.00 &amp; -1.03 &amp; -0.88 &amp; -0.28 \\</v>
      </c>
    </row>
    <row r="56" spans="1:1" x14ac:dyDescent="0.25">
      <c r="A56" s="37" t="str">
        <f t="shared" si="0"/>
        <v>\textbf{Household disposable income } &amp; -1.50 &amp; -1.49 &amp; -1.49 &amp; -1.55 &amp; -1.44 &amp; -0.68 \\</v>
      </c>
    </row>
    <row r="57" spans="1:1" x14ac:dyDescent="0.25">
      <c r="A57" s="37" t="str">
        <f t="shared" si="0"/>
        <v>\textbf{Saving rate} &amp; -0.43 &amp; -0.06 &amp; 0.07 &amp; 0.08 &amp; 0.03 &amp; 0.00 \\</v>
      </c>
    </row>
    <row r="58" spans="1:1" x14ac:dyDescent="0.25">
      <c r="A58" s="37" t="str">
        <f t="shared" si="0"/>
        <v>\textbf{Household consumption price index} &amp; 1.79 &amp; 1.78 &amp; 1.78 &amp; 1.79 &amp; 1.72 &amp; 1.38 \\</v>
      </c>
    </row>
    <row r="59" spans="1:1" x14ac:dyDescent="0.25">
      <c r="A59" s="37" t="str">
        <f t="shared" si="0"/>
        <v>\textbf{Production price index} &amp; 0.16 &amp; 0.19 &amp; 0.20 &amp; 0.25 &amp; 0.33 &amp; 0.60 \\</v>
      </c>
    </row>
    <row r="60" spans="1:1" x14ac:dyDescent="0.25">
      <c r="A60" s="37" t="str">
        <f t="shared" si="0"/>
        <v>\textbf{Added value price index} &amp; 0.20 &amp; 0.23 &amp; 0.24 &amp; 0.29 &amp; 0.38 &amp; 0.70 \\</v>
      </c>
    </row>
    <row r="61" spans="1:1" x14ac:dyDescent="0.25">
      <c r="A61" s="37" t="str">
        <f t="shared" si="0"/>
        <v>\textbf{Intermediate consumption price index} &amp; 0.12 &amp; 0.15 &amp; 0.16 &amp; 0.22 &amp; 0.29 &amp; 0.50 \\</v>
      </c>
    </row>
    <row r="62" spans="1:1" x14ac:dyDescent="0.25">
      <c r="A62" s="37" t="str">
        <f t="shared" si="0"/>
        <v>\textbf{Export price index} &amp; 0.17 &amp; 0.20 &amp; 0.19 &amp; 0.21 &amp; 0.27 &amp; 0.51 \\</v>
      </c>
    </row>
    <row r="63" spans="1:1" x14ac:dyDescent="0.25">
      <c r="A63" s="37" t="str">
        <f t="shared" si="0"/>
        <v>\textbf{Import price index} &amp; 0.00 &amp; 0.00 &amp; 0.00 &amp; 0.00 &amp; 0.00 &amp; 0.00 \\</v>
      </c>
    </row>
    <row r="64" spans="1:1" x14ac:dyDescent="0.25">
      <c r="A64" s="37" t="str">
        <f t="shared" si="0"/>
        <v>\textbf{Gross nominal wage} &amp; -0.13 &amp; 0.15 &amp; 0.39 &amp; 0.60 &amp; 0.64 &amp; 0.82 \\</v>
      </c>
    </row>
    <row r="65" spans="1:1" x14ac:dyDescent="0.25">
      <c r="A65" s="37" t="str">
        <f t="shared" si="0"/>
        <v>\textbf{Real cost of labor} &amp; -0.33 &amp; -0.08 &amp; 0.15 &amp; 0.31 &amp; 0.26 &amp; 0.12 \\</v>
      </c>
    </row>
    <row r="66" spans="1:1" x14ac:dyDescent="0.25">
      <c r="A66" s="37" t="str">
        <f t="shared" si="0"/>
        <v>\textbf{Wage employment (in thousands)} &amp; -58.38 &amp; -124.94 &amp; -178.45 &amp; -240.29 &amp; -256.89 &amp; -138.09 \\</v>
      </c>
    </row>
    <row r="67" spans="1:1" x14ac:dyDescent="0.25">
      <c r="A67" s="37" t="str">
        <f t="shared" si="0"/>
        <v>\textbf{Unemployment rate} &amp; 0.17 &amp; 0.36 &amp; 0.49 &amp; 0.63 &amp; 0.64 &amp; 0.32 \\</v>
      </c>
    </row>
    <row r="68" spans="1:1" x14ac:dyDescent="0.25">
      <c r="A68" s="37" t="str">
        <f t="shared" si="0"/>
        <v>\textbf{Trade balance (in points of GDP)} &amp; 0.20 &amp; 0.27 &amp; 0.29 &amp; 0.29 &amp; 0.25 &amp; 0.11 \\</v>
      </c>
    </row>
    <row r="69" spans="1:1" x14ac:dyDescent="0.25">
      <c r="A69" s="37" t="str">
        <f t="shared" si="0"/>
        <v>\textbf{Public budget balance (in points of GDP)} &amp; 0.44 &amp; 0.30 &amp; 0.19 &amp; 0.03 &amp; 0.01 &amp; 0.15 \\</v>
      </c>
    </row>
  </sheetData>
  <mergeCells count="6">
    <mergeCell ref="B2:G2"/>
    <mergeCell ref="H2:M2"/>
    <mergeCell ref="B27:G27"/>
    <mergeCell ref="H27:M27"/>
    <mergeCell ref="B1:M1"/>
    <mergeCell ref="B26:M2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6"/>
  <dimension ref="A1:M69"/>
  <sheetViews>
    <sheetView workbookViewId="0">
      <selection activeCell="G29" sqref="G29"/>
    </sheetView>
  </sheetViews>
  <sheetFormatPr defaultColWidth="11" defaultRowHeight="15.75" x14ac:dyDescent="0.25"/>
  <cols>
    <col min="1" max="1" width="37.125" style="37" customWidth="1"/>
    <col min="2" max="16384" width="11" style="37"/>
  </cols>
  <sheetData>
    <row r="1" spans="1:13" ht="30" customHeight="1" x14ac:dyDescent="0.25">
      <c r="A1" s="34" t="s">
        <v>48</v>
      </c>
      <c r="B1" s="66" t="s">
        <v>86</v>
      </c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</row>
    <row r="2" spans="1:13" ht="29.25" customHeight="1" x14ac:dyDescent="0.25">
      <c r="A2" s="38"/>
      <c r="B2" s="47" t="s">
        <v>45</v>
      </c>
      <c r="C2" s="47"/>
      <c r="D2" s="47"/>
      <c r="E2" s="47"/>
      <c r="F2" s="47"/>
      <c r="G2" s="48"/>
      <c r="H2" s="49" t="s">
        <v>46</v>
      </c>
      <c r="I2" s="50"/>
      <c r="J2" s="50"/>
      <c r="K2" s="50"/>
      <c r="L2" s="50"/>
      <c r="M2" s="51"/>
    </row>
    <row r="3" spans="1:13" x14ac:dyDescent="0.25">
      <c r="A3" s="39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90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TRANSPOSE(INCT1!$B$3:$T$8)</f>
        <v>0.59490399999999999</v>
      </c>
      <c r="C4" s="29">
        <v>0.93492900000000001</v>
      </c>
      <c r="D4" s="29">
        <v>1.133408</v>
      </c>
      <c r="E4" s="29">
        <v>1.2758229999999999</v>
      </c>
      <c r="F4" s="29">
        <v>1.068308</v>
      </c>
      <c r="G4" s="30">
        <v>0.79915800000000004</v>
      </c>
      <c r="H4" s="12">
        <v>0.41</v>
      </c>
      <c r="I4" s="36">
        <v>0.83</v>
      </c>
      <c r="J4" s="36">
        <v>0.88</v>
      </c>
      <c r="K4" s="36">
        <v>0.81</v>
      </c>
      <c r="L4" s="36">
        <v>0.87</v>
      </c>
      <c r="M4" s="32">
        <v>1.05</v>
      </c>
    </row>
    <row r="5" spans="1:13" x14ac:dyDescent="0.25">
      <c r="A5" s="31" t="s">
        <v>8</v>
      </c>
      <c r="B5" s="29">
        <v>1.213775</v>
      </c>
      <c r="C5" s="29">
        <v>1.9227399999999999</v>
      </c>
      <c r="D5" s="29">
        <v>2.3753380000000002</v>
      </c>
      <c r="E5" s="29">
        <v>2.8651010000000001</v>
      </c>
      <c r="F5" s="29">
        <v>3.0524339999999999</v>
      </c>
      <c r="G5" s="30">
        <v>2.409878</v>
      </c>
      <c r="H5" s="12">
        <v>0.81</v>
      </c>
      <c r="I5" s="36">
        <v>1.66</v>
      </c>
      <c r="J5" s="36">
        <v>1.9</v>
      </c>
      <c r="K5" s="36">
        <v>2.0099999999999998</v>
      </c>
      <c r="L5" s="36">
        <v>2.06</v>
      </c>
      <c r="M5" s="32">
        <v>2.27</v>
      </c>
    </row>
    <row r="6" spans="1:13" x14ac:dyDescent="0.25">
      <c r="A6" s="31" t="s">
        <v>9</v>
      </c>
      <c r="B6" s="29">
        <v>0.30624600000000002</v>
      </c>
      <c r="C6" s="29">
        <v>0.62561900000000004</v>
      </c>
      <c r="D6" s="29">
        <v>0.868147</v>
      </c>
      <c r="E6" s="29">
        <v>1.1192979999999999</v>
      </c>
      <c r="F6" s="29">
        <v>1.211625</v>
      </c>
      <c r="G6" s="30">
        <v>1.051369</v>
      </c>
      <c r="H6" s="12">
        <v>0.61</v>
      </c>
      <c r="I6" s="36">
        <v>1.6</v>
      </c>
      <c r="J6" s="36">
        <v>1.65</v>
      </c>
      <c r="K6" s="36">
        <v>1.23</v>
      </c>
      <c r="L6" s="36">
        <v>1.1499999999999999</v>
      </c>
      <c r="M6" s="32">
        <v>1.27</v>
      </c>
    </row>
    <row r="7" spans="1:13" x14ac:dyDescent="0.25">
      <c r="A7" s="31" t="s">
        <v>11</v>
      </c>
      <c r="B7" s="29">
        <v>-2.5330999999999999E-2</v>
      </c>
      <c r="C7" s="29">
        <v>-9.5140000000000002E-2</v>
      </c>
      <c r="D7" s="29">
        <v>-0.21613399999999999</v>
      </c>
      <c r="E7" s="29">
        <v>-0.58723099999999995</v>
      </c>
      <c r="F7" s="29">
        <v>-1.634196</v>
      </c>
      <c r="G7" s="30">
        <v>-1.511171</v>
      </c>
      <c r="H7" s="12">
        <v>0.04</v>
      </c>
      <c r="I7" s="36">
        <v>0.01</v>
      </c>
      <c r="J7" s="36">
        <v>-7.0000000000000007E-2</v>
      </c>
      <c r="K7" s="36">
        <v>-0.13</v>
      </c>
      <c r="L7" s="36">
        <v>0.01</v>
      </c>
      <c r="M7" s="32">
        <v>0.28000000000000003</v>
      </c>
    </row>
    <row r="8" spans="1:13" x14ac:dyDescent="0.25">
      <c r="A8" s="31" t="s">
        <v>12</v>
      </c>
      <c r="B8" s="29">
        <v>0.64540399999999998</v>
      </c>
      <c r="C8" s="29">
        <v>1.104454</v>
      </c>
      <c r="D8" s="29">
        <v>1.428013</v>
      </c>
      <c r="E8" s="29">
        <v>1.8299160000000001</v>
      </c>
      <c r="F8" s="29">
        <v>2.1662699999999999</v>
      </c>
      <c r="G8" s="30">
        <v>1.749603</v>
      </c>
      <c r="H8" s="12">
        <v>0.7</v>
      </c>
      <c r="I8" s="36">
        <v>1.42</v>
      </c>
      <c r="J8" s="36">
        <v>1.43</v>
      </c>
      <c r="K8" s="36">
        <v>1.27</v>
      </c>
      <c r="L8" s="36">
        <v>1.24</v>
      </c>
      <c r="M8" s="32">
        <v>1.31</v>
      </c>
    </row>
    <row r="9" spans="1:13" x14ac:dyDescent="0.25">
      <c r="A9" s="31" t="s">
        <v>32</v>
      </c>
      <c r="B9" s="29">
        <v>1.790049</v>
      </c>
      <c r="C9" s="29">
        <v>2.1045120000000002</v>
      </c>
      <c r="D9" s="29">
        <v>2.3866260000000001</v>
      </c>
      <c r="E9" s="29">
        <v>2.7666710000000001</v>
      </c>
      <c r="F9" s="29">
        <v>2.9861339999999998</v>
      </c>
      <c r="G9" s="30">
        <v>2.4130639999999999</v>
      </c>
      <c r="H9" s="12">
        <v>1.7</v>
      </c>
      <c r="I9" s="36">
        <v>1.82</v>
      </c>
      <c r="J9" s="36">
        <v>1.92</v>
      </c>
      <c r="K9" s="36">
        <v>2.04</v>
      </c>
      <c r="L9" s="36">
        <v>2.06</v>
      </c>
      <c r="M9" s="32">
        <v>2.27</v>
      </c>
    </row>
    <row r="10" spans="1:13" x14ac:dyDescent="0.25">
      <c r="A10" s="31" t="s">
        <v>33</v>
      </c>
      <c r="B10" s="29">
        <v>0.50738799999999995</v>
      </c>
      <c r="C10" s="29">
        <v>0.159551</v>
      </c>
      <c r="D10" s="29">
        <v>9.8809999999999992E-3</v>
      </c>
      <c r="E10" s="29">
        <v>-8.584E-2</v>
      </c>
      <c r="F10" s="29">
        <v>-5.7696999999999998E-2</v>
      </c>
      <c r="G10" s="30">
        <v>2.7880000000000001E-3</v>
      </c>
      <c r="H10" s="12">
        <v>0.75</v>
      </c>
      <c r="I10" s="36">
        <v>0.14000000000000001</v>
      </c>
      <c r="J10" s="36">
        <v>0.02</v>
      </c>
      <c r="K10" s="36">
        <v>0.03</v>
      </c>
      <c r="L10" s="36">
        <v>0</v>
      </c>
      <c r="M10" s="32">
        <v>0</v>
      </c>
    </row>
    <row r="11" spans="1:13" x14ac:dyDescent="0.25">
      <c r="A11" s="31" t="s">
        <v>34</v>
      </c>
      <c r="B11" s="29">
        <v>0.103829</v>
      </c>
      <c r="C11" s="29">
        <v>0.31430799999999998</v>
      </c>
      <c r="D11" s="29">
        <v>0.60359799999999997</v>
      </c>
      <c r="E11" s="29">
        <v>1.282897</v>
      </c>
      <c r="F11" s="29">
        <v>2.5136500000000002</v>
      </c>
      <c r="G11" s="30">
        <v>1.8151630000000001</v>
      </c>
      <c r="H11" s="12">
        <v>0.04</v>
      </c>
      <c r="I11" s="36">
        <v>0.21</v>
      </c>
      <c r="J11" s="36">
        <v>0.34</v>
      </c>
      <c r="K11" s="36">
        <v>0.35</v>
      </c>
      <c r="L11" s="36">
        <v>0.14000000000000001</v>
      </c>
      <c r="M11" s="32">
        <v>-0.18</v>
      </c>
    </row>
    <row r="12" spans="1:13" x14ac:dyDescent="0.25">
      <c r="A12" s="31" t="s">
        <v>35</v>
      </c>
      <c r="B12" s="29">
        <v>0.123345</v>
      </c>
      <c r="C12" s="29">
        <v>0.37508200000000003</v>
      </c>
      <c r="D12" s="29">
        <v>0.72148100000000004</v>
      </c>
      <c r="E12" s="29">
        <v>1.5312619999999999</v>
      </c>
      <c r="F12" s="29">
        <v>2.9725869999999999</v>
      </c>
      <c r="G12" s="30">
        <v>2.136755</v>
      </c>
      <c r="H12" s="12">
        <v>0.04</v>
      </c>
      <c r="I12" s="36">
        <v>0.2</v>
      </c>
      <c r="J12" s="36">
        <v>0.33</v>
      </c>
      <c r="K12" s="36">
        <v>0.34</v>
      </c>
      <c r="L12" s="36">
        <v>0.12</v>
      </c>
      <c r="M12" s="32">
        <v>-0.19</v>
      </c>
    </row>
    <row r="13" spans="1:13" x14ac:dyDescent="0.25">
      <c r="A13" s="31" t="s">
        <v>36</v>
      </c>
      <c r="B13" s="29">
        <v>0.14579300000000001</v>
      </c>
      <c r="C13" s="29">
        <v>0.44394899999999998</v>
      </c>
      <c r="D13" s="29">
        <v>0.85424100000000003</v>
      </c>
      <c r="E13" s="29">
        <v>1.8114220000000001</v>
      </c>
      <c r="F13" s="29">
        <v>3.503317</v>
      </c>
      <c r="G13" s="30">
        <v>2.513503</v>
      </c>
      <c r="H13" s="12">
        <v>0.04</v>
      </c>
      <c r="I13" s="36">
        <v>0.26</v>
      </c>
      <c r="J13" s="36">
        <v>0.41</v>
      </c>
      <c r="K13" s="36">
        <v>0.41</v>
      </c>
      <c r="L13" s="36">
        <v>0.17</v>
      </c>
      <c r="M13" s="32">
        <v>-0.22</v>
      </c>
    </row>
    <row r="14" spans="1:13" x14ac:dyDescent="0.25">
      <c r="A14" s="31" t="s">
        <v>37</v>
      </c>
      <c r="B14" s="29">
        <v>0.101049</v>
      </c>
      <c r="C14" s="29">
        <v>0.30669999999999997</v>
      </c>
      <c r="D14" s="29">
        <v>0.58968500000000001</v>
      </c>
      <c r="E14" s="29">
        <v>1.253144</v>
      </c>
      <c r="F14" s="29">
        <v>2.4452880000000001</v>
      </c>
      <c r="G14" s="30">
        <v>1.7624949999999999</v>
      </c>
      <c r="H14" s="12">
        <v>0.03</v>
      </c>
      <c r="I14" s="36">
        <v>0.18</v>
      </c>
      <c r="J14" s="36">
        <v>0.32</v>
      </c>
      <c r="K14" s="36">
        <v>0.35</v>
      </c>
      <c r="L14" s="36">
        <v>0.13</v>
      </c>
      <c r="M14" s="32">
        <v>-0.17</v>
      </c>
    </row>
    <row r="15" spans="1:13" x14ac:dyDescent="0.25">
      <c r="A15" s="31" t="s">
        <v>38</v>
      </c>
      <c r="B15" s="29">
        <v>0.105616</v>
      </c>
      <c r="C15" s="29">
        <v>0.32324000000000003</v>
      </c>
      <c r="D15" s="29">
        <v>0.62587700000000002</v>
      </c>
      <c r="E15" s="29">
        <v>1.3407739999999999</v>
      </c>
      <c r="F15" s="29">
        <v>2.6097109999999999</v>
      </c>
      <c r="G15" s="30">
        <v>1.871783</v>
      </c>
      <c r="H15" s="12">
        <v>0.02</v>
      </c>
      <c r="I15" s="36">
        <v>0.14000000000000001</v>
      </c>
      <c r="J15" s="36">
        <v>0.26</v>
      </c>
      <c r="K15" s="36">
        <v>0.31</v>
      </c>
      <c r="L15" s="36">
        <v>0.12</v>
      </c>
      <c r="M15" s="32">
        <v>-0.15</v>
      </c>
    </row>
    <row r="16" spans="1:13" x14ac:dyDescent="0.25">
      <c r="A16" s="31" t="s">
        <v>39</v>
      </c>
      <c r="B16" s="29">
        <v>-9.8000000000000004E-8</v>
      </c>
      <c r="C16" s="29">
        <v>-1.92E-7</v>
      </c>
      <c r="D16" s="29">
        <v>-2.8299999999999998E-7</v>
      </c>
      <c r="E16" s="29">
        <v>-5.4300000000000003E-7</v>
      </c>
      <c r="F16" s="29">
        <v>-8.1999999999999998E-7</v>
      </c>
      <c r="G16" s="30">
        <v>-7.9999999999999996E-7</v>
      </c>
      <c r="H16" s="12">
        <v>0.05</v>
      </c>
      <c r="I16" s="36">
        <v>0.17</v>
      </c>
      <c r="J16" s="36">
        <v>0.27</v>
      </c>
      <c r="K16" s="36">
        <v>0.3</v>
      </c>
      <c r="L16" s="36">
        <v>0.11</v>
      </c>
      <c r="M16" s="32">
        <v>-0.13</v>
      </c>
    </row>
    <row r="17" spans="1:13" x14ac:dyDescent="0.25">
      <c r="A17" s="31" t="s">
        <v>40</v>
      </c>
      <c r="B17" s="29">
        <v>0.168932</v>
      </c>
      <c r="C17" s="29">
        <v>0.49382799999999999</v>
      </c>
      <c r="D17" s="29">
        <v>0.91916799999999999</v>
      </c>
      <c r="E17" s="29">
        <v>1.8607100000000001</v>
      </c>
      <c r="F17" s="29">
        <v>3.4575879999999999</v>
      </c>
      <c r="G17" s="30">
        <v>2.5795560000000002</v>
      </c>
      <c r="H17" s="12">
        <v>0.05</v>
      </c>
      <c r="I17" s="36">
        <v>0.09</v>
      </c>
      <c r="J17" s="36">
        <v>0.09</v>
      </c>
      <c r="K17" s="36">
        <v>0.05</v>
      </c>
      <c r="L17" s="36">
        <v>-0.16</v>
      </c>
      <c r="M17" s="32">
        <v>-0.25</v>
      </c>
    </row>
    <row r="18" spans="1:13" x14ac:dyDescent="0.25">
      <c r="A18" s="31" t="s">
        <v>16</v>
      </c>
      <c r="B18" s="29">
        <v>2.3105000000000001E-2</v>
      </c>
      <c r="C18" s="29">
        <v>4.9659000000000002E-2</v>
      </c>
      <c r="D18" s="29">
        <v>6.4376000000000003E-2</v>
      </c>
      <c r="E18" s="29">
        <v>4.8411000000000003E-2</v>
      </c>
      <c r="F18" s="29">
        <v>-4.4180999999999998E-2</v>
      </c>
      <c r="G18" s="30">
        <v>6.4434000000000005E-2</v>
      </c>
      <c r="H18" s="12">
        <v>0.01</v>
      </c>
      <c r="I18" s="36">
        <v>-0.16</v>
      </c>
      <c r="J18" s="36">
        <v>-0.32</v>
      </c>
      <c r="K18" s="36">
        <v>-0.35</v>
      </c>
      <c r="L18" s="36">
        <v>-0.33</v>
      </c>
      <c r="M18" s="32">
        <v>-0.03</v>
      </c>
    </row>
    <row r="19" spans="1:13" x14ac:dyDescent="0.25">
      <c r="A19" s="31" t="s">
        <v>41</v>
      </c>
      <c r="B19" s="29">
        <v>77.872500000000002</v>
      </c>
      <c r="C19" s="29">
        <v>169.0384</v>
      </c>
      <c r="D19" s="29">
        <v>244.58580000000001</v>
      </c>
      <c r="E19" s="29">
        <v>321.10969999999998</v>
      </c>
      <c r="F19" s="29">
        <v>242.74299999999999</v>
      </c>
      <c r="G19" s="30">
        <v>176.1592</v>
      </c>
      <c r="H19" s="12">
        <v>24</v>
      </c>
      <c r="I19" s="36">
        <v>109</v>
      </c>
      <c r="J19" s="36">
        <v>174</v>
      </c>
      <c r="K19" s="36">
        <v>184</v>
      </c>
      <c r="L19" s="36">
        <v>181</v>
      </c>
      <c r="M19" s="32">
        <v>200</v>
      </c>
    </row>
    <row r="20" spans="1:13" x14ac:dyDescent="0.25">
      <c r="A20" s="31" t="s">
        <v>42</v>
      </c>
      <c r="B20" s="29">
        <v>-0.23252300000000001</v>
      </c>
      <c r="C20" s="29">
        <v>-0.48395199999999999</v>
      </c>
      <c r="D20" s="29">
        <v>-0.67613299999999998</v>
      </c>
      <c r="E20" s="29">
        <v>-0.84117699999999995</v>
      </c>
      <c r="F20" s="29">
        <v>-0.58877000000000002</v>
      </c>
      <c r="G20" s="30">
        <v>-0.40900199999999998</v>
      </c>
      <c r="H20" s="12">
        <v>-0.1</v>
      </c>
      <c r="I20" s="36">
        <v>-0.45</v>
      </c>
      <c r="J20" s="36">
        <v>-0.72</v>
      </c>
      <c r="K20" s="36">
        <v>-0.77</v>
      </c>
      <c r="L20" s="36">
        <v>-0.75</v>
      </c>
      <c r="M20" s="32">
        <v>-0.83</v>
      </c>
    </row>
    <row r="21" spans="1:13" x14ac:dyDescent="0.25">
      <c r="A21" s="31" t="s">
        <v>43</v>
      </c>
      <c r="B21" s="29">
        <v>-0.130215</v>
      </c>
      <c r="C21" s="29">
        <v>-0.19775300000000001</v>
      </c>
      <c r="D21" s="29">
        <v>-0.22298499999999999</v>
      </c>
      <c r="E21" s="29">
        <v>-0.21922</v>
      </c>
      <c r="F21" s="29">
        <v>-0.22392300000000001</v>
      </c>
      <c r="G21" s="30">
        <v>-0.28836400000000001</v>
      </c>
      <c r="H21" s="12">
        <v>-0.21</v>
      </c>
      <c r="I21" s="36">
        <v>-0.44</v>
      </c>
      <c r="J21" s="36">
        <v>-0.47</v>
      </c>
      <c r="K21" s="36">
        <v>-0.44</v>
      </c>
      <c r="L21" s="36">
        <v>-0.38</v>
      </c>
      <c r="M21" s="32">
        <v>-0.33</v>
      </c>
    </row>
    <row r="22" spans="1:13" x14ac:dyDescent="0.25">
      <c r="A22" s="31" t="s">
        <v>44</v>
      </c>
      <c r="B22" s="29">
        <v>-0.70904299999999998</v>
      </c>
      <c r="C22" s="29">
        <v>-0.453044</v>
      </c>
      <c r="D22" s="29">
        <v>-0.26133800000000001</v>
      </c>
      <c r="E22" s="29">
        <v>-5.6204999999999998E-2</v>
      </c>
      <c r="F22" s="29">
        <v>-3.4574000000000001E-2</v>
      </c>
      <c r="G22" s="30">
        <v>-0.43825900000000001</v>
      </c>
      <c r="H22" s="12">
        <v>-0.81</v>
      </c>
      <c r="I22" s="36">
        <v>-0.5</v>
      </c>
      <c r="J22" s="36">
        <v>-0.42</v>
      </c>
      <c r="K22" s="36">
        <v>-0.51</v>
      </c>
      <c r="L22" s="36">
        <v>-0.5</v>
      </c>
      <c r="M22" s="32">
        <v>-0.43</v>
      </c>
    </row>
    <row r="23" spans="1:13" x14ac:dyDescent="0.25">
      <c r="A23" s="40"/>
      <c r="B23" s="40"/>
      <c r="C23" s="40"/>
      <c r="D23" s="40"/>
      <c r="E23" s="40"/>
      <c r="F23" s="40"/>
      <c r="G23" s="40"/>
      <c r="I23" s="40"/>
    </row>
    <row r="24" spans="1:13" x14ac:dyDescent="0.25">
      <c r="A24" s="40"/>
      <c r="B24" s="40"/>
      <c r="C24" s="40"/>
      <c r="D24" s="40"/>
      <c r="E24" s="40"/>
      <c r="F24" s="40"/>
      <c r="G24" s="40"/>
    </row>
    <row r="26" spans="1:13" ht="30" x14ac:dyDescent="0.25">
      <c r="A26" s="34" t="s">
        <v>83</v>
      </c>
      <c r="B26" s="67" t="s">
        <v>88</v>
      </c>
      <c r="C26" s="67"/>
      <c r="D26" s="67"/>
      <c r="E26" s="67"/>
      <c r="F26" s="67"/>
      <c r="G26" s="67"/>
      <c r="H26" s="67"/>
      <c r="I26" s="67"/>
      <c r="J26" s="67"/>
      <c r="K26" s="67"/>
      <c r="L26" s="67"/>
      <c r="M26" s="67"/>
    </row>
    <row r="27" spans="1:13" x14ac:dyDescent="0.25">
      <c r="A27" s="38"/>
      <c r="B27" s="47" t="s">
        <v>45</v>
      </c>
      <c r="C27" s="47"/>
      <c r="D27" s="47"/>
      <c r="E27" s="47"/>
      <c r="F27" s="47"/>
      <c r="G27" s="48"/>
      <c r="H27" s="49" t="s">
        <v>46</v>
      </c>
      <c r="I27" s="50"/>
      <c r="J27" s="50"/>
      <c r="K27" s="50"/>
      <c r="L27" s="50"/>
      <c r="M27" s="51"/>
    </row>
    <row r="28" spans="1:13" x14ac:dyDescent="0.25">
      <c r="A28" s="39"/>
      <c r="B28" s="9" t="s">
        <v>59</v>
      </c>
      <c r="C28" s="9" t="s">
        <v>60</v>
      </c>
      <c r="D28" s="9" t="s">
        <v>61</v>
      </c>
      <c r="E28" s="9" t="s">
        <v>62</v>
      </c>
      <c r="F28" s="9" t="s">
        <v>63</v>
      </c>
      <c r="G28" s="11" t="s">
        <v>90</v>
      </c>
      <c r="H28" s="24" t="s">
        <v>59</v>
      </c>
      <c r="I28" s="10" t="s">
        <v>60</v>
      </c>
      <c r="J28" s="10" t="s">
        <v>65</v>
      </c>
      <c r="K28" s="10" t="s">
        <v>62</v>
      </c>
      <c r="L28" s="10" t="s">
        <v>63</v>
      </c>
      <c r="M28" s="25" t="s">
        <v>64</v>
      </c>
    </row>
    <row r="29" spans="1:13" x14ac:dyDescent="0.25">
      <c r="A29" s="31" t="s">
        <v>89</v>
      </c>
      <c r="B29" s="29">
        <f t="array" ref="B29:G47">TRANSPOSE(INCT1!$B$3:$T$8)</f>
        <v>0.59490399999999999</v>
      </c>
      <c r="C29" s="29">
        <v>0.93492900000000001</v>
      </c>
      <c r="D29" s="29">
        <v>1.133408</v>
      </c>
      <c r="E29" s="29">
        <v>1.2758229999999999</v>
      </c>
      <c r="F29" s="29">
        <v>1.068308</v>
      </c>
      <c r="G29" s="30">
        <v>0.79915800000000004</v>
      </c>
      <c r="H29" s="12">
        <v>0.41</v>
      </c>
      <c r="I29" s="36">
        <v>0.83</v>
      </c>
      <c r="J29" s="36">
        <v>0.88</v>
      </c>
      <c r="K29" s="36">
        <v>0.81</v>
      </c>
      <c r="L29" s="36">
        <v>0.87</v>
      </c>
      <c r="M29" s="32">
        <v>1.05</v>
      </c>
    </row>
    <row r="30" spans="1:13" x14ac:dyDescent="0.25">
      <c r="A30" s="31" t="s">
        <v>56</v>
      </c>
      <c r="B30" s="29">
        <v>1.213775</v>
      </c>
      <c r="C30" s="29">
        <v>1.9227399999999999</v>
      </c>
      <c r="D30" s="29">
        <v>2.3753380000000002</v>
      </c>
      <c r="E30" s="29">
        <v>2.8651010000000001</v>
      </c>
      <c r="F30" s="29">
        <v>3.0524339999999999</v>
      </c>
      <c r="G30" s="30">
        <v>2.409878</v>
      </c>
      <c r="H30" s="12">
        <v>0.81</v>
      </c>
      <c r="I30" s="36">
        <v>1.66</v>
      </c>
      <c r="J30" s="36">
        <v>1.9</v>
      </c>
      <c r="K30" s="36">
        <v>2.0099999999999998</v>
      </c>
      <c r="L30" s="36">
        <v>2.06</v>
      </c>
      <c r="M30" s="32">
        <v>2.27</v>
      </c>
    </row>
    <row r="31" spans="1:13" x14ac:dyDescent="0.25">
      <c r="A31" s="31" t="s">
        <v>53</v>
      </c>
      <c r="B31" s="29">
        <v>0.30624600000000002</v>
      </c>
      <c r="C31" s="29">
        <v>0.62561900000000004</v>
      </c>
      <c r="D31" s="29">
        <v>0.868147</v>
      </c>
      <c r="E31" s="29">
        <v>1.1192979999999999</v>
      </c>
      <c r="F31" s="29">
        <v>1.211625</v>
      </c>
      <c r="G31" s="30">
        <v>1.051369</v>
      </c>
      <c r="H31" s="12">
        <v>0.61</v>
      </c>
      <c r="I31" s="36">
        <v>1.6</v>
      </c>
      <c r="J31" s="36">
        <v>1.65</v>
      </c>
      <c r="K31" s="36">
        <v>1.23</v>
      </c>
      <c r="L31" s="36">
        <v>1.1499999999999999</v>
      </c>
      <c r="M31" s="32">
        <v>1.27</v>
      </c>
    </row>
    <row r="32" spans="1:13" x14ac:dyDescent="0.25">
      <c r="A32" s="31" t="s">
        <v>54</v>
      </c>
      <c r="B32" s="29">
        <v>-2.5330999999999999E-2</v>
      </c>
      <c r="C32" s="29">
        <v>-9.5140000000000002E-2</v>
      </c>
      <c r="D32" s="29">
        <v>-0.21613399999999999</v>
      </c>
      <c r="E32" s="29">
        <v>-0.58723099999999995</v>
      </c>
      <c r="F32" s="29">
        <v>-1.634196</v>
      </c>
      <c r="G32" s="30">
        <v>-1.511171</v>
      </c>
      <c r="H32" s="12">
        <v>0.04</v>
      </c>
      <c r="I32" s="36">
        <v>0.01</v>
      </c>
      <c r="J32" s="36">
        <v>-7.0000000000000007E-2</v>
      </c>
      <c r="K32" s="36">
        <v>-0.13</v>
      </c>
      <c r="L32" s="36">
        <v>0.01</v>
      </c>
      <c r="M32" s="32">
        <v>0.28000000000000003</v>
      </c>
    </row>
    <row r="33" spans="1:13" x14ac:dyDescent="0.25">
      <c r="A33" s="31" t="s">
        <v>55</v>
      </c>
      <c r="B33" s="29">
        <v>0.64540399999999998</v>
      </c>
      <c r="C33" s="29">
        <v>1.104454</v>
      </c>
      <c r="D33" s="29">
        <v>1.428013</v>
      </c>
      <c r="E33" s="29">
        <v>1.8299160000000001</v>
      </c>
      <c r="F33" s="29">
        <v>2.1662699999999999</v>
      </c>
      <c r="G33" s="30">
        <v>1.749603</v>
      </c>
      <c r="H33" s="12">
        <v>0.7</v>
      </c>
      <c r="I33" s="36">
        <v>1.42</v>
      </c>
      <c r="J33" s="36">
        <v>1.43</v>
      </c>
      <c r="K33" s="36">
        <v>1.27</v>
      </c>
      <c r="L33" s="36">
        <v>1.24</v>
      </c>
      <c r="M33" s="32">
        <v>1.31</v>
      </c>
    </row>
    <row r="34" spans="1:13" x14ac:dyDescent="0.25">
      <c r="A34" s="31" t="s">
        <v>57</v>
      </c>
      <c r="B34" s="29">
        <v>1.790049</v>
      </c>
      <c r="C34" s="29">
        <v>2.1045120000000002</v>
      </c>
      <c r="D34" s="29">
        <v>2.3866260000000001</v>
      </c>
      <c r="E34" s="29">
        <v>2.7666710000000001</v>
      </c>
      <c r="F34" s="29">
        <v>2.9861339999999998</v>
      </c>
      <c r="G34" s="30">
        <v>2.4130639999999999</v>
      </c>
      <c r="H34" s="12">
        <v>1.7</v>
      </c>
      <c r="I34" s="36">
        <v>1.82</v>
      </c>
      <c r="J34" s="36">
        <v>1.92</v>
      </c>
      <c r="K34" s="36">
        <v>2.04</v>
      </c>
      <c r="L34" s="36">
        <v>2.06</v>
      </c>
      <c r="M34" s="32">
        <v>2.27</v>
      </c>
    </row>
    <row r="35" spans="1:13" x14ac:dyDescent="0.25">
      <c r="A35" s="31" t="s">
        <v>58</v>
      </c>
      <c r="B35" s="29">
        <v>0.50738799999999995</v>
      </c>
      <c r="C35" s="29">
        <v>0.159551</v>
      </c>
      <c r="D35" s="29">
        <v>9.8809999999999992E-3</v>
      </c>
      <c r="E35" s="29">
        <v>-8.584E-2</v>
      </c>
      <c r="F35" s="29">
        <v>-5.7696999999999998E-2</v>
      </c>
      <c r="G35" s="30">
        <v>2.7880000000000001E-3</v>
      </c>
      <c r="H35" s="12">
        <v>0.75</v>
      </c>
      <c r="I35" s="36">
        <v>0.14000000000000001</v>
      </c>
      <c r="J35" s="36">
        <v>0.02</v>
      </c>
      <c r="K35" s="36">
        <v>0.03</v>
      </c>
      <c r="L35" s="36">
        <v>0</v>
      </c>
      <c r="M35" s="32">
        <v>0</v>
      </c>
    </row>
    <row r="36" spans="1:13" x14ac:dyDescent="0.25">
      <c r="A36" s="31" t="s">
        <v>69</v>
      </c>
      <c r="B36" s="29">
        <v>0.103829</v>
      </c>
      <c r="C36" s="29">
        <v>0.31430799999999998</v>
      </c>
      <c r="D36" s="29">
        <v>0.60359799999999997</v>
      </c>
      <c r="E36" s="29">
        <v>1.282897</v>
      </c>
      <c r="F36" s="29">
        <v>2.5136500000000002</v>
      </c>
      <c r="G36" s="30">
        <v>1.8151630000000001</v>
      </c>
      <c r="H36" s="12">
        <v>0.04</v>
      </c>
      <c r="I36" s="36">
        <v>0.21</v>
      </c>
      <c r="J36" s="36">
        <v>0.34</v>
      </c>
      <c r="K36" s="36">
        <v>0.35</v>
      </c>
      <c r="L36" s="36">
        <v>0.14000000000000001</v>
      </c>
      <c r="M36" s="32">
        <v>-0.18</v>
      </c>
    </row>
    <row r="37" spans="1:13" x14ac:dyDescent="0.25">
      <c r="A37" s="31" t="s">
        <v>70</v>
      </c>
      <c r="B37" s="29">
        <v>0.123345</v>
      </c>
      <c r="C37" s="29">
        <v>0.37508200000000003</v>
      </c>
      <c r="D37" s="29">
        <v>0.72148100000000004</v>
      </c>
      <c r="E37" s="29">
        <v>1.5312619999999999</v>
      </c>
      <c r="F37" s="29">
        <v>2.9725869999999999</v>
      </c>
      <c r="G37" s="30">
        <v>2.136755</v>
      </c>
      <c r="H37" s="12">
        <v>0.04</v>
      </c>
      <c r="I37" s="36">
        <v>0.2</v>
      </c>
      <c r="J37" s="36">
        <v>0.33</v>
      </c>
      <c r="K37" s="36">
        <v>0.34</v>
      </c>
      <c r="L37" s="36">
        <v>0.12</v>
      </c>
      <c r="M37" s="32">
        <v>-0.19</v>
      </c>
    </row>
    <row r="38" spans="1:13" x14ac:dyDescent="0.25">
      <c r="A38" s="31" t="s">
        <v>71</v>
      </c>
      <c r="B38" s="29">
        <v>0.14579300000000001</v>
      </c>
      <c r="C38" s="29">
        <v>0.44394899999999998</v>
      </c>
      <c r="D38" s="29">
        <v>0.85424100000000003</v>
      </c>
      <c r="E38" s="29">
        <v>1.8114220000000001</v>
      </c>
      <c r="F38" s="29">
        <v>3.503317</v>
      </c>
      <c r="G38" s="30">
        <v>2.513503</v>
      </c>
      <c r="H38" s="12">
        <v>0.04</v>
      </c>
      <c r="I38" s="36">
        <v>0.26</v>
      </c>
      <c r="J38" s="36">
        <v>0.41</v>
      </c>
      <c r="K38" s="36">
        <v>0.41</v>
      </c>
      <c r="L38" s="36">
        <v>0.17</v>
      </c>
      <c r="M38" s="32">
        <v>-0.22</v>
      </c>
    </row>
    <row r="39" spans="1:13" x14ac:dyDescent="0.25">
      <c r="A39" s="31" t="s">
        <v>75</v>
      </c>
      <c r="B39" s="29">
        <v>0.101049</v>
      </c>
      <c r="C39" s="29">
        <v>0.30669999999999997</v>
      </c>
      <c r="D39" s="29">
        <v>0.58968500000000001</v>
      </c>
      <c r="E39" s="29">
        <v>1.253144</v>
      </c>
      <c r="F39" s="29">
        <v>2.4452880000000001</v>
      </c>
      <c r="G39" s="30">
        <v>1.7624949999999999</v>
      </c>
      <c r="H39" s="12">
        <v>0.03</v>
      </c>
      <c r="I39" s="36">
        <v>0.18</v>
      </c>
      <c r="J39" s="36">
        <v>0.32</v>
      </c>
      <c r="K39" s="36">
        <v>0.35</v>
      </c>
      <c r="L39" s="36">
        <v>0.13</v>
      </c>
      <c r="M39" s="32">
        <v>-0.17</v>
      </c>
    </row>
    <row r="40" spans="1:13" x14ac:dyDescent="0.25">
      <c r="A40" s="31" t="s">
        <v>67</v>
      </c>
      <c r="B40" s="29">
        <v>0.105616</v>
      </c>
      <c r="C40" s="29">
        <v>0.32324000000000003</v>
      </c>
      <c r="D40" s="29">
        <v>0.62587700000000002</v>
      </c>
      <c r="E40" s="29">
        <v>1.3407739999999999</v>
      </c>
      <c r="F40" s="29">
        <v>2.6097109999999999</v>
      </c>
      <c r="G40" s="30">
        <v>1.871783</v>
      </c>
      <c r="H40" s="12">
        <v>0.02</v>
      </c>
      <c r="I40" s="36">
        <v>0.14000000000000001</v>
      </c>
      <c r="J40" s="36">
        <v>0.26</v>
      </c>
      <c r="K40" s="36">
        <v>0.31</v>
      </c>
      <c r="L40" s="36">
        <v>0.12</v>
      </c>
      <c r="M40" s="32">
        <v>-0.15</v>
      </c>
    </row>
    <row r="41" spans="1:13" x14ac:dyDescent="0.25">
      <c r="A41" s="31" t="s">
        <v>68</v>
      </c>
      <c r="B41" s="29">
        <v>-9.8000000000000004E-8</v>
      </c>
      <c r="C41" s="29">
        <v>-1.92E-7</v>
      </c>
      <c r="D41" s="29">
        <v>-2.8299999999999998E-7</v>
      </c>
      <c r="E41" s="29">
        <v>-5.4300000000000003E-7</v>
      </c>
      <c r="F41" s="29">
        <v>-8.1999999999999998E-7</v>
      </c>
      <c r="G41" s="30">
        <v>-7.9999999999999996E-7</v>
      </c>
      <c r="H41" s="12">
        <v>0.05</v>
      </c>
      <c r="I41" s="36">
        <v>0.17</v>
      </c>
      <c r="J41" s="36">
        <v>0.27</v>
      </c>
      <c r="K41" s="36">
        <v>0.3</v>
      </c>
      <c r="L41" s="36">
        <v>0.11</v>
      </c>
      <c r="M41" s="32">
        <v>-0.13</v>
      </c>
    </row>
    <row r="42" spans="1:13" x14ac:dyDescent="0.25">
      <c r="A42" s="31" t="s">
        <v>72</v>
      </c>
      <c r="B42" s="29">
        <v>0.168932</v>
      </c>
      <c r="C42" s="29">
        <v>0.49382799999999999</v>
      </c>
      <c r="D42" s="29">
        <v>0.91916799999999999</v>
      </c>
      <c r="E42" s="29">
        <v>1.8607100000000001</v>
      </c>
      <c r="F42" s="29">
        <v>3.4575879999999999</v>
      </c>
      <c r="G42" s="30">
        <v>2.5795560000000002</v>
      </c>
      <c r="H42" s="12">
        <v>0.05</v>
      </c>
      <c r="I42" s="36">
        <v>0.09</v>
      </c>
      <c r="J42" s="36">
        <v>0.09</v>
      </c>
      <c r="K42" s="36">
        <v>0.05</v>
      </c>
      <c r="L42" s="36">
        <v>-0.16</v>
      </c>
      <c r="M42" s="32">
        <v>-0.25</v>
      </c>
    </row>
    <row r="43" spans="1:13" x14ac:dyDescent="0.25">
      <c r="A43" s="31" t="s">
        <v>73</v>
      </c>
      <c r="B43" s="29">
        <v>2.3105000000000001E-2</v>
      </c>
      <c r="C43" s="29">
        <v>4.9659000000000002E-2</v>
      </c>
      <c r="D43" s="29">
        <v>6.4376000000000003E-2</v>
      </c>
      <c r="E43" s="29">
        <v>4.8411000000000003E-2</v>
      </c>
      <c r="F43" s="29">
        <v>-4.4180999999999998E-2</v>
      </c>
      <c r="G43" s="30">
        <v>6.4434000000000005E-2</v>
      </c>
      <c r="H43" s="12">
        <v>0.01</v>
      </c>
      <c r="I43" s="36">
        <v>-0.16</v>
      </c>
      <c r="J43" s="36">
        <v>-0.32</v>
      </c>
      <c r="K43" s="36">
        <v>-0.35</v>
      </c>
      <c r="L43" s="36">
        <v>-0.33</v>
      </c>
      <c r="M43" s="32">
        <v>-0.03</v>
      </c>
    </row>
    <row r="44" spans="1:13" x14ac:dyDescent="0.25">
      <c r="A44" s="31" t="s">
        <v>76</v>
      </c>
      <c r="B44" s="29">
        <v>77.872500000000002</v>
      </c>
      <c r="C44" s="29">
        <v>169.0384</v>
      </c>
      <c r="D44" s="29">
        <v>244.58580000000001</v>
      </c>
      <c r="E44" s="29">
        <v>321.10969999999998</v>
      </c>
      <c r="F44" s="29">
        <v>242.74299999999999</v>
      </c>
      <c r="G44" s="30">
        <v>176.1592</v>
      </c>
      <c r="H44" s="12">
        <v>24</v>
      </c>
      <c r="I44" s="36">
        <v>109</v>
      </c>
      <c r="J44" s="36">
        <v>174</v>
      </c>
      <c r="K44" s="36">
        <v>184</v>
      </c>
      <c r="L44" s="36">
        <v>181</v>
      </c>
      <c r="M44" s="32">
        <v>200</v>
      </c>
    </row>
    <row r="45" spans="1:13" x14ac:dyDescent="0.25">
      <c r="A45" s="31" t="s">
        <v>74</v>
      </c>
      <c r="B45" s="29">
        <v>-0.23252300000000001</v>
      </c>
      <c r="C45" s="29">
        <v>-0.48395199999999999</v>
      </c>
      <c r="D45" s="29">
        <v>-0.67613299999999998</v>
      </c>
      <c r="E45" s="29">
        <v>-0.84117699999999995</v>
      </c>
      <c r="F45" s="29">
        <v>-0.58877000000000002</v>
      </c>
      <c r="G45" s="30">
        <v>-0.40900199999999998</v>
      </c>
      <c r="H45" s="12">
        <v>-0.1</v>
      </c>
      <c r="I45" s="36">
        <v>-0.45</v>
      </c>
      <c r="J45" s="36">
        <v>-0.72</v>
      </c>
      <c r="K45" s="36">
        <v>-0.77</v>
      </c>
      <c r="L45" s="36">
        <v>-0.75</v>
      </c>
      <c r="M45" s="32">
        <v>-0.83</v>
      </c>
    </row>
    <row r="46" spans="1:13" x14ac:dyDescent="0.25">
      <c r="A46" s="31" t="s">
        <v>77</v>
      </c>
      <c r="B46" s="29">
        <v>-0.130215</v>
      </c>
      <c r="C46" s="29">
        <v>-0.19775300000000001</v>
      </c>
      <c r="D46" s="29">
        <v>-0.22298499999999999</v>
      </c>
      <c r="E46" s="29">
        <v>-0.21922</v>
      </c>
      <c r="F46" s="29">
        <v>-0.22392300000000001</v>
      </c>
      <c r="G46" s="30">
        <v>-0.28836400000000001</v>
      </c>
      <c r="H46" s="12">
        <v>-0.21</v>
      </c>
      <c r="I46" s="36">
        <v>-0.44</v>
      </c>
      <c r="J46" s="36">
        <v>-0.47</v>
      </c>
      <c r="K46" s="36">
        <v>-0.44</v>
      </c>
      <c r="L46" s="36">
        <v>-0.38</v>
      </c>
      <c r="M46" s="32">
        <v>-0.33</v>
      </c>
    </row>
    <row r="47" spans="1:13" x14ac:dyDescent="0.25">
      <c r="A47" s="45" t="s">
        <v>78</v>
      </c>
      <c r="B47" s="29">
        <v>-0.70904299999999998</v>
      </c>
      <c r="C47" s="29">
        <v>-0.453044</v>
      </c>
      <c r="D47" s="29">
        <v>-0.26133800000000001</v>
      </c>
      <c r="E47" s="29">
        <v>-5.6204999999999998E-2</v>
      </c>
      <c r="F47" s="29">
        <v>-3.4574000000000001E-2</v>
      </c>
      <c r="G47" s="30">
        <v>-0.43825900000000001</v>
      </c>
      <c r="H47" s="12">
        <v>-0.81</v>
      </c>
      <c r="I47" s="36">
        <v>-0.5</v>
      </c>
      <c r="J47" s="36">
        <v>-0.42</v>
      </c>
      <c r="K47" s="36">
        <v>-0.51</v>
      </c>
      <c r="L47" s="36">
        <v>-0.5</v>
      </c>
      <c r="M47" s="32">
        <v>-0.43</v>
      </c>
    </row>
    <row r="51" spans="1:1" x14ac:dyDescent="0.25">
      <c r="A51" s="37" t="str">
        <f t="shared" ref="A51:A69" si="0">"\textbf{"&amp;A29&amp;"} &amp; "&amp;TEXT(B29,formatResults)&amp;" &amp; "&amp;TEXT(C29,formatResults)&amp;" &amp; "&amp;TEXT(D29,formatResults)&amp;" &amp; "&amp;TEXT(E29,formatResults)&amp;" &amp; "&amp;TEXT(F29,formatResults)&amp;" &amp; "&amp;TEXT(G29,formatResults)&amp;" \\"</f>
        <v>\textbf{GDP in volume} &amp; 0.59 &amp; 0.93 &amp; 1.13 &amp; 1.28 &amp; 1.07 &amp; 0.80 \\</v>
      </c>
    </row>
    <row r="52" spans="1:1" x14ac:dyDescent="0.25">
      <c r="A52" s="37" t="str">
        <f t="shared" si="0"/>
        <v>\textbf{Household consumption} &amp; 1.21 &amp; 1.92 &amp; 2.38 &amp; 2.87 &amp; 3.05 &amp; 2.41 \\</v>
      </c>
    </row>
    <row r="53" spans="1:1" x14ac:dyDescent="0.25">
      <c r="A53" s="37" t="str">
        <f t="shared" si="0"/>
        <v>\textbf{Investment} &amp; 0.31 &amp; 0.63 &amp; 0.87 &amp; 1.12 &amp; 1.21 &amp; 1.05 \\</v>
      </c>
    </row>
    <row r="54" spans="1:1" x14ac:dyDescent="0.25">
      <c r="A54" s="37" t="str">
        <f t="shared" si="0"/>
        <v>\textbf{Exports} &amp; -0.03 &amp; -0.10 &amp; -0.22 &amp; -0.59 &amp; -1.63 &amp; -1.51 \\</v>
      </c>
    </row>
    <row r="55" spans="1:1" x14ac:dyDescent="0.25">
      <c r="A55" s="37" t="str">
        <f t="shared" si="0"/>
        <v>\textbf{Imports} &amp; 0.65 &amp; 1.10 &amp; 1.43 &amp; 1.83 &amp; 2.17 &amp; 1.75 \\</v>
      </c>
    </row>
    <row r="56" spans="1:1" x14ac:dyDescent="0.25">
      <c r="A56" s="37" t="str">
        <f t="shared" si="0"/>
        <v>\textbf{Household disposable income } &amp; 1.79 &amp; 2.10 &amp; 2.39 &amp; 2.77 &amp; 2.99 &amp; 2.41 \\</v>
      </c>
    </row>
    <row r="57" spans="1:1" x14ac:dyDescent="0.25">
      <c r="A57" s="37" t="str">
        <f t="shared" si="0"/>
        <v>\textbf{Saving rate} &amp; 0.51 &amp; 0.16 &amp; 0.01 &amp; -0.09 &amp; -0.06 &amp; 0.00 \\</v>
      </c>
    </row>
    <row r="58" spans="1:1" x14ac:dyDescent="0.25">
      <c r="A58" s="37" t="str">
        <f t="shared" si="0"/>
        <v>\textbf{Household consumption price index} &amp; 0.10 &amp; 0.31 &amp; 0.60 &amp; 1.28 &amp; 2.51 &amp; 1.82 \\</v>
      </c>
    </row>
    <row r="59" spans="1:1" x14ac:dyDescent="0.25">
      <c r="A59" s="37" t="str">
        <f t="shared" si="0"/>
        <v>\textbf{Production price index} &amp; 0.12 &amp; 0.38 &amp; 0.72 &amp; 1.53 &amp; 2.97 &amp; 2.14 \\</v>
      </c>
    </row>
    <row r="60" spans="1:1" x14ac:dyDescent="0.25">
      <c r="A60" s="37" t="str">
        <f t="shared" si="0"/>
        <v>\textbf{Added value price index} &amp; 0.15 &amp; 0.44 &amp; 0.85 &amp; 1.81 &amp; 3.50 &amp; 2.51 \\</v>
      </c>
    </row>
    <row r="61" spans="1:1" x14ac:dyDescent="0.25">
      <c r="A61" s="37" t="str">
        <f t="shared" si="0"/>
        <v>\textbf{Intermediate consumption price index} &amp; 0.10 &amp; 0.31 &amp; 0.59 &amp; 1.25 &amp; 2.45 &amp; 1.76 \\</v>
      </c>
    </row>
    <row r="62" spans="1:1" x14ac:dyDescent="0.25">
      <c r="A62" s="37" t="str">
        <f t="shared" si="0"/>
        <v>\textbf{Export price index} &amp; 0.11 &amp; 0.32 &amp; 0.63 &amp; 1.34 &amp; 2.61 &amp; 1.87 \\</v>
      </c>
    </row>
    <row r="63" spans="1:1" x14ac:dyDescent="0.25">
      <c r="A63" s="37" t="str">
        <f t="shared" si="0"/>
        <v>\textbf{Import price index} &amp; 0.00 &amp; 0.00 &amp; 0.00 &amp; 0.00 &amp; 0.00 &amp; 0.00 \\</v>
      </c>
    </row>
    <row r="64" spans="1:1" x14ac:dyDescent="0.25">
      <c r="A64" s="37" t="str">
        <f t="shared" si="0"/>
        <v>\textbf{Gross nominal wage} &amp; 0.17 &amp; 0.49 &amp; 0.92 &amp; 1.86 &amp; 3.46 &amp; 2.58 \\</v>
      </c>
    </row>
    <row r="65" spans="1:1" x14ac:dyDescent="0.25">
      <c r="A65" s="37" t="str">
        <f t="shared" si="0"/>
        <v>\textbf{Real cost of labor} &amp; 0.02 &amp; 0.05 &amp; 0.06 &amp; 0.05 &amp; -0.04 &amp; 0.06 \\</v>
      </c>
    </row>
    <row r="66" spans="1:1" x14ac:dyDescent="0.25">
      <c r="A66" s="37" t="str">
        <f t="shared" si="0"/>
        <v>\textbf{Wage employment (in thousands)} &amp; 77.87 &amp; 169.04 &amp; 244.59 &amp; 321.11 &amp; 242.74 &amp; 176.16 \\</v>
      </c>
    </row>
    <row r="67" spans="1:1" x14ac:dyDescent="0.25">
      <c r="A67" s="37" t="str">
        <f t="shared" si="0"/>
        <v>\textbf{Unemployment rate} &amp; -0.23 &amp; -0.48 &amp; -0.68 &amp; -0.84 &amp; -0.59 &amp; -0.41 \\</v>
      </c>
    </row>
    <row r="68" spans="1:1" x14ac:dyDescent="0.25">
      <c r="A68" s="37" t="str">
        <f t="shared" si="0"/>
        <v>\textbf{Trade balance (in points of GDP)} &amp; -0.13 &amp; -0.20 &amp; -0.22 &amp; -0.22 &amp; -0.22 &amp; -0.29 \\</v>
      </c>
    </row>
    <row r="69" spans="1:1" x14ac:dyDescent="0.25">
      <c r="A69" s="37" t="str">
        <f t="shared" si="0"/>
        <v>\textbf{Public budget balance (in points of GDP)} &amp; -0.71 &amp; -0.45 &amp; -0.26 &amp; -0.06 &amp; -0.03 &amp; -0.44 \\</v>
      </c>
    </row>
  </sheetData>
  <mergeCells count="6">
    <mergeCell ref="B2:G2"/>
    <mergeCell ref="H2:M2"/>
    <mergeCell ref="B27:G27"/>
    <mergeCell ref="H27:M27"/>
    <mergeCell ref="B1:M1"/>
    <mergeCell ref="B26:M26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19"/>
  <dimension ref="A1:M69"/>
  <sheetViews>
    <sheetView workbookViewId="0">
      <selection activeCell="G4" sqref="G4"/>
    </sheetView>
  </sheetViews>
  <sheetFormatPr defaultColWidth="11" defaultRowHeight="15.75" x14ac:dyDescent="0.25"/>
  <cols>
    <col min="1" max="1" width="32.75" style="37" customWidth="1"/>
    <col min="2" max="16384" width="11" style="37"/>
  </cols>
  <sheetData>
    <row r="1" spans="1:13" ht="30" x14ac:dyDescent="0.25">
      <c r="A1" s="34" t="s">
        <v>50</v>
      </c>
      <c r="B1" s="66" t="s">
        <v>87</v>
      </c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</row>
    <row r="2" spans="1:13" x14ac:dyDescent="0.25">
      <c r="A2" s="41"/>
      <c r="B2" s="47" t="s">
        <v>45</v>
      </c>
      <c r="C2" s="47"/>
      <c r="D2" s="47"/>
      <c r="E2" s="47"/>
      <c r="F2" s="47"/>
      <c r="G2" s="48"/>
      <c r="H2" s="49" t="s">
        <v>46</v>
      </c>
      <c r="I2" s="50"/>
      <c r="J2" s="50"/>
      <c r="K2" s="50"/>
      <c r="L2" s="50"/>
      <c r="M2" s="51"/>
    </row>
    <row r="3" spans="1:13" x14ac:dyDescent="0.25">
      <c r="A3" s="22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90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TRANSPOSE('WD1'!$B$3:$T$8)</f>
        <v>0.24277299999999999</v>
      </c>
      <c r="C4" s="29">
        <v>0.28370000000000001</v>
      </c>
      <c r="D4" s="29">
        <v>0.31593399999999999</v>
      </c>
      <c r="E4" s="29">
        <v>0.33745199999999997</v>
      </c>
      <c r="F4" s="29">
        <v>0.27849699999999999</v>
      </c>
      <c r="G4" s="30">
        <v>0.210782</v>
      </c>
      <c r="H4" s="42">
        <v>0.27</v>
      </c>
      <c r="I4" s="43">
        <v>0.32</v>
      </c>
      <c r="J4" s="43">
        <v>0.31</v>
      </c>
      <c r="K4" s="43">
        <v>0.26</v>
      </c>
      <c r="L4" s="43">
        <v>0.17</v>
      </c>
      <c r="M4" s="44">
        <v>0.05</v>
      </c>
    </row>
    <row r="5" spans="1:13" x14ac:dyDescent="0.25">
      <c r="A5" s="31" t="s">
        <v>8</v>
      </c>
      <c r="B5" s="29">
        <v>8.0626000000000003E-2</v>
      </c>
      <c r="C5" s="29">
        <v>0.17869099999999999</v>
      </c>
      <c r="D5" s="29">
        <v>0.26592399999999999</v>
      </c>
      <c r="E5" s="29">
        <v>0.38073600000000002</v>
      </c>
      <c r="F5" s="29">
        <v>0.44019599999999998</v>
      </c>
      <c r="G5" s="30">
        <v>0.26584999999999998</v>
      </c>
      <c r="H5" s="12">
        <v>0.09</v>
      </c>
      <c r="I5" s="36">
        <v>0.21</v>
      </c>
      <c r="J5" s="36">
        <v>0.28000000000000003</v>
      </c>
      <c r="K5" s="36">
        <v>0.33</v>
      </c>
      <c r="L5" s="36">
        <v>0.27</v>
      </c>
      <c r="M5" s="32">
        <v>0.12</v>
      </c>
    </row>
    <row r="6" spans="1:13" x14ac:dyDescent="0.25">
      <c r="A6" s="31" t="s">
        <v>9</v>
      </c>
      <c r="B6" s="29">
        <v>0.180002</v>
      </c>
      <c r="C6" s="29">
        <v>0.28509899999999999</v>
      </c>
      <c r="D6" s="29">
        <v>0.34447800000000001</v>
      </c>
      <c r="E6" s="29">
        <v>0.39684000000000003</v>
      </c>
      <c r="F6" s="29">
        <v>0.42906699999999998</v>
      </c>
      <c r="G6" s="30">
        <v>0.39067299999999999</v>
      </c>
      <c r="H6" s="12">
        <v>0.39</v>
      </c>
      <c r="I6" s="36">
        <v>0.55000000000000004</v>
      </c>
      <c r="J6" s="36">
        <v>0.49</v>
      </c>
      <c r="K6" s="36">
        <v>0.32</v>
      </c>
      <c r="L6" s="36">
        <v>0.16</v>
      </c>
      <c r="M6" s="32">
        <v>0.05</v>
      </c>
    </row>
    <row r="7" spans="1:13" x14ac:dyDescent="0.25">
      <c r="A7" s="31" t="s">
        <v>11</v>
      </c>
      <c r="B7" s="29">
        <v>0.98494300000000001</v>
      </c>
      <c r="C7" s="29">
        <v>0.95282599999999995</v>
      </c>
      <c r="D7" s="29">
        <v>0.90538200000000002</v>
      </c>
      <c r="E7" s="29">
        <v>0.77898000000000001</v>
      </c>
      <c r="F7" s="29">
        <v>0.46625800000000001</v>
      </c>
      <c r="G7" s="30">
        <v>0.520841</v>
      </c>
      <c r="H7" s="12">
        <v>0.72</v>
      </c>
      <c r="I7" s="36">
        <v>0.73</v>
      </c>
      <c r="J7" s="36">
        <v>0.69</v>
      </c>
      <c r="K7" s="36">
        <v>0.61</v>
      </c>
      <c r="L7" s="36">
        <v>0.49</v>
      </c>
      <c r="M7" s="32">
        <v>0.33</v>
      </c>
    </row>
    <row r="8" spans="1:13" x14ac:dyDescent="0.25">
      <c r="A8" s="31" t="s">
        <v>12</v>
      </c>
      <c r="B8" s="29">
        <v>0.27416600000000002</v>
      </c>
      <c r="C8" s="29">
        <v>0.38552999999999998</v>
      </c>
      <c r="D8" s="29">
        <v>0.45842899999999998</v>
      </c>
      <c r="E8" s="29">
        <v>0.55769000000000002</v>
      </c>
      <c r="F8" s="29">
        <v>0.65782700000000005</v>
      </c>
      <c r="G8" s="30">
        <v>0.54732800000000004</v>
      </c>
      <c r="H8" s="12">
        <v>0.42</v>
      </c>
      <c r="I8" s="36">
        <v>0.52</v>
      </c>
      <c r="J8" s="36">
        <v>0.51</v>
      </c>
      <c r="K8" s="36">
        <v>0.47</v>
      </c>
      <c r="L8" s="36">
        <v>0.42</v>
      </c>
      <c r="M8" s="32">
        <v>0.38</v>
      </c>
    </row>
    <row r="9" spans="1:13" x14ac:dyDescent="0.25">
      <c r="A9" s="31" t="s">
        <v>32</v>
      </c>
      <c r="B9" s="29">
        <v>0.11859</v>
      </c>
      <c r="C9" s="29">
        <v>0.21481</v>
      </c>
      <c r="D9" s="29">
        <v>0.287358</v>
      </c>
      <c r="E9" s="29">
        <v>0.37601600000000002</v>
      </c>
      <c r="F9" s="29">
        <v>0.428255</v>
      </c>
      <c r="G9" s="30">
        <v>0.26672400000000002</v>
      </c>
      <c r="H9" s="12">
        <v>0.13</v>
      </c>
      <c r="I9" s="36">
        <v>0.24</v>
      </c>
      <c r="J9" s="36">
        <v>0.31</v>
      </c>
      <c r="K9" s="36">
        <v>0.37</v>
      </c>
      <c r="L9" s="36">
        <v>0.26</v>
      </c>
      <c r="M9" s="32">
        <v>0.12</v>
      </c>
    </row>
    <row r="10" spans="1:13" x14ac:dyDescent="0.25">
      <c r="A10" s="31" t="s">
        <v>33</v>
      </c>
      <c r="B10" s="29">
        <v>3.3984E-2</v>
      </c>
      <c r="C10" s="29">
        <v>3.2301000000000003E-2</v>
      </c>
      <c r="D10" s="29">
        <v>1.9154999999999998E-2</v>
      </c>
      <c r="E10" s="29">
        <v>-4.2139999999999999E-3</v>
      </c>
      <c r="F10" s="29">
        <v>-1.0656000000000001E-2</v>
      </c>
      <c r="G10" s="30">
        <v>7.8100000000000001E-4</v>
      </c>
      <c r="H10" s="12">
        <v>0.04</v>
      </c>
      <c r="I10" s="36">
        <v>0.02</v>
      </c>
      <c r="J10" s="36">
        <v>0.03</v>
      </c>
      <c r="K10" s="36">
        <v>0.03</v>
      </c>
      <c r="L10" s="36">
        <v>-0.01</v>
      </c>
      <c r="M10" s="32">
        <v>0</v>
      </c>
    </row>
    <row r="11" spans="1:13" x14ac:dyDescent="0.25">
      <c r="A11" s="31" t="s">
        <v>34</v>
      </c>
      <c r="B11" s="29">
        <v>4.9682999999999998E-2</v>
      </c>
      <c r="C11" s="29">
        <v>0.129854</v>
      </c>
      <c r="D11" s="29">
        <v>0.227379</v>
      </c>
      <c r="E11" s="29">
        <v>0.43460599999999999</v>
      </c>
      <c r="F11" s="29">
        <v>0.77292000000000005</v>
      </c>
      <c r="G11" s="30">
        <v>0.56682699999999997</v>
      </c>
      <c r="H11" s="12">
        <v>0.06</v>
      </c>
      <c r="I11" s="36">
        <v>0.18</v>
      </c>
      <c r="J11" s="36">
        <v>0.28000000000000003</v>
      </c>
      <c r="K11" s="36">
        <v>0.43</v>
      </c>
      <c r="L11" s="36">
        <v>0.57999999999999996</v>
      </c>
      <c r="M11" s="32">
        <v>0.87</v>
      </c>
    </row>
    <row r="12" spans="1:13" x14ac:dyDescent="0.25">
      <c r="A12" s="31" t="s">
        <v>35</v>
      </c>
      <c r="B12" s="29">
        <v>5.9443000000000003E-2</v>
      </c>
      <c r="C12" s="29">
        <v>0.15549099999999999</v>
      </c>
      <c r="D12" s="29">
        <v>0.27200099999999999</v>
      </c>
      <c r="E12" s="29">
        <v>0.51762200000000003</v>
      </c>
      <c r="F12" s="29">
        <v>0.91090899999999997</v>
      </c>
      <c r="G12" s="30">
        <v>0.66609300000000005</v>
      </c>
      <c r="H12" s="12">
        <v>0.08</v>
      </c>
      <c r="I12" s="36">
        <v>0.22</v>
      </c>
      <c r="J12" s="36">
        <v>0.35</v>
      </c>
      <c r="K12" s="36">
        <v>0.52</v>
      </c>
      <c r="L12" s="36">
        <v>0.66</v>
      </c>
      <c r="M12" s="32">
        <v>0.94</v>
      </c>
    </row>
    <row r="13" spans="1:13" x14ac:dyDescent="0.25">
      <c r="A13" s="31" t="s">
        <v>36</v>
      </c>
      <c r="B13" s="29">
        <v>7.0664000000000005E-2</v>
      </c>
      <c r="C13" s="29">
        <v>0.18471899999999999</v>
      </c>
      <c r="D13" s="29">
        <v>0.322768</v>
      </c>
      <c r="E13" s="29">
        <v>0.61263400000000001</v>
      </c>
      <c r="F13" s="29">
        <v>1.072875</v>
      </c>
      <c r="G13" s="30">
        <v>0.78305499999999995</v>
      </c>
      <c r="H13" s="12">
        <v>7.0000000000000007E-2</v>
      </c>
      <c r="I13" s="36">
        <v>0.2</v>
      </c>
      <c r="J13" s="36">
        <v>0.32</v>
      </c>
      <c r="K13" s="36">
        <v>0.47</v>
      </c>
      <c r="L13" s="36">
        <v>0.65</v>
      </c>
      <c r="M13" s="32">
        <v>1.01</v>
      </c>
    </row>
    <row r="14" spans="1:13" x14ac:dyDescent="0.25">
      <c r="A14" s="31" t="s">
        <v>37</v>
      </c>
      <c r="B14" s="29">
        <v>4.8314999999999997E-2</v>
      </c>
      <c r="C14" s="29">
        <v>0.12651799999999999</v>
      </c>
      <c r="D14" s="29">
        <v>0.22167999999999999</v>
      </c>
      <c r="E14" s="29">
        <v>0.42343799999999998</v>
      </c>
      <c r="F14" s="29">
        <v>0.75030799999999997</v>
      </c>
      <c r="G14" s="30">
        <v>0.55012799999999995</v>
      </c>
      <c r="H14" s="12">
        <v>0.06</v>
      </c>
      <c r="I14" s="36">
        <v>0.19</v>
      </c>
      <c r="J14" s="36">
        <v>0.31</v>
      </c>
      <c r="K14" s="36">
        <v>0.47</v>
      </c>
      <c r="L14" s="36">
        <v>0.6</v>
      </c>
      <c r="M14" s="32">
        <v>0.85</v>
      </c>
    </row>
    <row r="15" spans="1:13" x14ac:dyDescent="0.25">
      <c r="A15" s="31" t="s">
        <v>38</v>
      </c>
      <c r="B15" s="29">
        <v>6.2139E-2</v>
      </c>
      <c r="C15" s="29">
        <v>0.15129100000000001</v>
      </c>
      <c r="D15" s="29">
        <v>0.25458599999999998</v>
      </c>
      <c r="E15" s="29">
        <v>0.46890799999999999</v>
      </c>
      <c r="F15" s="29">
        <v>0.80976800000000004</v>
      </c>
      <c r="G15" s="30">
        <v>0.58194999999999997</v>
      </c>
      <c r="H15" s="12">
        <v>0.04</v>
      </c>
      <c r="I15" s="36">
        <v>0.14000000000000001</v>
      </c>
      <c r="J15" s="36">
        <v>0.24</v>
      </c>
      <c r="K15" s="36">
        <v>0.38</v>
      </c>
      <c r="L15" s="36">
        <v>0.51</v>
      </c>
      <c r="M15" s="32">
        <v>0.69</v>
      </c>
    </row>
    <row r="16" spans="1:13" x14ac:dyDescent="0.25">
      <c r="A16" s="31" t="s">
        <v>39</v>
      </c>
      <c r="B16" s="29">
        <v>-9.8000000000000004E-8</v>
      </c>
      <c r="C16" s="29">
        <v>-1.92E-7</v>
      </c>
      <c r="D16" s="29">
        <v>-2.8299999999999998E-7</v>
      </c>
      <c r="E16" s="29">
        <v>-5.4300000000000003E-7</v>
      </c>
      <c r="F16" s="29">
        <v>-8.1999999999999998E-7</v>
      </c>
      <c r="G16" s="30">
        <v>-7.9999999999999996E-7</v>
      </c>
      <c r="H16" s="12">
        <v>0.06</v>
      </c>
      <c r="I16" s="36">
        <v>0.15</v>
      </c>
      <c r="J16" s="36">
        <v>0.25</v>
      </c>
      <c r="K16" s="36">
        <v>0.37</v>
      </c>
      <c r="L16" s="36">
        <v>0.49</v>
      </c>
      <c r="M16" s="32">
        <v>0.65</v>
      </c>
    </row>
    <row r="17" spans="1:13" x14ac:dyDescent="0.25">
      <c r="A17" s="31" t="s">
        <v>40</v>
      </c>
      <c r="B17" s="29">
        <v>7.8358999999999998E-2</v>
      </c>
      <c r="C17" s="29">
        <v>0.19905800000000001</v>
      </c>
      <c r="D17" s="29">
        <v>0.338669</v>
      </c>
      <c r="E17" s="29">
        <v>0.61912599999999995</v>
      </c>
      <c r="F17" s="29">
        <v>1.056395</v>
      </c>
      <c r="G17" s="30">
        <v>0.80468099999999998</v>
      </c>
      <c r="H17" s="12">
        <v>0.18</v>
      </c>
      <c r="I17" s="36">
        <v>0.42</v>
      </c>
      <c r="J17" s="36">
        <v>0.62</v>
      </c>
      <c r="K17" s="36">
        <v>0.88</v>
      </c>
      <c r="L17" s="36">
        <v>0.93</v>
      </c>
      <c r="M17" s="32">
        <v>1.07</v>
      </c>
    </row>
    <row r="18" spans="1:13" x14ac:dyDescent="0.25">
      <c r="A18" s="31" t="s">
        <v>16</v>
      </c>
      <c r="B18" s="29">
        <v>7.6899999999999998E-3</v>
      </c>
      <c r="C18" s="29">
        <v>1.4312999999999999E-2</v>
      </c>
      <c r="D18" s="29">
        <v>1.585E-2</v>
      </c>
      <c r="E18" s="29">
        <v>6.4520000000000003E-3</v>
      </c>
      <c r="F18" s="29">
        <v>-1.6305E-2</v>
      </c>
      <c r="G18" s="30">
        <v>2.1458000000000001E-2</v>
      </c>
      <c r="H18" s="12">
        <v>0.11</v>
      </c>
      <c r="I18" s="36">
        <v>0.22</v>
      </c>
      <c r="J18" s="36">
        <v>0.3</v>
      </c>
      <c r="K18" s="36">
        <v>0.41</v>
      </c>
      <c r="L18" s="36">
        <v>0.28000000000000003</v>
      </c>
      <c r="M18" s="32">
        <v>0.06</v>
      </c>
    </row>
    <row r="19" spans="1:13" x14ac:dyDescent="0.25">
      <c r="A19" s="31" t="s">
        <v>41</v>
      </c>
      <c r="B19" s="29">
        <v>36.231819999999999</v>
      </c>
      <c r="C19" s="29">
        <v>64.52373</v>
      </c>
      <c r="D19" s="29">
        <v>83.339529999999996</v>
      </c>
      <c r="E19" s="29">
        <v>97.706779999999995</v>
      </c>
      <c r="F19" s="29">
        <v>70.403440000000003</v>
      </c>
      <c r="G19" s="30">
        <v>55.713509999999999</v>
      </c>
      <c r="H19" s="12">
        <v>19</v>
      </c>
      <c r="I19" s="36">
        <v>45</v>
      </c>
      <c r="J19" s="36">
        <v>50</v>
      </c>
      <c r="K19" s="36">
        <v>31</v>
      </c>
      <c r="L19" s="36">
        <v>16</v>
      </c>
      <c r="M19" s="32">
        <v>4</v>
      </c>
    </row>
    <row r="20" spans="1:13" x14ac:dyDescent="0.25">
      <c r="A20" s="31" t="s">
        <v>42</v>
      </c>
      <c r="B20" s="29">
        <v>-0.10821</v>
      </c>
      <c r="C20" s="29">
        <v>-0.18325900000000001</v>
      </c>
      <c r="D20" s="29">
        <v>-0.22795899999999999</v>
      </c>
      <c r="E20" s="29">
        <v>-0.25372099999999997</v>
      </c>
      <c r="F20" s="29">
        <v>-0.17097499999999999</v>
      </c>
      <c r="G20" s="30">
        <v>-0.12947500000000001</v>
      </c>
      <c r="H20" s="12">
        <v>-0.08</v>
      </c>
      <c r="I20" s="36">
        <v>-0.19</v>
      </c>
      <c r="J20" s="36">
        <v>-0.21</v>
      </c>
      <c r="K20" s="36">
        <v>-0.13</v>
      </c>
      <c r="L20" s="36">
        <v>-7.0000000000000007E-2</v>
      </c>
      <c r="M20" s="32">
        <v>-0.02</v>
      </c>
    </row>
    <row r="21" spans="1:13" x14ac:dyDescent="0.25">
      <c r="A21" s="31" t="s">
        <v>43</v>
      </c>
      <c r="B21" s="29">
        <v>0.182976</v>
      </c>
      <c r="C21" s="29">
        <v>0.17111799999999999</v>
      </c>
      <c r="D21" s="29">
        <v>0.169325</v>
      </c>
      <c r="E21" s="29">
        <v>0.17144599999999999</v>
      </c>
      <c r="F21" s="29">
        <v>0.160995</v>
      </c>
      <c r="G21" s="30">
        <v>0.14089099999999999</v>
      </c>
      <c r="H21" s="12">
        <v>0.08</v>
      </c>
      <c r="I21" s="36">
        <v>0.05</v>
      </c>
      <c r="J21" s="36">
        <v>0.05</v>
      </c>
      <c r="K21" s="36">
        <v>0.04</v>
      </c>
      <c r="L21" s="36">
        <v>0.02</v>
      </c>
      <c r="M21" s="32">
        <v>0</v>
      </c>
    </row>
    <row r="22" spans="1:13" x14ac:dyDescent="0.25">
      <c r="A22" s="31" t="s">
        <v>44</v>
      </c>
      <c r="B22" s="29">
        <v>0.100005</v>
      </c>
      <c r="C22" s="29">
        <v>0.16619300000000001</v>
      </c>
      <c r="D22" s="29">
        <v>0.20991099999999999</v>
      </c>
      <c r="E22" s="29">
        <v>0.25239200000000001</v>
      </c>
      <c r="F22" s="29">
        <v>0.25418800000000003</v>
      </c>
      <c r="G22" s="30">
        <v>0.134633</v>
      </c>
      <c r="H22" s="12">
        <v>0.09</v>
      </c>
      <c r="I22" s="36">
        <v>0.16</v>
      </c>
      <c r="J22" s="36">
        <v>0.15</v>
      </c>
      <c r="K22" s="36">
        <v>0.09</v>
      </c>
      <c r="L22" s="36">
        <v>0.05</v>
      </c>
      <c r="M22" s="32">
        <v>-0.01</v>
      </c>
    </row>
    <row r="26" spans="1:13" ht="30" x14ac:dyDescent="0.25">
      <c r="A26" s="34" t="s">
        <v>84</v>
      </c>
      <c r="B26" s="66" t="s">
        <v>88</v>
      </c>
      <c r="C26" s="66"/>
      <c r="D26" s="66"/>
      <c r="E26" s="66"/>
      <c r="F26" s="66"/>
      <c r="G26" s="66"/>
      <c r="H26" s="66"/>
      <c r="I26" s="66"/>
      <c r="J26" s="66"/>
      <c r="K26" s="66"/>
      <c r="L26" s="66"/>
      <c r="M26" s="66"/>
    </row>
    <row r="27" spans="1:13" x14ac:dyDescent="0.25">
      <c r="A27" s="41"/>
      <c r="B27" s="47" t="s">
        <v>45</v>
      </c>
      <c r="C27" s="47"/>
      <c r="D27" s="47"/>
      <c r="E27" s="47"/>
      <c r="F27" s="47"/>
      <c r="G27" s="48"/>
      <c r="H27" s="49" t="s">
        <v>46</v>
      </c>
      <c r="I27" s="50"/>
      <c r="J27" s="50"/>
      <c r="K27" s="50"/>
      <c r="L27" s="50"/>
      <c r="M27" s="51"/>
    </row>
    <row r="28" spans="1:13" x14ac:dyDescent="0.25">
      <c r="A28" s="22"/>
      <c r="B28" s="9" t="s">
        <v>59</v>
      </c>
      <c r="C28" s="9" t="s">
        <v>60</v>
      </c>
      <c r="D28" s="9" t="s">
        <v>61</v>
      </c>
      <c r="E28" s="9" t="s">
        <v>62</v>
      </c>
      <c r="F28" s="9" t="s">
        <v>63</v>
      </c>
      <c r="G28" s="11" t="s">
        <v>90</v>
      </c>
      <c r="H28" s="24" t="s">
        <v>59</v>
      </c>
      <c r="I28" s="10" t="s">
        <v>60</v>
      </c>
      <c r="J28" s="10" t="s">
        <v>65</v>
      </c>
      <c r="K28" s="10" t="s">
        <v>62</v>
      </c>
      <c r="L28" s="10" t="s">
        <v>63</v>
      </c>
      <c r="M28" s="25" t="s">
        <v>64</v>
      </c>
    </row>
    <row r="29" spans="1:13" x14ac:dyDescent="0.25">
      <c r="A29" s="31" t="s">
        <v>89</v>
      </c>
      <c r="B29" s="29">
        <f t="array" ref="B29:G47">TRANSPOSE('WD1'!$B$3:$T$8)</f>
        <v>0.24277299999999999</v>
      </c>
      <c r="C29" s="29">
        <v>0.28370000000000001</v>
      </c>
      <c r="D29" s="29">
        <v>0.31593399999999999</v>
      </c>
      <c r="E29" s="29">
        <v>0.33745199999999997</v>
      </c>
      <c r="F29" s="29">
        <v>0.27849699999999999</v>
      </c>
      <c r="G29" s="30">
        <v>0.210782</v>
      </c>
      <c r="H29" s="42">
        <v>0.27</v>
      </c>
      <c r="I29" s="43">
        <v>0.32</v>
      </c>
      <c r="J29" s="43">
        <v>0.31</v>
      </c>
      <c r="K29" s="43">
        <v>0.26</v>
      </c>
      <c r="L29" s="43">
        <v>0.17</v>
      </c>
      <c r="M29" s="44">
        <v>0.05</v>
      </c>
    </row>
    <row r="30" spans="1:13" x14ac:dyDescent="0.25">
      <c r="A30" s="31" t="s">
        <v>56</v>
      </c>
      <c r="B30" s="29">
        <v>8.0626000000000003E-2</v>
      </c>
      <c r="C30" s="29">
        <v>0.17869099999999999</v>
      </c>
      <c r="D30" s="29">
        <v>0.26592399999999999</v>
      </c>
      <c r="E30" s="29">
        <v>0.38073600000000002</v>
      </c>
      <c r="F30" s="29">
        <v>0.44019599999999998</v>
      </c>
      <c r="G30" s="30">
        <v>0.26584999999999998</v>
      </c>
      <c r="H30" s="12">
        <v>0.09</v>
      </c>
      <c r="I30" s="36">
        <v>0.21</v>
      </c>
      <c r="J30" s="36">
        <v>0.28000000000000003</v>
      </c>
      <c r="K30" s="36">
        <v>0.33</v>
      </c>
      <c r="L30" s="36">
        <v>0.27</v>
      </c>
      <c r="M30" s="32">
        <v>0.12</v>
      </c>
    </row>
    <row r="31" spans="1:13" x14ac:dyDescent="0.25">
      <c r="A31" s="31" t="s">
        <v>53</v>
      </c>
      <c r="B31" s="29">
        <v>0.180002</v>
      </c>
      <c r="C31" s="29">
        <v>0.28509899999999999</v>
      </c>
      <c r="D31" s="29">
        <v>0.34447800000000001</v>
      </c>
      <c r="E31" s="29">
        <v>0.39684000000000003</v>
      </c>
      <c r="F31" s="29">
        <v>0.42906699999999998</v>
      </c>
      <c r="G31" s="30">
        <v>0.39067299999999999</v>
      </c>
      <c r="H31" s="12">
        <v>0.39</v>
      </c>
      <c r="I31" s="36">
        <v>0.55000000000000004</v>
      </c>
      <c r="J31" s="36">
        <v>0.49</v>
      </c>
      <c r="K31" s="36">
        <v>0.32</v>
      </c>
      <c r="L31" s="36">
        <v>0.16</v>
      </c>
      <c r="M31" s="32">
        <v>0.05</v>
      </c>
    </row>
    <row r="32" spans="1:13" x14ac:dyDescent="0.25">
      <c r="A32" s="31" t="s">
        <v>54</v>
      </c>
      <c r="B32" s="29">
        <v>0.98494300000000001</v>
      </c>
      <c r="C32" s="29">
        <v>0.95282599999999995</v>
      </c>
      <c r="D32" s="29">
        <v>0.90538200000000002</v>
      </c>
      <c r="E32" s="29">
        <v>0.77898000000000001</v>
      </c>
      <c r="F32" s="29">
        <v>0.46625800000000001</v>
      </c>
      <c r="G32" s="30">
        <v>0.520841</v>
      </c>
      <c r="H32" s="12">
        <v>0.72</v>
      </c>
      <c r="I32" s="36">
        <v>0.73</v>
      </c>
      <c r="J32" s="36">
        <v>0.69</v>
      </c>
      <c r="K32" s="36">
        <v>0.61</v>
      </c>
      <c r="L32" s="36">
        <v>0.49</v>
      </c>
      <c r="M32" s="32">
        <v>0.33</v>
      </c>
    </row>
    <row r="33" spans="1:13" x14ac:dyDescent="0.25">
      <c r="A33" s="31" t="s">
        <v>55</v>
      </c>
      <c r="B33" s="29">
        <v>0.27416600000000002</v>
      </c>
      <c r="C33" s="29">
        <v>0.38552999999999998</v>
      </c>
      <c r="D33" s="29">
        <v>0.45842899999999998</v>
      </c>
      <c r="E33" s="29">
        <v>0.55769000000000002</v>
      </c>
      <c r="F33" s="29">
        <v>0.65782700000000005</v>
      </c>
      <c r="G33" s="30">
        <v>0.54732800000000004</v>
      </c>
      <c r="H33" s="12">
        <v>0.42</v>
      </c>
      <c r="I33" s="36">
        <v>0.52</v>
      </c>
      <c r="J33" s="36">
        <v>0.51</v>
      </c>
      <c r="K33" s="36">
        <v>0.47</v>
      </c>
      <c r="L33" s="36">
        <v>0.42</v>
      </c>
      <c r="M33" s="32">
        <v>0.38</v>
      </c>
    </row>
    <row r="34" spans="1:13" x14ac:dyDescent="0.25">
      <c r="A34" s="31" t="s">
        <v>57</v>
      </c>
      <c r="B34" s="29">
        <v>0.11859</v>
      </c>
      <c r="C34" s="29">
        <v>0.21481</v>
      </c>
      <c r="D34" s="29">
        <v>0.287358</v>
      </c>
      <c r="E34" s="29">
        <v>0.37601600000000002</v>
      </c>
      <c r="F34" s="29">
        <v>0.428255</v>
      </c>
      <c r="G34" s="30">
        <v>0.26672400000000002</v>
      </c>
      <c r="H34" s="12">
        <v>0.13</v>
      </c>
      <c r="I34" s="36">
        <v>0.24</v>
      </c>
      <c r="J34" s="36">
        <v>0.31</v>
      </c>
      <c r="K34" s="36">
        <v>0.37</v>
      </c>
      <c r="L34" s="36">
        <v>0.26</v>
      </c>
      <c r="M34" s="32">
        <v>0.12</v>
      </c>
    </row>
    <row r="35" spans="1:13" x14ac:dyDescent="0.25">
      <c r="A35" s="31" t="s">
        <v>58</v>
      </c>
      <c r="B35" s="29">
        <v>3.3984E-2</v>
      </c>
      <c r="C35" s="29">
        <v>3.2301000000000003E-2</v>
      </c>
      <c r="D35" s="29">
        <v>1.9154999999999998E-2</v>
      </c>
      <c r="E35" s="29">
        <v>-4.2139999999999999E-3</v>
      </c>
      <c r="F35" s="29">
        <v>-1.0656000000000001E-2</v>
      </c>
      <c r="G35" s="30">
        <v>7.8100000000000001E-4</v>
      </c>
      <c r="H35" s="12">
        <v>0.04</v>
      </c>
      <c r="I35" s="36">
        <v>0.02</v>
      </c>
      <c r="J35" s="36">
        <v>0.03</v>
      </c>
      <c r="K35" s="36">
        <v>0.03</v>
      </c>
      <c r="L35" s="36">
        <v>-0.01</v>
      </c>
      <c r="M35" s="32">
        <v>0</v>
      </c>
    </row>
    <row r="36" spans="1:13" x14ac:dyDescent="0.25">
      <c r="A36" s="31" t="s">
        <v>69</v>
      </c>
      <c r="B36" s="29">
        <v>4.9682999999999998E-2</v>
      </c>
      <c r="C36" s="29">
        <v>0.129854</v>
      </c>
      <c r="D36" s="29">
        <v>0.227379</v>
      </c>
      <c r="E36" s="29">
        <v>0.43460599999999999</v>
      </c>
      <c r="F36" s="29">
        <v>0.77292000000000005</v>
      </c>
      <c r="G36" s="30">
        <v>0.56682699999999997</v>
      </c>
      <c r="H36" s="12">
        <v>0.06</v>
      </c>
      <c r="I36" s="36">
        <v>0.18</v>
      </c>
      <c r="J36" s="36">
        <v>0.28000000000000003</v>
      </c>
      <c r="K36" s="36">
        <v>0.43</v>
      </c>
      <c r="L36" s="36">
        <v>0.57999999999999996</v>
      </c>
      <c r="M36" s="32">
        <v>0.87</v>
      </c>
    </row>
    <row r="37" spans="1:13" x14ac:dyDescent="0.25">
      <c r="A37" s="31" t="s">
        <v>70</v>
      </c>
      <c r="B37" s="29">
        <v>5.9443000000000003E-2</v>
      </c>
      <c r="C37" s="29">
        <v>0.15549099999999999</v>
      </c>
      <c r="D37" s="29">
        <v>0.27200099999999999</v>
      </c>
      <c r="E37" s="29">
        <v>0.51762200000000003</v>
      </c>
      <c r="F37" s="29">
        <v>0.91090899999999997</v>
      </c>
      <c r="G37" s="30">
        <v>0.66609300000000005</v>
      </c>
      <c r="H37" s="12">
        <v>0.08</v>
      </c>
      <c r="I37" s="36">
        <v>0.22</v>
      </c>
      <c r="J37" s="36">
        <v>0.35</v>
      </c>
      <c r="K37" s="36">
        <v>0.52</v>
      </c>
      <c r="L37" s="36">
        <v>0.66</v>
      </c>
      <c r="M37" s="32">
        <v>0.94</v>
      </c>
    </row>
    <row r="38" spans="1:13" x14ac:dyDescent="0.25">
      <c r="A38" s="31" t="s">
        <v>71</v>
      </c>
      <c r="B38" s="29">
        <v>7.0664000000000005E-2</v>
      </c>
      <c r="C38" s="29">
        <v>0.18471899999999999</v>
      </c>
      <c r="D38" s="29">
        <v>0.322768</v>
      </c>
      <c r="E38" s="29">
        <v>0.61263400000000001</v>
      </c>
      <c r="F38" s="29">
        <v>1.072875</v>
      </c>
      <c r="G38" s="30">
        <v>0.78305499999999995</v>
      </c>
      <c r="H38" s="12">
        <v>7.0000000000000007E-2</v>
      </c>
      <c r="I38" s="36">
        <v>0.2</v>
      </c>
      <c r="J38" s="36">
        <v>0.32</v>
      </c>
      <c r="K38" s="36">
        <v>0.47</v>
      </c>
      <c r="L38" s="36">
        <v>0.65</v>
      </c>
      <c r="M38" s="32">
        <v>1.01</v>
      </c>
    </row>
    <row r="39" spans="1:13" x14ac:dyDescent="0.25">
      <c r="A39" s="31" t="s">
        <v>75</v>
      </c>
      <c r="B39" s="29">
        <v>4.8314999999999997E-2</v>
      </c>
      <c r="C39" s="29">
        <v>0.12651799999999999</v>
      </c>
      <c r="D39" s="29">
        <v>0.22167999999999999</v>
      </c>
      <c r="E39" s="29">
        <v>0.42343799999999998</v>
      </c>
      <c r="F39" s="29">
        <v>0.75030799999999997</v>
      </c>
      <c r="G39" s="30">
        <v>0.55012799999999995</v>
      </c>
      <c r="H39" s="12">
        <v>0.06</v>
      </c>
      <c r="I39" s="36">
        <v>0.19</v>
      </c>
      <c r="J39" s="36">
        <v>0.31</v>
      </c>
      <c r="K39" s="36">
        <v>0.47</v>
      </c>
      <c r="L39" s="36">
        <v>0.6</v>
      </c>
      <c r="M39" s="32">
        <v>0.85</v>
      </c>
    </row>
    <row r="40" spans="1:13" x14ac:dyDescent="0.25">
      <c r="A40" s="31" t="s">
        <v>67</v>
      </c>
      <c r="B40" s="29">
        <v>6.2139E-2</v>
      </c>
      <c r="C40" s="29">
        <v>0.15129100000000001</v>
      </c>
      <c r="D40" s="29">
        <v>0.25458599999999998</v>
      </c>
      <c r="E40" s="29">
        <v>0.46890799999999999</v>
      </c>
      <c r="F40" s="29">
        <v>0.80976800000000004</v>
      </c>
      <c r="G40" s="30">
        <v>0.58194999999999997</v>
      </c>
      <c r="H40" s="12">
        <v>0.04</v>
      </c>
      <c r="I40" s="36">
        <v>0.14000000000000001</v>
      </c>
      <c r="J40" s="36">
        <v>0.24</v>
      </c>
      <c r="K40" s="36">
        <v>0.38</v>
      </c>
      <c r="L40" s="36">
        <v>0.51</v>
      </c>
      <c r="M40" s="32">
        <v>0.69</v>
      </c>
    </row>
    <row r="41" spans="1:13" x14ac:dyDescent="0.25">
      <c r="A41" s="31" t="s">
        <v>68</v>
      </c>
      <c r="B41" s="29">
        <v>-9.8000000000000004E-8</v>
      </c>
      <c r="C41" s="29">
        <v>-1.92E-7</v>
      </c>
      <c r="D41" s="29">
        <v>-2.8299999999999998E-7</v>
      </c>
      <c r="E41" s="29">
        <v>-5.4300000000000003E-7</v>
      </c>
      <c r="F41" s="29">
        <v>-8.1999999999999998E-7</v>
      </c>
      <c r="G41" s="30">
        <v>-7.9999999999999996E-7</v>
      </c>
      <c r="H41" s="12">
        <v>0.06</v>
      </c>
      <c r="I41" s="36">
        <v>0.15</v>
      </c>
      <c r="J41" s="36">
        <v>0.25</v>
      </c>
      <c r="K41" s="36">
        <v>0.37</v>
      </c>
      <c r="L41" s="36">
        <v>0.49</v>
      </c>
      <c r="M41" s="32">
        <v>0.65</v>
      </c>
    </row>
    <row r="42" spans="1:13" x14ac:dyDescent="0.25">
      <c r="A42" s="31" t="s">
        <v>72</v>
      </c>
      <c r="B42" s="29">
        <v>7.8358999999999998E-2</v>
      </c>
      <c r="C42" s="29">
        <v>0.19905800000000001</v>
      </c>
      <c r="D42" s="29">
        <v>0.338669</v>
      </c>
      <c r="E42" s="29">
        <v>0.61912599999999995</v>
      </c>
      <c r="F42" s="29">
        <v>1.056395</v>
      </c>
      <c r="G42" s="30">
        <v>0.80468099999999998</v>
      </c>
      <c r="H42" s="12">
        <v>0.18</v>
      </c>
      <c r="I42" s="36">
        <v>0.42</v>
      </c>
      <c r="J42" s="36">
        <v>0.62</v>
      </c>
      <c r="K42" s="36">
        <v>0.88</v>
      </c>
      <c r="L42" s="36">
        <v>0.93</v>
      </c>
      <c r="M42" s="32">
        <v>1.07</v>
      </c>
    </row>
    <row r="43" spans="1:13" x14ac:dyDescent="0.25">
      <c r="A43" s="31" t="s">
        <v>73</v>
      </c>
      <c r="B43" s="29">
        <v>7.6899999999999998E-3</v>
      </c>
      <c r="C43" s="29">
        <v>1.4312999999999999E-2</v>
      </c>
      <c r="D43" s="29">
        <v>1.585E-2</v>
      </c>
      <c r="E43" s="29">
        <v>6.4520000000000003E-3</v>
      </c>
      <c r="F43" s="29">
        <v>-1.6305E-2</v>
      </c>
      <c r="G43" s="30">
        <v>2.1458000000000001E-2</v>
      </c>
      <c r="H43" s="12">
        <v>0.11</v>
      </c>
      <c r="I43" s="36">
        <v>0.22</v>
      </c>
      <c r="J43" s="36">
        <v>0.3</v>
      </c>
      <c r="K43" s="36">
        <v>0.41</v>
      </c>
      <c r="L43" s="36">
        <v>0.28000000000000003</v>
      </c>
      <c r="M43" s="32">
        <v>0.06</v>
      </c>
    </row>
    <row r="44" spans="1:13" x14ac:dyDescent="0.25">
      <c r="A44" s="31" t="s">
        <v>76</v>
      </c>
      <c r="B44" s="29">
        <v>36.231819999999999</v>
      </c>
      <c r="C44" s="29">
        <v>64.52373</v>
      </c>
      <c r="D44" s="29">
        <v>83.339529999999996</v>
      </c>
      <c r="E44" s="29">
        <v>97.706779999999995</v>
      </c>
      <c r="F44" s="29">
        <v>70.403440000000003</v>
      </c>
      <c r="G44" s="30">
        <v>55.713509999999999</v>
      </c>
      <c r="H44" s="12">
        <v>19</v>
      </c>
      <c r="I44" s="36">
        <v>45</v>
      </c>
      <c r="J44" s="36">
        <v>50</v>
      </c>
      <c r="K44" s="36">
        <v>31</v>
      </c>
      <c r="L44" s="36">
        <v>16</v>
      </c>
      <c r="M44" s="32">
        <v>4</v>
      </c>
    </row>
    <row r="45" spans="1:13" x14ac:dyDescent="0.25">
      <c r="A45" s="31" t="s">
        <v>74</v>
      </c>
      <c r="B45" s="29">
        <v>-0.10821</v>
      </c>
      <c r="C45" s="29">
        <v>-0.18325900000000001</v>
      </c>
      <c r="D45" s="29">
        <v>-0.22795899999999999</v>
      </c>
      <c r="E45" s="29">
        <v>-0.25372099999999997</v>
      </c>
      <c r="F45" s="29">
        <v>-0.17097499999999999</v>
      </c>
      <c r="G45" s="30">
        <v>-0.12947500000000001</v>
      </c>
      <c r="H45" s="12">
        <v>-0.08</v>
      </c>
      <c r="I45" s="36">
        <v>-0.19</v>
      </c>
      <c r="J45" s="36">
        <v>-0.21</v>
      </c>
      <c r="K45" s="36">
        <v>-0.13</v>
      </c>
      <c r="L45" s="36">
        <v>-7.0000000000000007E-2</v>
      </c>
      <c r="M45" s="32">
        <v>-0.02</v>
      </c>
    </row>
    <row r="46" spans="1:13" x14ac:dyDescent="0.25">
      <c r="A46" s="31" t="s">
        <v>77</v>
      </c>
      <c r="B46" s="29">
        <v>0.182976</v>
      </c>
      <c r="C46" s="29">
        <v>0.17111799999999999</v>
      </c>
      <c r="D46" s="29">
        <v>0.169325</v>
      </c>
      <c r="E46" s="29">
        <v>0.17144599999999999</v>
      </c>
      <c r="F46" s="29">
        <v>0.160995</v>
      </c>
      <c r="G46" s="30">
        <v>0.14089099999999999</v>
      </c>
      <c r="H46" s="12">
        <v>0.08</v>
      </c>
      <c r="I46" s="36">
        <v>0.05</v>
      </c>
      <c r="J46" s="36">
        <v>0.05</v>
      </c>
      <c r="K46" s="36">
        <v>0.04</v>
      </c>
      <c r="L46" s="36">
        <v>0.02</v>
      </c>
      <c r="M46" s="32">
        <v>0</v>
      </c>
    </row>
    <row r="47" spans="1:13" x14ac:dyDescent="0.25">
      <c r="A47" s="45" t="s">
        <v>78</v>
      </c>
      <c r="B47" s="29">
        <v>0.100005</v>
      </c>
      <c r="C47" s="29">
        <v>0.16619300000000001</v>
      </c>
      <c r="D47" s="29">
        <v>0.20991099999999999</v>
      </c>
      <c r="E47" s="29">
        <v>0.25239200000000001</v>
      </c>
      <c r="F47" s="29">
        <v>0.25418800000000003</v>
      </c>
      <c r="G47" s="30">
        <v>0.134633</v>
      </c>
      <c r="H47" s="12">
        <v>0.09</v>
      </c>
      <c r="I47" s="36">
        <v>0.16</v>
      </c>
      <c r="J47" s="36">
        <v>0.15</v>
      </c>
      <c r="K47" s="36">
        <v>0.09</v>
      </c>
      <c r="L47" s="36">
        <v>0.05</v>
      </c>
      <c r="M47" s="32">
        <v>-0.01</v>
      </c>
    </row>
    <row r="51" spans="1:1" x14ac:dyDescent="0.25">
      <c r="A51" s="37" t="str">
        <f t="shared" ref="A51:A69" si="0">"\textbf{"&amp;A29&amp;"} &amp; "&amp;TEXT(B29,formatResults)&amp;" &amp; "&amp;TEXT(C29,formatResults)&amp;" &amp; "&amp;TEXT(D29,formatResults)&amp;" &amp; "&amp;TEXT(E29,formatResults)&amp;" &amp; "&amp;TEXT(F29,formatResults)&amp;" &amp; "&amp;TEXT(G29,formatResults)&amp;" \\"</f>
        <v>\textbf{GDP in volume} &amp; 0.24 &amp; 0.28 &amp; 0.32 &amp; 0.34 &amp; 0.28 &amp; 0.21 \\</v>
      </c>
    </row>
    <row r="52" spans="1:1" x14ac:dyDescent="0.25">
      <c r="A52" s="37" t="str">
        <f t="shared" si="0"/>
        <v>\textbf{Household consumption} &amp; 0.08 &amp; 0.18 &amp; 0.27 &amp; 0.38 &amp; 0.44 &amp; 0.27 \\</v>
      </c>
    </row>
    <row r="53" spans="1:1" x14ac:dyDescent="0.25">
      <c r="A53" s="37" t="str">
        <f t="shared" si="0"/>
        <v>\textbf{Investment} &amp; 0.18 &amp; 0.29 &amp; 0.34 &amp; 0.40 &amp; 0.43 &amp; 0.39 \\</v>
      </c>
    </row>
    <row r="54" spans="1:1" x14ac:dyDescent="0.25">
      <c r="A54" s="37" t="str">
        <f t="shared" si="0"/>
        <v>\textbf{Exports} &amp; 0.98 &amp; 0.95 &amp; 0.91 &amp; 0.78 &amp; 0.47 &amp; 0.52 \\</v>
      </c>
    </row>
    <row r="55" spans="1:1" x14ac:dyDescent="0.25">
      <c r="A55" s="37" t="str">
        <f t="shared" si="0"/>
        <v>\textbf{Imports} &amp; 0.27 &amp; 0.39 &amp; 0.46 &amp; 0.56 &amp; 0.66 &amp; 0.55 \\</v>
      </c>
    </row>
    <row r="56" spans="1:1" x14ac:dyDescent="0.25">
      <c r="A56" s="37" t="str">
        <f t="shared" si="0"/>
        <v>\textbf{Household disposable income } &amp; 0.12 &amp; 0.21 &amp; 0.29 &amp; 0.38 &amp; 0.43 &amp; 0.27 \\</v>
      </c>
    </row>
    <row r="57" spans="1:1" x14ac:dyDescent="0.25">
      <c r="A57" s="37" t="str">
        <f t="shared" si="0"/>
        <v>\textbf{Saving rate} &amp; 0.03 &amp; 0.03 &amp; 0.02 &amp; 0.00 &amp; -0.01 &amp; 0.00 \\</v>
      </c>
    </row>
    <row r="58" spans="1:1" x14ac:dyDescent="0.25">
      <c r="A58" s="37" t="str">
        <f t="shared" si="0"/>
        <v>\textbf{Household consumption price index} &amp; 0.05 &amp; 0.13 &amp; 0.23 &amp; 0.43 &amp; 0.77 &amp; 0.57 \\</v>
      </c>
    </row>
    <row r="59" spans="1:1" x14ac:dyDescent="0.25">
      <c r="A59" s="37" t="str">
        <f t="shared" si="0"/>
        <v>\textbf{Production price index} &amp; 0.06 &amp; 0.16 &amp; 0.27 &amp; 0.52 &amp; 0.91 &amp; 0.67 \\</v>
      </c>
    </row>
    <row r="60" spans="1:1" x14ac:dyDescent="0.25">
      <c r="A60" s="37" t="str">
        <f t="shared" si="0"/>
        <v>\textbf{Added value price index} &amp; 0.07 &amp; 0.18 &amp; 0.32 &amp; 0.61 &amp; 1.07 &amp; 0.78 \\</v>
      </c>
    </row>
    <row r="61" spans="1:1" x14ac:dyDescent="0.25">
      <c r="A61" s="37" t="str">
        <f t="shared" si="0"/>
        <v>\textbf{Intermediate consumption price index} &amp; 0.05 &amp; 0.13 &amp; 0.22 &amp; 0.42 &amp; 0.75 &amp; 0.55 \\</v>
      </c>
    </row>
    <row r="62" spans="1:1" x14ac:dyDescent="0.25">
      <c r="A62" s="37" t="str">
        <f t="shared" si="0"/>
        <v>\textbf{Export price index} &amp; 0.06 &amp; 0.15 &amp; 0.25 &amp; 0.47 &amp; 0.81 &amp; 0.58 \\</v>
      </c>
    </row>
    <row r="63" spans="1:1" x14ac:dyDescent="0.25">
      <c r="A63" s="37" t="str">
        <f t="shared" si="0"/>
        <v>\textbf{Import price index} &amp; 0.00 &amp; 0.00 &amp; 0.00 &amp; 0.00 &amp; 0.00 &amp; 0.00 \\</v>
      </c>
    </row>
    <row r="64" spans="1:1" x14ac:dyDescent="0.25">
      <c r="A64" s="37" t="str">
        <f t="shared" si="0"/>
        <v>\textbf{Gross nominal wage} &amp; 0.08 &amp; 0.20 &amp; 0.34 &amp; 0.62 &amp; 1.06 &amp; 0.80 \\</v>
      </c>
    </row>
    <row r="65" spans="1:1" x14ac:dyDescent="0.25">
      <c r="A65" s="37" t="str">
        <f t="shared" si="0"/>
        <v>\textbf{Real cost of labor} &amp; 0.01 &amp; 0.01 &amp; 0.02 &amp; 0.01 &amp; -0.02 &amp; 0.02 \\</v>
      </c>
    </row>
    <row r="66" spans="1:1" x14ac:dyDescent="0.25">
      <c r="A66" s="37" t="str">
        <f t="shared" si="0"/>
        <v>\textbf{Wage employment (in thousands)} &amp; 36.23 &amp; 64.52 &amp; 83.34 &amp; 97.71 &amp; 70.40 &amp; 55.71 \\</v>
      </c>
    </row>
    <row r="67" spans="1:1" x14ac:dyDescent="0.25">
      <c r="A67" s="37" t="str">
        <f t="shared" si="0"/>
        <v>\textbf{Unemployment rate} &amp; -0.11 &amp; -0.18 &amp; -0.23 &amp; -0.25 &amp; -0.17 &amp; -0.13 \\</v>
      </c>
    </row>
    <row r="68" spans="1:1" x14ac:dyDescent="0.25">
      <c r="A68" s="37" t="str">
        <f t="shared" si="0"/>
        <v>\textbf{Trade balance (in points of GDP)} &amp; 0.18 &amp; 0.17 &amp; 0.17 &amp; 0.17 &amp; 0.16 &amp; 0.14 \\</v>
      </c>
    </row>
    <row r="69" spans="1:1" x14ac:dyDescent="0.25">
      <c r="A69" s="37" t="str">
        <f t="shared" si="0"/>
        <v>\textbf{Public budget balance (in points of GDP)} &amp; 0.10 &amp; 0.17 &amp; 0.21 &amp; 0.25 &amp; 0.25 &amp; 0.13 \\</v>
      </c>
    </row>
  </sheetData>
  <mergeCells count="6">
    <mergeCell ref="B2:G2"/>
    <mergeCell ref="H2:M2"/>
    <mergeCell ref="B27:G27"/>
    <mergeCell ref="H27:M27"/>
    <mergeCell ref="B1:M1"/>
    <mergeCell ref="B26:M26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20"/>
  <dimension ref="A1:M69"/>
  <sheetViews>
    <sheetView workbookViewId="0">
      <selection activeCell="G29" sqref="G29"/>
    </sheetView>
  </sheetViews>
  <sheetFormatPr defaultColWidth="11" defaultRowHeight="15.75" x14ac:dyDescent="0.25"/>
  <cols>
    <col min="1" max="1" width="32.375" style="37" bestFit="1" customWidth="1"/>
    <col min="2" max="16384" width="11" style="37"/>
  </cols>
  <sheetData>
    <row r="1" spans="1:13" ht="35.25" customHeight="1" x14ac:dyDescent="0.25">
      <c r="A1" s="34" t="s">
        <v>51</v>
      </c>
      <c r="B1" s="66" t="s">
        <v>87</v>
      </c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</row>
    <row r="2" spans="1:13" x14ac:dyDescent="0.25">
      <c r="A2" s="41"/>
      <c r="B2" s="47" t="s">
        <v>45</v>
      </c>
      <c r="C2" s="47"/>
      <c r="D2" s="47"/>
      <c r="E2" s="47"/>
      <c r="F2" s="47"/>
      <c r="G2" s="48"/>
      <c r="H2" s="49" t="s">
        <v>46</v>
      </c>
      <c r="I2" s="50"/>
      <c r="J2" s="50"/>
      <c r="K2" s="50"/>
      <c r="L2" s="50"/>
      <c r="M2" s="51"/>
    </row>
    <row r="3" spans="1:13" x14ac:dyDescent="0.25">
      <c r="A3" s="22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90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TRANSPOSE('FF10'!$B$3:$T$8)</f>
        <v>-5.5752000000000003E-2</v>
      </c>
      <c r="C4" s="29">
        <v>-0.109724</v>
      </c>
      <c r="D4" s="29">
        <v>-0.14935300000000001</v>
      </c>
      <c r="E4" s="29">
        <v>-0.18985299999999999</v>
      </c>
      <c r="F4" s="29">
        <v>-0.20130400000000001</v>
      </c>
      <c r="G4" s="30">
        <v>-0.193825</v>
      </c>
      <c r="H4" s="43">
        <v>-0.1</v>
      </c>
      <c r="I4" s="43">
        <v>-0.24</v>
      </c>
      <c r="J4" s="43">
        <v>-0.18</v>
      </c>
      <c r="K4" s="43">
        <v>-0.21</v>
      </c>
      <c r="L4" s="43">
        <v>-0.22</v>
      </c>
      <c r="M4" s="44">
        <v>-0.17</v>
      </c>
    </row>
    <row r="5" spans="1:13" x14ac:dyDescent="0.25">
      <c r="A5" s="31" t="s">
        <v>8</v>
      </c>
      <c r="B5" s="29">
        <v>-0.14754700000000001</v>
      </c>
      <c r="C5" s="29">
        <v>-0.26244400000000001</v>
      </c>
      <c r="D5" s="29">
        <v>-0.32619500000000001</v>
      </c>
      <c r="E5" s="29">
        <v>-0.34634199999999998</v>
      </c>
      <c r="F5" s="29">
        <v>-0.24294099999999999</v>
      </c>
      <c r="G5" s="30">
        <v>-0.23167099999999999</v>
      </c>
      <c r="H5" s="13">
        <v>-0.14000000000000001</v>
      </c>
      <c r="I5" s="13">
        <v>-0.33</v>
      </c>
      <c r="J5" s="13">
        <v>-0.35</v>
      </c>
      <c r="K5" s="13">
        <v>-0.42</v>
      </c>
      <c r="L5" s="13">
        <v>-0.53</v>
      </c>
      <c r="M5" s="32">
        <v>-0.48</v>
      </c>
    </row>
    <row r="6" spans="1:13" x14ac:dyDescent="0.25">
      <c r="A6" s="31" t="s">
        <v>9</v>
      </c>
      <c r="B6" s="29">
        <v>-4.8462999999999999E-2</v>
      </c>
      <c r="C6" s="29">
        <v>-0.11743000000000001</v>
      </c>
      <c r="D6" s="29">
        <v>-0.18313299999999999</v>
      </c>
      <c r="E6" s="29">
        <v>-0.26662799999999998</v>
      </c>
      <c r="F6" s="29">
        <v>-0.26206400000000002</v>
      </c>
      <c r="G6" s="30">
        <v>-4.1528000000000002E-2</v>
      </c>
      <c r="H6" s="13">
        <v>-0.12</v>
      </c>
      <c r="I6" s="13">
        <v>-0.39</v>
      </c>
      <c r="J6" s="13">
        <v>-0.27</v>
      </c>
      <c r="K6" s="13">
        <v>-0.25</v>
      </c>
      <c r="L6" s="13">
        <v>-0.23</v>
      </c>
      <c r="M6" s="32">
        <v>-0.17</v>
      </c>
    </row>
    <row r="7" spans="1:13" x14ac:dyDescent="0.25">
      <c r="A7" s="31" t="s">
        <v>11</v>
      </c>
      <c r="B7" s="29">
        <v>2.6339000000000001E-2</v>
      </c>
      <c r="C7" s="29">
        <v>3.7720000000000002E-3</v>
      </c>
      <c r="D7" s="29">
        <v>-4.4004000000000001E-2</v>
      </c>
      <c r="E7" s="29">
        <v>-0.161383</v>
      </c>
      <c r="F7" s="29">
        <v>-0.382048</v>
      </c>
      <c r="G7" s="30">
        <v>-0.48304799999999998</v>
      </c>
      <c r="H7" s="13">
        <v>-0.06</v>
      </c>
      <c r="I7" s="13">
        <v>-0.12</v>
      </c>
      <c r="J7" s="13">
        <v>-0.14000000000000001</v>
      </c>
      <c r="K7" s="13">
        <v>-0.16</v>
      </c>
      <c r="L7" s="13">
        <v>-0.08</v>
      </c>
      <c r="M7" s="32">
        <v>-0.02</v>
      </c>
    </row>
    <row r="8" spans="1:13" x14ac:dyDescent="0.25">
      <c r="A8" s="31" t="s">
        <v>12</v>
      </c>
      <c r="B8" s="29">
        <v>-0.12920400000000001</v>
      </c>
      <c r="C8" s="29">
        <v>-0.25129200000000002</v>
      </c>
      <c r="D8" s="29">
        <v>-0.33399200000000001</v>
      </c>
      <c r="E8" s="29">
        <v>-0.39156200000000002</v>
      </c>
      <c r="F8" s="29">
        <v>-0.31196000000000002</v>
      </c>
      <c r="G8" s="30">
        <v>-0.24470500000000001</v>
      </c>
      <c r="H8" s="13">
        <v>-0.17</v>
      </c>
      <c r="I8" s="13">
        <v>-0.44</v>
      </c>
      <c r="J8" s="13">
        <v>-0.31</v>
      </c>
      <c r="K8" s="13">
        <v>-0.37</v>
      </c>
      <c r="L8" s="13">
        <v>-0.43</v>
      </c>
      <c r="M8" s="32">
        <v>-0.41</v>
      </c>
    </row>
    <row r="9" spans="1:13" x14ac:dyDescent="0.25">
      <c r="A9" s="31" t="s">
        <v>32</v>
      </c>
      <c r="B9" s="29">
        <v>-0.21775900000000001</v>
      </c>
      <c r="C9" s="29">
        <v>-0.29912300000000003</v>
      </c>
      <c r="D9" s="29">
        <v>-0.32890399999999997</v>
      </c>
      <c r="E9" s="29">
        <v>-0.32091399999999998</v>
      </c>
      <c r="F9" s="29">
        <v>-0.23616400000000001</v>
      </c>
      <c r="G9" s="30">
        <v>-0.23131599999999999</v>
      </c>
      <c r="H9" s="13">
        <v>-0.28000000000000003</v>
      </c>
      <c r="I9" s="13">
        <v>-0.34</v>
      </c>
      <c r="J9" s="13">
        <v>-0.36</v>
      </c>
      <c r="K9" s="13">
        <v>-0.48</v>
      </c>
      <c r="L9" s="13">
        <v>-0.54</v>
      </c>
      <c r="M9" s="32">
        <v>-0.48</v>
      </c>
    </row>
    <row r="10" spans="1:13" x14ac:dyDescent="0.25">
      <c r="A10" s="31" t="s">
        <v>33</v>
      </c>
      <c r="B10" s="29">
        <v>-6.3062999999999994E-2</v>
      </c>
      <c r="C10" s="29">
        <v>-3.2972000000000001E-2</v>
      </c>
      <c r="D10" s="29">
        <v>-2.4350000000000001E-3</v>
      </c>
      <c r="E10" s="29">
        <v>2.2863000000000001E-2</v>
      </c>
      <c r="F10" s="29">
        <v>6.0889999999999998E-3</v>
      </c>
      <c r="G10" s="30">
        <v>3.2000000000000003E-4</v>
      </c>
      <c r="H10" s="13">
        <v>-0.12</v>
      </c>
      <c r="I10" s="13">
        <v>-0.01</v>
      </c>
      <c r="J10" s="13">
        <v>-0.01</v>
      </c>
      <c r="K10" s="13">
        <v>-0.05</v>
      </c>
      <c r="L10" s="13">
        <v>0</v>
      </c>
      <c r="M10" s="32">
        <v>0</v>
      </c>
    </row>
    <row r="11" spans="1:13" x14ac:dyDescent="0.25">
      <c r="A11" s="31" t="s">
        <v>34</v>
      </c>
      <c r="B11" s="29">
        <v>0.24427099999999999</v>
      </c>
      <c r="C11" s="29">
        <v>0.38605</v>
      </c>
      <c r="D11" s="29">
        <v>0.49778899999999998</v>
      </c>
      <c r="E11" s="29">
        <v>0.66111900000000001</v>
      </c>
      <c r="F11" s="29">
        <v>0.86743099999999995</v>
      </c>
      <c r="G11" s="30">
        <v>0.90944700000000001</v>
      </c>
      <c r="H11" s="13">
        <v>0.33</v>
      </c>
      <c r="I11" s="13">
        <v>0.4</v>
      </c>
      <c r="J11" s="13">
        <v>0.4</v>
      </c>
      <c r="K11" s="13">
        <v>0.37</v>
      </c>
      <c r="L11" s="13">
        <v>0.24</v>
      </c>
      <c r="M11" s="32">
        <v>0.13</v>
      </c>
    </row>
    <row r="12" spans="1:13" x14ac:dyDescent="0.25">
      <c r="A12" s="31" t="s">
        <v>35</v>
      </c>
      <c r="B12" s="29">
        <v>0.17774200000000001</v>
      </c>
      <c r="C12" s="29">
        <v>0.325096</v>
      </c>
      <c r="D12" s="29">
        <v>0.44569700000000001</v>
      </c>
      <c r="E12" s="29">
        <v>0.62700199999999995</v>
      </c>
      <c r="F12" s="29">
        <v>0.86432799999999999</v>
      </c>
      <c r="G12" s="30">
        <v>0.92344099999999996</v>
      </c>
      <c r="H12" s="13">
        <v>0.21</v>
      </c>
      <c r="I12" s="13">
        <v>0.26</v>
      </c>
      <c r="J12" s="13">
        <v>0.23</v>
      </c>
      <c r="K12" s="13">
        <v>0.17</v>
      </c>
      <c r="L12" s="13">
        <v>0.02</v>
      </c>
      <c r="M12" s="32">
        <v>-0.08</v>
      </c>
    </row>
    <row r="13" spans="1:13" x14ac:dyDescent="0.25">
      <c r="A13" s="31" t="s">
        <v>36</v>
      </c>
      <c r="B13" s="29">
        <v>-0.12291000000000001</v>
      </c>
      <c r="C13" s="29">
        <v>2.6289E-2</v>
      </c>
      <c r="D13" s="29">
        <v>0.15543000000000001</v>
      </c>
      <c r="E13" s="29">
        <v>0.36020600000000003</v>
      </c>
      <c r="F13" s="29">
        <v>0.64194099999999998</v>
      </c>
      <c r="G13" s="30">
        <v>0.71696099999999996</v>
      </c>
      <c r="H13" s="13">
        <v>-0.03</v>
      </c>
      <c r="I13" s="13">
        <v>-0.03</v>
      </c>
      <c r="J13" s="13">
        <v>-0.05</v>
      </c>
      <c r="K13" s="13">
        <v>-7.0000000000000007E-2</v>
      </c>
      <c r="L13" s="13">
        <v>-0.22</v>
      </c>
      <c r="M13" s="32">
        <v>-0.35</v>
      </c>
    </row>
    <row r="14" spans="1:13" x14ac:dyDescent="0.25">
      <c r="A14" s="31" t="s">
        <v>37</v>
      </c>
      <c r="B14" s="29">
        <v>0.47622900000000001</v>
      </c>
      <c r="C14" s="29">
        <v>0.62197999999999998</v>
      </c>
      <c r="D14" s="29">
        <v>0.73430099999999998</v>
      </c>
      <c r="E14" s="29">
        <v>0.89252699999999996</v>
      </c>
      <c r="F14" s="29">
        <v>1.085798</v>
      </c>
      <c r="G14" s="30">
        <v>1.1290640000000001</v>
      </c>
      <c r="H14" s="13">
        <v>0.43</v>
      </c>
      <c r="I14" s="13">
        <v>0.52</v>
      </c>
      <c r="J14" s="13">
        <v>0.51</v>
      </c>
      <c r="K14" s="13">
        <v>0.47</v>
      </c>
      <c r="L14" s="13">
        <v>0.34</v>
      </c>
      <c r="M14" s="32">
        <v>0.25</v>
      </c>
    </row>
    <row r="15" spans="1:13" x14ac:dyDescent="0.25">
      <c r="A15" s="31" t="s">
        <v>38</v>
      </c>
      <c r="B15" s="29">
        <v>0.217221</v>
      </c>
      <c r="C15" s="29">
        <v>0.39306099999999999</v>
      </c>
      <c r="D15" s="29">
        <v>0.52910800000000002</v>
      </c>
      <c r="E15" s="29">
        <v>0.71258600000000005</v>
      </c>
      <c r="F15" s="29">
        <v>0.91070600000000002</v>
      </c>
      <c r="G15" s="30">
        <v>0.94854400000000005</v>
      </c>
      <c r="H15" s="13">
        <v>0.19</v>
      </c>
      <c r="I15" s="13">
        <v>0.25</v>
      </c>
      <c r="J15" s="13">
        <v>0.24</v>
      </c>
      <c r="K15" s="13">
        <v>0.22</v>
      </c>
      <c r="L15" s="13">
        <v>0.12</v>
      </c>
      <c r="M15" s="32">
        <v>0.06</v>
      </c>
    </row>
    <row r="16" spans="1:13" x14ac:dyDescent="0.25">
      <c r="A16" s="31" t="s">
        <v>39</v>
      </c>
      <c r="B16" s="29">
        <v>1.0327930000000001</v>
      </c>
      <c r="C16" s="29">
        <v>1.0248699999999999</v>
      </c>
      <c r="D16" s="29">
        <v>1.019015</v>
      </c>
      <c r="E16" s="29">
        <v>1.0129379999999999</v>
      </c>
      <c r="F16" s="29">
        <v>1.011174</v>
      </c>
      <c r="G16" s="30">
        <v>1.0118769999999999</v>
      </c>
      <c r="H16" s="13">
        <v>0.93</v>
      </c>
      <c r="I16" s="13">
        <v>1.1299999999999999</v>
      </c>
      <c r="J16" s="13">
        <v>1.1399999999999999</v>
      </c>
      <c r="K16" s="13">
        <v>1.1299999999999999</v>
      </c>
      <c r="L16" s="13">
        <v>1.03</v>
      </c>
      <c r="M16" s="32">
        <v>0.98</v>
      </c>
    </row>
    <row r="17" spans="1:13" x14ac:dyDescent="0.25">
      <c r="A17" s="31" t="s">
        <v>40</v>
      </c>
      <c r="B17" s="29">
        <v>-2.6930000000000001E-3</v>
      </c>
      <c r="C17" s="29">
        <v>5.4899999999999997E-2</v>
      </c>
      <c r="D17" s="29">
        <v>0.14185900000000001</v>
      </c>
      <c r="E17" s="29">
        <v>0.32805899999999999</v>
      </c>
      <c r="F17" s="29">
        <v>0.63125100000000001</v>
      </c>
      <c r="G17" s="30">
        <v>0.70913000000000004</v>
      </c>
      <c r="H17" s="13">
        <v>0.11</v>
      </c>
      <c r="I17" s="13">
        <v>0.11</v>
      </c>
      <c r="J17" s="13">
        <v>0.01</v>
      </c>
      <c r="K17" s="13">
        <v>-0.25</v>
      </c>
      <c r="L17" s="13">
        <v>-0.49</v>
      </c>
      <c r="M17" s="32">
        <v>-0.53</v>
      </c>
    </row>
    <row r="18" spans="1:13" x14ac:dyDescent="0.25">
      <c r="A18" s="31" t="s">
        <v>16</v>
      </c>
      <c r="B18" s="29">
        <v>0.120366</v>
      </c>
      <c r="C18" s="29">
        <v>2.8603E-2</v>
      </c>
      <c r="D18" s="29">
        <v>-1.355E-2</v>
      </c>
      <c r="E18" s="29">
        <v>-3.2030999999999997E-2</v>
      </c>
      <c r="F18" s="29">
        <v>-1.0621999999999999E-2</v>
      </c>
      <c r="G18" s="30">
        <v>-7.7749999999999998E-3</v>
      </c>
      <c r="H18" s="13">
        <v>0.14000000000000001</v>
      </c>
      <c r="I18" s="13">
        <v>0.14000000000000001</v>
      </c>
      <c r="J18" s="13">
        <v>0.05</v>
      </c>
      <c r="K18" s="13">
        <v>-0.18</v>
      </c>
      <c r="L18" s="13">
        <v>-0.27</v>
      </c>
      <c r="M18" s="32">
        <v>-0.19</v>
      </c>
    </row>
    <row r="19" spans="1:13" x14ac:dyDescent="0.25">
      <c r="A19" s="31" t="s">
        <v>41</v>
      </c>
      <c r="B19" s="29">
        <v>-1.3616900000000001</v>
      </c>
      <c r="C19" s="29">
        <v>-5.6453499999999996</v>
      </c>
      <c r="D19" s="29">
        <v>-11.763019999999999</v>
      </c>
      <c r="E19" s="29">
        <v>-24.829190000000001</v>
      </c>
      <c r="F19" s="29">
        <v>-45.359540000000003</v>
      </c>
      <c r="G19" s="30">
        <v>-47.048909999999999</v>
      </c>
      <c r="H19" s="13">
        <v>-9</v>
      </c>
      <c r="I19" s="13">
        <v>-38</v>
      </c>
      <c r="J19" s="13">
        <v>-45</v>
      </c>
      <c r="K19" s="13">
        <v>-25</v>
      </c>
      <c r="L19" s="13">
        <v>-19</v>
      </c>
      <c r="M19" s="32">
        <v>-13</v>
      </c>
    </row>
    <row r="20" spans="1:13" x14ac:dyDescent="0.25">
      <c r="A20" s="31" t="s">
        <v>42</v>
      </c>
      <c r="B20" s="29">
        <v>4.0679999999999996E-3</v>
      </c>
      <c r="C20" s="29">
        <v>1.6483000000000001E-2</v>
      </c>
      <c r="D20" s="29">
        <v>3.3424000000000002E-2</v>
      </c>
      <c r="E20" s="29">
        <v>6.7402000000000004E-2</v>
      </c>
      <c r="F20" s="29">
        <v>0.11561399999999999</v>
      </c>
      <c r="G20" s="30">
        <v>0.109264</v>
      </c>
      <c r="H20" s="13">
        <v>0.04</v>
      </c>
      <c r="I20" s="13">
        <v>0.16</v>
      </c>
      <c r="J20" s="13">
        <v>0.19</v>
      </c>
      <c r="K20" s="13">
        <v>0.11</v>
      </c>
      <c r="L20" s="13">
        <v>0.08</v>
      </c>
      <c r="M20" s="32">
        <v>0.06</v>
      </c>
    </row>
    <row r="21" spans="1:13" x14ac:dyDescent="0.25">
      <c r="A21" s="31" t="s">
        <v>43</v>
      </c>
      <c r="B21" s="29">
        <v>-0.18010399999999999</v>
      </c>
      <c r="C21" s="29">
        <v>-0.10684200000000001</v>
      </c>
      <c r="D21" s="29">
        <v>-6.0395999999999998E-2</v>
      </c>
      <c r="E21" s="29">
        <v>-2.4303999999999999E-2</v>
      </c>
      <c r="F21" s="29">
        <v>-4.4223999999999999E-2</v>
      </c>
      <c r="G21" s="30">
        <v>-7.5131000000000003E-2</v>
      </c>
      <c r="H21" s="13">
        <v>-0.2</v>
      </c>
      <c r="I21" s="13">
        <v>-0.18</v>
      </c>
      <c r="J21" s="13">
        <v>-0.24</v>
      </c>
      <c r="K21" s="13">
        <v>-0.24</v>
      </c>
      <c r="L21" s="13">
        <v>-0.2</v>
      </c>
      <c r="M21" s="32">
        <v>-0.19</v>
      </c>
    </row>
    <row r="22" spans="1:13" x14ac:dyDescent="0.25">
      <c r="A22" s="31" t="s">
        <v>44</v>
      </c>
      <c r="B22" s="29">
        <v>-4.0659000000000001E-2</v>
      </c>
      <c r="C22" s="29">
        <v>-7.3208999999999996E-2</v>
      </c>
      <c r="D22" s="29">
        <v>-9.0735999999999997E-2</v>
      </c>
      <c r="E22" s="29">
        <v>-9.8477999999999996E-2</v>
      </c>
      <c r="F22" s="29">
        <v>-6.5865000000000007E-2</v>
      </c>
      <c r="G22" s="30">
        <v>-7.1272000000000002E-2</v>
      </c>
      <c r="H22" s="13">
        <v>-0.05</v>
      </c>
      <c r="I22" s="13">
        <v>-0.2</v>
      </c>
      <c r="J22" s="13">
        <v>-0.21</v>
      </c>
      <c r="K22" s="13">
        <v>-0.18</v>
      </c>
      <c r="L22" s="13">
        <v>-0.17</v>
      </c>
      <c r="M22" s="32">
        <v>-0.15</v>
      </c>
    </row>
    <row r="26" spans="1:13" x14ac:dyDescent="0.25">
      <c r="A26" s="34" t="s">
        <v>85</v>
      </c>
      <c r="B26" s="66" t="s">
        <v>88</v>
      </c>
      <c r="C26" s="66"/>
      <c r="D26" s="66"/>
      <c r="E26" s="66"/>
      <c r="F26" s="66"/>
      <c r="G26" s="66"/>
      <c r="H26" s="66"/>
      <c r="I26" s="66"/>
      <c r="J26" s="66"/>
      <c r="K26" s="66"/>
      <c r="L26" s="66"/>
      <c r="M26" s="66"/>
    </row>
    <row r="27" spans="1:13" x14ac:dyDescent="0.25">
      <c r="A27" s="41"/>
      <c r="B27" s="47" t="s">
        <v>45</v>
      </c>
      <c r="C27" s="47"/>
      <c r="D27" s="47"/>
      <c r="E27" s="47"/>
      <c r="F27" s="47"/>
      <c r="G27" s="48"/>
      <c r="H27" s="49" t="s">
        <v>46</v>
      </c>
      <c r="I27" s="50"/>
      <c r="J27" s="50"/>
      <c r="K27" s="50"/>
      <c r="L27" s="50"/>
      <c r="M27" s="51"/>
    </row>
    <row r="28" spans="1:13" x14ac:dyDescent="0.25">
      <c r="A28" s="22"/>
      <c r="B28" s="9" t="s">
        <v>59</v>
      </c>
      <c r="C28" s="9" t="s">
        <v>60</v>
      </c>
      <c r="D28" s="9" t="s">
        <v>61</v>
      </c>
      <c r="E28" s="9" t="s">
        <v>62</v>
      </c>
      <c r="F28" s="9" t="s">
        <v>63</v>
      </c>
      <c r="G28" s="11" t="s">
        <v>90</v>
      </c>
      <c r="H28" s="24" t="s">
        <v>59</v>
      </c>
      <c r="I28" s="10" t="s">
        <v>60</v>
      </c>
      <c r="J28" s="10" t="s">
        <v>65</v>
      </c>
      <c r="K28" s="10" t="s">
        <v>62</v>
      </c>
      <c r="L28" s="10" t="s">
        <v>63</v>
      </c>
      <c r="M28" s="25" t="s">
        <v>64</v>
      </c>
    </row>
    <row r="29" spans="1:13" x14ac:dyDescent="0.25">
      <c r="A29" s="31" t="s">
        <v>89</v>
      </c>
      <c r="B29" s="29">
        <f t="array" ref="B29:G47">TRANSPOSE('FF10'!$B$3:$T$8)</f>
        <v>-5.5752000000000003E-2</v>
      </c>
      <c r="C29" s="29">
        <v>-0.109724</v>
      </c>
      <c r="D29" s="29">
        <v>-0.14935300000000001</v>
      </c>
      <c r="E29" s="29">
        <v>-0.18985299999999999</v>
      </c>
      <c r="F29" s="29">
        <v>-0.20130400000000001</v>
      </c>
      <c r="G29" s="30">
        <v>-0.193825</v>
      </c>
      <c r="H29" s="43">
        <v>-0.1</v>
      </c>
      <c r="I29" s="43">
        <v>-0.24</v>
      </c>
      <c r="J29" s="43">
        <v>-0.18</v>
      </c>
      <c r="K29" s="43">
        <v>-0.21</v>
      </c>
      <c r="L29" s="43">
        <v>-0.22</v>
      </c>
      <c r="M29" s="44">
        <v>-0.17</v>
      </c>
    </row>
    <row r="30" spans="1:13" x14ac:dyDescent="0.25">
      <c r="A30" s="31" t="s">
        <v>56</v>
      </c>
      <c r="B30" s="29">
        <v>-0.14754700000000001</v>
      </c>
      <c r="C30" s="29">
        <v>-0.26244400000000001</v>
      </c>
      <c r="D30" s="29">
        <v>-0.32619500000000001</v>
      </c>
      <c r="E30" s="29">
        <v>-0.34634199999999998</v>
      </c>
      <c r="F30" s="29">
        <v>-0.24294099999999999</v>
      </c>
      <c r="G30" s="30">
        <v>-0.23167099999999999</v>
      </c>
      <c r="H30" s="13">
        <v>-0.14000000000000001</v>
      </c>
      <c r="I30" s="13">
        <v>-0.33</v>
      </c>
      <c r="J30" s="13">
        <v>-0.35</v>
      </c>
      <c r="K30" s="13">
        <v>-0.42</v>
      </c>
      <c r="L30" s="13">
        <v>-0.53</v>
      </c>
      <c r="M30" s="32">
        <v>-0.48</v>
      </c>
    </row>
    <row r="31" spans="1:13" x14ac:dyDescent="0.25">
      <c r="A31" s="31" t="s">
        <v>53</v>
      </c>
      <c r="B31" s="29">
        <v>-4.8462999999999999E-2</v>
      </c>
      <c r="C31" s="29">
        <v>-0.11743000000000001</v>
      </c>
      <c r="D31" s="29">
        <v>-0.18313299999999999</v>
      </c>
      <c r="E31" s="29">
        <v>-0.26662799999999998</v>
      </c>
      <c r="F31" s="29">
        <v>-0.26206400000000002</v>
      </c>
      <c r="G31" s="30">
        <v>-4.1528000000000002E-2</v>
      </c>
      <c r="H31" s="13">
        <v>-0.12</v>
      </c>
      <c r="I31" s="13">
        <v>-0.39</v>
      </c>
      <c r="J31" s="13">
        <v>-0.27</v>
      </c>
      <c r="K31" s="13">
        <v>-0.25</v>
      </c>
      <c r="L31" s="13">
        <v>-0.23</v>
      </c>
      <c r="M31" s="32">
        <v>-0.17</v>
      </c>
    </row>
    <row r="32" spans="1:13" x14ac:dyDescent="0.25">
      <c r="A32" s="31" t="s">
        <v>54</v>
      </c>
      <c r="B32" s="29">
        <v>2.6339000000000001E-2</v>
      </c>
      <c r="C32" s="29">
        <v>3.7720000000000002E-3</v>
      </c>
      <c r="D32" s="29">
        <v>-4.4004000000000001E-2</v>
      </c>
      <c r="E32" s="29">
        <v>-0.161383</v>
      </c>
      <c r="F32" s="29">
        <v>-0.382048</v>
      </c>
      <c r="G32" s="30">
        <v>-0.48304799999999998</v>
      </c>
      <c r="H32" s="13">
        <v>-0.06</v>
      </c>
      <c r="I32" s="13">
        <v>-0.12</v>
      </c>
      <c r="J32" s="13">
        <v>-0.14000000000000001</v>
      </c>
      <c r="K32" s="13">
        <v>-0.16</v>
      </c>
      <c r="L32" s="13">
        <v>-0.08</v>
      </c>
      <c r="M32" s="32">
        <v>-0.02</v>
      </c>
    </row>
    <row r="33" spans="1:13" x14ac:dyDescent="0.25">
      <c r="A33" s="31" t="s">
        <v>55</v>
      </c>
      <c r="B33" s="29">
        <v>-0.12920400000000001</v>
      </c>
      <c r="C33" s="29">
        <v>-0.25129200000000002</v>
      </c>
      <c r="D33" s="29">
        <v>-0.33399200000000001</v>
      </c>
      <c r="E33" s="29">
        <v>-0.39156200000000002</v>
      </c>
      <c r="F33" s="29">
        <v>-0.31196000000000002</v>
      </c>
      <c r="G33" s="30">
        <v>-0.24470500000000001</v>
      </c>
      <c r="H33" s="13">
        <v>-0.17</v>
      </c>
      <c r="I33" s="13">
        <v>-0.44</v>
      </c>
      <c r="J33" s="13">
        <v>-0.31</v>
      </c>
      <c r="K33" s="13">
        <v>-0.37</v>
      </c>
      <c r="L33" s="13">
        <v>-0.43</v>
      </c>
      <c r="M33" s="32">
        <v>-0.41</v>
      </c>
    </row>
    <row r="34" spans="1:13" x14ac:dyDescent="0.25">
      <c r="A34" s="31" t="s">
        <v>57</v>
      </c>
      <c r="B34" s="29">
        <v>-0.21775900000000001</v>
      </c>
      <c r="C34" s="29">
        <v>-0.29912300000000003</v>
      </c>
      <c r="D34" s="29">
        <v>-0.32890399999999997</v>
      </c>
      <c r="E34" s="29">
        <v>-0.32091399999999998</v>
      </c>
      <c r="F34" s="29">
        <v>-0.23616400000000001</v>
      </c>
      <c r="G34" s="30">
        <v>-0.23131599999999999</v>
      </c>
      <c r="H34" s="13">
        <v>-0.28000000000000003</v>
      </c>
      <c r="I34" s="13">
        <v>-0.34</v>
      </c>
      <c r="J34" s="13">
        <v>-0.36</v>
      </c>
      <c r="K34" s="13">
        <v>-0.48</v>
      </c>
      <c r="L34" s="13">
        <v>-0.54</v>
      </c>
      <c r="M34" s="32">
        <v>-0.48</v>
      </c>
    </row>
    <row r="35" spans="1:13" x14ac:dyDescent="0.25">
      <c r="A35" s="31" t="s">
        <v>58</v>
      </c>
      <c r="B35" s="29">
        <v>-6.3062999999999994E-2</v>
      </c>
      <c r="C35" s="29">
        <v>-3.2972000000000001E-2</v>
      </c>
      <c r="D35" s="29">
        <v>-2.4350000000000001E-3</v>
      </c>
      <c r="E35" s="29">
        <v>2.2863000000000001E-2</v>
      </c>
      <c r="F35" s="29">
        <v>6.0889999999999998E-3</v>
      </c>
      <c r="G35" s="30">
        <v>3.2000000000000003E-4</v>
      </c>
      <c r="H35" s="13">
        <v>-0.12</v>
      </c>
      <c r="I35" s="13">
        <v>-0.01</v>
      </c>
      <c r="J35" s="13">
        <v>-0.01</v>
      </c>
      <c r="K35" s="13">
        <v>-0.05</v>
      </c>
      <c r="L35" s="13">
        <v>0</v>
      </c>
      <c r="M35" s="32">
        <v>0</v>
      </c>
    </row>
    <row r="36" spans="1:13" x14ac:dyDescent="0.25">
      <c r="A36" s="31" t="s">
        <v>69</v>
      </c>
      <c r="B36" s="29">
        <v>0.24427099999999999</v>
      </c>
      <c r="C36" s="29">
        <v>0.38605</v>
      </c>
      <c r="D36" s="29">
        <v>0.49778899999999998</v>
      </c>
      <c r="E36" s="29">
        <v>0.66111900000000001</v>
      </c>
      <c r="F36" s="29">
        <v>0.86743099999999995</v>
      </c>
      <c r="G36" s="30">
        <v>0.90944700000000001</v>
      </c>
      <c r="H36" s="13">
        <v>0.33</v>
      </c>
      <c r="I36" s="13">
        <v>0.4</v>
      </c>
      <c r="J36" s="13">
        <v>0.4</v>
      </c>
      <c r="K36" s="13">
        <v>0.37</v>
      </c>
      <c r="L36" s="13">
        <v>0.24</v>
      </c>
      <c r="M36" s="32">
        <v>0.13</v>
      </c>
    </row>
    <row r="37" spans="1:13" x14ac:dyDescent="0.25">
      <c r="A37" s="31" t="s">
        <v>70</v>
      </c>
      <c r="B37" s="29">
        <v>0.17774200000000001</v>
      </c>
      <c r="C37" s="29">
        <v>0.325096</v>
      </c>
      <c r="D37" s="29">
        <v>0.44569700000000001</v>
      </c>
      <c r="E37" s="29">
        <v>0.62700199999999995</v>
      </c>
      <c r="F37" s="29">
        <v>0.86432799999999999</v>
      </c>
      <c r="G37" s="30">
        <v>0.92344099999999996</v>
      </c>
      <c r="H37" s="13">
        <v>0.21</v>
      </c>
      <c r="I37" s="13">
        <v>0.26</v>
      </c>
      <c r="J37" s="13">
        <v>0.23</v>
      </c>
      <c r="K37" s="13">
        <v>0.17</v>
      </c>
      <c r="L37" s="13">
        <v>0.02</v>
      </c>
      <c r="M37" s="32">
        <v>-0.08</v>
      </c>
    </row>
    <row r="38" spans="1:13" x14ac:dyDescent="0.25">
      <c r="A38" s="31" t="s">
        <v>71</v>
      </c>
      <c r="B38" s="29">
        <v>-0.12291000000000001</v>
      </c>
      <c r="C38" s="29">
        <v>2.6289E-2</v>
      </c>
      <c r="D38" s="29">
        <v>0.15543000000000001</v>
      </c>
      <c r="E38" s="29">
        <v>0.36020600000000003</v>
      </c>
      <c r="F38" s="29">
        <v>0.64194099999999998</v>
      </c>
      <c r="G38" s="30">
        <v>0.71696099999999996</v>
      </c>
      <c r="H38" s="13">
        <v>-0.03</v>
      </c>
      <c r="I38" s="13">
        <v>-0.03</v>
      </c>
      <c r="J38" s="13">
        <v>-0.05</v>
      </c>
      <c r="K38" s="13">
        <v>-7.0000000000000007E-2</v>
      </c>
      <c r="L38" s="13">
        <v>-0.22</v>
      </c>
      <c r="M38" s="32">
        <v>-0.35</v>
      </c>
    </row>
    <row r="39" spans="1:13" x14ac:dyDescent="0.25">
      <c r="A39" s="31" t="s">
        <v>75</v>
      </c>
      <c r="B39" s="29">
        <v>0.47622900000000001</v>
      </c>
      <c r="C39" s="29">
        <v>0.62197999999999998</v>
      </c>
      <c r="D39" s="29">
        <v>0.73430099999999998</v>
      </c>
      <c r="E39" s="29">
        <v>0.89252699999999996</v>
      </c>
      <c r="F39" s="29">
        <v>1.085798</v>
      </c>
      <c r="G39" s="30">
        <v>1.1290640000000001</v>
      </c>
      <c r="H39" s="13">
        <v>0.43</v>
      </c>
      <c r="I39" s="13">
        <v>0.52</v>
      </c>
      <c r="J39" s="13">
        <v>0.51</v>
      </c>
      <c r="K39" s="13">
        <v>0.47</v>
      </c>
      <c r="L39" s="13">
        <v>0.34</v>
      </c>
      <c r="M39" s="32">
        <v>0.25</v>
      </c>
    </row>
    <row r="40" spans="1:13" x14ac:dyDescent="0.25">
      <c r="A40" s="31" t="s">
        <v>67</v>
      </c>
      <c r="B40" s="29">
        <v>0.217221</v>
      </c>
      <c r="C40" s="29">
        <v>0.39306099999999999</v>
      </c>
      <c r="D40" s="29">
        <v>0.52910800000000002</v>
      </c>
      <c r="E40" s="29">
        <v>0.71258600000000005</v>
      </c>
      <c r="F40" s="29">
        <v>0.91070600000000002</v>
      </c>
      <c r="G40" s="30">
        <v>0.94854400000000005</v>
      </c>
      <c r="H40" s="13">
        <v>0.19</v>
      </c>
      <c r="I40" s="13">
        <v>0.25</v>
      </c>
      <c r="J40" s="13">
        <v>0.24</v>
      </c>
      <c r="K40" s="13">
        <v>0.22</v>
      </c>
      <c r="L40" s="13">
        <v>0.12</v>
      </c>
      <c r="M40" s="32">
        <v>0.06</v>
      </c>
    </row>
    <row r="41" spans="1:13" x14ac:dyDescent="0.25">
      <c r="A41" s="31" t="s">
        <v>68</v>
      </c>
      <c r="B41" s="29">
        <v>1.0327930000000001</v>
      </c>
      <c r="C41" s="29">
        <v>1.0248699999999999</v>
      </c>
      <c r="D41" s="29">
        <v>1.019015</v>
      </c>
      <c r="E41" s="29">
        <v>1.0129379999999999</v>
      </c>
      <c r="F41" s="29">
        <v>1.011174</v>
      </c>
      <c r="G41" s="30">
        <v>1.0118769999999999</v>
      </c>
      <c r="H41" s="13">
        <v>0.93</v>
      </c>
      <c r="I41" s="13">
        <v>1.1299999999999999</v>
      </c>
      <c r="J41" s="13">
        <v>1.1399999999999999</v>
      </c>
      <c r="K41" s="13">
        <v>1.1299999999999999</v>
      </c>
      <c r="L41" s="13">
        <v>1.03</v>
      </c>
      <c r="M41" s="32">
        <v>0.98</v>
      </c>
    </row>
    <row r="42" spans="1:13" x14ac:dyDescent="0.25">
      <c r="A42" s="31" t="s">
        <v>72</v>
      </c>
      <c r="B42" s="29">
        <v>-2.6930000000000001E-3</v>
      </c>
      <c r="C42" s="29">
        <v>5.4899999999999997E-2</v>
      </c>
      <c r="D42" s="29">
        <v>0.14185900000000001</v>
      </c>
      <c r="E42" s="29">
        <v>0.32805899999999999</v>
      </c>
      <c r="F42" s="29">
        <v>0.63125100000000001</v>
      </c>
      <c r="G42" s="30">
        <v>0.70913000000000004</v>
      </c>
      <c r="H42" s="13">
        <v>0.11</v>
      </c>
      <c r="I42" s="13">
        <v>0.11</v>
      </c>
      <c r="J42" s="13">
        <v>0.01</v>
      </c>
      <c r="K42" s="13">
        <v>-0.25</v>
      </c>
      <c r="L42" s="13">
        <v>-0.49</v>
      </c>
      <c r="M42" s="32">
        <v>-0.53</v>
      </c>
    </row>
    <row r="43" spans="1:13" x14ac:dyDescent="0.25">
      <c r="A43" s="31" t="s">
        <v>73</v>
      </c>
      <c r="B43" s="29">
        <v>0.120366</v>
      </c>
      <c r="C43" s="29">
        <v>2.8603E-2</v>
      </c>
      <c r="D43" s="29">
        <v>-1.355E-2</v>
      </c>
      <c r="E43" s="29">
        <v>-3.2030999999999997E-2</v>
      </c>
      <c r="F43" s="29">
        <v>-1.0621999999999999E-2</v>
      </c>
      <c r="G43" s="30">
        <v>-7.7749999999999998E-3</v>
      </c>
      <c r="H43" s="13">
        <v>0.14000000000000001</v>
      </c>
      <c r="I43" s="13">
        <v>0.14000000000000001</v>
      </c>
      <c r="J43" s="13">
        <v>0.05</v>
      </c>
      <c r="K43" s="13">
        <v>-0.18</v>
      </c>
      <c r="L43" s="13">
        <v>-0.27</v>
      </c>
      <c r="M43" s="32">
        <v>-0.19</v>
      </c>
    </row>
    <row r="44" spans="1:13" x14ac:dyDescent="0.25">
      <c r="A44" s="31" t="s">
        <v>76</v>
      </c>
      <c r="B44" s="29">
        <v>-1.3616900000000001</v>
      </c>
      <c r="C44" s="29">
        <v>-5.6453499999999996</v>
      </c>
      <c r="D44" s="29">
        <v>-11.763019999999999</v>
      </c>
      <c r="E44" s="29">
        <v>-24.829190000000001</v>
      </c>
      <c r="F44" s="29">
        <v>-45.359540000000003</v>
      </c>
      <c r="G44" s="30">
        <v>-47.048909999999999</v>
      </c>
      <c r="H44" s="13">
        <v>-9</v>
      </c>
      <c r="I44" s="13">
        <v>-38</v>
      </c>
      <c r="J44" s="13">
        <v>-45</v>
      </c>
      <c r="K44" s="13">
        <v>-25</v>
      </c>
      <c r="L44" s="13">
        <v>-19</v>
      </c>
      <c r="M44" s="32">
        <v>-13</v>
      </c>
    </row>
    <row r="45" spans="1:13" x14ac:dyDescent="0.25">
      <c r="A45" s="31" t="s">
        <v>74</v>
      </c>
      <c r="B45" s="29">
        <v>4.0679999999999996E-3</v>
      </c>
      <c r="C45" s="29">
        <v>1.6483000000000001E-2</v>
      </c>
      <c r="D45" s="29">
        <v>3.3424000000000002E-2</v>
      </c>
      <c r="E45" s="29">
        <v>6.7402000000000004E-2</v>
      </c>
      <c r="F45" s="29">
        <v>0.11561399999999999</v>
      </c>
      <c r="G45" s="30">
        <v>0.109264</v>
      </c>
      <c r="H45" s="13">
        <v>0.04</v>
      </c>
      <c r="I45" s="13">
        <v>0.16</v>
      </c>
      <c r="J45" s="13">
        <v>0.19</v>
      </c>
      <c r="K45" s="13">
        <v>0.11</v>
      </c>
      <c r="L45" s="13">
        <v>0.08</v>
      </c>
      <c r="M45" s="32">
        <v>0.06</v>
      </c>
    </row>
    <row r="46" spans="1:13" x14ac:dyDescent="0.25">
      <c r="A46" s="31" t="s">
        <v>77</v>
      </c>
      <c r="B46" s="29">
        <v>-0.18010399999999999</v>
      </c>
      <c r="C46" s="29">
        <v>-0.10684200000000001</v>
      </c>
      <c r="D46" s="29">
        <v>-6.0395999999999998E-2</v>
      </c>
      <c r="E46" s="29">
        <v>-2.4303999999999999E-2</v>
      </c>
      <c r="F46" s="29">
        <v>-4.4223999999999999E-2</v>
      </c>
      <c r="G46" s="30">
        <v>-7.5131000000000003E-2</v>
      </c>
      <c r="H46" s="13">
        <v>-0.2</v>
      </c>
      <c r="I46" s="13">
        <v>-0.18</v>
      </c>
      <c r="J46" s="13">
        <v>-0.24</v>
      </c>
      <c r="K46" s="13">
        <v>-0.24</v>
      </c>
      <c r="L46" s="13">
        <v>-0.2</v>
      </c>
      <c r="M46" s="32">
        <v>-0.19</v>
      </c>
    </row>
    <row r="47" spans="1:13" ht="30" x14ac:dyDescent="0.25">
      <c r="A47" s="45" t="s">
        <v>78</v>
      </c>
      <c r="B47" s="29">
        <v>-4.0659000000000001E-2</v>
      </c>
      <c r="C47" s="29">
        <v>-7.3208999999999996E-2</v>
      </c>
      <c r="D47" s="29">
        <v>-9.0735999999999997E-2</v>
      </c>
      <c r="E47" s="29">
        <v>-9.8477999999999996E-2</v>
      </c>
      <c r="F47" s="29">
        <v>-6.5865000000000007E-2</v>
      </c>
      <c r="G47" s="30">
        <v>-7.1272000000000002E-2</v>
      </c>
      <c r="H47" s="13">
        <v>-0.05</v>
      </c>
      <c r="I47" s="13">
        <v>-0.2</v>
      </c>
      <c r="J47" s="13">
        <v>-0.21</v>
      </c>
      <c r="K47" s="13">
        <v>-0.18</v>
      </c>
      <c r="L47" s="13">
        <v>-0.17</v>
      </c>
      <c r="M47" s="32">
        <v>-0.15</v>
      </c>
    </row>
    <row r="51" spans="1:1" x14ac:dyDescent="0.25">
      <c r="A51" s="37" t="str">
        <f t="shared" ref="A51:A69" si="0">"\textbf{"&amp;A29&amp;"} &amp; "&amp;TEXT(B29,formatResults)&amp;" &amp; "&amp;TEXT(C29,formatResults)&amp;" &amp; "&amp;TEXT(D29,formatResults)&amp;" &amp; "&amp;TEXT(E29,formatResults)&amp;" &amp; "&amp;TEXT(F29,formatResults)&amp;" &amp; "&amp;TEXT(G29,formatResults)&amp;" \\"</f>
        <v>\textbf{GDP in volume} &amp; -0.06 &amp; -0.11 &amp; -0.15 &amp; -0.19 &amp; -0.20 &amp; -0.19 \\</v>
      </c>
    </row>
    <row r="52" spans="1:1" x14ac:dyDescent="0.25">
      <c r="A52" s="37" t="str">
        <f t="shared" si="0"/>
        <v>\textbf{Household consumption} &amp; -0.15 &amp; -0.26 &amp; -0.33 &amp; -0.35 &amp; -0.24 &amp; -0.23 \\</v>
      </c>
    </row>
    <row r="53" spans="1:1" x14ac:dyDescent="0.25">
      <c r="A53" s="37" t="str">
        <f t="shared" si="0"/>
        <v>\textbf{Investment} &amp; -0.05 &amp; -0.12 &amp; -0.18 &amp; -0.27 &amp; -0.26 &amp; -0.04 \\</v>
      </c>
    </row>
    <row r="54" spans="1:1" x14ac:dyDescent="0.25">
      <c r="A54" s="37" t="str">
        <f t="shared" si="0"/>
        <v>\textbf{Exports} &amp; 0.03 &amp; 0.00 &amp; -0.04 &amp; -0.16 &amp; -0.38 &amp; -0.48 \\</v>
      </c>
    </row>
    <row r="55" spans="1:1" x14ac:dyDescent="0.25">
      <c r="A55" s="37" t="str">
        <f t="shared" si="0"/>
        <v>\textbf{Imports} &amp; -0.13 &amp; -0.25 &amp; -0.33 &amp; -0.39 &amp; -0.31 &amp; -0.24 \\</v>
      </c>
    </row>
    <row r="56" spans="1:1" x14ac:dyDescent="0.25">
      <c r="A56" s="37" t="str">
        <f t="shared" si="0"/>
        <v>\textbf{Household disposable income } &amp; -0.22 &amp; -0.30 &amp; -0.33 &amp; -0.32 &amp; -0.24 &amp; -0.23 \\</v>
      </c>
    </row>
    <row r="57" spans="1:1" x14ac:dyDescent="0.25">
      <c r="A57" s="37" t="str">
        <f t="shared" si="0"/>
        <v>\textbf{Saving rate} &amp; -0.06 &amp; -0.03 &amp; 0.00 &amp; 0.02 &amp; 0.01 &amp; 0.00 \\</v>
      </c>
    </row>
    <row r="58" spans="1:1" x14ac:dyDescent="0.25">
      <c r="A58" s="37" t="str">
        <f t="shared" si="0"/>
        <v>\textbf{Household consumption price index} &amp; 0.24 &amp; 0.39 &amp; 0.50 &amp; 0.66 &amp; 0.87 &amp; 0.91 \\</v>
      </c>
    </row>
    <row r="59" spans="1:1" x14ac:dyDescent="0.25">
      <c r="A59" s="37" t="str">
        <f t="shared" si="0"/>
        <v>\textbf{Production price index} &amp; 0.18 &amp; 0.33 &amp; 0.45 &amp; 0.63 &amp; 0.86 &amp; 0.92 \\</v>
      </c>
    </row>
    <row r="60" spans="1:1" x14ac:dyDescent="0.25">
      <c r="A60" s="37" t="str">
        <f t="shared" si="0"/>
        <v>\textbf{Added value price index} &amp; -0.12 &amp; 0.03 &amp; 0.16 &amp; 0.36 &amp; 0.64 &amp; 0.72 \\</v>
      </c>
    </row>
    <row r="61" spans="1:1" x14ac:dyDescent="0.25">
      <c r="A61" s="37" t="str">
        <f t="shared" si="0"/>
        <v>\textbf{Intermediate consumption price index} &amp; 0.48 &amp; 0.62 &amp; 0.73 &amp; 0.89 &amp; 1.09 &amp; 1.13 \\</v>
      </c>
    </row>
    <row r="62" spans="1:1" x14ac:dyDescent="0.25">
      <c r="A62" s="37" t="str">
        <f t="shared" si="0"/>
        <v>\textbf{Export price index} &amp; 0.22 &amp; 0.39 &amp; 0.53 &amp; 0.71 &amp; 0.91 &amp; 0.95 \\</v>
      </c>
    </row>
    <row r="63" spans="1:1" x14ac:dyDescent="0.25">
      <c r="A63" s="37" t="str">
        <f t="shared" si="0"/>
        <v>\textbf{Import price index} &amp; 1.03 &amp; 1.02 &amp; 1.02 &amp; 1.01 &amp; 1.01 &amp; 1.01 \\</v>
      </c>
    </row>
    <row r="64" spans="1:1" x14ac:dyDescent="0.25">
      <c r="A64" s="37" t="str">
        <f t="shared" si="0"/>
        <v>\textbf{Gross nominal wage} &amp; 0.00 &amp; 0.05 &amp; 0.14 &amp; 0.33 &amp; 0.63 &amp; 0.71 \\</v>
      </c>
    </row>
    <row r="65" spans="1:1" x14ac:dyDescent="0.25">
      <c r="A65" s="37" t="str">
        <f t="shared" si="0"/>
        <v>\textbf{Real cost of labor} &amp; 0.12 &amp; 0.03 &amp; -0.01 &amp; -0.03 &amp; -0.01 &amp; -0.01 \\</v>
      </c>
    </row>
    <row r="66" spans="1:1" x14ac:dyDescent="0.25">
      <c r="A66" s="37" t="str">
        <f t="shared" si="0"/>
        <v>\textbf{Wage employment (in thousands)} &amp; -1.36 &amp; -5.65 &amp; -11.76 &amp; -24.83 &amp; -45.36 &amp; -47.05 \\</v>
      </c>
    </row>
    <row r="67" spans="1:1" x14ac:dyDescent="0.25">
      <c r="A67" s="37" t="str">
        <f t="shared" si="0"/>
        <v>\textbf{Unemployment rate} &amp; 0.00 &amp; 0.02 &amp; 0.03 &amp; 0.07 &amp; 0.12 &amp; 0.11 \\</v>
      </c>
    </row>
    <row r="68" spans="1:1" x14ac:dyDescent="0.25">
      <c r="A68" s="37" t="str">
        <f t="shared" si="0"/>
        <v>\textbf{Trade balance (in points of GDP)} &amp; -0.18 &amp; -0.11 &amp; -0.06 &amp; -0.02 &amp; -0.04 &amp; -0.08 \\</v>
      </c>
    </row>
    <row r="69" spans="1:1" x14ac:dyDescent="0.25">
      <c r="A69" s="37" t="str">
        <f t="shared" si="0"/>
        <v>\textbf{Public budget balance (in points of GDP)} &amp; -0.04 &amp; -0.07 &amp; -0.09 &amp; -0.10 &amp; -0.07 &amp; -0.07 \\</v>
      </c>
    </row>
  </sheetData>
  <mergeCells count="6">
    <mergeCell ref="B2:G2"/>
    <mergeCell ref="H2:M2"/>
    <mergeCell ref="B27:G27"/>
    <mergeCell ref="H27:M27"/>
    <mergeCell ref="B1:M1"/>
    <mergeCell ref="B26:M26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M69"/>
  <sheetViews>
    <sheetView tabSelected="1" workbookViewId="0">
      <selection activeCell="G29" sqref="G29"/>
    </sheetView>
  </sheetViews>
  <sheetFormatPr defaultColWidth="11" defaultRowHeight="15.75" x14ac:dyDescent="0.25"/>
  <cols>
    <col min="1" max="1" width="31.625" style="37" bestFit="1" customWidth="1"/>
    <col min="2" max="16384" width="11" style="37"/>
  </cols>
  <sheetData>
    <row r="1" spans="1:13" ht="30" x14ac:dyDescent="0.25">
      <c r="A1" s="34" t="s">
        <v>52</v>
      </c>
      <c r="B1" s="66" t="s">
        <v>86</v>
      </c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</row>
    <row r="2" spans="1:13" x14ac:dyDescent="0.25">
      <c r="A2" s="41"/>
      <c r="B2" s="47" t="s">
        <v>45</v>
      </c>
      <c r="C2" s="47"/>
      <c r="D2" s="47"/>
      <c r="E2" s="47"/>
      <c r="F2" s="47"/>
      <c r="G2" s="48"/>
      <c r="H2" s="49" t="s">
        <v>46</v>
      </c>
      <c r="I2" s="50"/>
      <c r="J2" s="50"/>
      <c r="K2" s="50"/>
      <c r="L2" s="50"/>
      <c r="M2" s="51"/>
    </row>
    <row r="3" spans="1:13" x14ac:dyDescent="0.25">
      <c r="A3" s="22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90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TRANSPOSE('CT1'!$B$3:$T$8)</f>
        <v>7.3855000000000004E-2</v>
      </c>
      <c r="C4" s="29">
        <v>0.145012</v>
      </c>
      <c r="D4" s="29">
        <v>0.19176699999999999</v>
      </c>
      <c r="E4" s="29">
        <v>0.198017</v>
      </c>
      <c r="F4" s="29">
        <v>2.9565000000000001E-2</v>
      </c>
      <c r="G4" s="30">
        <v>-1.5493E-2</v>
      </c>
      <c r="H4" s="12">
        <v>-0.51</v>
      </c>
      <c r="I4" s="36">
        <v>-0.8</v>
      </c>
      <c r="J4" s="36">
        <v>-0.75</v>
      </c>
      <c r="K4" s="36">
        <v>-0.87</v>
      </c>
      <c r="L4" s="36">
        <v>-0.86</v>
      </c>
      <c r="M4" s="32">
        <v>-0.68</v>
      </c>
    </row>
    <row r="5" spans="1:13" x14ac:dyDescent="0.25">
      <c r="A5" s="31" t="s">
        <v>8</v>
      </c>
      <c r="B5" s="29">
        <v>8.5320999999999994E-2</v>
      </c>
      <c r="C5" s="29">
        <v>0.21459</v>
      </c>
      <c r="D5" s="29">
        <v>0.341943</v>
      </c>
      <c r="E5" s="29">
        <v>0.49901000000000001</v>
      </c>
      <c r="F5" s="29">
        <v>0.50522199999999995</v>
      </c>
      <c r="G5" s="30">
        <v>0.101927</v>
      </c>
      <c r="H5" s="12">
        <v>-0.75</v>
      </c>
      <c r="I5" s="36">
        <v>-1.3</v>
      </c>
      <c r="J5" s="36">
        <v>-1.34</v>
      </c>
      <c r="K5" s="36">
        <v>-1.71</v>
      </c>
      <c r="L5" s="36">
        <v>-2.09</v>
      </c>
      <c r="M5" s="32">
        <v>-1.9</v>
      </c>
    </row>
    <row r="6" spans="1:13" x14ac:dyDescent="0.25">
      <c r="A6" s="31" t="s">
        <v>9</v>
      </c>
      <c r="B6" s="29">
        <v>-5.1768000000000002E-2</v>
      </c>
      <c r="C6" s="29">
        <v>-7.9924999999999996E-2</v>
      </c>
      <c r="D6" s="29">
        <v>-0.100892</v>
      </c>
      <c r="E6" s="29">
        <v>-0.15002599999999999</v>
      </c>
      <c r="F6" s="29">
        <v>-0.23649500000000001</v>
      </c>
      <c r="G6" s="30">
        <v>-5.4482000000000003E-2</v>
      </c>
      <c r="H6" s="12">
        <v>-0.7</v>
      </c>
      <c r="I6" s="36">
        <v>-1.32</v>
      </c>
      <c r="J6" s="36">
        <v>-1.06</v>
      </c>
      <c r="K6" s="36">
        <v>-1.03</v>
      </c>
      <c r="L6" s="36">
        <v>-0.86</v>
      </c>
      <c r="M6" s="32">
        <v>-0.66</v>
      </c>
    </row>
    <row r="7" spans="1:13" x14ac:dyDescent="0.25">
      <c r="A7" s="31" t="s">
        <v>11</v>
      </c>
      <c r="B7" s="29">
        <v>-5.6351999999999999E-2</v>
      </c>
      <c r="C7" s="29">
        <v>-0.14307</v>
      </c>
      <c r="D7" s="29">
        <v>-0.250863</v>
      </c>
      <c r="E7" s="29">
        <v>-0.50286399999999998</v>
      </c>
      <c r="F7" s="29">
        <v>-1.0135419999999999</v>
      </c>
      <c r="G7" s="30">
        <v>-0.37419599999999997</v>
      </c>
      <c r="H7" s="12">
        <v>-0.3</v>
      </c>
      <c r="I7" s="36">
        <v>-0.53</v>
      </c>
      <c r="J7" s="36">
        <v>-0.6</v>
      </c>
      <c r="K7" s="36">
        <v>-0.62</v>
      </c>
      <c r="L7" s="36">
        <v>-0.3</v>
      </c>
      <c r="M7" s="32">
        <v>-7.0000000000000007E-2</v>
      </c>
    </row>
    <row r="8" spans="1:13" x14ac:dyDescent="0.25">
      <c r="A8" s="31" t="s">
        <v>12</v>
      </c>
      <c r="B8" s="29">
        <v>-0.18088499999999999</v>
      </c>
      <c r="C8" s="29">
        <v>-0.26286900000000002</v>
      </c>
      <c r="D8" s="29">
        <v>-0.26933099999999999</v>
      </c>
      <c r="E8" s="29">
        <v>-0.20499100000000001</v>
      </c>
      <c r="F8" s="29">
        <v>-7.0893999999999999E-2</v>
      </c>
      <c r="G8" s="30">
        <v>-9.0698000000000001E-2</v>
      </c>
      <c r="H8" s="12">
        <v>-0.85</v>
      </c>
      <c r="I8" s="36">
        <v>-1.4</v>
      </c>
      <c r="J8" s="36">
        <v>-1.18</v>
      </c>
      <c r="K8" s="36">
        <v>-1.35</v>
      </c>
      <c r="L8" s="36">
        <v>-1.43</v>
      </c>
      <c r="M8" s="32">
        <v>-1.36</v>
      </c>
    </row>
    <row r="9" spans="1:13" x14ac:dyDescent="0.25">
      <c r="A9" s="31" t="s">
        <v>32</v>
      </c>
      <c r="B9" s="29">
        <v>0.119797</v>
      </c>
      <c r="C9" s="29">
        <v>0.26236100000000001</v>
      </c>
      <c r="D9" s="29">
        <v>0.37839</v>
      </c>
      <c r="E9" s="29">
        <v>0.49241400000000002</v>
      </c>
      <c r="F9" s="29">
        <v>0.48808000000000001</v>
      </c>
      <c r="G9" s="30">
        <v>0.103903</v>
      </c>
      <c r="H9" s="12">
        <v>-1.33</v>
      </c>
      <c r="I9" s="36">
        <v>-1.25</v>
      </c>
      <c r="J9" s="36">
        <v>-1.44</v>
      </c>
      <c r="K9" s="36">
        <v>-1.94</v>
      </c>
      <c r="L9" s="36">
        <v>-2.1</v>
      </c>
      <c r="M9" s="32">
        <v>-1.9</v>
      </c>
    </row>
    <row r="10" spans="1:13" x14ac:dyDescent="0.25">
      <c r="A10" s="31" t="s">
        <v>33</v>
      </c>
      <c r="B10" s="29">
        <v>3.0862000000000001E-2</v>
      </c>
      <c r="C10" s="29">
        <v>4.2701999999999997E-2</v>
      </c>
      <c r="D10" s="29">
        <v>3.2542000000000001E-2</v>
      </c>
      <c r="E10" s="29">
        <v>-5.8820000000000001E-3</v>
      </c>
      <c r="F10" s="29">
        <v>-1.5288E-2</v>
      </c>
      <c r="G10" s="30">
        <v>1.7700000000000001E-3</v>
      </c>
      <c r="H10" s="12">
        <v>-0.51</v>
      </c>
      <c r="I10" s="36">
        <v>0.04</v>
      </c>
      <c r="J10" s="36">
        <v>-0.09</v>
      </c>
      <c r="K10" s="36">
        <v>-0.2</v>
      </c>
      <c r="L10" s="36">
        <v>-0.01</v>
      </c>
      <c r="M10" s="32">
        <v>0</v>
      </c>
    </row>
    <row r="11" spans="1:13" x14ac:dyDescent="0.25">
      <c r="A11" s="31" t="s">
        <v>34</v>
      </c>
      <c r="B11" s="29">
        <v>0.45816600000000002</v>
      </c>
      <c r="C11" s="29">
        <v>0.56067900000000004</v>
      </c>
      <c r="D11" s="29">
        <v>0.711175</v>
      </c>
      <c r="E11" s="29">
        <v>1.0600579999999999</v>
      </c>
      <c r="F11" s="29">
        <v>1.5241130000000001</v>
      </c>
      <c r="G11" s="30">
        <v>0.44482899999999997</v>
      </c>
      <c r="H11" s="12">
        <v>1.64</v>
      </c>
      <c r="I11" s="36">
        <v>1.72</v>
      </c>
      <c r="J11" s="36">
        <v>1.68</v>
      </c>
      <c r="K11" s="36">
        <v>1.49</v>
      </c>
      <c r="L11" s="36">
        <v>1.01</v>
      </c>
      <c r="M11" s="32">
        <v>0.61</v>
      </c>
    </row>
    <row r="12" spans="1:13" x14ac:dyDescent="0.25">
      <c r="A12" s="31" t="s">
        <v>35</v>
      </c>
      <c r="B12" s="29">
        <v>9.6977999999999995E-2</v>
      </c>
      <c r="C12" s="29">
        <v>0.238376</v>
      </c>
      <c r="D12" s="29">
        <v>0.42883199999999999</v>
      </c>
      <c r="E12" s="29">
        <v>0.86022399999999999</v>
      </c>
      <c r="F12" s="29">
        <v>1.4543999999999999</v>
      </c>
      <c r="G12" s="30">
        <v>0.39809800000000001</v>
      </c>
      <c r="H12" s="12">
        <v>1</v>
      </c>
      <c r="I12" s="36">
        <v>1.06</v>
      </c>
      <c r="J12" s="36">
        <v>0.94</v>
      </c>
      <c r="K12" s="36">
        <v>0.62</v>
      </c>
      <c r="L12" s="36">
        <v>0.08</v>
      </c>
      <c r="M12" s="32">
        <v>-0.28999999999999998</v>
      </c>
    </row>
    <row r="13" spans="1:13" x14ac:dyDescent="0.25">
      <c r="A13" s="31" t="s">
        <v>36</v>
      </c>
      <c r="B13" s="29">
        <v>-0.65449299999999999</v>
      </c>
      <c r="C13" s="29">
        <v>-0.45711099999999999</v>
      </c>
      <c r="D13" s="29">
        <v>-0.20352799999999999</v>
      </c>
      <c r="E13" s="29">
        <v>0.35797000000000001</v>
      </c>
      <c r="F13" s="29">
        <v>1.167206</v>
      </c>
      <c r="G13" s="30">
        <v>0.26052999999999998</v>
      </c>
      <c r="H13" s="12">
        <v>-0.13</v>
      </c>
      <c r="I13" s="36">
        <v>-0.08</v>
      </c>
      <c r="J13" s="36">
        <v>-0.12</v>
      </c>
      <c r="K13" s="36">
        <v>-0.3</v>
      </c>
      <c r="L13" s="36">
        <v>-0.84</v>
      </c>
      <c r="M13" s="32">
        <v>-1.33</v>
      </c>
    </row>
    <row r="14" spans="1:13" x14ac:dyDescent="0.25">
      <c r="A14" s="31" t="s">
        <v>37</v>
      </c>
      <c r="B14" s="29">
        <v>0.84450199999999997</v>
      </c>
      <c r="C14" s="29">
        <v>0.93157900000000005</v>
      </c>
      <c r="D14" s="29">
        <v>1.0599190000000001</v>
      </c>
      <c r="E14" s="29">
        <v>1.3620589999999999</v>
      </c>
      <c r="F14" s="29">
        <v>1.7414050000000001</v>
      </c>
      <c r="G14" s="30">
        <v>0.53499300000000005</v>
      </c>
      <c r="H14" s="12">
        <v>2.0099999999999998</v>
      </c>
      <c r="I14" s="36">
        <v>2.09</v>
      </c>
      <c r="J14" s="36">
        <v>2</v>
      </c>
      <c r="K14" s="36">
        <v>1.77</v>
      </c>
      <c r="L14" s="36">
        <v>1.3</v>
      </c>
      <c r="M14" s="32">
        <v>0.97</v>
      </c>
    </row>
    <row r="15" spans="1:13" x14ac:dyDescent="0.25">
      <c r="A15" s="31" t="s">
        <v>38</v>
      </c>
      <c r="B15" s="29">
        <v>0.23541999999999999</v>
      </c>
      <c r="C15" s="29">
        <v>0.43367699999999998</v>
      </c>
      <c r="D15" s="29">
        <v>0.63166699999999998</v>
      </c>
      <c r="E15" s="29">
        <v>1.015544</v>
      </c>
      <c r="F15" s="29">
        <v>1.4815389999999999</v>
      </c>
      <c r="G15" s="30">
        <v>0.41993599999999998</v>
      </c>
      <c r="H15" s="12">
        <v>0.9</v>
      </c>
      <c r="I15" s="36">
        <v>1.01</v>
      </c>
      <c r="J15" s="36">
        <v>0.97</v>
      </c>
      <c r="K15" s="36">
        <v>0.83</v>
      </c>
      <c r="L15" s="36">
        <v>0.45</v>
      </c>
      <c r="M15" s="32">
        <v>0.22</v>
      </c>
    </row>
    <row r="16" spans="1:13" x14ac:dyDescent="0.25">
      <c r="A16" s="31" t="s">
        <v>39</v>
      </c>
      <c r="B16" s="29">
        <v>-9.8000000000000004E-8</v>
      </c>
      <c r="C16" s="29">
        <v>-1.92E-7</v>
      </c>
      <c r="D16" s="29">
        <v>-2.8299999999999998E-7</v>
      </c>
      <c r="E16" s="29">
        <v>-5.4300000000000003E-7</v>
      </c>
      <c r="F16" s="29">
        <v>-8.1999999999999998E-7</v>
      </c>
      <c r="G16" s="30">
        <v>-7.9999999999999996E-7</v>
      </c>
      <c r="H16" s="12">
        <v>0.53</v>
      </c>
      <c r="I16" s="36">
        <v>0.66</v>
      </c>
      <c r="J16" s="36">
        <v>0.68</v>
      </c>
      <c r="K16" s="36">
        <v>0.56999999999999995</v>
      </c>
      <c r="L16" s="36">
        <v>0.17</v>
      </c>
      <c r="M16" s="32">
        <v>-0.02</v>
      </c>
    </row>
    <row r="17" spans="1:13" x14ac:dyDescent="0.25">
      <c r="A17" s="31" t="s">
        <v>40</v>
      </c>
      <c r="B17" s="29">
        <v>7.0170999999999997E-2</v>
      </c>
      <c r="C17" s="29">
        <v>0.318245</v>
      </c>
      <c r="D17" s="29">
        <v>0.60401300000000002</v>
      </c>
      <c r="E17" s="29">
        <v>1.1310819999999999</v>
      </c>
      <c r="F17" s="29">
        <v>1.7555430000000001</v>
      </c>
      <c r="G17" s="30">
        <v>0.48340300000000003</v>
      </c>
      <c r="H17" s="12">
        <v>0.6</v>
      </c>
      <c r="I17" s="36">
        <v>0.56000000000000005</v>
      </c>
      <c r="J17" s="36">
        <v>0.06</v>
      </c>
      <c r="K17" s="36">
        <v>-1.06</v>
      </c>
      <c r="L17" s="36">
        <v>-1.87</v>
      </c>
      <c r="M17" s="32">
        <v>-2.0299999999999998</v>
      </c>
    </row>
    <row r="18" spans="1:13" x14ac:dyDescent="0.25">
      <c r="A18" s="31" t="s">
        <v>16</v>
      </c>
      <c r="B18" s="29">
        <v>-0.34955000000000003</v>
      </c>
      <c r="C18" s="29">
        <v>-0.23766200000000001</v>
      </c>
      <c r="D18" s="29">
        <v>-0.154026</v>
      </c>
      <c r="E18" s="29">
        <v>-0.10503700000000001</v>
      </c>
      <c r="F18" s="29">
        <v>-0.13306999999999999</v>
      </c>
      <c r="G18" s="30">
        <v>-5.5808000000000003E-2</v>
      </c>
      <c r="H18" s="12">
        <v>0.73</v>
      </c>
      <c r="I18" s="36">
        <v>0.64</v>
      </c>
      <c r="J18" s="36">
        <v>0.18</v>
      </c>
      <c r="K18" s="36">
        <v>-0.76</v>
      </c>
      <c r="L18" s="36">
        <v>-1.05</v>
      </c>
      <c r="M18" s="32">
        <v>-0.71</v>
      </c>
    </row>
    <row r="19" spans="1:13" x14ac:dyDescent="0.25">
      <c r="A19" s="31" t="s">
        <v>41</v>
      </c>
      <c r="B19" s="29">
        <v>33.380479999999999</v>
      </c>
      <c r="C19" s="29">
        <v>70.231009999999998</v>
      </c>
      <c r="D19" s="29">
        <v>98.479870000000005</v>
      </c>
      <c r="E19" s="29">
        <v>116.98609999999999</v>
      </c>
      <c r="F19" s="29">
        <v>40.598300000000002</v>
      </c>
      <c r="G19" s="30">
        <v>8.65442</v>
      </c>
      <c r="H19" s="12">
        <v>-53</v>
      </c>
      <c r="I19" s="36">
        <v>-157</v>
      </c>
      <c r="J19" s="36">
        <v>-173</v>
      </c>
      <c r="K19" s="36">
        <v>-105</v>
      </c>
      <c r="L19" s="36">
        <v>-69</v>
      </c>
      <c r="M19" s="32">
        <v>-51</v>
      </c>
    </row>
    <row r="20" spans="1:13" x14ac:dyDescent="0.25">
      <c r="A20" s="31" t="s">
        <v>42</v>
      </c>
      <c r="B20" s="29">
        <v>-9.9696000000000007E-2</v>
      </c>
      <c r="C20" s="29">
        <v>-0.20094300000000001</v>
      </c>
      <c r="D20" s="29">
        <v>-0.27177499999999999</v>
      </c>
      <c r="E20" s="29">
        <v>-0.303954</v>
      </c>
      <c r="F20" s="29">
        <v>-8.9074E-2</v>
      </c>
      <c r="G20" s="30">
        <v>-2.0156E-2</v>
      </c>
      <c r="H20" s="12">
        <v>0.22</v>
      </c>
      <c r="I20" s="36">
        <v>0.66</v>
      </c>
      <c r="J20" s="36">
        <v>0.72</v>
      </c>
      <c r="K20" s="36">
        <v>0.44</v>
      </c>
      <c r="L20" s="36">
        <v>0.28999999999999998</v>
      </c>
      <c r="M20" s="32">
        <v>0.21</v>
      </c>
    </row>
    <row r="21" spans="1:13" x14ac:dyDescent="0.25">
      <c r="A21" s="31" t="s">
        <v>43</v>
      </c>
      <c r="B21" s="29">
        <v>9.8655000000000007E-2</v>
      </c>
      <c r="C21" s="29">
        <v>0.15093899999999999</v>
      </c>
      <c r="D21" s="29">
        <v>0.179232</v>
      </c>
      <c r="E21" s="29">
        <v>0.203399</v>
      </c>
      <c r="F21" s="29">
        <v>0.166905</v>
      </c>
      <c r="G21" s="30">
        <v>4.5864000000000002E-2</v>
      </c>
      <c r="H21" s="12">
        <v>0.28999999999999998</v>
      </c>
      <c r="I21" s="36">
        <v>0.39</v>
      </c>
      <c r="J21" s="36">
        <v>0.28000000000000003</v>
      </c>
      <c r="K21" s="36">
        <v>0.32</v>
      </c>
      <c r="L21" s="36">
        <v>0.45</v>
      </c>
      <c r="M21" s="32">
        <v>0.49</v>
      </c>
    </row>
    <row r="22" spans="1:13" x14ac:dyDescent="0.25">
      <c r="A22" s="31" t="s">
        <v>44</v>
      </c>
      <c r="B22" s="29">
        <v>-3.9630000000000004E-3</v>
      </c>
      <c r="C22" s="29">
        <v>7.3204000000000005E-2</v>
      </c>
      <c r="D22" s="29">
        <v>0.12341299999999999</v>
      </c>
      <c r="E22" s="29">
        <v>0.149751</v>
      </c>
      <c r="F22" s="29">
        <v>0.10377</v>
      </c>
      <c r="G22" s="30">
        <v>-9.0460000000000002E-3</v>
      </c>
      <c r="H22" s="12">
        <v>0.68</v>
      </c>
      <c r="I22" s="36">
        <v>0.15</v>
      </c>
      <c r="J22" s="36">
        <v>0.14000000000000001</v>
      </c>
      <c r="K22" s="36">
        <v>0.24</v>
      </c>
      <c r="L22" s="36">
        <v>0.28000000000000003</v>
      </c>
      <c r="M22" s="32">
        <v>0.37</v>
      </c>
    </row>
    <row r="26" spans="1:13" ht="30" x14ac:dyDescent="0.25">
      <c r="A26" s="34" t="s">
        <v>66</v>
      </c>
      <c r="B26" s="66" t="s">
        <v>88</v>
      </c>
      <c r="C26" s="66"/>
      <c r="D26" s="66"/>
      <c r="E26" s="66"/>
      <c r="F26" s="66"/>
      <c r="G26" s="66"/>
      <c r="H26" s="66"/>
      <c r="I26" s="66"/>
      <c r="J26" s="66"/>
      <c r="K26" s="66"/>
      <c r="L26" s="66"/>
      <c r="M26" s="66"/>
    </row>
    <row r="27" spans="1:13" x14ac:dyDescent="0.25">
      <c r="A27" s="41"/>
      <c r="B27" s="47" t="s">
        <v>45</v>
      </c>
      <c r="C27" s="47"/>
      <c r="D27" s="47"/>
      <c r="E27" s="47"/>
      <c r="F27" s="47"/>
      <c r="G27" s="48"/>
      <c r="H27" s="49" t="s">
        <v>46</v>
      </c>
      <c r="I27" s="50"/>
      <c r="J27" s="50"/>
      <c r="K27" s="50"/>
      <c r="L27" s="50"/>
      <c r="M27" s="51"/>
    </row>
    <row r="28" spans="1:13" x14ac:dyDescent="0.25">
      <c r="A28" s="22"/>
      <c r="B28" s="9" t="s">
        <v>59</v>
      </c>
      <c r="C28" s="9" t="s">
        <v>60</v>
      </c>
      <c r="D28" s="9" t="s">
        <v>61</v>
      </c>
      <c r="E28" s="9" t="s">
        <v>62</v>
      </c>
      <c r="F28" s="9" t="s">
        <v>63</v>
      </c>
      <c r="G28" s="11" t="s">
        <v>90</v>
      </c>
      <c r="H28" s="24" t="s">
        <v>59</v>
      </c>
      <c r="I28" s="10" t="s">
        <v>60</v>
      </c>
      <c r="J28" s="10" t="s">
        <v>65</v>
      </c>
      <c r="K28" s="10" t="s">
        <v>62</v>
      </c>
      <c r="L28" s="10" t="s">
        <v>63</v>
      </c>
      <c r="M28" s="25" t="s">
        <v>64</v>
      </c>
    </row>
    <row r="29" spans="1:13" x14ac:dyDescent="0.25">
      <c r="A29" s="31" t="s">
        <v>89</v>
      </c>
      <c r="B29" s="29">
        <f t="array" ref="B29:G47">TRANSPOSE('CT1'!$B$3:$T$8)</f>
        <v>7.3855000000000004E-2</v>
      </c>
      <c r="C29" s="29">
        <v>0.145012</v>
      </c>
      <c r="D29" s="29">
        <v>0.19176699999999999</v>
      </c>
      <c r="E29" s="29">
        <v>0.198017</v>
      </c>
      <c r="F29" s="29">
        <v>2.9565000000000001E-2</v>
      </c>
      <c r="G29" s="30">
        <v>-1.5493E-2</v>
      </c>
      <c r="H29" s="12">
        <v>-0.51</v>
      </c>
      <c r="I29" s="36">
        <v>-0.8</v>
      </c>
      <c r="J29" s="36">
        <v>-0.75</v>
      </c>
      <c r="K29" s="36">
        <v>-0.87</v>
      </c>
      <c r="L29" s="36">
        <v>-0.86</v>
      </c>
      <c r="M29" s="32">
        <v>-0.68</v>
      </c>
    </row>
    <row r="30" spans="1:13" x14ac:dyDescent="0.25">
      <c r="A30" s="31" t="s">
        <v>56</v>
      </c>
      <c r="B30" s="29">
        <v>8.5320999999999994E-2</v>
      </c>
      <c r="C30" s="29">
        <v>0.21459</v>
      </c>
      <c r="D30" s="29">
        <v>0.341943</v>
      </c>
      <c r="E30" s="29">
        <v>0.49901000000000001</v>
      </c>
      <c r="F30" s="29">
        <v>0.50522199999999995</v>
      </c>
      <c r="G30" s="30">
        <v>0.101927</v>
      </c>
      <c r="H30" s="12">
        <v>-0.75</v>
      </c>
      <c r="I30" s="36">
        <v>-1.3</v>
      </c>
      <c r="J30" s="36">
        <v>-1.34</v>
      </c>
      <c r="K30" s="36">
        <v>-1.71</v>
      </c>
      <c r="L30" s="36">
        <v>-2.09</v>
      </c>
      <c r="M30" s="32">
        <v>-1.9</v>
      </c>
    </row>
    <row r="31" spans="1:13" x14ac:dyDescent="0.25">
      <c r="A31" s="31" t="s">
        <v>53</v>
      </c>
      <c r="B31" s="29">
        <v>-5.1768000000000002E-2</v>
      </c>
      <c r="C31" s="29">
        <v>-7.9924999999999996E-2</v>
      </c>
      <c r="D31" s="29">
        <v>-0.100892</v>
      </c>
      <c r="E31" s="29">
        <v>-0.15002599999999999</v>
      </c>
      <c r="F31" s="29">
        <v>-0.23649500000000001</v>
      </c>
      <c r="G31" s="30">
        <v>-5.4482000000000003E-2</v>
      </c>
      <c r="H31" s="12">
        <v>-0.7</v>
      </c>
      <c r="I31" s="36">
        <v>-1.32</v>
      </c>
      <c r="J31" s="36">
        <v>-1.06</v>
      </c>
      <c r="K31" s="36">
        <v>-1.03</v>
      </c>
      <c r="L31" s="36">
        <v>-0.86</v>
      </c>
      <c r="M31" s="32">
        <v>-0.66</v>
      </c>
    </row>
    <row r="32" spans="1:13" x14ac:dyDescent="0.25">
      <c r="A32" s="31" t="s">
        <v>54</v>
      </c>
      <c r="B32" s="29">
        <v>-5.6351999999999999E-2</v>
      </c>
      <c r="C32" s="29">
        <v>-0.14307</v>
      </c>
      <c r="D32" s="29">
        <v>-0.250863</v>
      </c>
      <c r="E32" s="29">
        <v>-0.50286399999999998</v>
      </c>
      <c r="F32" s="29">
        <v>-1.0135419999999999</v>
      </c>
      <c r="G32" s="30">
        <v>-0.37419599999999997</v>
      </c>
      <c r="H32" s="12">
        <v>-0.3</v>
      </c>
      <c r="I32" s="36">
        <v>-0.53</v>
      </c>
      <c r="J32" s="36">
        <v>-0.6</v>
      </c>
      <c r="K32" s="36">
        <v>-0.62</v>
      </c>
      <c r="L32" s="36">
        <v>-0.3</v>
      </c>
      <c r="M32" s="32">
        <v>-7.0000000000000007E-2</v>
      </c>
    </row>
    <row r="33" spans="1:13" x14ac:dyDescent="0.25">
      <c r="A33" s="31" t="s">
        <v>55</v>
      </c>
      <c r="B33" s="29">
        <v>-0.18088499999999999</v>
      </c>
      <c r="C33" s="29">
        <v>-0.26286900000000002</v>
      </c>
      <c r="D33" s="29">
        <v>-0.26933099999999999</v>
      </c>
      <c r="E33" s="29">
        <v>-0.20499100000000001</v>
      </c>
      <c r="F33" s="29">
        <v>-7.0893999999999999E-2</v>
      </c>
      <c r="G33" s="30">
        <v>-9.0698000000000001E-2</v>
      </c>
      <c r="H33" s="12">
        <v>-0.85</v>
      </c>
      <c r="I33" s="36">
        <v>-1.4</v>
      </c>
      <c r="J33" s="36">
        <v>-1.18</v>
      </c>
      <c r="K33" s="36">
        <v>-1.35</v>
      </c>
      <c r="L33" s="36">
        <v>-1.43</v>
      </c>
      <c r="M33" s="32">
        <v>-1.36</v>
      </c>
    </row>
    <row r="34" spans="1:13" x14ac:dyDescent="0.25">
      <c r="A34" s="31" t="s">
        <v>57</v>
      </c>
      <c r="B34" s="29">
        <v>0.119797</v>
      </c>
      <c r="C34" s="29">
        <v>0.26236100000000001</v>
      </c>
      <c r="D34" s="29">
        <v>0.37839</v>
      </c>
      <c r="E34" s="29">
        <v>0.49241400000000002</v>
      </c>
      <c r="F34" s="29">
        <v>0.48808000000000001</v>
      </c>
      <c r="G34" s="30">
        <v>0.103903</v>
      </c>
      <c r="H34" s="12">
        <v>-1.33</v>
      </c>
      <c r="I34" s="36">
        <v>-1.25</v>
      </c>
      <c r="J34" s="36">
        <v>-1.44</v>
      </c>
      <c r="K34" s="36">
        <v>-1.94</v>
      </c>
      <c r="L34" s="36">
        <v>-2.1</v>
      </c>
      <c r="M34" s="32">
        <v>-1.9</v>
      </c>
    </row>
    <row r="35" spans="1:13" x14ac:dyDescent="0.25">
      <c r="A35" s="31" t="s">
        <v>58</v>
      </c>
      <c r="B35" s="29">
        <v>3.0862000000000001E-2</v>
      </c>
      <c r="C35" s="29">
        <v>4.2701999999999997E-2</v>
      </c>
      <c r="D35" s="29">
        <v>3.2542000000000001E-2</v>
      </c>
      <c r="E35" s="29">
        <v>-5.8820000000000001E-3</v>
      </c>
      <c r="F35" s="29">
        <v>-1.5288E-2</v>
      </c>
      <c r="G35" s="30">
        <v>1.7700000000000001E-3</v>
      </c>
      <c r="H35" s="12">
        <v>-0.51</v>
      </c>
      <c r="I35" s="36">
        <v>0.04</v>
      </c>
      <c r="J35" s="36">
        <v>-0.09</v>
      </c>
      <c r="K35" s="36">
        <v>-0.2</v>
      </c>
      <c r="L35" s="36">
        <v>-0.01</v>
      </c>
      <c r="M35" s="32">
        <v>0</v>
      </c>
    </row>
    <row r="36" spans="1:13" x14ac:dyDescent="0.25">
      <c r="A36" s="31" t="s">
        <v>69</v>
      </c>
      <c r="B36" s="29">
        <v>0.45816600000000002</v>
      </c>
      <c r="C36" s="29">
        <v>0.56067900000000004</v>
      </c>
      <c r="D36" s="29">
        <v>0.711175</v>
      </c>
      <c r="E36" s="29">
        <v>1.0600579999999999</v>
      </c>
      <c r="F36" s="29">
        <v>1.5241130000000001</v>
      </c>
      <c r="G36" s="30">
        <v>0.44482899999999997</v>
      </c>
      <c r="H36" s="12">
        <v>1.64</v>
      </c>
      <c r="I36" s="36">
        <v>1.72</v>
      </c>
      <c r="J36" s="36">
        <v>1.68</v>
      </c>
      <c r="K36" s="36">
        <v>1.49</v>
      </c>
      <c r="L36" s="36">
        <v>1.01</v>
      </c>
      <c r="M36" s="32">
        <v>0.61</v>
      </c>
    </row>
    <row r="37" spans="1:13" x14ac:dyDescent="0.25">
      <c r="A37" s="31" t="s">
        <v>70</v>
      </c>
      <c r="B37" s="29">
        <v>9.6977999999999995E-2</v>
      </c>
      <c r="C37" s="29">
        <v>0.238376</v>
      </c>
      <c r="D37" s="29">
        <v>0.42883199999999999</v>
      </c>
      <c r="E37" s="29">
        <v>0.86022399999999999</v>
      </c>
      <c r="F37" s="29">
        <v>1.4543999999999999</v>
      </c>
      <c r="G37" s="30">
        <v>0.39809800000000001</v>
      </c>
      <c r="H37" s="12">
        <v>1</v>
      </c>
      <c r="I37" s="36">
        <v>1.06</v>
      </c>
      <c r="J37" s="36">
        <v>0.94</v>
      </c>
      <c r="K37" s="36">
        <v>0.62</v>
      </c>
      <c r="L37" s="36">
        <v>0.08</v>
      </c>
      <c r="M37" s="32">
        <v>-0.28999999999999998</v>
      </c>
    </row>
    <row r="38" spans="1:13" x14ac:dyDescent="0.25">
      <c r="A38" s="31" t="s">
        <v>71</v>
      </c>
      <c r="B38" s="29">
        <v>-0.65449299999999999</v>
      </c>
      <c r="C38" s="29">
        <v>-0.45711099999999999</v>
      </c>
      <c r="D38" s="29">
        <v>-0.20352799999999999</v>
      </c>
      <c r="E38" s="29">
        <v>0.35797000000000001</v>
      </c>
      <c r="F38" s="29">
        <v>1.167206</v>
      </c>
      <c r="G38" s="30">
        <v>0.26052999999999998</v>
      </c>
      <c r="H38" s="12">
        <v>-0.13</v>
      </c>
      <c r="I38" s="36">
        <v>-0.08</v>
      </c>
      <c r="J38" s="36">
        <v>-0.12</v>
      </c>
      <c r="K38" s="36">
        <v>-0.3</v>
      </c>
      <c r="L38" s="36">
        <v>-0.84</v>
      </c>
      <c r="M38" s="32">
        <v>-1.33</v>
      </c>
    </row>
    <row r="39" spans="1:13" x14ac:dyDescent="0.25">
      <c r="A39" s="31" t="s">
        <v>75</v>
      </c>
      <c r="B39" s="29">
        <v>0.84450199999999997</v>
      </c>
      <c r="C39" s="29">
        <v>0.93157900000000005</v>
      </c>
      <c r="D39" s="29">
        <v>1.0599190000000001</v>
      </c>
      <c r="E39" s="29">
        <v>1.3620589999999999</v>
      </c>
      <c r="F39" s="29">
        <v>1.7414050000000001</v>
      </c>
      <c r="G39" s="30">
        <v>0.53499300000000005</v>
      </c>
      <c r="H39" s="12">
        <v>2.0099999999999998</v>
      </c>
      <c r="I39" s="36">
        <v>2.09</v>
      </c>
      <c r="J39" s="36">
        <v>2</v>
      </c>
      <c r="K39" s="36">
        <v>1.77</v>
      </c>
      <c r="L39" s="36">
        <v>1.3</v>
      </c>
      <c r="M39" s="32">
        <v>0.97</v>
      </c>
    </row>
    <row r="40" spans="1:13" x14ac:dyDescent="0.25">
      <c r="A40" s="31" t="s">
        <v>67</v>
      </c>
      <c r="B40" s="29">
        <v>0.23541999999999999</v>
      </c>
      <c r="C40" s="29">
        <v>0.43367699999999998</v>
      </c>
      <c r="D40" s="29">
        <v>0.63166699999999998</v>
      </c>
      <c r="E40" s="29">
        <v>1.015544</v>
      </c>
      <c r="F40" s="29">
        <v>1.4815389999999999</v>
      </c>
      <c r="G40" s="30">
        <v>0.41993599999999998</v>
      </c>
      <c r="H40" s="12">
        <v>0.9</v>
      </c>
      <c r="I40" s="36">
        <v>1.01</v>
      </c>
      <c r="J40" s="36">
        <v>0.97</v>
      </c>
      <c r="K40" s="36">
        <v>0.83</v>
      </c>
      <c r="L40" s="36">
        <v>0.45</v>
      </c>
      <c r="M40" s="32">
        <v>0.22</v>
      </c>
    </row>
    <row r="41" spans="1:13" x14ac:dyDescent="0.25">
      <c r="A41" s="31" t="s">
        <v>68</v>
      </c>
      <c r="B41" s="29">
        <v>-9.8000000000000004E-8</v>
      </c>
      <c r="C41" s="29">
        <v>-1.92E-7</v>
      </c>
      <c r="D41" s="29">
        <v>-2.8299999999999998E-7</v>
      </c>
      <c r="E41" s="29">
        <v>-5.4300000000000003E-7</v>
      </c>
      <c r="F41" s="29">
        <v>-8.1999999999999998E-7</v>
      </c>
      <c r="G41" s="30">
        <v>-7.9999999999999996E-7</v>
      </c>
      <c r="H41" s="12">
        <v>0.53</v>
      </c>
      <c r="I41" s="36">
        <v>0.66</v>
      </c>
      <c r="J41" s="36">
        <v>0.68</v>
      </c>
      <c r="K41" s="36">
        <v>0.56999999999999995</v>
      </c>
      <c r="L41" s="36">
        <v>0.17</v>
      </c>
      <c r="M41" s="32">
        <v>-0.02</v>
      </c>
    </row>
    <row r="42" spans="1:13" x14ac:dyDescent="0.25">
      <c r="A42" s="31" t="s">
        <v>72</v>
      </c>
      <c r="B42" s="29">
        <v>7.0170999999999997E-2</v>
      </c>
      <c r="C42" s="29">
        <v>0.318245</v>
      </c>
      <c r="D42" s="29">
        <v>0.60401300000000002</v>
      </c>
      <c r="E42" s="29">
        <v>1.1310819999999999</v>
      </c>
      <c r="F42" s="29">
        <v>1.7555430000000001</v>
      </c>
      <c r="G42" s="30">
        <v>0.48340300000000003</v>
      </c>
      <c r="H42" s="12">
        <v>0.6</v>
      </c>
      <c r="I42" s="36">
        <v>0.56000000000000005</v>
      </c>
      <c r="J42" s="36">
        <v>0.06</v>
      </c>
      <c r="K42" s="36">
        <v>-1.06</v>
      </c>
      <c r="L42" s="36">
        <v>-1.87</v>
      </c>
      <c r="M42" s="32">
        <v>-2.0299999999999998</v>
      </c>
    </row>
    <row r="43" spans="1:13" x14ac:dyDescent="0.25">
      <c r="A43" s="31" t="s">
        <v>73</v>
      </c>
      <c r="B43" s="29">
        <v>-0.34955000000000003</v>
      </c>
      <c r="C43" s="29">
        <v>-0.23766200000000001</v>
      </c>
      <c r="D43" s="29">
        <v>-0.154026</v>
      </c>
      <c r="E43" s="29">
        <v>-0.10503700000000001</v>
      </c>
      <c r="F43" s="29">
        <v>-0.13306999999999999</v>
      </c>
      <c r="G43" s="30">
        <v>-5.5808000000000003E-2</v>
      </c>
      <c r="H43" s="12">
        <v>0.73</v>
      </c>
      <c r="I43" s="36">
        <v>0.64</v>
      </c>
      <c r="J43" s="36">
        <v>0.18</v>
      </c>
      <c r="K43" s="36">
        <v>-0.76</v>
      </c>
      <c r="L43" s="36">
        <v>-1.05</v>
      </c>
      <c r="M43" s="32">
        <v>-0.71</v>
      </c>
    </row>
    <row r="44" spans="1:13" x14ac:dyDescent="0.25">
      <c r="A44" s="31" t="s">
        <v>76</v>
      </c>
      <c r="B44" s="29">
        <v>33.380479999999999</v>
      </c>
      <c r="C44" s="29">
        <v>70.231009999999998</v>
      </c>
      <c r="D44" s="29">
        <v>98.479870000000005</v>
      </c>
      <c r="E44" s="29">
        <v>116.98609999999999</v>
      </c>
      <c r="F44" s="29">
        <v>40.598300000000002</v>
      </c>
      <c r="G44" s="30">
        <v>8.65442</v>
      </c>
      <c r="H44" s="12">
        <v>-53</v>
      </c>
      <c r="I44" s="36">
        <v>-157</v>
      </c>
      <c r="J44" s="36">
        <v>-173</v>
      </c>
      <c r="K44" s="36">
        <v>-105</v>
      </c>
      <c r="L44" s="36">
        <v>-69</v>
      </c>
      <c r="M44" s="32">
        <v>-51</v>
      </c>
    </row>
    <row r="45" spans="1:13" x14ac:dyDescent="0.25">
      <c r="A45" s="31" t="s">
        <v>74</v>
      </c>
      <c r="B45" s="29">
        <v>-9.9696000000000007E-2</v>
      </c>
      <c r="C45" s="29">
        <v>-0.20094300000000001</v>
      </c>
      <c r="D45" s="29">
        <v>-0.27177499999999999</v>
      </c>
      <c r="E45" s="29">
        <v>-0.303954</v>
      </c>
      <c r="F45" s="29">
        <v>-8.9074E-2</v>
      </c>
      <c r="G45" s="30">
        <v>-2.0156E-2</v>
      </c>
      <c r="H45" s="12">
        <v>0.22</v>
      </c>
      <c r="I45" s="36">
        <v>0.66</v>
      </c>
      <c r="J45" s="36">
        <v>0.72</v>
      </c>
      <c r="K45" s="36">
        <v>0.44</v>
      </c>
      <c r="L45" s="36">
        <v>0.28999999999999998</v>
      </c>
      <c r="M45" s="32">
        <v>0.21</v>
      </c>
    </row>
    <row r="46" spans="1:13" x14ac:dyDescent="0.25">
      <c r="A46" s="31" t="s">
        <v>77</v>
      </c>
      <c r="B46" s="29">
        <v>9.8655000000000007E-2</v>
      </c>
      <c r="C46" s="29">
        <v>0.15093899999999999</v>
      </c>
      <c r="D46" s="29">
        <v>0.179232</v>
      </c>
      <c r="E46" s="29">
        <v>0.203399</v>
      </c>
      <c r="F46" s="29">
        <v>0.166905</v>
      </c>
      <c r="G46" s="30">
        <v>4.5864000000000002E-2</v>
      </c>
      <c r="H46" s="12">
        <v>0.28999999999999998</v>
      </c>
      <c r="I46" s="36">
        <v>0.39</v>
      </c>
      <c r="J46" s="36">
        <v>0.28000000000000003</v>
      </c>
      <c r="K46" s="36">
        <v>0.32</v>
      </c>
      <c r="L46" s="36">
        <v>0.45</v>
      </c>
      <c r="M46" s="32">
        <v>0.49</v>
      </c>
    </row>
    <row r="47" spans="1:13" ht="30" x14ac:dyDescent="0.25">
      <c r="A47" s="45" t="s">
        <v>78</v>
      </c>
      <c r="B47" s="29">
        <v>-3.9630000000000004E-3</v>
      </c>
      <c r="C47" s="29">
        <v>7.3204000000000005E-2</v>
      </c>
      <c r="D47" s="29">
        <v>0.12341299999999999</v>
      </c>
      <c r="E47" s="29">
        <v>0.149751</v>
      </c>
      <c r="F47" s="29">
        <v>0.10377</v>
      </c>
      <c r="G47" s="30">
        <v>-9.0460000000000002E-3</v>
      </c>
      <c r="H47" s="12">
        <v>0.68</v>
      </c>
      <c r="I47" s="36">
        <v>0.15</v>
      </c>
      <c r="J47" s="36">
        <v>0.14000000000000001</v>
      </c>
      <c r="K47" s="36">
        <v>0.24</v>
      </c>
      <c r="L47" s="36">
        <v>0.28000000000000003</v>
      </c>
      <c r="M47" s="32">
        <v>0.37</v>
      </c>
    </row>
    <row r="51" spans="1:1" x14ac:dyDescent="0.25">
      <c r="A51" s="37" t="str">
        <f t="shared" ref="A51:A69" si="0">"\textbf{"&amp;A29&amp;"} &amp; "&amp;TEXT(B29,formatResults)&amp;" &amp; "&amp;TEXT(C29,formatResults)&amp;" &amp; "&amp;TEXT(D29,formatResults)&amp;" &amp; "&amp;TEXT(E29,formatResults)&amp;" &amp; "&amp;TEXT(F29,formatResults)&amp;" &amp; "&amp;TEXT(G29,formatResults)&amp;" \\"</f>
        <v>\textbf{GDP in volume} &amp; 0.07 &amp; 0.15 &amp; 0.19 &amp; 0.20 &amp; 0.03 &amp; -0.02 \\</v>
      </c>
    </row>
    <row r="52" spans="1:1" x14ac:dyDescent="0.25">
      <c r="A52" s="37" t="str">
        <f t="shared" si="0"/>
        <v>\textbf{Household consumption} &amp; 0.09 &amp; 0.21 &amp; 0.34 &amp; 0.50 &amp; 0.51 &amp; 0.10 \\</v>
      </c>
    </row>
    <row r="53" spans="1:1" x14ac:dyDescent="0.25">
      <c r="A53" s="37" t="str">
        <f t="shared" si="0"/>
        <v>\textbf{Investment} &amp; -0.05 &amp; -0.08 &amp; -0.10 &amp; -0.15 &amp; -0.24 &amp; -0.05 \\</v>
      </c>
    </row>
    <row r="54" spans="1:1" x14ac:dyDescent="0.25">
      <c r="A54" s="37" t="str">
        <f t="shared" si="0"/>
        <v>\textbf{Exports} &amp; -0.06 &amp; -0.14 &amp; -0.25 &amp; -0.50 &amp; -1.01 &amp; -0.37 \\</v>
      </c>
    </row>
    <row r="55" spans="1:1" x14ac:dyDescent="0.25">
      <c r="A55" s="37" t="str">
        <f t="shared" si="0"/>
        <v>\textbf{Imports} &amp; -0.18 &amp; -0.26 &amp; -0.27 &amp; -0.20 &amp; -0.07 &amp; -0.09 \\</v>
      </c>
    </row>
    <row r="56" spans="1:1" x14ac:dyDescent="0.25">
      <c r="A56" s="37" t="str">
        <f t="shared" si="0"/>
        <v>\textbf{Household disposable income } &amp; 0.12 &amp; 0.26 &amp; 0.38 &amp; 0.49 &amp; 0.49 &amp; 0.10 \\</v>
      </c>
    </row>
    <row r="57" spans="1:1" x14ac:dyDescent="0.25">
      <c r="A57" s="37" t="str">
        <f t="shared" si="0"/>
        <v>\textbf{Saving rate} &amp; 0.03 &amp; 0.04 &amp; 0.03 &amp; -0.01 &amp; -0.02 &amp; 0.00 \\</v>
      </c>
    </row>
    <row r="58" spans="1:1" x14ac:dyDescent="0.25">
      <c r="A58" s="37" t="str">
        <f t="shared" si="0"/>
        <v>\textbf{Household consumption price index} &amp; 0.46 &amp; 0.56 &amp; 0.71 &amp; 1.06 &amp; 1.52 &amp; 0.44 \\</v>
      </c>
    </row>
    <row r="59" spans="1:1" x14ac:dyDescent="0.25">
      <c r="A59" s="37" t="str">
        <f t="shared" si="0"/>
        <v>\textbf{Production price index} &amp; 0.10 &amp; 0.24 &amp; 0.43 &amp; 0.86 &amp; 1.45 &amp; 0.40 \\</v>
      </c>
    </row>
    <row r="60" spans="1:1" x14ac:dyDescent="0.25">
      <c r="A60" s="37" t="str">
        <f t="shared" si="0"/>
        <v>\textbf{Added value price index} &amp; -0.65 &amp; -0.46 &amp; -0.20 &amp; 0.36 &amp; 1.17 &amp; 0.26 \\</v>
      </c>
    </row>
    <row r="61" spans="1:1" x14ac:dyDescent="0.25">
      <c r="A61" s="37" t="str">
        <f t="shared" si="0"/>
        <v>\textbf{Intermediate consumption price index} &amp; 0.84 &amp; 0.93 &amp; 1.06 &amp; 1.36 &amp; 1.74 &amp; 0.53 \\</v>
      </c>
    </row>
    <row r="62" spans="1:1" x14ac:dyDescent="0.25">
      <c r="A62" s="37" t="str">
        <f t="shared" si="0"/>
        <v>\textbf{Export price index} &amp; 0.24 &amp; 0.43 &amp; 0.63 &amp; 1.02 &amp; 1.48 &amp; 0.42 \\</v>
      </c>
    </row>
    <row r="63" spans="1:1" x14ac:dyDescent="0.25">
      <c r="A63" s="37" t="str">
        <f t="shared" si="0"/>
        <v>\textbf{Import price index} &amp; 0.00 &amp; 0.00 &amp; 0.00 &amp; 0.00 &amp; 0.00 &amp; 0.00 \\</v>
      </c>
    </row>
    <row r="64" spans="1:1" x14ac:dyDescent="0.25">
      <c r="A64" s="37" t="str">
        <f t="shared" si="0"/>
        <v>\textbf{Gross nominal wage} &amp; 0.07 &amp; 0.32 &amp; 0.60 &amp; 1.13 &amp; 1.76 &amp; 0.48 \\</v>
      </c>
    </row>
    <row r="65" spans="1:1" x14ac:dyDescent="0.25">
      <c r="A65" s="37" t="str">
        <f t="shared" si="0"/>
        <v>\textbf{Real cost of labor} &amp; -0.35 &amp; -0.24 &amp; -0.15 &amp; -0.11 &amp; -0.13 &amp; -0.06 \\</v>
      </c>
    </row>
    <row r="66" spans="1:1" x14ac:dyDescent="0.25">
      <c r="A66" s="37" t="str">
        <f t="shared" si="0"/>
        <v>\textbf{Wage employment (in thousands)} &amp; 33.38 &amp; 70.23 &amp; 98.48 &amp; 116.99 &amp; 40.60 &amp; 8.65 \\</v>
      </c>
    </row>
    <row r="67" spans="1:1" x14ac:dyDescent="0.25">
      <c r="A67" s="37" t="str">
        <f t="shared" si="0"/>
        <v>\textbf{Unemployment rate} &amp; -0.10 &amp; -0.20 &amp; -0.27 &amp; -0.30 &amp; -0.09 &amp; -0.02 \\</v>
      </c>
    </row>
    <row r="68" spans="1:1" x14ac:dyDescent="0.25">
      <c r="A68" s="37" t="str">
        <f t="shared" si="0"/>
        <v>\textbf{Trade balance (in points of GDP)} &amp; 0.10 &amp; 0.15 &amp; 0.18 &amp; 0.20 &amp; 0.17 &amp; 0.05 \\</v>
      </c>
    </row>
    <row r="69" spans="1:1" x14ac:dyDescent="0.25">
      <c r="A69" s="37" t="str">
        <f t="shared" si="0"/>
        <v>\textbf{Public budget balance (in points of GDP)} &amp; 0.00 &amp; 0.07 &amp; 0.12 &amp; 0.15 &amp; 0.10 &amp; -0.01 \\</v>
      </c>
    </row>
  </sheetData>
  <mergeCells count="6">
    <mergeCell ref="B2:G2"/>
    <mergeCell ref="H2:M2"/>
    <mergeCell ref="B27:G27"/>
    <mergeCell ref="H27:M27"/>
    <mergeCell ref="B1:M1"/>
    <mergeCell ref="B26:M26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T8"/>
  <sheetViews>
    <sheetView workbookViewId="0"/>
  </sheetViews>
  <sheetFormatPr defaultColWidth="11" defaultRowHeight="15.75" x14ac:dyDescent="0.25"/>
  <sheetData>
    <row r="1" spans="1:20" x14ac:dyDescent="0.25">
      <c r="B1" t="s">
        <v>91</v>
      </c>
      <c r="C1" t="s">
        <v>92</v>
      </c>
      <c r="D1" t="s">
        <v>93</v>
      </c>
      <c r="E1" t="s">
        <v>94</v>
      </c>
      <c r="F1" t="s">
        <v>95</v>
      </c>
      <c r="G1" t="s">
        <v>96</v>
      </c>
      <c r="H1" t="s">
        <v>97</v>
      </c>
      <c r="I1" t="s">
        <v>98</v>
      </c>
      <c r="J1" t="s">
        <v>99</v>
      </c>
      <c r="K1" t="s">
        <v>100</v>
      </c>
      <c r="L1" t="s">
        <v>101</v>
      </c>
      <c r="M1" t="s">
        <v>102</v>
      </c>
      <c r="N1" t="s">
        <v>103</v>
      </c>
      <c r="O1" t="s">
        <v>104</v>
      </c>
      <c r="P1" t="s">
        <v>105</v>
      </c>
      <c r="Q1" t="s">
        <v>106</v>
      </c>
      <c r="R1" t="s">
        <v>107</v>
      </c>
      <c r="S1" t="s">
        <v>108</v>
      </c>
      <c r="T1" t="s">
        <v>109</v>
      </c>
    </row>
    <row r="3" spans="1:20" x14ac:dyDescent="0.25">
      <c r="A3">
        <v>2001</v>
      </c>
      <c r="B3">
        <v>7.3855000000000004E-2</v>
      </c>
      <c r="C3">
        <v>8.5320999999999994E-2</v>
      </c>
      <c r="D3">
        <v>-5.1768000000000002E-2</v>
      </c>
      <c r="E3">
        <v>-5.6351999999999999E-2</v>
      </c>
      <c r="F3">
        <v>-0.18088499999999999</v>
      </c>
      <c r="G3">
        <v>0.119797</v>
      </c>
      <c r="H3">
        <v>3.0862000000000001E-2</v>
      </c>
      <c r="I3">
        <v>0.45816600000000002</v>
      </c>
      <c r="J3">
        <v>9.6977999999999995E-2</v>
      </c>
      <c r="K3">
        <v>-0.65449299999999999</v>
      </c>
      <c r="L3">
        <v>0.84450199999999997</v>
      </c>
      <c r="M3">
        <v>0.23541999999999999</v>
      </c>
      <c r="N3" s="68">
        <v>-9.8000000000000004E-8</v>
      </c>
      <c r="O3">
        <v>7.0170999999999997E-2</v>
      </c>
      <c r="P3">
        <v>-0.34955000000000003</v>
      </c>
      <c r="Q3">
        <v>33.380479999999999</v>
      </c>
      <c r="R3">
        <v>-9.9696000000000007E-2</v>
      </c>
      <c r="S3">
        <v>9.8655000000000007E-2</v>
      </c>
      <c r="T3">
        <v>-3.9630000000000004E-3</v>
      </c>
    </row>
    <row r="4" spans="1:20" x14ac:dyDescent="0.25">
      <c r="A4">
        <v>2002</v>
      </c>
      <c r="B4">
        <v>0.145012</v>
      </c>
      <c r="C4">
        <v>0.21459</v>
      </c>
      <c r="D4">
        <v>-7.9924999999999996E-2</v>
      </c>
      <c r="E4">
        <v>-0.14307</v>
      </c>
      <c r="F4">
        <v>-0.26286900000000002</v>
      </c>
      <c r="G4">
        <v>0.26236100000000001</v>
      </c>
      <c r="H4">
        <v>4.2701999999999997E-2</v>
      </c>
      <c r="I4">
        <v>0.56067900000000004</v>
      </c>
      <c r="J4">
        <v>0.238376</v>
      </c>
      <c r="K4">
        <v>-0.45711099999999999</v>
      </c>
      <c r="L4">
        <v>0.93157900000000005</v>
      </c>
      <c r="M4">
        <v>0.43367699999999998</v>
      </c>
      <c r="N4" s="68">
        <v>-1.92E-7</v>
      </c>
      <c r="O4">
        <v>0.318245</v>
      </c>
      <c r="P4">
        <v>-0.23766200000000001</v>
      </c>
      <c r="Q4">
        <v>70.231009999999998</v>
      </c>
      <c r="R4">
        <v>-0.20094300000000001</v>
      </c>
      <c r="S4">
        <v>0.15093899999999999</v>
      </c>
      <c r="T4">
        <v>7.3204000000000005E-2</v>
      </c>
    </row>
    <row r="5" spans="1:20" x14ac:dyDescent="0.25">
      <c r="A5">
        <v>2003</v>
      </c>
      <c r="B5">
        <v>0.19176699999999999</v>
      </c>
      <c r="C5">
        <v>0.341943</v>
      </c>
      <c r="D5">
        <v>-0.100892</v>
      </c>
      <c r="E5">
        <v>-0.250863</v>
      </c>
      <c r="F5">
        <v>-0.26933099999999999</v>
      </c>
      <c r="G5">
        <v>0.37839</v>
      </c>
      <c r="H5">
        <v>3.2542000000000001E-2</v>
      </c>
      <c r="I5">
        <v>0.711175</v>
      </c>
      <c r="J5">
        <v>0.42883199999999999</v>
      </c>
      <c r="K5">
        <v>-0.20352799999999999</v>
      </c>
      <c r="L5">
        <v>1.0599190000000001</v>
      </c>
      <c r="M5">
        <v>0.63166699999999998</v>
      </c>
      <c r="N5" s="68">
        <v>-2.8299999999999998E-7</v>
      </c>
      <c r="O5">
        <v>0.60401300000000002</v>
      </c>
      <c r="P5">
        <v>-0.154026</v>
      </c>
      <c r="Q5">
        <v>98.479870000000005</v>
      </c>
      <c r="R5">
        <v>-0.27177499999999999</v>
      </c>
      <c r="S5">
        <v>0.179232</v>
      </c>
      <c r="T5">
        <v>0.12341299999999999</v>
      </c>
    </row>
    <row r="6" spans="1:20" x14ac:dyDescent="0.25">
      <c r="A6">
        <v>2005</v>
      </c>
      <c r="B6">
        <v>0.198017</v>
      </c>
      <c r="C6">
        <v>0.49901000000000001</v>
      </c>
      <c r="D6">
        <v>-0.15002599999999999</v>
      </c>
      <c r="E6">
        <v>-0.50286399999999998</v>
      </c>
      <c r="F6">
        <v>-0.20499100000000001</v>
      </c>
      <c r="G6">
        <v>0.49241400000000002</v>
      </c>
      <c r="H6">
        <v>-5.8820000000000001E-3</v>
      </c>
      <c r="I6">
        <v>1.0600579999999999</v>
      </c>
      <c r="J6">
        <v>0.86022399999999999</v>
      </c>
      <c r="K6">
        <v>0.35797000000000001</v>
      </c>
      <c r="L6">
        <v>1.3620589999999999</v>
      </c>
      <c r="M6">
        <v>1.015544</v>
      </c>
      <c r="N6" s="68">
        <v>-5.4300000000000003E-7</v>
      </c>
      <c r="O6">
        <v>1.1310819999999999</v>
      </c>
      <c r="P6">
        <v>-0.10503700000000001</v>
      </c>
      <c r="Q6">
        <v>116.98609999999999</v>
      </c>
      <c r="R6">
        <v>-0.303954</v>
      </c>
      <c r="S6">
        <v>0.203399</v>
      </c>
      <c r="T6">
        <v>0.149751</v>
      </c>
    </row>
    <row r="7" spans="1:20" x14ac:dyDescent="0.25">
      <c r="A7">
        <v>2010</v>
      </c>
      <c r="B7">
        <v>2.9565000000000001E-2</v>
      </c>
      <c r="C7">
        <v>0.50522199999999995</v>
      </c>
      <c r="D7">
        <v>-0.23649500000000001</v>
      </c>
      <c r="E7">
        <v>-1.0135419999999999</v>
      </c>
      <c r="F7">
        <v>-7.0893999999999999E-2</v>
      </c>
      <c r="G7">
        <v>0.48808000000000001</v>
      </c>
      <c r="H7">
        <v>-1.5288E-2</v>
      </c>
      <c r="I7">
        <v>1.5241130000000001</v>
      </c>
      <c r="J7">
        <v>1.4543999999999999</v>
      </c>
      <c r="K7">
        <v>1.167206</v>
      </c>
      <c r="L7">
        <v>1.7414050000000001</v>
      </c>
      <c r="M7">
        <v>1.4815389999999999</v>
      </c>
      <c r="N7" s="68">
        <v>-8.1999999999999998E-7</v>
      </c>
      <c r="O7">
        <v>1.7555430000000001</v>
      </c>
      <c r="P7">
        <v>-0.13306999999999999</v>
      </c>
      <c r="Q7">
        <v>40.598300000000002</v>
      </c>
      <c r="R7">
        <v>-8.9074E-2</v>
      </c>
      <c r="S7">
        <v>0.166905</v>
      </c>
      <c r="T7">
        <v>0.10377</v>
      </c>
    </row>
    <row r="8" spans="1:20" x14ac:dyDescent="0.25">
      <c r="A8">
        <v>2035</v>
      </c>
      <c r="B8">
        <v>-1.5493E-2</v>
      </c>
      <c r="C8">
        <v>0.101927</v>
      </c>
      <c r="D8">
        <v>-5.4482000000000003E-2</v>
      </c>
      <c r="E8">
        <v>-0.37419599999999997</v>
      </c>
      <c r="F8">
        <v>-9.0698000000000001E-2</v>
      </c>
      <c r="G8">
        <v>0.103903</v>
      </c>
      <c r="H8">
        <v>1.7700000000000001E-3</v>
      </c>
      <c r="I8">
        <v>0.44482899999999997</v>
      </c>
      <c r="J8">
        <v>0.39809800000000001</v>
      </c>
      <c r="K8">
        <v>0.26052999999999998</v>
      </c>
      <c r="L8">
        <v>0.53499300000000005</v>
      </c>
      <c r="M8">
        <v>0.41993599999999998</v>
      </c>
      <c r="N8" s="68">
        <v>-7.9999999999999996E-7</v>
      </c>
      <c r="O8">
        <v>0.48340300000000003</v>
      </c>
      <c r="P8">
        <v>-5.5808000000000003E-2</v>
      </c>
      <c r="Q8">
        <v>8.65442</v>
      </c>
      <c r="R8">
        <v>-2.0156E-2</v>
      </c>
      <c r="S8">
        <v>4.5864000000000002E-2</v>
      </c>
      <c r="T8">
        <v>-9.0460000000000002E-3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21"/>
  <dimension ref="A1:T8"/>
  <sheetViews>
    <sheetView workbookViewId="0"/>
  </sheetViews>
  <sheetFormatPr defaultColWidth="11" defaultRowHeight="15.75" x14ac:dyDescent="0.25"/>
  <sheetData>
    <row r="1" spans="1:20" x14ac:dyDescent="0.25">
      <c r="B1" t="s">
        <v>205</v>
      </c>
      <c r="C1" t="s">
        <v>206</v>
      </c>
      <c r="D1" t="s">
        <v>207</v>
      </c>
      <c r="E1" t="s">
        <v>208</v>
      </c>
      <c r="F1" t="s">
        <v>209</v>
      </c>
      <c r="G1" t="s">
        <v>210</v>
      </c>
      <c r="H1" t="s">
        <v>211</v>
      </c>
      <c r="I1" t="s">
        <v>212</v>
      </c>
      <c r="J1" t="s">
        <v>213</v>
      </c>
      <c r="K1" t="s">
        <v>214</v>
      </c>
      <c r="L1" t="s">
        <v>215</v>
      </c>
      <c r="M1" t="s">
        <v>216</v>
      </c>
      <c r="N1" t="s">
        <v>217</v>
      </c>
      <c r="O1" t="s">
        <v>218</v>
      </c>
      <c r="P1" t="s">
        <v>219</v>
      </c>
      <c r="Q1" t="s">
        <v>220</v>
      </c>
      <c r="R1" t="s">
        <v>221</v>
      </c>
      <c r="S1" t="s">
        <v>222</v>
      </c>
      <c r="T1" t="s">
        <v>223</v>
      </c>
    </row>
    <row r="3" spans="1:20" x14ac:dyDescent="0.25">
      <c r="A3">
        <v>2001</v>
      </c>
      <c r="B3">
        <v>0.24277299999999999</v>
      </c>
      <c r="C3">
        <v>8.0626000000000003E-2</v>
      </c>
      <c r="D3">
        <v>0.180002</v>
      </c>
      <c r="E3">
        <v>0.98494300000000001</v>
      </c>
      <c r="F3">
        <v>0.27416600000000002</v>
      </c>
      <c r="G3">
        <v>0.11859</v>
      </c>
      <c r="H3">
        <v>3.3984E-2</v>
      </c>
      <c r="I3">
        <v>4.9682999999999998E-2</v>
      </c>
      <c r="J3">
        <v>5.9443000000000003E-2</v>
      </c>
      <c r="K3">
        <v>7.0664000000000005E-2</v>
      </c>
      <c r="L3">
        <v>4.8314999999999997E-2</v>
      </c>
      <c r="M3">
        <v>6.2139E-2</v>
      </c>
      <c r="N3" s="68">
        <v>-9.8000000000000004E-8</v>
      </c>
      <c r="O3">
        <v>7.8358999999999998E-2</v>
      </c>
      <c r="P3">
        <v>7.6899999999999998E-3</v>
      </c>
      <c r="Q3">
        <v>36.231819999999999</v>
      </c>
      <c r="R3">
        <v>-0.10821</v>
      </c>
      <c r="S3">
        <v>0.182976</v>
      </c>
      <c r="T3">
        <v>0.100005</v>
      </c>
    </row>
    <row r="4" spans="1:20" x14ac:dyDescent="0.25">
      <c r="A4">
        <v>2002</v>
      </c>
      <c r="B4">
        <v>0.28370000000000001</v>
      </c>
      <c r="C4">
        <v>0.17869099999999999</v>
      </c>
      <c r="D4">
        <v>0.28509899999999999</v>
      </c>
      <c r="E4">
        <v>0.95282599999999995</v>
      </c>
      <c r="F4">
        <v>0.38552999999999998</v>
      </c>
      <c r="G4">
        <v>0.21481</v>
      </c>
      <c r="H4">
        <v>3.2301000000000003E-2</v>
      </c>
      <c r="I4">
        <v>0.129854</v>
      </c>
      <c r="J4">
        <v>0.15549099999999999</v>
      </c>
      <c r="K4">
        <v>0.18471899999999999</v>
      </c>
      <c r="L4">
        <v>0.12651799999999999</v>
      </c>
      <c r="M4">
        <v>0.15129100000000001</v>
      </c>
      <c r="N4" s="68">
        <v>-1.92E-7</v>
      </c>
      <c r="O4">
        <v>0.19905800000000001</v>
      </c>
      <c r="P4">
        <v>1.4312999999999999E-2</v>
      </c>
      <c r="Q4">
        <v>64.52373</v>
      </c>
      <c r="R4">
        <v>-0.18325900000000001</v>
      </c>
      <c r="S4">
        <v>0.17111799999999999</v>
      </c>
      <c r="T4">
        <v>0.16619300000000001</v>
      </c>
    </row>
    <row r="5" spans="1:20" x14ac:dyDescent="0.25">
      <c r="A5">
        <v>2003</v>
      </c>
      <c r="B5">
        <v>0.31593399999999999</v>
      </c>
      <c r="C5">
        <v>0.26592399999999999</v>
      </c>
      <c r="D5">
        <v>0.34447800000000001</v>
      </c>
      <c r="E5">
        <v>0.90538200000000002</v>
      </c>
      <c r="F5">
        <v>0.45842899999999998</v>
      </c>
      <c r="G5">
        <v>0.287358</v>
      </c>
      <c r="H5">
        <v>1.9154999999999998E-2</v>
      </c>
      <c r="I5">
        <v>0.227379</v>
      </c>
      <c r="J5">
        <v>0.27200099999999999</v>
      </c>
      <c r="K5">
        <v>0.322768</v>
      </c>
      <c r="L5">
        <v>0.22167999999999999</v>
      </c>
      <c r="M5">
        <v>0.25458599999999998</v>
      </c>
      <c r="N5" s="68">
        <v>-2.8299999999999998E-7</v>
      </c>
      <c r="O5">
        <v>0.338669</v>
      </c>
      <c r="P5">
        <v>1.585E-2</v>
      </c>
      <c r="Q5">
        <v>83.339529999999996</v>
      </c>
      <c r="R5">
        <v>-0.22795899999999999</v>
      </c>
      <c r="S5">
        <v>0.169325</v>
      </c>
      <c r="T5">
        <v>0.20991099999999999</v>
      </c>
    </row>
    <row r="6" spans="1:20" x14ac:dyDescent="0.25">
      <c r="A6">
        <v>2005</v>
      </c>
      <c r="B6">
        <v>0.33745199999999997</v>
      </c>
      <c r="C6">
        <v>0.38073600000000002</v>
      </c>
      <c r="D6">
        <v>0.39684000000000003</v>
      </c>
      <c r="E6">
        <v>0.77898000000000001</v>
      </c>
      <c r="F6">
        <v>0.55769000000000002</v>
      </c>
      <c r="G6">
        <v>0.37601600000000002</v>
      </c>
      <c r="H6">
        <v>-4.2139999999999999E-3</v>
      </c>
      <c r="I6">
        <v>0.43460599999999999</v>
      </c>
      <c r="J6">
        <v>0.51762200000000003</v>
      </c>
      <c r="K6">
        <v>0.61263400000000001</v>
      </c>
      <c r="L6">
        <v>0.42343799999999998</v>
      </c>
      <c r="M6">
        <v>0.46890799999999999</v>
      </c>
      <c r="N6" s="68">
        <v>-5.4300000000000003E-7</v>
      </c>
      <c r="O6">
        <v>0.61912599999999995</v>
      </c>
      <c r="P6">
        <v>6.4520000000000003E-3</v>
      </c>
      <c r="Q6">
        <v>97.706779999999995</v>
      </c>
      <c r="R6">
        <v>-0.25372099999999997</v>
      </c>
      <c r="S6">
        <v>0.17144599999999999</v>
      </c>
      <c r="T6">
        <v>0.25239200000000001</v>
      </c>
    </row>
    <row r="7" spans="1:20" x14ac:dyDescent="0.25">
      <c r="A7">
        <v>2010</v>
      </c>
      <c r="B7">
        <v>0.27849699999999999</v>
      </c>
      <c r="C7">
        <v>0.44019599999999998</v>
      </c>
      <c r="D7">
        <v>0.42906699999999998</v>
      </c>
      <c r="E7">
        <v>0.46625800000000001</v>
      </c>
      <c r="F7">
        <v>0.65782700000000005</v>
      </c>
      <c r="G7">
        <v>0.428255</v>
      </c>
      <c r="H7">
        <v>-1.0656000000000001E-2</v>
      </c>
      <c r="I7">
        <v>0.77292000000000005</v>
      </c>
      <c r="J7">
        <v>0.91090899999999997</v>
      </c>
      <c r="K7">
        <v>1.072875</v>
      </c>
      <c r="L7">
        <v>0.75030799999999997</v>
      </c>
      <c r="M7">
        <v>0.80976800000000004</v>
      </c>
      <c r="N7" s="68">
        <v>-8.1999999999999998E-7</v>
      </c>
      <c r="O7">
        <v>1.056395</v>
      </c>
      <c r="P7">
        <v>-1.6305E-2</v>
      </c>
      <c r="Q7">
        <v>70.403440000000003</v>
      </c>
      <c r="R7">
        <v>-0.17097499999999999</v>
      </c>
      <c r="S7">
        <v>0.160995</v>
      </c>
      <c r="T7">
        <v>0.25418800000000003</v>
      </c>
    </row>
    <row r="8" spans="1:20" x14ac:dyDescent="0.25">
      <c r="A8">
        <v>2035</v>
      </c>
      <c r="B8">
        <v>0.210782</v>
      </c>
      <c r="C8">
        <v>0.26584999999999998</v>
      </c>
      <c r="D8">
        <v>0.39067299999999999</v>
      </c>
      <c r="E8">
        <v>0.520841</v>
      </c>
      <c r="F8">
        <v>0.54732800000000004</v>
      </c>
      <c r="G8">
        <v>0.26672400000000002</v>
      </c>
      <c r="H8">
        <v>7.8100000000000001E-4</v>
      </c>
      <c r="I8">
        <v>0.56682699999999997</v>
      </c>
      <c r="J8">
        <v>0.66609300000000005</v>
      </c>
      <c r="K8">
        <v>0.78305499999999995</v>
      </c>
      <c r="L8">
        <v>0.55012799999999995</v>
      </c>
      <c r="M8">
        <v>0.58194999999999997</v>
      </c>
      <c r="N8" s="68">
        <v>-7.9999999999999996E-7</v>
      </c>
      <c r="O8">
        <v>0.80468099999999998</v>
      </c>
      <c r="P8">
        <v>2.1458000000000001E-2</v>
      </c>
      <c r="Q8">
        <v>55.713509999999999</v>
      </c>
      <c r="R8">
        <v>-0.12947500000000001</v>
      </c>
      <c r="S8">
        <v>0.14089099999999999</v>
      </c>
      <c r="T8">
        <v>0.134633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22"/>
  <dimension ref="A1:T8"/>
  <sheetViews>
    <sheetView workbookViewId="0"/>
  </sheetViews>
  <sheetFormatPr defaultColWidth="11" defaultRowHeight="15.75" x14ac:dyDescent="0.25"/>
  <sheetData>
    <row r="1" spans="1:20" x14ac:dyDescent="0.25">
      <c r="B1" t="s">
        <v>129</v>
      </c>
      <c r="C1" t="s">
        <v>130</v>
      </c>
      <c r="D1" t="s">
        <v>131</v>
      </c>
      <c r="E1" t="s">
        <v>132</v>
      </c>
      <c r="F1" t="s">
        <v>133</v>
      </c>
      <c r="G1" t="s">
        <v>134</v>
      </c>
      <c r="H1" t="s">
        <v>135</v>
      </c>
      <c r="I1" t="s">
        <v>136</v>
      </c>
      <c r="J1" t="s">
        <v>137</v>
      </c>
      <c r="K1" t="s">
        <v>138</v>
      </c>
      <c r="L1" t="s">
        <v>139</v>
      </c>
      <c r="M1" t="s">
        <v>140</v>
      </c>
      <c r="N1" t="s">
        <v>141</v>
      </c>
      <c r="O1" t="s">
        <v>142</v>
      </c>
      <c r="P1" t="s">
        <v>143</v>
      </c>
      <c r="Q1" t="s">
        <v>144</v>
      </c>
      <c r="R1" t="s">
        <v>145</v>
      </c>
      <c r="S1" t="s">
        <v>146</v>
      </c>
      <c r="T1" t="s">
        <v>147</v>
      </c>
    </row>
    <row r="3" spans="1:20" x14ac:dyDescent="0.25">
      <c r="A3">
        <v>2001</v>
      </c>
      <c r="B3">
        <v>-5.5752000000000003E-2</v>
      </c>
      <c r="C3">
        <v>-0.14754700000000001</v>
      </c>
      <c r="D3">
        <v>-4.8462999999999999E-2</v>
      </c>
      <c r="E3">
        <v>2.6339000000000001E-2</v>
      </c>
      <c r="F3">
        <v>-0.12920400000000001</v>
      </c>
      <c r="G3">
        <v>-0.21775900000000001</v>
      </c>
      <c r="H3">
        <v>-6.3062999999999994E-2</v>
      </c>
      <c r="I3">
        <v>0.24427099999999999</v>
      </c>
      <c r="J3">
        <v>0.17774200000000001</v>
      </c>
      <c r="K3">
        <v>-0.12291000000000001</v>
      </c>
      <c r="L3">
        <v>0.47622900000000001</v>
      </c>
      <c r="M3">
        <v>0.217221</v>
      </c>
      <c r="N3">
        <v>1.0327930000000001</v>
      </c>
      <c r="O3">
        <v>-2.6930000000000001E-3</v>
      </c>
      <c r="P3">
        <v>0.120366</v>
      </c>
      <c r="Q3">
        <v>-1.3616900000000001</v>
      </c>
      <c r="R3">
        <v>4.0679999999999996E-3</v>
      </c>
      <c r="S3">
        <v>-0.18010399999999999</v>
      </c>
      <c r="T3">
        <v>-4.0659000000000001E-2</v>
      </c>
    </row>
    <row r="4" spans="1:20" x14ac:dyDescent="0.25">
      <c r="A4">
        <v>2002</v>
      </c>
      <c r="B4">
        <v>-0.109724</v>
      </c>
      <c r="C4">
        <v>-0.26244400000000001</v>
      </c>
      <c r="D4">
        <v>-0.11743000000000001</v>
      </c>
      <c r="E4">
        <v>3.7720000000000002E-3</v>
      </c>
      <c r="F4">
        <v>-0.25129200000000002</v>
      </c>
      <c r="G4">
        <v>-0.29912300000000003</v>
      </c>
      <c r="H4">
        <v>-3.2972000000000001E-2</v>
      </c>
      <c r="I4">
        <v>0.38605</v>
      </c>
      <c r="J4">
        <v>0.325096</v>
      </c>
      <c r="K4">
        <v>2.6289E-2</v>
      </c>
      <c r="L4">
        <v>0.62197999999999998</v>
      </c>
      <c r="M4">
        <v>0.39306099999999999</v>
      </c>
      <c r="N4">
        <v>1.0248699999999999</v>
      </c>
      <c r="O4">
        <v>5.4899999999999997E-2</v>
      </c>
      <c r="P4">
        <v>2.8603E-2</v>
      </c>
      <c r="Q4">
        <v>-5.6453499999999996</v>
      </c>
      <c r="R4">
        <v>1.6483000000000001E-2</v>
      </c>
      <c r="S4">
        <v>-0.10684200000000001</v>
      </c>
      <c r="T4">
        <v>-7.3208999999999996E-2</v>
      </c>
    </row>
    <row r="5" spans="1:20" x14ac:dyDescent="0.25">
      <c r="A5">
        <v>2003</v>
      </c>
      <c r="B5">
        <v>-0.14935300000000001</v>
      </c>
      <c r="C5">
        <v>-0.32619500000000001</v>
      </c>
      <c r="D5">
        <v>-0.18313299999999999</v>
      </c>
      <c r="E5">
        <v>-4.4004000000000001E-2</v>
      </c>
      <c r="F5">
        <v>-0.33399200000000001</v>
      </c>
      <c r="G5">
        <v>-0.32890399999999997</v>
      </c>
      <c r="H5">
        <v>-2.4350000000000001E-3</v>
      </c>
      <c r="I5">
        <v>0.49778899999999998</v>
      </c>
      <c r="J5">
        <v>0.44569700000000001</v>
      </c>
      <c r="K5">
        <v>0.15543000000000001</v>
      </c>
      <c r="L5">
        <v>0.73430099999999998</v>
      </c>
      <c r="M5">
        <v>0.52910800000000002</v>
      </c>
      <c r="N5">
        <v>1.019015</v>
      </c>
      <c r="O5">
        <v>0.14185900000000001</v>
      </c>
      <c r="P5">
        <v>-1.355E-2</v>
      </c>
      <c r="Q5">
        <v>-11.763019999999999</v>
      </c>
      <c r="R5">
        <v>3.3424000000000002E-2</v>
      </c>
      <c r="S5">
        <v>-6.0395999999999998E-2</v>
      </c>
      <c r="T5">
        <v>-9.0735999999999997E-2</v>
      </c>
    </row>
    <row r="6" spans="1:20" x14ac:dyDescent="0.25">
      <c r="A6">
        <v>2005</v>
      </c>
      <c r="B6">
        <v>-0.18985299999999999</v>
      </c>
      <c r="C6">
        <v>-0.34634199999999998</v>
      </c>
      <c r="D6">
        <v>-0.26662799999999998</v>
      </c>
      <c r="E6">
        <v>-0.161383</v>
      </c>
      <c r="F6">
        <v>-0.39156200000000002</v>
      </c>
      <c r="G6">
        <v>-0.32091399999999998</v>
      </c>
      <c r="H6">
        <v>2.2863000000000001E-2</v>
      </c>
      <c r="I6">
        <v>0.66111900000000001</v>
      </c>
      <c r="J6">
        <v>0.62700199999999995</v>
      </c>
      <c r="K6">
        <v>0.36020600000000003</v>
      </c>
      <c r="L6">
        <v>0.89252699999999996</v>
      </c>
      <c r="M6">
        <v>0.71258600000000005</v>
      </c>
      <c r="N6">
        <v>1.0129379999999999</v>
      </c>
      <c r="O6">
        <v>0.32805899999999999</v>
      </c>
      <c r="P6">
        <v>-3.2030999999999997E-2</v>
      </c>
      <c r="Q6">
        <v>-24.829190000000001</v>
      </c>
      <c r="R6">
        <v>6.7402000000000004E-2</v>
      </c>
      <c r="S6">
        <v>-2.4303999999999999E-2</v>
      </c>
      <c r="T6">
        <v>-9.8477999999999996E-2</v>
      </c>
    </row>
    <row r="7" spans="1:20" x14ac:dyDescent="0.25">
      <c r="A7">
        <v>2010</v>
      </c>
      <c r="B7">
        <v>-0.20130400000000001</v>
      </c>
      <c r="C7">
        <v>-0.24294099999999999</v>
      </c>
      <c r="D7">
        <v>-0.26206400000000002</v>
      </c>
      <c r="E7">
        <v>-0.382048</v>
      </c>
      <c r="F7">
        <v>-0.31196000000000002</v>
      </c>
      <c r="G7">
        <v>-0.23616400000000001</v>
      </c>
      <c r="H7">
        <v>6.0889999999999998E-3</v>
      </c>
      <c r="I7">
        <v>0.86743099999999995</v>
      </c>
      <c r="J7">
        <v>0.86432799999999999</v>
      </c>
      <c r="K7">
        <v>0.64194099999999998</v>
      </c>
      <c r="L7">
        <v>1.085798</v>
      </c>
      <c r="M7">
        <v>0.91070600000000002</v>
      </c>
      <c r="N7">
        <v>1.011174</v>
      </c>
      <c r="O7">
        <v>0.63125100000000001</v>
      </c>
      <c r="P7">
        <v>-1.0621999999999999E-2</v>
      </c>
      <c r="Q7">
        <v>-45.359540000000003</v>
      </c>
      <c r="R7">
        <v>0.11561399999999999</v>
      </c>
      <c r="S7">
        <v>-4.4223999999999999E-2</v>
      </c>
      <c r="T7">
        <v>-6.5865000000000007E-2</v>
      </c>
    </row>
    <row r="8" spans="1:20" x14ac:dyDescent="0.25">
      <c r="A8">
        <v>2035</v>
      </c>
      <c r="B8">
        <v>-0.193825</v>
      </c>
      <c r="C8">
        <v>-0.23167099999999999</v>
      </c>
      <c r="D8">
        <v>-4.1528000000000002E-2</v>
      </c>
      <c r="E8">
        <v>-0.48304799999999998</v>
      </c>
      <c r="F8">
        <v>-0.24470500000000001</v>
      </c>
      <c r="G8">
        <v>-0.23131599999999999</v>
      </c>
      <c r="H8">
        <v>3.2000000000000003E-4</v>
      </c>
      <c r="I8">
        <v>0.90944700000000001</v>
      </c>
      <c r="J8">
        <v>0.92344099999999996</v>
      </c>
      <c r="K8">
        <v>0.71696099999999996</v>
      </c>
      <c r="L8">
        <v>1.1290640000000001</v>
      </c>
      <c r="M8">
        <v>0.94854400000000005</v>
      </c>
      <c r="N8">
        <v>1.0118769999999999</v>
      </c>
      <c r="O8">
        <v>0.70913000000000004</v>
      </c>
      <c r="P8">
        <v>-7.7749999999999998E-3</v>
      </c>
      <c r="Q8">
        <v>-47.048909999999999</v>
      </c>
      <c r="R8">
        <v>0.109264</v>
      </c>
      <c r="S8">
        <v>-7.5131000000000003E-2</v>
      </c>
      <c r="T8">
        <v>-7.1272000000000002E-2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17"/>
  <dimension ref="A1:T8"/>
  <sheetViews>
    <sheetView workbookViewId="0"/>
  </sheetViews>
  <sheetFormatPr defaultColWidth="11" defaultRowHeight="15.75" x14ac:dyDescent="0.25"/>
  <sheetData>
    <row r="1" spans="1:20" x14ac:dyDescent="0.25">
      <c r="B1" t="s">
        <v>186</v>
      </c>
      <c r="C1" t="s">
        <v>187</v>
      </c>
      <c r="D1" t="s">
        <v>188</v>
      </c>
      <c r="E1" t="s">
        <v>189</v>
      </c>
      <c r="F1" t="s">
        <v>190</v>
      </c>
      <c r="G1" t="s">
        <v>191</v>
      </c>
      <c r="H1" t="s">
        <v>192</v>
      </c>
      <c r="I1" t="s">
        <v>193</v>
      </c>
      <c r="J1" t="s">
        <v>194</v>
      </c>
      <c r="K1" t="s">
        <v>195</v>
      </c>
      <c r="L1" t="s">
        <v>196</v>
      </c>
      <c r="M1" t="s">
        <v>197</v>
      </c>
      <c r="N1" t="s">
        <v>198</v>
      </c>
      <c r="O1" t="s">
        <v>199</v>
      </c>
      <c r="P1" t="s">
        <v>200</v>
      </c>
      <c r="Q1" t="s">
        <v>201</v>
      </c>
      <c r="R1" t="s">
        <v>202</v>
      </c>
      <c r="S1" t="s">
        <v>203</v>
      </c>
      <c r="T1" t="s">
        <v>204</v>
      </c>
    </row>
    <row r="3" spans="1:20" x14ac:dyDescent="0.25">
      <c r="A3">
        <v>2001</v>
      </c>
      <c r="B3">
        <v>-0.55789500000000003</v>
      </c>
      <c r="C3">
        <v>-1.0205839999999999</v>
      </c>
      <c r="D3">
        <v>-0.54380099999999998</v>
      </c>
      <c r="E3">
        <v>-4.1292000000000002E-2</v>
      </c>
      <c r="F3">
        <v>-0.58855100000000005</v>
      </c>
      <c r="G3">
        <v>-1.4974080000000001</v>
      </c>
      <c r="H3">
        <v>-0.433838</v>
      </c>
      <c r="I3">
        <v>1.7877369999999999</v>
      </c>
      <c r="J3">
        <v>0.16178799999999999</v>
      </c>
      <c r="K3">
        <v>0.20302100000000001</v>
      </c>
      <c r="L3">
        <v>0.120907</v>
      </c>
      <c r="M3">
        <v>0.17225399999999999</v>
      </c>
      <c r="N3" s="68">
        <v>-9.8000000000000004E-8</v>
      </c>
      <c r="O3">
        <v>-0.127057</v>
      </c>
      <c r="P3">
        <v>-0.32940999999999998</v>
      </c>
      <c r="Q3">
        <v>-58.378459999999997</v>
      </c>
      <c r="R3">
        <v>0.17444200000000001</v>
      </c>
      <c r="S3">
        <v>0.19809399999999999</v>
      </c>
      <c r="T3">
        <v>0.444938</v>
      </c>
    </row>
    <row r="4" spans="1:20" x14ac:dyDescent="0.25">
      <c r="A4">
        <v>2002</v>
      </c>
      <c r="B4">
        <v>-0.79746399999999995</v>
      </c>
      <c r="C4">
        <v>-1.425014</v>
      </c>
      <c r="D4">
        <v>-0.91881900000000005</v>
      </c>
      <c r="E4">
        <v>-7.5694999999999998E-2</v>
      </c>
      <c r="F4">
        <v>-0.88445799999999997</v>
      </c>
      <c r="G4">
        <v>-1.4890140000000001</v>
      </c>
      <c r="H4">
        <v>-5.8224999999999999E-2</v>
      </c>
      <c r="I4">
        <v>1.7840750000000001</v>
      </c>
      <c r="J4">
        <v>0.18974299999999999</v>
      </c>
      <c r="K4">
        <v>0.23353299999999999</v>
      </c>
      <c r="L4">
        <v>0.14630299999999999</v>
      </c>
      <c r="M4">
        <v>0.19525400000000001</v>
      </c>
      <c r="N4" s="68">
        <v>-1.92E-7</v>
      </c>
      <c r="O4">
        <v>0.15170700000000001</v>
      </c>
      <c r="P4">
        <v>-8.1636E-2</v>
      </c>
      <c r="Q4">
        <v>-124.94289999999999</v>
      </c>
      <c r="R4">
        <v>0.35816799999999999</v>
      </c>
      <c r="S4">
        <v>0.26696300000000001</v>
      </c>
      <c r="T4">
        <v>0.30117500000000003</v>
      </c>
    </row>
    <row r="5" spans="1:20" x14ac:dyDescent="0.25">
      <c r="A5">
        <v>2003</v>
      </c>
      <c r="B5">
        <v>-0.89248799999999995</v>
      </c>
      <c r="C5">
        <v>-1.566379</v>
      </c>
      <c r="D5">
        <v>-1.1082099999999999</v>
      </c>
      <c r="E5">
        <v>-9.8830000000000001E-2</v>
      </c>
      <c r="F5">
        <v>-0.99751999999999996</v>
      </c>
      <c r="G5">
        <v>-1.4900850000000001</v>
      </c>
      <c r="H5">
        <v>6.9411E-2</v>
      </c>
      <c r="I5">
        <v>1.779401</v>
      </c>
      <c r="J5">
        <v>0.20332600000000001</v>
      </c>
      <c r="K5">
        <v>0.24249899999999999</v>
      </c>
      <c r="L5">
        <v>0.16445299999999999</v>
      </c>
      <c r="M5">
        <v>0.19131600000000001</v>
      </c>
      <c r="N5" s="68">
        <v>-2.8299999999999998E-7</v>
      </c>
      <c r="O5">
        <v>0.39257900000000001</v>
      </c>
      <c r="P5">
        <v>0.14971699999999999</v>
      </c>
      <c r="Q5">
        <v>-178.44980000000001</v>
      </c>
      <c r="R5">
        <v>0.49419299999999999</v>
      </c>
      <c r="S5">
        <v>0.28760200000000002</v>
      </c>
      <c r="T5">
        <v>0.18584700000000001</v>
      </c>
    </row>
    <row r="6" spans="1:20" x14ac:dyDescent="0.25">
      <c r="A6">
        <v>2005</v>
      </c>
      <c r="B6">
        <v>-0.94588899999999998</v>
      </c>
      <c r="C6">
        <v>-1.633953</v>
      </c>
      <c r="D6">
        <v>-1.1802170000000001</v>
      </c>
      <c r="E6">
        <v>-0.130301</v>
      </c>
      <c r="F6">
        <v>-1.025825</v>
      </c>
      <c r="G6">
        <v>-1.5459670000000001</v>
      </c>
      <c r="H6">
        <v>8.0092999999999998E-2</v>
      </c>
      <c r="I6">
        <v>1.7865759999999999</v>
      </c>
      <c r="J6">
        <v>0.252388</v>
      </c>
      <c r="K6">
        <v>0.28822300000000001</v>
      </c>
      <c r="L6">
        <v>0.21682899999999999</v>
      </c>
      <c r="M6">
        <v>0.20591100000000001</v>
      </c>
      <c r="N6" s="68">
        <v>-5.4300000000000003E-7</v>
      </c>
      <c r="O6">
        <v>0.60331299999999999</v>
      </c>
      <c r="P6">
        <v>0.31418400000000002</v>
      </c>
      <c r="Q6">
        <v>-240.2876</v>
      </c>
      <c r="R6">
        <v>0.633876</v>
      </c>
      <c r="S6">
        <v>0.289908</v>
      </c>
      <c r="T6">
        <v>2.6009999999999998E-2</v>
      </c>
    </row>
    <row r="7" spans="1:20" x14ac:dyDescent="0.25">
      <c r="A7">
        <v>2010</v>
      </c>
      <c r="B7">
        <v>-0.86613099999999998</v>
      </c>
      <c r="C7">
        <v>-1.473597</v>
      </c>
      <c r="D7">
        <v>-0.97538999999999998</v>
      </c>
      <c r="E7">
        <v>-0.19244</v>
      </c>
      <c r="F7">
        <v>-0.87743899999999997</v>
      </c>
      <c r="G7">
        <v>-1.4354819999999999</v>
      </c>
      <c r="H7">
        <v>3.4657E-2</v>
      </c>
      <c r="I7">
        <v>1.7201709999999999</v>
      </c>
      <c r="J7">
        <v>0.33279599999999998</v>
      </c>
      <c r="K7">
        <v>0.37807600000000002</v>
      </c>
      <c r="L7">
        <v>0.28786899999999999</v>
      </c>
      <c r="M7">
        <v>0.27233000000000002</v>
      </c>
      <c r="N7" s="68">
        <v>-8.1999999999999998E-7</v>
      </c>
      <c r="O7">
        <v>0.63869600000000004</v>
      </c>
      <c r="P7">
        <v>0.25963900000000001</v>
      </c>
      <c r="Q7">
        <v>-256.88600000000002</v>
      </c>
      <c r="R7">
        <v>0.64162399999999997</v>
      </c>
      <c r="S7">
        <v>0.25409500000000002</v>
      </c>
      <c r="T7">
        <v>1.0827E-2</v>
      </c>
    </row>
    <row r="8" spans="1:20" x14ac:dyDescent="0.25">
      <c r="A8">
        <v>2035</v>
      </c>
      <c r="B8">
        <v>-0.41701500000000002</v>
      </c>
      <c r="C8">
        <v>-0.67840199999999995</v>
      </c>
      <c r="D8">
        <v>1.5972E-2</v>
      </c>
      <c r="E8">
        <v>-0.40312700000000001</v>
      </c>
      <c r="F8">
        <v>-0.27689799999999998</v>
      </c>
      <c r="G8">
        <v>-0.67943299999999995</v>
      </c>
      <c r="H8">
        <v>-9.3099999999999997E-4</v>
      </c>
      <c r="I8">
        <v>1.3755470000000001</v>
      </c>
      <c r="J8">
        <v>0.60002599999999995</v>
      </c>
      <c r="K8">
        <v>0.70327099999999998</v>
      </c>
      <c r="L8">
        <v>0.49756600000000001</v>
      </c>
      <c r="M8">
        <v>0.50877700000000003</v>
      </c>
      <c r="N8" s="68">
        <v>-7.9999999999999996E-7</v>
      </c>
      <c r="O8">
        <v>0.82418100000000005</v>
      </c>
      <c r="P8">
        <v>0.12006600000000001</v>
      </c>
      <c r="Q8">
        <v>-138.09350000000001</v>
      </c>
      <c r="R8">
        <v>0.31898100000000001</v>
      </c>
      <c r="S8">
        <v>0.114413</v>
      </c>
      <c r="T8">
        <v>0.15452099999999999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18"/>
  <dimension ref="A1:T8"/>
  <sheetViews>
    <sheetView workbookViewId="0"/>
  </sheetViews>
  <sheetFormatPr defaultColWidth="11" defaultRowHeight="15.75" x14ac:dyDescent="0.25"/>
  <sheetData>
    <row r="1" spans="1:20" x14ac:dyDescent="0.25">
      <c r="B1" t="s">
        <v>148</v>
      </c>
      <c r="C1" t="s">
        <v>149</v>
      </c>
      <c r="D1" t="s">
        <v>150</v>
      </c>
      <c r="E1" t="s">
        <v>151</v>
      </c>
      <c r="F1" t="s">
        <v>152</v>
      </c>
      <c r="G1" t="s">
        <v>153</v>
      </c>
      <c r="H1" t="s">
        <v>154</v>
      </c>
      <c r="I1" t="s">
        <v>155</v>
      </c>
      <c r="J1" t="s">
        <v>156</v>
      </c>
      <c r="K1" t="s">
        <v>157</v>
      </c>
      <c r="L1" t="s">
        <v>158</v>
      </c>
      <c r="M1" t="s">
        <v>159</v>
      </c>
      <c r="N1" t="s">
        <v>160</v>
      </c>
      <c r="O1" t="s">
        <v>161</v>
      </c>
      <c r="P1" t="s">
        <v>162</v>
      </c>
      <c r="Q1" t="s">
        <v>163</v>
      </c>
      <c r="R1" t="s">
        <v>164</v>
      </c>
      <c r="S1" t="s">
        <v>165</v>
      </c>
      <c r="T1" t="s">
        <v>166</v>
      </c>
    </row>
    <row r="3" spans="1:20" x14ac:dyDescent="0.25">
      <c r="A3">
        <v>2001</v>
      </c>
      <c r="B3">
        <v>0.59490399999999999</v>
      </c>
      <c r="C3">
        <v>1.213775</v>
      </c>
      <c r="D3">
        <v>0.30624600000000002</v>
      </c>
      <c r="E3">
        <v>-2.5330999999999999E-2</v>
      </c>
      <c r="F3">
        <v>0.64540399999999998</v>
      </c>
      <c r="G3">
        <v>1.790049</v>
      </c>
      <c r="H3">
        <v>0.50738799999999995</v>
      </c>
      <c r="I3">
        <v>0.103829</v>
      </c>
      <c r="J3">
        <v>0.123345</v>
      </c>
      <c r="K3">
        <v>0.14579300000000001</v>
      </c>
      <c r="L3">
        <v>0.101049</v>
      </c>
      <c r="M3">
        <v>0.105616</v>
      </c>
      <c r="N3" s="68">
        <v>-9.8000000000000004E-8</v>
      </c>
      <c r="O3">
        <v>0.168932</v>
      </c>
      <c r="P3">
        <v>2.3105000000000001E-2</v>
      </c>
      <c r="Q3">
        <v>77.872500000000002</v>
      </c>
      <c r="R3">
        <v>-0.23252300000000001</v>
      </c>
      <c r="S3">
        <v>-0.130215</v>
      </c>
      <c r="T3">
        <v>-0.70904299999999998</v>
      </c>
    </row>
    <row r="4" spans="1:20" x14ac:dyDescent="0.25">
      <c r="A4">
        <v>2002</v>
      </c>
      <c r="B4">
        <v>0.93492900000000001</v>
      </c>
      <c r="C4">
        <v>1.9227399999999999</v>
      </c>
      <c r="D4">
        <v>0.62561900000000004</v>
      </c>
      <c r="E4">
        <v>-9.5140000000000002E-2</v>
      </c>
      <c r="F4">
        <v>1.104454</v>
      </c>
      <c r="G4">
        <v>2.1045120000000002</v>
      </c>
      <c r="H4">
        <v>0.159551</v>
      </c>
      <c r="I4">
        <v>0.31430799999999998</v>
      </c>
      <c r="J4">
        <v>0.37508200000000003</v>
      </c>
      <c r="K4">
        <v>0.44394899999999998</v>
      </c>
      <c r="L4">
        <v>0.30669999999999997</v>
      </c>
      <c r="M4">
        <v>0.32324000000000003</v>
      </c>
      <c r="N4" s="68">
        <v>-1.92E-7</v>
      </c>
      <c r="O4">
        <v>0.49382799999999999</v>
      </c>
      <c r="P4">
        <v>4.9659000000000002E-2</v>
      </c>
      <c r="Q4">
        <v>169.0384</v>
      </c>
      <c r="R4">
        <v>-0.48395199999999999</v>
      </c>
      <c r="S4">
        <v>-0.19775300000000001</v>
      </c>
      <c r="T4">
        <v>-0.453044</v>
      </c>
    </row>
    <row r="5" spans="1:20" x14ac:dyDescent="0.25">
      <c r="A5">
        <v>2003</v>
      </c>
      <c r="B5">
        <v>1.133408</v>
      </c>
      <c r="C5">
        <v>2.3753380000000002</v>
      </c>
      <c r="D5">
        <v>0.868147</v>
      </c>
      <c r="E5">
        <v>-0.21613399999999999</v>
      </c>
      <c r="F5">
        <v>1.428013</v>
      </c>
      <c r="G5">
        <v>2.3866260000000001</v>
      </c>
      <c r="H5">
        <v>9.8809999999999992E-3</v>
      </c>
      <c r="I5">
        <v>0.60359799999999997</v>
      </c>
      <c r="J5">
        <v>0.72148100000000004</v>
      </c>
      <c r="K5">
        <v>0.85424100000000003</v>
      </c>
      <c r="L5">
        <v>0.58968500000000001</v>
      </c>
      <c r="M5">
        <v>0.62587700000000002</v>
      </c>
      <c r="N5" s="68">
        <v>-2.8299999999999998E-7</v>
      </c>
      <c r="O5">
        <v>0.91916799999999999</v>
      </c>
      <c r="P5">
        <v>6.4376000000000003E-2</v>
      </c>
      <c r="Q5">
        <v>244.58580000000001</v>
      </c>
      <c r="R5">
        <v>-0.67613299999999998</v>
      </c>
      <c r="S5">
        <v>-0.22298499999999999</v>
      </c>
      <c r="T5">
        <v>-0.26133800000000001</v>
      </c>
    </row>
    <row r="6" spans="1:20" x14ac:dyDescent="0.25">
      <c r="A6">
        <v>2005</v>
      </c>
      <c r="B6">
        <v>1.2758229999999999</v>
      </c>
      <c r="C6">
        <v>2.8651010000000001</v>
      </c>
      <c r="D6">
        <v>1.1192979999999999</v>
      </c>
      <c r="E6">
        <v>-0.58723099999999995</v>
      </c>
      <c r="F6">
        <v>1.8299160000000001</v>
      </c>
      <c r="G6">
        <v>2.7666710000000001</v>
      </c>
      <c r="H6">
        <v>-8.584E-2</v>
      </c>
      <c r="I6">
        <v>1.282897</v>
      </c>
      <c r="J6">
        <v>1.5312619999999999</v>
      </c>
      <c r="K6">
        <v>1.8114220000000001</v>
      </c>
      <c r="L6">
        <v>1.253144</v>
      </c>
      <c r="M6">
        <v>1.3407739999999999</v>
      </c>
      <c r="N6" s="68">
        <v>-5.4300000000000003E-7</v>
      </c>
      <c r="O6">
        <v>1.8607100000000001</v>
      </c>
      <c r="P6">
        <v>4.8411000000000003E-2</v>
      </c>
      <c r="Q6">
        <v>321.10969999999998</v>
      </c>
      <c r="R6">
        <v>-0.84117699999999995</v>
      </c>
      <c r="S6">
        <v>-0.21922</v>
      </c>
      <c r="T6">
        <v>-5.6204999999999998E-2</v>
      </c>
    </row>
    <row r="7" spans="1:20" x14ac:dyDescent="0.25">
      <c r="A7">
        <v>2010</v>
      </c>
      <c r="B7">
        <v>1.068308</v>
      </c>
      <c r="C7">
        <v>3.0524339999999999</v>
      </c>
      <c r="D7">
        <v>1.211625</v>
      </c>
      <c r="E7">
        <v>-1.634196</v>
      </c>
      <c r="F7">
        <v>2.1662699999999999</v>
      </c>
      <c r="G7">
        <v>2.9861339999999998</v>
      </c>
      <c r="H7">
        <v>-5.7696999999999998E-2</v>
      </c>
      <c r="I7">
        <v>2.5136500000000002</v>
      </c>
      <c r="J7">
        <v>2.9725869999999999</v>
      </c>
      <c r="K7">
        <v>3.503317</v>
      </c>
      <c r="L7">
        <v>2.4452880000000001</v>
      </c>
      <c r="M7">
        <v>2.6097109999999999</v>
      </c>
      <c r="N7" s="68">
        <v>-8.1999999999999998E-7</v>
      </c>
      <c r="O7">
        <v>3.4575879999999999</v>
      </c>
      <c r="P7">
        <v>-4.4180999999999998E-2</v>
      </c>
      <c r="Q7">
        <v>242.74299999999999</v>
      </c>
      <c r="R7">
        <v>-0.58877000000000002</v>
      </c>
      <c r="S7">
        <v>-0.22392300000000001</v>
      </c>
      <c r="T7">
        <v>-3.4574000000000001E-2</v>
      </c>
    </row>
    <row r="8" spans="1:20" x14ac:dyDescent="0.25">
      <c r="A8">
        <v>2035</v>
      </c>
      <c r="B8">
        <v>0.79915800000000004</v>
      </c>
      <c r="C8">
        <v>2.409878</v>
      </c>
      <c r="D8">
        <v>1.051369</v>
      </c>
      <c r="E8">
        <v>-1.511171</v>
      </c>
      <c r="F8">
        <v>1.749603</v>
      </c>
      <c r="G8">
        <v>2.4130639999999999</v>
      </c>
      <c r="H8">
        <v>2.7880000000000001E-3</v>
      </c>
      <c r="I8">
        <v>1.8151630000000001</v>
      </c>
      <c r="J8">
        <v>2.136755</v>
      </c>
      <c r="K8">
        <v>2.513503</v>
      </c>
      <c r="L8">
        <v>1.7624949999999999</v>
      </c>
      <c r="M8">
        <v>1.871783</v>
      </c>
      <c r="N8" s="68">
        <v>-7.9999999999999996E-7</v>
      </c>
      <c r="O8">
        <v>2.5795560000000002</v>
      </c>
      <c r="P8">
        <v>6.4434000000000005E-2</v>
      </c>
      <c r="Q8">
        <v>176.1592</v>
      </c>
      <c r="R8">
        <v>-0.40900199999999998</v>
      </c>
      <c r="S8">
        <v>-0.28836400000000001</v>
      </c>
      <c r="T8">
        <v>-0.43825900000000001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1"/>
  <dimension ref="A1:T8"/>
  <sheetViews>
    <sheetView workbookViewId="0"/>
  </sheetViews>
  <sheetFormatPr defaultColWidth="11" defaultRowHeight="15.75" x14ac:dyDescent="0.25"/>
  <sheetData>
    <row r="1" spans="1:20" x14ac:dyDescent="0.25">
      <c r="B1" t="s">
        <v>110</v>
      </c>
      <c r="C1" t="s">
        <v>111</v>
      </c>
      <c r="D1" t="s">
        <v>112</v>
      </c>
      <c r="E1" t="s">
        <v>113</v>
      </c>
      <c r="F1" t="s">
        <v>114</v>
      </c>
      <c r="G1" t="s">
        <v>115</v>
      </c>
      <c r="H1" t="s">
        <v>116</v>
      </c>
      <c r="I1" t="s">
        <v>117</v>
      </c>
      <c r="J1" t="s">
        <v>118</v>
      </c>
      <c r="K1" t="s">
        <v>119</v>
      </c>
      <c r="L1" t="s">
        <v>120</v>
      </c>
      <c r="M1" t="s">
        <v>121</v>
      </c>
      <c r="N1" t="s">
        <v>122</v>
      </c>
      <c r="O1" t="s">
        <v>123</v>
      </c>
      <c r="P1" t="s">
        <v>124</v>
      </c>
      <c r="Q1" t="s">
        <v>125</v>
      </c>
      <c r="R1" t="s">
        <v>126</v>
      </c>
      <c r="S1" t="s">
        <v>127</v>
      </c>
      <c r="T1" t="s">
        <v>128</v>
      </c>
    </row>
    <row r="3" spans="1:20" x14ac:dyDescent="0.25">
      <c r="A3">
        <v>2001</v>
      </c>
      <c r="B3">
        <v>0.82093499999999997</v>
      </c>
      <c r="C3">
        <v>0.63688299999999998</v>
      </c>
      <c r="D3">
        <v>0.39239099999999999</v>
      </c>
      <c r="E3">
        <v>-3.6060000000000002E-2</v>
      </c>
      <c r="F3">
        <v>0.56763200000000003</v>
      </c>
      <c r="G3">
        <v>0.93799100000000002</v>
      </c>
      <c r="H3">
        <v>0.26735199999999998</v>
      </c>
      <c r="I3">
        <v>0.15912499999999999</v>
      </c>
      <c r="J3">
        <v>0.18810099999999999</v>
      </c>
      <c r="K3">
        <v>0.222165</v>
      </c>
      <c r="L3">
        <v>0.15420700000000001</v>
      </c>
      <c r="M3">
        <v>0.150391</v>
      </c>
      <c r="N3" s="68">
        <v>-9.8000000000000004E-8</v>
      </c>
      <c r="O3">
        <v>0.26323400000000002</v>
      </c>
      <c r="P3">
        <v>4.0978000000000001E-2</v>
      </c>
      <c r="Q3">
        <v>121.3056</v>
      </c>
      <c r="R3">
        <v>-0.36212699999999998</v>
      </c>
      <c r="S3">
        <v>-9.4513E-2</v>
      </c>
      <c r="T3">
        <v>-0.53194399999999997</v>
      </c>
    </row>
    <row r="4" spans="1:20" x14ac:dyDescent="0.25">
      <c r="A4">
        <v>2002</v>
      </c>
      <c r="B4">
        <v>1.032931</v>
      </c>
      <c r="C4">
        <v>1.112393</v>
      </c>
      <c r="D4">
        <v>0.68341600000000002</v>
      </c>
      <c r="E4">
        <v>-0.126415</v>
      </c>
      <c r="F4">
        <v>0.91445500000000002</v>
      </c>
      <c r="G4">
        <v>1.2568109999999999</v>
      </c>
      <c r="H4">
        <v>0.12782499999999999</v>
      </c>
      <c r="I4">
        <v>0.42678100000000002</v>
      </c>
      <c r="J4">
        <v>0.50794600000000001</v>
      </c>
      <c r="K4">
        <v>0.60084899999999997</v>
      </c>
      <c r="L4">
        <v>0.415578</v>
      </c>
      <c r="M4">
        <v>0.42277300000000001</v>
      </c>
      <c r="N4" s="68">
        <v>-1.92E-7</v>
      </c>
      <c r="O4">
        <v>0.67451499999999998</v>
      </c>
      <c r="P4">
        <v>7.3225999999999999E-2</v>
      </c>
      <c r="Q4">
        <v>219.59280000000001</v>
      </c>
      <c r="R4">
        <v>-0.623552</v>
      </c>
      <c r="S4">
        <v>-0.12664500000000001</v>
      </c>
      <c r="T4">
        <v>-0.26442199999999999</v>
      </c>
    </row>
    <row r="5" spans="1:20" x14ac:dyDescent="0.25">
      <c r="A5">
        <v>2003</v>
      </c>
      <c r="B5">
        <v>1.1571400000000001</v>
      </c>
      <c r="C5">
        <v>1.453838</v>
      </c>
      <c r="D5">
        <v>0.86925300000000005</v>
      </c>
      <c r="E5">
        <v>-0.272455</v>
      </c>
      <c r="F5">
        <v>1.1700410000000001</v>
      </c>
      <c r="G5">
        <v>1.496189</v>
      </c>
      <c r="H5">
        <v>3.7397E-2</v>
      </c>
      <c r="I5">
        <v>0.75810599999999995</v>
      </c>
      <c r="J5">
        <v>0.90452100000000002</v>
      </c>
      <c r="K5">
        <v>1.0702689999999999</v>
      </c>
      <c r="L5">
        <v>0.73976299999999995</v>
      </c>
      <c r="M5">
        <v>0.77082200000000001</v>
      </c>
      <c r="N5" s="68">
        <v>-2.8299999999999998E-7</v>
      </c>
      <c r="O5">
        <v>1.155006</v>
      </c>
      <c r="P5">
        <v>8.3839999999999998E-2</v>
      </c>
      <c r="Q5">
        <v>286.37520000000001</v>
      </c>
      <c r="R5">
        <v>-0.78304700000000005</v>
      </c>
      <c r="S5">
        <v>-0.13073000000000001</v>
      </c>
      <c r="T5">
        <v>-7.8936999999999993E-2</v>
      </c>
    </row>
    <row r="6" spans="1:20" x14ac:dyDescent="0.25">
      <c r="A6">
        <v>2005</v>
      </c>
      <c r="B6">
        <v>1.1987140000000001</v>
      </c>
      <c r="C6">
        <v>1.816119</v>
      </c>
      <c r="D6">
        <v>1.01762</v>
      </c>
      <c r="E6">
        <v>-0.68474100000000004</v>
      </c>
      <c r="F6">
        <v>1.4840599999999999</v>
      </c>
      <c r="G6">
        <v>1.7553190000000001</v>
      </c>
      <c r="H6">
        <v>-5.3551000000000001E-2</v>
      </c>
      <c r="I6">
        <v>1.4618500000000001</v>
      </c>
      <c r="J6">
        <v>1.7422390000000001</v>
      </c>
      <c r="K6">
        <v>2.059361</v>
      </c>
      <c r="L6">
        <v>1.4270080000000001</v>
      </c>
      <c r="M6">
        <v>1.517963</v>
      </c>
      <c r="N6" s="68">
        <v>-5.4300000000000003E-7</v>
      </c>
      <c r="O6">
        <v>2.1135869999999999</v>
      </c>
      <c r="P6">
        <v>5.3131999999999999E-2</v>
      </c>
      <c r="Q6">
        <v>332.92599999999999</v>
      </c>
      <c r="R6">
        <v>-0.86210299999999995</v>
      </c>
      <c r="S6">
        <v>-0.10997800000000001</v>
      </c>
      <c r="T6">
        <v>0.10792300000000001</v>
      </c>
    </row>
    <row r="7" spans="1:20" x14ac:dyDescent="0.25">
      <c r="A7">
        <v>2010</v>
      </c>
      <c r="B7">
        <v>0.84011999999999998</v>
      </c>
      <c r="C7">
        <v>1.76288</v>
      </c>
      <c r="D7">
        <v>0.96345099999999995</v>
      </c>
      <c r="E7">
        <v>-1.674933</v>
      </c>
      <c r="F7">
        <v>1.6270290000000001</v>
      </c>
      <c r="G7">
        <v>1.707856</v>
      </c>
      <c r="H7">
        <v>-4.8486000000000001E-2</v>
      </c>
      <c r="I7">
        <v>2.4870770000000002</v>
      </c>
      <c r="J7">
        <v>2.9359950000000001</v>
      </c>
      <c r="K7">
        <v>3.4569619999999999</v>
      </c>
      <c r="L7">
        <v>2.4177569999999999</v>
      </c>
      <c r="M7">
        <v>2.5730170000000001</v>
      </c>
      <c r="N7" s="68">
        <v>-8.1999999999999998E-7</v>
      </c>
      <c r="O7">
        <v>3.4124639999999999</v>
      </c>
      <c r="P7">
        <v>-4.3011000000000001E-2</v>
      </c>
      <c r="Q7">
        <v>200.3914</v>
      </c>
      <c r="R7">
        <v>-0.47745599999999999</v>
      </c>
      <c r="S7">
        <v>-0.113936</v>
      </c>
      <c r="T7">
        <v>0.116006</v>
      </c>
    </row>
    <row r="8" spans="1:20" x14ac:dyDescent="0.25">
      <c r="A8">
        <v>2035</v>
      </c>
      <c r="B8">
        <v>0.27597300000000002</v>
      </c>
      <c r="C8">
        <v>0.43762000000000001</v>
      </c>
      <c r="D8">
        <v>0.27630300000000002</v>
      </c>
      <c r="E8">
        <v>-0.70715399999999995</v>
      </c>
      <c r="F8">
        <v>0.52424700000000002</v>
      </c>
      <c r="G8">
        <v>0.44233699999999998</v>
      </c>
      <c r="H8">
        <v>4.2090000000000001E-3</v>
      </c>
      <c r="I8">
        <v>0.76024400000000003</v>
      </c>
      <c r="J8">
        <v>0.89118799999999998</v>
      </c>
      <c r="K8">
        <v>1.0460860000000001</v>
      </c>
      <c r="L8">
        <v>0.73729299999999998</v>
      </c>
      <c r="M8">
        <v>0.79157100000000002</v>
      </c>
      <c r="N8" s="68">
        <v>-7.9999999999999996E-7</v>
      </c>
      <c r="O8">
        <v>1.091351</v>
      </c>
      <c r="P8">
        <v>4.4796000000000002E-2</v>
      </c>
      <c r="Q8">
        <v>74.6952</v>
      </c>
      <c r="R8">
        <v>-0.17218</v>
      </c>
      <c r="S8">
        <v>-8.5228999999999999E-2</v>
      </c>
      <c r="T8">
        <v>-0.22904099999999999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5"/>
  <dimension ref="A1:G20"/>
  <sheetViews>
    <sheetView showGridLines="0" workbookViewId="0">
      <selection activeCell="C5" sqref="C5"/>
    </sheetView>
  </sheetViews>
  <sheetFormatPr defaultColWidth="11" defaultRowHeight="15.75" x14ac:dyDescent="0.25"/>
  <cols>
    <col min="1" max="1" width="33.625" customWidth="1"/>
  </cols>
  <sheetData>
    <row r="1" spans="1:7" ht="31.5" x14ac:dyDescent="0.25">
      <c r="A1" s="4" t="s">
        <v>27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TRANSPOSE(ResultsCSE!$B$3:$T$8)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euil6"/>
  <dimension ref="A1:G20"/>
  <sheetViews>
    <sheetView showGridLines="0" workbookViewId="0">
      <selection activeCell="B2" sqref="B2"/>
    </sheetView>
  </sheetViews>
  <sheetFormatPr defaultColWidth="11" defaultRowHeight="15.75" x14ac:dyDescent="0.25"/>
  <cols>
    <col min="1" max="1" width="33.625" customWidth="1"/>
  </cols>
  <sheetData>
    <row r="1" spans="1:7" ht="31.5" x14ac:dyDescent="0.25">
      <c r="A1" s="4" t="s">
        <v>25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TRANSPOSE(ResultsELEC!$B$3:$T$8)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euil7"/>
  <dimension ref="A1:T8"/>
  <sheetViews>
    <sheetView workbookViewId="0">
      <selection activeCell="I22" sqref="I22"/>
    </sheetView>
  </sheetViews>
  <sheetFormatPr defaultColWidth="11" defaultRowHeight="15.75" x14ac:dyDescent="0.25"/>
  <sheetData>
    <row r="1" spans="1:20" x14ac:dyDescent="0.25">
      <c r="B1" t="s">
        <v>91</v>
      </c>
      <c r="C1" t="s">
        <v>92</v>
      </c>
      <c r="D1" t="s">
        <v>93</v>
      </c>
      <c r="E1" t="s">
        <v>94</v>
      </c>
      <c r="F1" t="s">
        <v>95</v>
      </c>
      <c r="G1" t="s">
        <v>96</v>
      </c>
      <c r="H1" t="s">
        <v>97</v>
      </c>
      <c r="I1" t="s">
        <v>98</v>
      </c>
      <c r="J1" t="s">
        <v>99</v>
      </c>
      <c r="K1" t="s">
        <v>100</v>
      </c>
      <c r="L1" t="s">
        <v>101</v>
      </c>
      <c r="M1" t="s">
        <v>102</v>
      </c>
      <c r="N1" t="s">
        <v>103</v>
      </c>
      <c r="O1" t="s">
        <v>104</v>
      </c>
      <c r="P1" t="s">
        <v>105</v>
      </c>
      <c r="Q1" t="s">
        <v>106</v>
      </c>
      <c r="R1" t="s">
        <v>107</v>
      </c>
      <c r="S1" t="s">
        <v>108</v>
      </c>
      <c r="T1" t="s">
        <v>109</v>
      </c>
    </row>
    <row r="3" spans="1:20" x14ac:dyDescent="0.25">
      <c r="A3">
        <v>2001</v>
      </c>
      <c r="B3">
        <v>2.7054999999999999E-2</v>
      </c>
      <c r="C3">
        <v>-0.58429900000000001</v>
      </c>
      <c r="D3">
        <v>-5.4912000000000002E-2</v>
      </c>
      <c r="E3">
        <v>0.98460499999999995</v>
      </c>
      <c r="F3">
        <v>-0.56440599999999996</v>
      </c>
      <c r="G3">
        <v>-0.85897699999999999</v>
      </c>
      <c r="H3">
        <v>-0.248306</v>
      </c>
      <c r="I3">
        <v>1.209363</v>
      </c>
      <c r="J3">
        <v>0.55566400000000005</v>
      </c>
      <c r="K3">
        <v>-0.22221299999999999</v>
      </c>
      <c r="L3">
        <v>1.3270219999999999</v>
      </c>
      <c r="M3">
        <v>0.80003000000000002</v>
      </c>
      <c r="N3">
        <v>5</v>
      </c>
      <c r="O3">
        <v>4.9879E-2</v>
      </c>
      <c r="P3">
        <v>0.272698</v>
      </c>
      <c r="Q3">
        <v>23.422989999999999</v>
      </c>
      <c r="R3">
        <v>-6.9959999999999994E-2</v>
      </c>
      <c r="S3">
        <v>-0.72557899999999997</v>
      </c>
      <c r="T3">
        <v>-0.20808299999999999</v>
      </c>
    </row>
    <row r="4" spans="1:20" x14ac:dyDescent="0.25">
      <c r="A4">
        <v>2002</v>
      </c>
      <c r="B4">
        <v>0.101908</v>
      </c>
      <c r="C4">
        <v>-0.77983199999999997</v>
      </c>
      <c r="D4">
        <v>-2.8493999999999998E-2</v>
      </c>
      <c r="E4">
        <v>1.5260830000000001</v>
      </c>
      <c r="F4">
        <v>-0.78077799999999997</v>
      </c>
      <c r="G4">
        <v>-0.79966800000000005</v>
      </c>
      <c r="H4">
        <v>-1.7920999999999999E-2</v>
      </c>
      <c r="I4">
        <v>1.641022</v>
      </c>
      <c r="J4">
        <v>1.065507</v>
      </c>
      <c r="K4">
        <v>0.37153399999999998</v>
      </c>
      <c r="L4">
        <v>1.7533909999999999</v>
      </c>
      <c r="M4">
        <v>1.4368920000000001</v>
      </c>
      <c r="N4">
        <v>5</v>
      </c>
      <c r="O4">
        <v>0.49098399999999998</v>
      </c>
      <c r="P4">
        <v>0.119008</v>
      </c>
      <c r="Q4">
        <v>58.081409999999998</v>
      </c>
      <c r="R4">
        <v>-0.167216</v>
      </c>
      <c r="S4">
        <v>-0.36620399999999997</v>
      </c>
      <c r="T4">
        <v>-0.172259</v>
      </c>
    </row>
    <row r="5" spans="1:20" x14ac:dyDescent="0.25">
      <c r="A5">
        <v>2003</v>
      </c>
      <c r="B5">
        <v>0.20824200000000001</v>
      </c>
      <c r="C5">
        <v>-0.723912</v>
      </c>
      <c r="D5">
        <v>4.7882000000000001E-2</v>
      </c>
      <c r="E5">
        <v>1.7699309999999999</v>
      </c>
      <c r="F5">
        <v>-0.78614099999999998</v>
      </c>
      <c r="G5">
        <v>-0.61979600000000001</v>
      </c>
      <c r="H5">
        <v>9.3893000000000004E-2</v>
      </c>
      <c r="I5">
        <v>2.093318</v>
      </c>
      <c r="J5">
        <v>1.5924799999999999</v>
      </c>
      <c r="K5">
        <v>0.98610500000000001</v>
      </c>
      <c r="L5">
        <v>2.1934559999999999</v>
      </c>
      <c r="M5">
        <v>2.006723</v>
      </c>
      <c r="N5">
        <v>5</v>
      </c>
      <c r="O5">
        <v>1.0838699999999999</v>
      </c>
      <c r="P5">
        <v>9.6809999999999993E-2</v>
      </c>
      <c r="Q5">
        <v>95.473529999999997</v>
      </c>
      <c r="R5">
        <v>-0.26683800000000002</v>
      </c>
      <c r="S5">
        <v>-0.152367</v>
      </c>
      <c r="T5">
        <v>-7.8768000000000005E-2</v>
      </c>
    </row>
    <row r="6" spans="1:20" x14ac:dyDescent="0.25">
      <c r="A6">
        <v>2005</v>
      </c>
      <c r="B6">
        <v>0.39630599999999999</v>
      </c>
      <c r="C6">
        <v>-0.32392500000000002</v>
      </c>
      <c r="D6">
        <v>0.25002999999999997</v>
      </c>
      <c r="E6">
        <v>1.71688</v>
      </c>
      <c r="F6">
        <v>-0.50890800000000003</v>
      </c>
      <c r="G6">
        <v>-0.20483899999999999</v>
      </c>
      <c r="H6">
        <v>0.106947</v>
      </c>
      <c r="I6">
        <v>3.0624950000000002</v>
      </c>
      <c r="J6">
        <v>2.7161749999999998</v>
      </c>
      <c r="K6">
        <v>2.3001809999999998</v>
      </c>
      <c r="L6">
        <v>3.1284839999999998</v>
      </c>
      <c r="M6">
        <v>3.069353</v>
      </c>
      <c r="N6">
        <v>4.9999989999999999</v>
      </c>
      <c r="O6">
        <v>2.4040370000000002</v>
      </c>
      <c r="P6">
        <v>0.101521</v>
      </c>
      <c r="Q6">
        <v>153.18780000000001</v>
      </c>
      <c r="R6">
        <v>-0.40809899999999999</v>
      </c>
      <c r="S6">
        <v>4.6863000000000002E-2</v>
      </c>
      <c r="T6">
        <v>0.12837200000000001</v>
      </c>
    </row>
    <row r="7" spans="1:20" x14ac:dyDescent="0.25">
      <c r="A7">
        <v>2010</v>
      </c>
      <c r="B7">
        <v>0.44303500000000001</v>
      </c>
      <c r="C7">
        <v>0.48014499999999999</v>
      </c>
      <c r="D7">
        <v>0.61790599999999996</v>
      </c>
      <c r="E7">
        <v>0.48739399999999999</v>
      </c>
      <c r="F7">
        <v>0.27418700000000001</v>
      </c>
      <c r="G7">
        <v>0.466532</v>
      </c>
      <c r="H7">
        <v>-1.2144E-2</v>
      </c>
      <c r="I7">
        <v>5.1384270000000001</v>
      </c>
      <c r="J7">
        <v>5.126951</v>
      </c>
      <c r="K7">
        <v>5.1249229999999999</v>
      </c>
      <c r="L7">
        <v>5.1289619999999996</v>
      </c>
      <c r="M7">
        <v>5.1688340000000004</v>
      </c>
      <c r="N7">
        <v>4.9999989999999999</v>
      </c>
      <c r="O7">
        <v>5.1721339999999998</v>
      </c>
      <c r="P7">
        <v>4.4908999999999998E-2</v>
      </c>
      <c r="Q7">
        <v>127.2443</v>
      </c>
      <c r="R7">
        <v>-0.30707099999999998</v>
      </c>
      <c r="S7">
        <v>9.5946000000000004E-2</v>
      </c>
      <c r="T7">
        <v>0.41999300000000001</v>
      </c>
    </row>
    <row r="8" spans="1:20" x14ac:dyDescent="0.25">
      <c r="A8">
        <v>2035</v>
      </c>
      <c r="B8">
        <v>6.0935999999999997E-2</v>
      </c>
      <c r="C8">
        <v>-4.5576999999999999E-2</v>
      </c>
      <c r="D8">
        <v>0.70793399999999995</v>
      </c>
      <c r="E8">
        <v>-0.10648199999999999</v>
      </c>
      <c r="F8">
        <v>8.7840000000000001E-2</v>
      </c>
      <c r="G8">
        <v>-4.0475999999999998E-2</v>
      </c>
      <c r="H8">
        <v>4.5739999999999999E-3</v>
      </c>
      <c r="I8">
        <v>5.0754149999999996</v>
      </c>
      <c r="J8">
        <v>5.0577100000000002</v>
      </c>
      <c r="K8">
        <v>5.0456279999999998</v>
      </c>
      <c r="L8">
        <v>5.0696969999999997</v>
      </c>
      <c r="M8">
        <v>5.0714449999999998</v>
      </c>
      <c r="N8">
        <v>4.9999989999999999</v>
      </c>
      <c r="O8">
        <v>5.1505539999999996</v>
      </c>
      <c r="P8">
        <v>9.9886000000000003E-2</v>
      </c>
      <c r="Q8">
        <v>10.23517</v>
      </c>
      <c r="R8">
        <v>-2.4306999999999999E-2</v>
      </c>
      <c r="S8">
        <v>-2.8386999999999999E-2</v>
      </c>
      <c r="T8">
        <v>-1.8962E-2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euil9"/>
  <dimension ref="A1:T8"/>
  <sheetViews>
    <sheetView workbookViewId="0">
      <selection activeCell="R17" sqref="A1:R17"/>
    </sheetView>
  </sheetViews>
  <sheetFormatPr defaultColWidth="11" defaultRowHeight="15.75" x14ac:dyDescent="0.25"/>
  <sheetData>
    <row r="1" spans="1:20" x14ac:dyDescent="0.25">
      <c r="B1" t="s">
        <v>167</v>
      </c>
      <c r="C1" t="s">
        <v>168</v>
      </c>
      <c r="D1" t="s">
        <v>169</v>
      </c>
      <c r="E1" t="s">
        <v>170</v>
      </c>
      <c r="F1" t="s">
        <v>171</v>
      </c>
      <c r="G1" t="s">
        <v>172</v>
      </c>
      <c r="H1" t="s">
        <v>173</v>
      </c>
      <c r="I1" t="s">
        <v>174</v>
      </c>
      <c r="J1" t="s">
        <v>175</v>
      </c>
      <c r="K1" t="s">
        <v>176</v>
      </c>
      <c r="L1" t="s">
        <v>177</v>
      </c>
      <c r="M1" t="s">
        <v>178</v>
      </c>
      <c r="N1" t="s">
        <v>179</v>
      </c>
      <c r="O1" t="s">
        <v>180</v>
      </c>
      <c r="P1" t="s">
        <v>181</v>
      </c>
      <c r="Q1" t="s">
        <v>182</v>
      </c>
      <c r="R1" t="s">
        <v>183</v>
      </c>
      <c r="S1" t="s">
        <v>184</v>
      </c>
      <c r="T1" t="s">
        <v>185</v>
      </c>
    </row>
    <row r="3" spans="1:20" x14ac:dyDescent="0.25">
      <c r="A3">
        <v>2001</v>
      </c>
      <c r="B3">
        <v>0.223744</v>
      </c>
      <c r="C3">
        <v>0.380909</v>
      </c>
      <c r="D3">
        <v>9.0466000000000005E-2</v>
      </c>
      <c r="E3">
        <v>9.6683000000000005E-2</v>
      </c>
      <c r="F3">
        <v>0.15101899999999999</v>
      </c>
      <c r="G3">
        <v>0.56062999999999996</v>
      </c>
      <c r="H3">
        <v>0.16017200000000001</v>
      </c>
      <c r="I3">
        <v>-0.43143999999999999</v>
      </c>
      <c r="J3">
        <v>-0.50055099999999997</v>
      </c>
      <c r="K3">
        <v>-0.58850000000000002</v>
      </c>
      <c r="L3">
        <v>-0.41324</v>
      </c>
      <c r="M3">
        <v>-0.40181600000000001</v>
      </c>
      <c r="N3" s="68">
        <v>-9.8000000000000004E-8</v>
      </c>
      <c r="O3">
        <v>7.2067000000000006E-2</v>
      </c>
      <c r="P3">
        <v>-0.84653400000000001</v>
      </c>
      <c r="Q3">
        <v>33.330039999999997</v>
      </c>
      <c r="R3">
        <v>-9.9544999999999995E-2</v>
      </c>
      <c r="S3">
        <v>-0.12042</v>
      </c>
      <c r="T3">
        <v>-0.64306200000000002</v>
      </c>
    </row>
    <row r="4" spans="1:20" x14ac:dyDescent="0.25">
      <c r="A4">
        <v>2002</v>
      </c>
      <c r="B4">
        <v>0.476516</v>
      </c>
      <c r="C4">
        <v>0.78455799999999998</v>
      </c>
      <c r="D4">
        <v>0.271621</v>
      </c>
      <c r="E4">
        <v>0.23069999999999999</v>
      </c>
      <c r="F4">
        <v>0.342225</v>
      </c>
      <c r="G4">
        <v>0.92721900000000002</v>
      </c>
      <c r="H4">
        <v>0.12668199999999999</v>
      </c>
      <c r="I4">
        <v>-0.69687900000000003</v>
      </c>
      <c r="J4">
        <v>-0.80978399999999995</v>
      </c>
      <c r="K4">
        <v>-0.95125000000000004</v>
      </c>
      <c r="L4">
        <v>-0.66932199999999997</v>
      </c>
      <c r="M4">
        <v>-0.67593800000000004</v>
      </c>
      <c r="N4" s="68">
        <v>-1.92E-7</v>
      </c>
      <c r="O4">
        <v>0.11271100000000001</v>
      </c>
      <c r="P4">
        <v>-0.44298300000000002</v>
      </c>
      <c r="Q4">
        <v>88.892870000000002</v>
      </c>
      <c r="R4">
        <v>-0.25649</v>
      </c>
      <c r="S4">
        <v>-0.20660999999999999</v>
      </c>
      <c r="T4">
        <v>-0.402142</v>
      </c>
    </row>
    <row r="5" spans="1:20" x14ac:dyDescent="0.25">
      <c r="A5">
        <v>2003</v>
      </c>
      <c r="B5">
        <v>0.67999799999999999</v>
      </c>
      <c r="C5">
        <v>1.0924069999999999</v>
      </c>
      <c r="D5">
        <v>0.45607199999999998</v>
      </c>
      <c r="E5">
        <v>0.359375</v>
      </c>
      <c r="F5">
        <v>0.50499899999999998</v>
      </c>
      <c r="G5">
        <v>1.1517550000000001</v>
      </c>
      <c r="H5">
        <v>5.2582999999999998E-2</v>
      </c>
      <c r="I5">
        <v>-0.82708599999999999</v>
      </c>
      <c r="J5">
        <v>-0.95838999999999996</v>
      </c>
      <c r="K5">
        <v>-1.1235980000000001</v>
      </c>
      <c r="L5">
        <v>-0.794377</v>
      </c>
      <c r="M5">
        <v>-0.81917200000000001</v>
      </c>
      <c r="N5" s="68">
        <v>-2.8299999999999998E-7</v>
      </c>
      <c r="O5">
        <v>0.145678</v>
      </c>
      <c r="P5">
        <v>-0.23660700000000001</v>
      </c>
      <c r="Q5">
        <v>149.8886</v>
      </c>
      <c r="R5">
        <v>-0.41968100000000003</v>
      </c>
      <c r="S5">
        <v>-0.25208599999999998</v>
      </c>
      <c r="T5">
        <v>-0.252108</v>
      </c>
    </row>
    <row r="6" spans="1:20" x14ac:dyDescent="0.25">
      <c r="A6">
        <v>2005</v>
      </c>
      <c r="B6">
        <v>0.893876</v>
      </c>
      <c r="C6">
        <v>1.4004319999999999</v>
      </c>
      <c r="D6">
        <v>0.680064</v>
      </c>
      <c r="E6">
        <v>0.52142900000000003</v>
      </c>
      <c r="F6">
        <v>0.68758399999999997</v>
      </c>
      <c r="G6">
        <v>1.3525180000000001</v>
      </c>
      <c r="H6">
        <v>-4.2368999999999997E-2</v>
      </c>
      <c r="I6">
        <v>-0.83151299999999995</v>
      </c>
      <c r="J6">
        <v>-0.95074000000000003</v>
      </c>
      <c r="K6">
        <v>-1.10812</v>
      </c>
      <c r="L6">
        <v>-0.79456199999999999</v>
      </c>
      <c r="M6">
        <v>-0.82752099999999995</v>
      </c>
      <c r="N6" s="68">
        <v>-5.4300000000000003E-7</v>
      </c>
      <c r="O6">
        <v>0.26488899999999999</v>
      </c>
      <c r="P6">
        <v>-0.13348399999999999</v>
      </c>
      <c r="Q6">
        <v>244.41390000000001</v>
      </c>
      <c r="R6">
        <v>-0.651559</v>
      </c>
      <c r="S6">
        <v>-0.257548</v>
      </c>
      <c r="T6">
        <v>-0.12775600000000001</v>
      </c>
    </row>
    <row r="7" spans="1:20" x14ac:dyDescent="0.25">
      <c r="A7">
        <v>2010</v>
      </c>
      <c r="B7">
        <v>0.84974799999999995</v>
      </c>
      <c r="C7">
        <v>1.382296</v>
      </c>
      <c r="D7">
        <v>0.60643800000000003</v>
      </c>
      <c r="E7">
        <v>0.455036</v>
      </c>
      <c r="F7">
        <v>0.70189800000000002</v>
      </c>
      <c r="G7">
        <v>1.3446709999999999</v>
      </c>
      <c r="H7">
        <v>-3.3272999999999997E-2</v>
      </c>
      <c r="I7">
        <v>-0.49689</v>
      </c>
      <c r="J7">
        <v>-0.54939199999999999</v>
      </c>
      <c r="K7">
        <v>-0.63267700000000004</v>
      </c>
      <c r="L7">
        <v>-0.46675100000000003</v>
      </c>
      <c r="M7">
        <v>-0.46151700000000001</v>
      </c>
      <c r="N7" s="68">
        <v>-8.1999999999999998E-7</v>
      </c>
      <c r="O7">
        <v>0.63168400000000002</v>
      </c>
      <c r="P7">
        <v>-0.247726</v>
      </c>
      <c r="Q7">
        <v>271.27870000000001</v>
      </c>
      <c r="R7">
        <v>-0.67338600000000004</v>
      </c>
      <c r="S7">
        <v>-0.17876400000000001</v>
      </c>
      <c r="T7">
        <v>-0.18055399999999999</v>
      </c>
    </row>
    <row r="8" spans="1:20" x14ac:dyDescent="0.25">
      <c r="A8">
        <v>2035</v>
      </c>
      <c r="B8">
        <v>0.74866999999999995</v>
      </c>
      <c r="C8">
        <v>1.185575</v>
      </c>
      <c r="D8">
        <v>0.24390700000000001</v>
      </c>
      <c r="E8">
        <v>0.59369499999999997</v>
      </c>
      <c r="F8">
        <v>0.50702800000000003</v>
      </c>
      <c r="G8">
        <v>1.18649</v>
      </c>
      <c r="H8">
        <v>8.0999999999999996E-4</v>
      </c>
      <c r="I8">
        <v>-0.769876</v>
      </c>
      <c r="J8">
        <v>-0.88458599999999998</v>
      </c>
      <c r="K8">
        <v>-1.0322640000000001</v>
      </c>
      <c r="L8">
        <v>-0.73805100000000001</v>
      </c>
      <c r="M8">
        <v>-0.75773999999999997</v>
      </c>
      <c r="N8" s="68">
        <v>-7.9999999999999996E-7</v>
      </c>
      <c r="O8">
        <v>0.24224100000000001</v>
      </c>
      <c r="P8">
        <v>-0.23257</v>
      </c>
      <c r="Q8">
        <v>241.12700000000001</v>
      </c>
      <c r="R8">
        <v>-0.55982799999999999</v>
      </c>
      <c r="S8">
        <v>-0.1787</v>
      </c>
      <c r="T8">
        <v>-0.27131699999999997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euil10"/>
  <dimension ref="A1"/>
  <sheetViews>
    <sheetView workbookViewId="0">
      <selection activeCell="R17" sqref="A1:R17"/>
    </sheetView>
  </sheetViews>
  <sheetFormatPr defaultColWidth="11" defaultRowHeight="15.7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Feuil11"/>
  <dimension ref="A1"/>
  <sheetViews>
    <sheetView workbookViewId="0">
      <selection activeCell="R17" sqref="A1:R17"/>
    </sheetView>
  </sheetViews>
  <sheetFormatPr defaultColWidth="11" defaultRowHeight="15.7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Feuil13"/>
  <dimension ref="A1:G20"/>
  <sheetViews>
    <sheetView showGridLines="0" workbookViewId="0">
      <selection activeCell="B4" sqref="B4"/>
    </sheetView>
  </sheetViews>
  <sheetFormatPr defaultColWidth="11" defaultRowHeight="15.75" x14ac:dyDescent="0.25"/>
  <cols>
    <col min="1" max="1" width="33.625" customWidth="1"/>
    <col min="2" max="7" width="16" bestFit="1" customWidth="1"/>
  </cols>
  <sheetData>
    <row r="1" spans="1:7" ht="31.5" x14ac:dyDescent="0.25">
      <c r="A1" s="4" t="s">
        <v>26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TRANSPOSE(ResultsVAT!$B$3:$T$8)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Feuil14"/>
  <dimension ref="A1:G20"/>
  <sheetViews>
    <sheetView showGridLines="0" workbookViewId="0">
      <selection activeCell="G12" sqref="G12"/>
    </sheetView>
  </sheetViews>
  <sheetFormatPr defaultColWidth="11" defaultRowHeight="15.75" x14ac:dyDescent="0.25"/>
  <cols>
    <col min="1" max="1" width="33.625" customWidth="1"/>
    <col min="2" max="7" width="16" bestFit="1" customWidth="1"/>
  </cols>
  <sheetData>
    <row r="1" spans="1:7" ht="31.5" x14ac:dyDescent="0.25">
      <c r="A1" s="4" t="s">
        <v>28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TRANSPOSE(ResultsIAPU!$B$3:$T$8)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Feuil12"/>
  <dimension ref="A1"/>
  <sheetViews>
    <sheetView workbookViewId="0">
      <selection activeCell="D39" sqref="D39"/>
    </sheetView>
  </sheetViews>
  <sheetFormatPr defaultColWidth="11" defaultRowHeight="15.7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Feuil15"/>
  <dimension ref="A1"/>
  <sheetViews>
    <sheetView workbookViewId="0">
      <selection activeCell="F39" sqref="F39"/>
    </sheetView>
  </sheetViews>
  <sheetFormatPr defaultColWidth="11" defaultRowHeight="15.7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1</vt:i4>
      </vt:variant>
    </vt:vector>
  </HeadingPairs>
  <TitlesOfParts>
    <vt:vector size="25" baseType="lpstr">
      <vt:lpstr>ResultsEXR10</vt:lpstr>
      <vt:lpstr>ResultsEXPG1</vt:lpstr>
      <vt:lpstr>ResultsRSSC1</vt:lpstr>
      <vt:lpstr>ResultsVAT1</vt:lpstr>
      <vt:lpstr>ResultsINCT1</vt:lpstr>
      <vt:lpstr>ResultsWD1</vt:lpstr>
      <vt:lpstr>ResultsFF10</vt:lpstr>
      <vt:lpstr>ResultsCT1</vt:lpstr>
      <vt:lpstr>CT1</vt:lpstr>
      <vt:lpstr>WD1</vt:lpstr>
      <vt:lpstr>FF10</vt:lpstr>
      <vt:lpstr>VAT1</vt:lpstr>
      <vt:lpstr>INCT1</vt:lpstr>
      <vt:lpstr>EXPG1</vt:lpstr>
      <vt:lpstr>CSE</vt:lpstr>
      <vt:lpstr>ELEC</vt:lpstr>
      <vt:lpstr>EXR10</vt:lpstr>
      <vt:lpstr>RSSC1</vt:lpstr>
      <vt:lpstr>ResultsCSE</vt:lpstr>
      <vt:lpstr>ResultsELEC</vt:lpstr>
      <vt:lpstr>VAT</vt:lpstr>
      <vt:lpstr>IAPU</vt:lpstr>
      <vt:lpstr>ResultsVAT</vt:lpstr>
      <vt:lpstr>ResultsIAPU</vt:lpstr>
      <vt:lpstr>formatResults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Aurélien Saussay</dc:creator>
  <cp:lastModifiedBy>A</cp:lastModifiedBy>
  <dcterms:created xsi:type="dcterms:W3CDTF">2014-09-05T13:26:46Z</dcterms:created>
  <dcterms:modified xsi:type="dcterms:W3CDTF">2019-06-27T21:03:10Z</dcterms:modified>
</cp:coreProperties>
</file>