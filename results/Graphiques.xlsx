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chartsheets/sheet7.xml" ContentType="application/vnd.openxmlformats-officedocument.spreadsheetml.chart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7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8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CQUETINF\Documents\documents\ThreeME_V3-ADEME\results\"/>
    </mc:Choice>
  </mc:AlternateContent>
  <bookViews>
    <workbookView xWindow="0" yWindow="0" windowWidth="19200" windowHeight="5890" firstSheet="1" activeTab="1"/>
  </bookViews>
  <sheets>
    <sheet name="Données" sheetId="2" r:id="rId1"/>
    <sheet name="Gr Macro" sheetId="5" r:id="rId2"/>
    <sheet name="Gr inflation" sheetId="6" r:id="rId3"/>
    <sheet name="Gr émissions" sheetId="7" r:id="rId4"/>
    <sheet name="Gr VA secteurs (% dev)" sheetId="12" r:id="rId5"/>
    <sheet name="Gr VA secteurs (% share)" sheetId="13" r:id="rId6"/>
    <sheet name="Gr Y secteurs (% dev)" sheetId="14" r:id="rId7"/>
    <sheet name="Gr Y secteurs (% share)" sheetId="15" r:id="rId8"/>
  </sheets>
  <externalReferences>
    <externalReference r:id="rId9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27" i="2" l="1"/>
  <c r="D127" i="2"/>
  <c r="C127" i="2"/>
  <c r="E126" i="2"/>
  <c r="D126" i="2"/>
  <c r="C126" i="2"/>
  <c r="E125" i="2"/>
  <c r="D125" i="2"/>
  <c r="C125" i="2"/>
  <c r="E124" i="2"/>
  <c r="D124" i="2"/>
  <c r="C124" i="2"/>
  <c r="E123" i="2"/>
  <c r="D123" i="2"/>
  <c r="C123" i="2"/>
  <c r="E122" i="2"/>
  <c r="D122" i="2"/>
  <c r="C122" i="2"/>
  <c r="E119" i="2"/>
  <c r="D119" i="2"/>
  <c r="C119" i="2"/>
  <c r="E118" i="2"/>
  <c r="D118" i="2"/>
  <c r="C118" i="2"/>
  <c r="E117" i="2"/>
  <c r="D117" i="2"/>
  <c r="C117" i="2"/>
  <c r="E116" i="2"/>
  <c r="D116" i="2"/>
  <c r="C116" i="2"/>
  <c r="E115" i="2"/>
  <c r="D115" i="2"/>
  <c r="C115" i="2"/>
  <c r="E114" i="2"/>
  <c r="D114" i="2"/>
  <c r="C114" i="2"/>
  <c r="AL111" i="2"/>
  <c r="AK111" i="2"/>
  <c r="AJ111" i="2"/>
  <c r="AI111" i="2"/>
  <c r="AH111" i="2"/>
  <c r="AG111" i="2"/>
  <c r="AF111" i="2"/>
  <c r="AE111" i="2"/>
  <c r="AD111" i="2"/>
  <c r="AC111" i="2"/>
  <c r="AB111" i="2"/>
  <c r="AA111" i="2"/>
  <c r="Z111" i="2"/>
  <c r="Y111" i="2"/>
  <c r="X111" i="2"/>
  <c r="W111" i="2"/>
  <c r="V111" i="2"/>
  <c r="U111" i="2"/>
  <c r="T111" i="2"/>
  <c r="S111" i="2"/>
  <c r="R111" i="2"/>
  <c r="Q111" i="2"/>
  <c r="P111" i="2"/>
  <c r="O111" i="2"/>
  <c r="N111" i="2"/>
  <c r="M111" i="2"/>
  <c r="L111" i="2"/>
  <c r="K111" i="2"/>
  <c r="J111" i="2"/>
  <c r="I111" i="2"/>
  <c r="H111" i="2"/>
  <c r="G111" i="2"/>
  <c r="F111" i="2"/>
  <c r="E111" i="2"/>
  <c r="D111" i="2"/>
  <c r="AL110" i="2"/>
  <c r="AK110" i="2"/>
  <c r="AJ110" i="2"/>
  <c r="AI110" i="2"/>
  <c r="AH110" i="2"/>
  <c r="AG110" i="2"/>
  <c r="AF110" i="2"/>
  <c r="AE110" i="2"/>
  <c r="AD110" i="2"/>
  <c r="AC110" i="2"/>
  <c r="AB110" i="2"/>
  <c r="AA110" i="2"/>
  <c r="Z110" i="2"/>
  <c r="Y110" i="2"/>
  <c r="X110" i="2"/>
  <c r="W110" i="2"/>
  <c r="V110" i="2"/>
  <c r="U110" i="2"/>
  <c r="T110" i="2"/>
  <c r="S110" i="2"/>
  <c r="R110" i="2"/>
  <c r="Q110" i="2"/>
  <c r="P110" i="2"/>
  <c r="O110" i="2"/>
  <c r="N110" i="2"/>
  <c r="M110" i="2"/>
  <c r="L110" i="2"/>
  <c r="K110" i="2"/>
  <c r="J110" i="2"/>
  <c r="I110" i="2"/>
  <c r="H110" i="2"/>
  <c r="G110" i="2"/>
  <c r="F110" i="2"/>
  <c r="E110" i="2"/>
  <c r="D110" i="2"/>
  <c r="AL109" i="2"/>
  <c r="AK109" i="2"/>
  <c r="AJ109" i="2"/>
  <c r="AI109" i="2"/>
  <c r="AH109" i="2"/>
  <c r="AG109" i="2"/>
  <c r="AF109" i="2"/>
  <c r="AE109" i="2"/>
  <c r="AD109" i="2"/>
  <c r="AC109" i="2"/>
  <c r="AB109" i="2"/>
  <c r="AA109" i="2"/>
  <c r="Z109" i="2"/>
  <c r="Y109" i="2"/>
  <c r="X109" i="2"/>
  <c r="W109" i="2"/>
  <c r="V109" i="2"/>
  <c r="U109" i="2"/>
  <c r="T109" i="2"/>
  <c r="S109" i="2"/>
  <c r="R109" i="2"/>
  <c r="Q109" i="2"/>
  <c r="P109" i="2"/>
  <c r="O109" i="2"/>
  <c r="N109" i="2"/>
  <c r="M109" i="2"/>
  <c r="L109" i="2"/>
  <c r="K109" i="2"/>
  <c r="J109" i="2"/>
  <c r="I109" i="2"/>
  <c r="H109" i="2"/>
  <c r="G109" i="2"/>
  <c r="F109" i="2"/>
  <c r="E109" i="2"/>
  <c r="D109" i="2"/>
  <c r="AL108" i="2"/>
  <c r="AK108" i="2"/>
  <c r="AJ108" i="2"/>
  <c r="AI108" i="2"/>
  <c r="AH108" i="2"/>
  <c r="AG108" i="2"/>
  <c r="AF108" i="2"/>
  <c r="AE108" i="2"/>
  <c r="AD108" i="2"/>
  <c r="AC108" i="2"/>
  <c r="AB108" i="2"/>
  <c r="AA108" i="2"/>
  <c r="Z108" i="2"/>
  <c r="Y108" i="2"/>
  <c r="X108" i="2"/>
  <c r="W108" i="2"/>
  <c r="V108" i="2"/>
  <c r="U108" i="2"/>
  <c r="T108" i="2"/>
  <c r="S108" i="2"/>
  <c r="R108" i="2"/>
  <c r="Q108" i="2"/>
  <c r="P108" i="2"/>
  <c r="O108" i="2"/>
  <c r="N108" i="2"/>
  <c r="M108" i="2"/>
  <c r="L108" i="2"/>
  <c r="K108" i="2"/>
  <c r="J108" i="2"/>
  <c r="I108" i="2"/>
  <c r="H108" i="2"/>
  <c r="G108" i="2"/>
  <c r="F108" i="2"/>
  <c r="E108" i="2"/>
  <c r="D108" i="2"/>
  <c r="AL107" i="2"/>
  <c r="AK107" i="2"/>
  <c r="AJ107" i="2"/>
  <c r="AI107" i="2"/>
  <c r="AH107" i="2"/>
  <c r="AG107" i="2"/>
  <c r="AF107" i="2"/>
  <c r="AE107" i="2"/>
  <c r="AD107" i="2"/>
  <c r="AC107" i="2"/>
  <c r="AB107" i="2"/>
  <c r="AA107" i="2"/>
  <c r="Z107" i="2"/>
  <c r="Y107" i="2"/>
  <c r="X107" i="2"/>
  <c r="W107" i="2"/>
  <c r="V107" i="2"/>
  <c r="U107" i="2"/>
  <c r="T107" i="2"/>
  <c r="S107" i="2"/>
  <c r="R107" i="2"/>
  <c r="Q107" i="2"/>
  <c r="P107" i="2"/>
  <c r="O107" i="2"/>
  <c r="N107" i="2"/>
  <c r="M107" i="2"/>
  <c r="L107" i="2"/>
  <c r="K107" i="2"/>
  <c r="J107" i="2"/>
  <c r="I107" i="2"/>
  <c r="H107" i="2"/>
  <c r="G107" i="2"/>
  <c r="F107" i="2"/>
  <c r="E107" i="2"/>
  <c r="D107" i="2"/>
  <c r="AL106" i="2"/>
  <c r="AK106" i="2"/>
  <c r="AJ106" i="2"/>
  <c r="AI106" i="2"/>
  <c r="AH106" i="2"/>
  <c r="AG106" i="2"/>
  <c r="AF106" i="2"/>
  <c r="AE106" i="2"/>
  <c r="AD106" i="2"/>
  <c r="AC106" i="2"/>
  <c r="AB106" i="2"/>
  <c r="AA106" i="2"/>
  <c r="Z106" i="2"/>
  <c r="Y106" i="2"/>
  <c r="X106" i="2"/>
  <c r="W106" i="2"/>
  <c r="V106" i="2"/>
  <c r="U106" i="2"/>
  <c r="T106" i="2"/>
  <c r="S106" i="2"/>
  <c r="R106" i="2"/>
  <c r="Q106" i="2"/>
  <c r="P106" i="2"/>
  <c r="O106" i="2"/>
  <c r="N106" i="2"/>
  <c r="M106" i="2"/>
  <c r="L106" i="2"/>
  <c r="K106" i="2"/>
  <c r="J106" i="2"/>
  <c r="I106" i="2"/>
  <c r="H106" i="2"/>
  <c r="G106" i="2"/>
  <c r="F106" i="2"/>
  <c r="E106" i="2"/>
  <c r="D106" i="2"/>
  <c r="C111" i="2"/>
  <c r="C110" i="2"/>
  <c r="C109" i="2"/>
  <c r="C108" i="2"/>
  <c r="C107" i="2"/>
  <c r="C106" i="2"/>
  <c r="C103" i="2"/>
  <c r="C102" i="2"/>
  <c r="C101" i="2"/>
  <c r="C100" i="2"/>
  <c r="C99" i="2"/>
  <c r="AL103" i="2"/>
  <c r="AK103" i="2"/>
  <c r="AJ103" i="2"/>
  <c r="AI103" i="2"/>
  <c r="AH103" i="2"/>
  <c r="AG103" i="2"/>
  <c r="AF103" i="2"/>
  <c r="AE103" i="2"/>
  <c r="AD103" i="2"/>
  <c r="AC103" i="2"/>
  <c r="AB103" i="2"/>
  <c r="AA103" i="2"/>
  <c r="Z103" i="2"/>
  <c r="Y103" i="2"/>
  <c r="X103" i="2"/>
  <c r="W103" i="2"/>
  <c r="V103" i="2"/>
  <c r="U103" i="2"/>
  <c r="T103" i="2"/>
  <c r="S103" i="2"/>
  <c r="R103" i="2"/>
  <c r="Q103" i="2"/>
  <c r="P103" i="2"/>
  <c r="O103" i="2"/>
  <c r="N103" i="2"/>
  <c r="M103" i="2"/>
  <c r="L103" i="2"/>
  <c r="K103" i="2"/>
  <c r="J103" i="2"/>
  <c r="I103" i="2"/>
  <c r="H103" i="2"/>
  <c r="G103" i="2"/>
  <c r="F103" i="2"/>
  <c r="E103" i="2"/>
  <c r="D103" i="2"/>
  <c r="AL102" i="2"/>
  <c r="AK102" i="2"/>
  <c r="AJ102" i="2"/>
  <c r="AI102" i="2"/>
  <c r="AH102" i="2"/>
  <c r="AG102" i="2"/>
  <c r="AF102" i="2"/>
  <c r="AE102" i="2"/>
  <c r="AD102" i="2"/>
  <c r="AC102" i="2"/>
  <c r="AB102" i="2"/>
  <c r="AA102" i="2"/>
  <c r="Z102" i="2"/>
  <c r="Y102" i="2"/>
  <c r="X102" i="2"/>
  <c r="W102" i="2"/>
  <c r="V102" i="2"/>
  <c r="U102" i="2"/>
  <c r="T102" i="2"/>
  <c r="S102" i="2"/>
  <c r="R102" i="2"/>
  <c r="Q102" i="2"/>
  <c r="P102" i="2"/>
  <c r="O102" i="2"/>
  <c r="N102" i="2"/>
  <c r="M102" i="2"/>
  <c r="L102" i="2"/>
  <c r="K102" i="2"/>
  <c r="J102" i="2"/>
  <c r="I102" i="2"/>
  <c r="H102" i="2"/>
  <c r="G102" i="2"/>
  <c r="F102" i="2"/>
  <c r="E102" i="2"/>
  <c r="D102" i="2"/>
  <c r="AL101" i="2"/>
  <c r="AK101" i="2"/>
  <c r="AJ101" i="2"/>
  <c r="AI101" i="2"/>
  <c r="AH101" i="2"/>
  <c r="AG101" i="2"/>
  <c r="AF101" i="2"/>
  <c r="AE101" i="2"/>
  <c r="AD101" i="2"/>
  <c r="AC101" i="2"/>
  <c r="AB101" i="2"/>
  <c r="AA101" i="2"/>
  <c r="Z101" i="2"/>
  <c r="Y101" i="2"/>
  <c r="X101" i="2"/>
  <c r="W101" i="2"/>
  <c r="V101" i="2"/>
  <c r="U101" i="2"/>
  <c r="T101" i="2"/>
  <c r="S101" i="2"/>
  <c r="R101" i="2"/>
  <c r="Q101" i="2"/>
  <c r="P101" i="2"/>
  <c r="O101" i="2"/>
  <c r="N101" i="2"/>
  <c r="M101" i="2"/>
  <c r="L101" i="2"/>
  <c r="K101" i="2"/>
  <c r="J101" i="2"/>
  <c r="I101" i="2"/>
  <c r="H101" i="2"/>
  <c r="G101" i="2"/>
  <c r="F101" i="2"/>
  <c r="E101" i="2"/>
  <c r="D101" i="2"/>
  <c r="AL100" i="2"/>
  <c r="AK100" i="2"/>
  <c r="AJ100" i="2"/>
  <c r="AI100" i="2"/>
  <c r="AH100" i="2"/>
  <c r="AG100" i="2"/>
  <c r="AF100" i="2"/>
  <c r="AE100" i="2"/>
  <c r="AD100" i="2"/>
  <c r="AC100" i="2"/>
  <c r="AB100" i="2"/>
  <c r="AA100" i="2"/>
  <c r="Z100" i="2"/>
  <c r="Y100" i="2"/>
  <c r="X100" i="2"/>
  <c r="W100" i="2"/>
  <c r="V100" i="2"/>
  <c r="U100" i="2"/>
  <c r="T100" i="2"/>
  <c r="S100" i="2"/>
  <c r="R100" i="2"/>
  <c r="Q100" i="2"/>
  <c r="P100" i="2"/>
  <c r="O100" i="2"/>
  <c r="N100" i="2"/>
  <c r="M100" i="2"/>
  <c r="L100" i="2"/>
  <c r="K100" i="2"/>
  <c r="J100" i="2"/>
  <c r="I100" i="2"/>
  <c r="H100" i="2"/>
  <c r="G100" i="2"/>
  <c r="F100" i="2"/>
  <c r="E100" i="2"/>
  <c r="D100" i="2"/>
  <c r="AL99" i="2"/>
  <c r="AK99" i="2"/>
  <c r="AJ99" i="2"/>
  <c r="AI99" i="2"/>
  <c r="AH99" i="2"/>
  <c r="AG99" i="2"/>
  <c r="AF99" i="2"/>
  <c r="AE99" i="2"/>
  <c r="AD99" i="2"/>
  <c r="AC99" i="2"/>
  <c r="AB99" i="2"/>
  <c r="AA99" i="2"/>
  <c r="Z99" i="2"/>
  <c r="Y99" i="2"/>
  <c r="X99" i="2"/>
  <c r="W99" i="2"/>
  <c r="V99" i="2"/>
  <c r="U99" i="2"/>
  <c r="T99" i="2"/>
  <c r="S99" i="2"/>
  <c r="R99" i="2"/>
  <c r="Q99" i="2"/>
  <c r="P99" i="2"/>
  <c r="O99" i="2"/>
  <c r="N99" i="2"/>
  <c r="M99" i="2"/>
  <c r="L99" i="2"/>
  <c r="K99" i="2"/>
  <c r="J99" i="2"/>
  <c r="I99" i="2"/>
  <c r="H99" i="2"/>
  <c r="G99" i="2"/>
  <c r="F99" i="2"/>
  <c r="E99" i="2"/>
  <c r="D99" i="2"/>
  <c r="AL98" i="2"/>
  <c r="AK98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W98" i="2"/>
  <c r="V98" i="2"/>
  <c r="U98" i="2"/>
  <c r="T98" i="2"/>
  <c r="S98" i="2"/>
  <c r="R98" i="2"/>
  <c r="Q98" i="2"/>
  <c r="P98" i="2"/>
  <c r="O98" i="2"/>
  <c r="N98" i="2"/>
  <c r="M98" i="2"/>
  <c r="L98" i="2"/>
  <c r="K98" i="2"/>
  <c r="J98" i="2"/>
  <c r="I98" i="2"/>
  <c r="H98" i="2"/>
  <c r="G98" i="2"/>
  <c r="F98" i="2"/>
  <c r="E98" i="2"/>
  <c r="D98" i="2"/>
  <c r="C98" i="2"/>
  <c r="I62" i="2"/>
  <c r="J62" i="2"/>
  <c r="K62" i="2"/>
  <c r="L62" i="2"/>
  <c r="M62" i="2"/>
  <c r="N62" i="2"/>
  <c r="O62" i="2"/>
  <c r="P62" i="2"/>
  <c r="Q62" i="2"/>
  <c r="R62" i="2"/>
  <c r="S62" i="2"/>
  <c r="T62" i="2"/>
  <c r="U62" i="2"/>
  <c r="V62" i="2"/>
  <c r="W62" i="2"/>
  <c r="X62" i="2"/>
  <c r="Y62" i="2"/>
  <c r="Z62" i="2"/>
  <c r="AA62" i="2"/>
  <c r="AB62" i="2"/>
  <c r="AC62" i="2"/>
  <c r="AD62" i="2"/>
  <c r="AE62" i="2"/>
  <c r="AF62" i="2"/>
  <c r="AG62" i="2"/>
  <c r="AH62" i="2"/>
  <c r="AI62" i="2"/>
  <c r="AJ62" i="2"/>
  <c r="AK62" i="2"/>
  <c r="AL62" i="2"/>
  <c r="I63" i="2"/>
  <c r="J63" i="2"/>
  <c r="K63" i="2"/>
  <c r="L63" i="2"/>
  <c r="M63" i="2"/>
  <c r="N63" i="2"/>
  <c r="O63" i="2"/>
  <c r="P63" i="2"/>
  <c r="Q63" i="2"/>
  <c r="R63" i="2"/>
  <c r="S63" i="2"/>
  <c r="T63" i="2"/>
  <c r="U63" i="2"/>
  <c r="V63" i="2"/>
  <c r="W63" i="2"/>
  <c r="X63" i="2"/>
  <c r="Y63" i="2"/>
  <c r="Z63" i="2"/>
  <c r="AA63" i="2"/>
  <c r="AB63" i="2"/>
  <c r="AC63" i="2"/>
  <c r="AD63" i="2"/>
  <c r="AE63" i="2"/>
  <c r="AF63" i="2"/>
  <c r="AG63" i="2"/>
  <c r="AH63" i="2"/>
  <c r="AI63" i="2"/>
  <c r="AJ63" i="2"/>
  <c r="AK63" i="2"/>
  <c r="AL63" i="2"/>
  <c r="C62" i="2"/>
  <c r="D62" i="2"/>
  <c r="E62" i="2"/>
  <c r="F62" i="2"/>
  <c r="G62" i="2"/>
  <c r="C63" i="2"/>
  <c r="D63" i="2"/>
  <c r="E63" i="2"/>
  <c r="F63" i="2"/>
  <c r="G63" i="2"/>
  <c r="AL79" i="2" l="1"/>
  <c r="AK79" i="2"/>
  <c r="AJ79" i="2"/>
  <c r="AI79" i="2"/>
  <c r="AH79" i="2"/>
  <c r="AG79" i="2"/>
  <c r="AF79" i="2"/>
  <c r="AE79" i="2"/>
  <c r="AD79" i="2"/>
  <c r="AC79" i="2"/>
  <c r="AB79" i="2"/>
  <c r="AA79" i="2"/>
  <c r="Z79" i="2"/>
  <c r="Y79" i="2"/>
  <c r="X79" i="2"/>
  <c r="W79" i="2"/>
  <c r="V79" i="2"/>
  <c r="U79" i="2"/>
  <c r="T79" i="2"/>
  <c r="S79" i="2"/>
  <c r="R79" i="2"/>
  <c r="Q79" i="2"/>
  <c r="P79" i="2"/>
  <c r="O79" i="2"/>
  <c r="N79" i="2"/>
  <c r="M79" i="2"/>
  <c r="L79" i="2"/>
  <c r="K79" i="2"/>
  <c r="J79" i="2"/>
  <c r="I79" i="2"/>
  <c r="H79" i="2"/>
  <c r="G79" i="2"/>
  <c r="F79" i="2"/>
  <c r="E79" i="2"/>
  <c r="D79" i="2"/>
  <c r="C79" i="2"/>
  <c r="AL78" i="2"/>
  <c r="AK78" i="2"/>
  <c r="AJ78" i="2"/>
  <c r="AI78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R78" i="2"/>
  <c r="Q78" i="2"/>
  <c r="P78" i="2"/>
  <c r="O78" i="2"/>
  <c r="N78" i="2"/>
  <c r="M78" i="2"/>
  <c r="L78" i="2"/>
  <c r="K78" i="2"/>
  <c r="J78" i="2"/>
  <c r="I78" i="2"/>
  <c r="H78" i="2"/>
  <c r="G78" i="2"/>
  <c r="F78" i="2"/>
  <c r="E78" i="2"/>
  <c r="D78" i="2"/>
  <c r="C78" i="2"/>
  <c r="AL77" i="2"/>
  <c r="AK77" i="2"/>
  <c r="AJ77" i="2"/>
  <c r="AI77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AL75" i="2"/>
  <c r="AK75" i="2"/>
  <c r="AJ75" i="2"/>
  <c r="AI75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U75" i="2"/>
  <c r="T75" i="2"/>
  <c r="S75" i="2"/>
  <c r="R75" i="2"/>
  <c r="Q75" i="2"/>
  <c r="P75" i="2"/>
  <c r="O75" i="2"/>
  <c r="N75" i="2"/>
  <c r="M75" i="2"/>
  <c r="L75" i="2"/>
  <c r="K75" i="2"/>
  <c r="J75" i="2"/>
  <c r="I75" i="2"/>
  <c r="H75" i="2"/>
  <c r="G75" i="2"/>
  <c r="F75" i="2"/>
  <c r="E75" i="2"/>
  <c r="D75" i="2"/>
  <c r="C75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70" i="2"/>
  <c r="AL69" i="2"/>
  <c r="AK69" i="2"/>
  <c r="AJ69" i="2"/>
  <c r="AI69" i="2"/>
  <c r="AH69" i="2"/>
  <c r="AG69" i="2"/>
  <c r="AF69" i="2"/>
  <c r="AE69" i="2"/>
  <c r="AD69" i="2"/>
  <c r="AC69" i="2"/>
  <c r="AB69" i="2"/>
  <c r="AA69" i="2"/>
  <c r="Z69" i="2"/>
  <c r="Y69" i="2"/>
  <c r="X69" i="2"/>
  <c r="W69" i="2"/>
  <c r="V69" i="2"/>
  <c r="U69" i="2"/>
  <c r="T69" i="2"/>
  <c r="S69" i="2"/>
  <c r="R69" i="2"/>
  <c r="Q69" i="2"/>
  <c r="P69" i="2"/>
  <c r="O69" i="2"/>
  <c r="N69" i="2"/>
  <c r="M69" i="2"/>
  <c r="L69" i="2"/>
  <c r="K69" i="2"/>
  <c r="J69" i="2"/>
  <c r="I69" i="2"/>
  <c r="H69" i="2"/>
  <c r="G69" i="2"/>
  <c r="F69" i="2"/>
  <c r="E69" i="2"/>
  <c r="D69" i="2"/>
  <c r="C69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68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AL66" i="2"/>
  <c r="AK66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C66" i="2"/>
  <c r="AL65" i="2"/>
  <c r="AK65" i="2"/>
  <c r="AJ65" i="2"/>
  <c r="AI65" i="2"/>
  <c r="AH65" i="2"/>
  <c r="AG65" i="2"/>
  <c r="AF65" i="2"/>
  <c r="AE65" i="2"/>
  <c r="AD65" i="2"/>
  <c r="AC65" i="2"/>
  <c r="AB65" i="2"/>
  <c r="AA65" i="2"/>
  <c r="Z65" i="2"/>
  <c r="Y65" i="2"/>
  <c r="X65" i="2"/>
  <c r="W65" i="2"/>
  <c r="V65" i="2"/>
  <c r="U65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C65" i="2"/>
  <c r="H63" i="2"/>
  <c r="H62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C57" i="2"/>
  <c r="AL56" i="2"/>
  <c r="AK56" i="2"/>
  <c r="AJ56" i="2"/>
  <c r="AI56" i="2"/>
  <c r="AH56" i="2"/>
  <c r="AG56" i="2"/>
  <c r="AF56" i="2"/>
  <c r="AE56" i="2"/>
  <c r="AD56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C56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B54" i="2"/>
  <c r="A54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B53" i="2"/>
  <c r="A53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B52" i="2"/>
  <c r="A52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B51" i="2"/>
  <c r="A51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B50" i="2"/>
  <c r="A50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B49" i="2"/>
  <c r="A49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B48" i="2"/>
  <c r="A48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B47" i="2"/>
  <c r="A47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B46" i="2"/>
  <c r="A46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B45" i="2"/>
  <c r="A45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B44" i="2"/>
  <c r="A44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B43" i="2"/>
  <c r="A43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B42" i="2"/>
  <c r="A42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B41" i="2"/>
  <c r="A41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B40" i="2"/>
  <c r="A40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B39" i="2"/>
  <c r="A39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B38" i="2"/>
  <c r="A38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B37" i="2"/>
  <c r="A37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B36" i="2"/>
  <c r="A36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B35" i="2"/>
  <c r="A35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B34" i="2"/>
  <c r="A34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33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B32" i="2"/>
  <c r="A32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B31" i="2"/>
  <c r="A31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B30" i="2"/>
  <c r="A30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B29" i="2"/>
  <c r="A29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B28" i="2"/>
  <c r="A28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A27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B26" i="2"/>
  <c r="A26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B25" i="2"/>
  <c r="A25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B24" i="2"/>
  <c r="A24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A23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A22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A21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B14" i="2"/>
  <c r="A14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A13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B12" i="2"/>
  <c r="A12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A11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B10" i="2"/>
  <c r="A10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A9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B7" i="2"/>
  <c r="A7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A6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B5" i="2"/>
  <c r="A5" i="2"/>
  <c r="AL4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4" i="2"/>
  <c r="D95" i="2" l="1"/>
  <c r="C94" i="2"/>
  <c r="C93" i="2"/>
  <c r="C92" i="2"/>
  <c r="D91" i="2"/>
  <c r="C91" i="2"/>
  <c r="C90" i="2"/>
  <c r="B60" i="2"/>
  <c r="B63" i="2" s="1"/>
  <c r="B59" i="2"/>
  <c r="B62" i="2" s="1"/>
  <c r="E59" i="2"/>
  <c r="F59" i="2"/>
  <c r="N59" i="2"/>
  <c r="U59" i="2"/>
  <c r="V59" i="2"/>
  <c r="AD59" i="2"/>
  <c r="AK59" i="2"/>
  <c r="AL59" i="2"/>
  <c r="K60" i="2"/>
  <c r="R60" i="2"/>
  <c r="S60" i="2"/>
  <c r="AA60" i="2"/>
  <c r="AH60" i="2"/>
  <c r="AI60" i="2"/>
  <c r="C87" i="2" l="1"/>
  <c r="D93" i="2"/>
  <c r="E95" i="2"/>
  <c r="C95" i="2"/>
  <c r="D94" i="2"/>
  <c r="D92" i="2"/>
  <c r="D90" i="2"/>
  <c r="E90" i="2"/>
  <c r="E93" i="2"/>
  <c r="E91" i="2"/>
  <c r="E94" i="2"/>
  <c r="C86" i="2"/>
  <c r="D82" i="2"/>
  <c r="E84" i="2"/>
  <c r="E83" i="2"/>
  <c r="E92" i="2"/>
  <c r="D86" i="2"/>
  <c r="D83" i="2"/>
  <c r="C82" i="2"/>
  <c r="D84" i="2"/>
  <c r="E86" i="2"/>
  <c r="C85" i="2"/>
  <c r="D87" i="2"/>
  <c r="E85" i="2"/>
  <c r="C83" i="2"/>
  <c r="D85" i="2"/>
  <c r="E87" i="2"/>
  <c r="E82" i="2"/>
  <c r="C84" i="2"/>
  <c r="AL60" i="2"/>
  <c r="AD60" i="2"/>
  <c r="V60" i="2"/>
  <c r="N60" i="2"/>
  <c r="F60" i="2"/>
  <c r="AG59" i="2"/>
  <c r="Y59" i="2"/>
  <c r="Q59" i="2"/>
  <c r="I59" i="2"/>
  <c r="AF60" i="2"/>
  <c r="X60" i="2"/>
  <c r="P60" i="2"/>
  <c r="H60" i="2"/>
  <c r="AI59" i="2"/>
  <c r="AA59" i="2"/>
  <c r="S59" i="2"/>
  <c r="K59" i="2"/>
  <c r="AK60" i="2"/>
  <c r="X59" i="2"/>
  <c r="AE60" i="2"/>
  <c r="W60" i="2"/>
  <c r="O60" i="2"/>
  <c r="G60" i="2"/>
  <c r="AH59" i="2"/>
  <c r="Z59" i="2"/>
  <c r="R59" i="2"/>
  <c r="J59" i="2"/>
  <c r="AB60" i="2"/>
  <c r="T60" i="2"/>
  <c r="L60" i="2"/>
  <c r="D60" i="2"/>
  <c r="AE59" i="2"/>
  <c r="O59" i="2"/>
  <c r="G59" i="2"/>
  <c r="Y60" i="2"/>
  <c r="I60" i="2"/>
  <c r="AB59" i="2"/>
  <c r="L59" i="2"/>
  <c r="H59" i="2"/>
  <c r="P59" i="2"/>
  <c r="AF59" i="2"/>
  <c r="E60" i="2"/>
  <c r="M60" i="2"/>
  <c r="U60" i="2"/>
  <c r="AC60" i="2"/>
  <c r="AG60" i="2"/>
  <c r="D59" i="2"/>
  <c r="T59" i="2"/>
  <c r="AJ59" i="2"/>
  <c r="Q60" i="2"/>
  <c r="M59" i="2"/>
  <c r="AC59" i="2"/>
  <c r="J60" i="2"/>
  <c r="Z60" i="2"/>
  <c r="W59" i="2"/>
  <c r="AJ60" i="2"/>
</calcChain>
</file>

<file path=xl/sharedStrings.xml><?xml version="1.0" encoding="utf-8"?>
<sst xmlns="http://schemas.openxmlformats.org/spreadsheetml/2006/main" count="85" uniqueCount="27">
  <si>
    <t>Macro</t>
  </si>
  <si>
    <t>Inflation</t>
  </si>
  <si>
    <t>Emissions</t>
  </si>
  <si>
    <t>IPC</t>
  </si>
  <si>
    <t>Baseline</t>
  </si>
  <si>
    <t>Scénario 2</t>
  </si>
  <si>
    <t>NZ50</t>
  </si>
  <si>
    <t>Agriculture</t>
  </si>
  <si>
    <t>Industrie</t>
  </si>
  <si>
    <t>Transports</t>
  </si>
  <si>
    <t>Services</t>
  </si>
  <si>
    <t>Electricité</t>
  </si>
  <si>
    <t>Pétrole et gaz</t>
  </si>
  <si>
    <t>Valeur ajoutée sectorielle baseline</t>
  </si>
  <si>
    <t>Valeur ajoutée sectorielle shock</t>
  </si>
  <si>
    <t>VA</t>
  </si>
  <si>
    <t>Année</t>
  </si>
  <si>
    <t>2030</t>
  </si>
  <si>
    <t>2040</t>
  </si>
  <si>
    <t>2050</t>
  </si>
  <si>
    <t>GDP</t>
  </si>
  <si>
    <t>Consumption</t>
  </si>
  <si>
    <t>Net exports</t>
  </si>
  <si>
    <t>Investment</t>
  </si>
  <si>
    <t>Exports</t>
  </si>
  <si>
    <t>Imports</t>
  </si>
  <si>
    <t>Production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</si>
</sst>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"/>
    <numFmt numFmtId="165" formatCode="0.0%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64" fontId="0" fillId="0" borderId="0" xfId="0" applyNumberFormat="1"/>
    <xf numFmtId="14" fontId="0" fillId="0" borderId="0" xfId="0" applyNumberFormat="1"/>
    <xf numFmtId="1" fontId="0" fillId="0" borderId="0" xfId="0" applyNumberFormat="1"/>
    <xf numFmtId="165" fontId="0" fillId="0" borderId="0" xfId="0" applyNumberFormat="1"/>
    <xf numFmtId="4" fontId="0" fillId="0" borderId="0" xfId="0" applyNumberFormat="1"/>
    <xf numFmtId="3" fontId="0" fillId="0" borderId="0" xfId="0" applyNumberFormat="1"/>
    <xf numFmtId="0" fontId="0" fillId="0" borderId="0" xfId="0" applyAlignment="1"/>
    <xf numFmtId="0" fontId="0" fillId="0" borderId="0" xfId="0" quotePrefix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7.xml"/><Relationship Id="rId13" Type="http://schemas.openxmlformats.org/officeDocument/2006/relationships/calcChain" Target="calcChain.xml"/><Relationship Id="rId3" Type="http://schemas.openxmlformats.org/officeDocument/2006/relationships/chartsheet" Target="chartsheets/sheet2.xml"/><Relationship Id="rId7" Type="http://schemas.openxmlformats.org/officeDocument/2006/relationships/chartsheet" Target="chartsheets/sheet6.xml"/><Relationship Id="rId12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5.xml"/><Relationship Id="rId11" Type="http://schemas.openxmlformats.org/officeDocument/2006/relationships/styles" Target="styles.xml"/><Relationship Id="rId5" Type="http://schemas.openxmlformats.org/officeDocument/2006/relationships/chartsheet" Target="chartsheets/sheet4.xml"/><Relationship Id="rId10" Type="http://schemas.openxmlformats.org/officeDocument/2006/relationships/theme" Target="theme/theme1.xml"/><Relationship Id="rId4" Type="http://schemas.openxmlformats.org/officeDocument/2006/relationships/chartsheet" Target="chartsheets/sheet3.xml"/><Relationship Id="rId9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Impact</a:t>
            </a:r>
            <a:r>
              <a:rPr lang="fr-FR" sz="2400" baseline="0"/>
              <a:t> on GDP</a:t>
            </a:r>
          </a:p>
          <a:p>
            <a:pPr>
              <a:defRPr sz="2400"/>
            </a:pPr>
            <a:r>
              <a:rPr lang="fr-FR" sz="1600" baseline="0"/>
              <a:t>(% deviation from baseline)</a:t>
            </a:r>
            <a:endParaRPr lang="fr-FR" sz="16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947418400168892E-2"/>
          <c:y val="0.1493210735688186"/>
          <c:w val="0.91901351933111586"/>
          <c:h val="0.70301634697611126"/>
        </c:manualLayout>
      </c:layout>
      <c:barChart>
        <c:barDir val="col"/>
        <c:grouping val="stacked"/>
        <c:varyColors val="0"/>
        <c:ser>
          <c:idx val="2"/>
          <c:order val="2"/>
          <c:tx>
            <c:strRef>
              <c:f>Données!$B$6</c:f>
              <c:strCache>
                <c:ptCount val="1"/>
                <c:pt idx="0">
                  <c:v>Consumption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Données!$C$6:$AL$6</c:f>
              <c:numCache>
                <c:formatCode>#\ ##0.0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4.3008761615863493E-8</c:v>
                </c:pt>
                <c:pt idx="4">
                  <c:v>4.20891115976387E-8</c:v>
                </c:pt>
                <c:pt idx="5">
                  <c:v>4.1069901526818846E-8</c:v>
                </c:pt>
                <c:pt idx="6">
                  <c:v>-3.7717264845021033E-2</c:v>
                </c:pt>
                <c:pt idx="7">
                  <c:v>-0.15262864236843929</c:v>
                </c:pt>
                <c:pt idx="8">
                  <c:v>-0.27157451054645287</c:v>
                </c:pt>
                <c:pt idx="9">
                  <c:v>-0.33364938755664958</c:v>
                </c:pt>
                <c:pt idx="10">
                  <c:v>-0.28749859454994414</c:v>
                </c:pt>
                <c:pt idx="11">
                  <c:v>-0.15541059150522951</c:v>
                </c:pt>
                <c:pt idx="12">
                  <c:v>8.4043373752596143E-2</c:v>
                </c:pt>
                <c:pt idx="13">
                  <c:v>0.40062465038997558</c:v>
                </c:pt>
                <c:pt idx="14">
                  <c:v>0.76393191758517132</c:v>
                </c:pt>
                <c:pt idx="15">
                  <c:v>1.1922859415133293</c:v>
                </c:pt>
                <c:pt idx="16">
                  <c:v>1.5826528891817695</c:v>
                </c:pt>
                <c:pt idx="17">
                  <c:v>1.9263155964337781</c:v>
                </c:pt>
                <c:pt idx="18">
                  <c:v>2.2208023952116842</c:v>
                </c:pt>
                <c:pt idx="19">
                  <c:v>2.4662866963228063</c:v>
                </c:pt>
                <c:pt idx="20">
                  <c:v>2.6663856947160012</c:v>
                </c:pt>
                <c:pt idx="21">
                  <c:v>2.8133366163250786</c:v>
                </c:pt>
                <c:pt idx="22">
                  <c:v>2.905960437445033</c:v>
                </c:pt>
                <c:pt idx="23">
                  <c:v>2.9452298735300584</c:v>
                </c:pt>
                <c:pt idx="24">
                  <c:v>2.9348536518158426</c:v>
                </c:pt>
                <c:pt idx="25">
                  <c:v>2.9317529175548471</c:v>
                </c:pt>
                <c:pt idx="26">
                  <c:v>2.8721066633903556</c:v>
                </c:pt>
                <c:pt idx="27">
                  <c:v>2.7835274969834658</c:v>
                </c:pt>
                <c:pt idx="28">
                  <c:v>2.6783624515997135</c:v>
                </c:pt>
                <c:pt idx="29">
                  <c:v>2.5626941450541545</c:v>
                </c:pt>
                <c:pt idx="30">
                  <c:v>2.4396310539581489</c:v>
                </c:pt>
                <c:pt idx="31">
                  <c:v>2.3043052927808447</c:v>
                </c:pt>
                <c:pt idx="32">
                  <c:v>2.1570144397703599</c:v>
                </c:pt>
                <c:pt idx="33">
                  <c:v>2.0022466853119534</c:v>
                </c:pt>
                <c:pt idx="34">
                  <c:v>1.8461542459836031</c:v>
                </c:pt>
                <c:pt idx="35">
                  <c:v>1.7564945177991054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DF-4FA2-B0C9-EB7B6F86A366}"/>
            </c:ext>
          </c:extLst>
        </c:ser>
        <c:ser>
          <c:idx val="5"/>
          <c:order val="5"/>
          <c:tx>
            <c:strRef>
              <c:f>Données!$B$9</c:f>
              <c:strCache>
                <c:ptCount val="1"/>
                <c:pt idx="0">
                  <c:v>Investment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Données!$C$9:$AL$9</c:f>
              <c:numCache>
                <c:formatCode>#\ ##0.0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4.386634979003778E-9</c:v>
                </c:pt>
                <c:pt idx="3">
                  <c:v>4.3008756608985488E-9</c:v>
                </c:pt>
                <c:pt idx="4">
                  <c:v>0</c:v>
                </c:pt>
                <c:pt idx="5">
                  <c:v>4.1069882402154315E-9</c:v>
                </c:pt>
                <c:pt idx="6">
                  <c:v>-2.9045893478389088E-2</c:v>
                </c:pt>
                <c:pt idx="7">
                  <c:v>-9.4024537443687134E-2</c:v>
                </c:pt>
                <c:pt idx="8">
                  <c:v>-0.17231848122533822</c:v>
                </c:pt>
                <c:pt idx="9">
                  <c:v>-0.24610868728162724</c:v>
                </c:pt>
                <c:pt idx="10">
                  <c:v>-0.29934944415226261</c:v>
                </c:pt>
                <c:pt idx="11">
                  <c:v>-0.31667759627525244</c:v>
                </c:pt>
                <c:pt idx="12">
                  <c:v>-0.29806183074005466</c:v>
                </c:pt>
                <c:pt idx="13">
                  <c:v>-0.24950774394206401</c:v>
                </c:pt>
                <c:pt idx="14">
                  <c:v>-0.17890042493482203</c:v>
                </c:pt>
                <c:pt idx="15">
                  <c:v>-4.6797671518637743E-2</c:v>
                </c:pt>
                <c:pt idx="16">
                  <c:v>2.1409904557943334E-2</c:v>
                </c:pt>
                <c:pt idx="17">
                  <c:v>9.7785070857969142E-2</c:v>
                </c:pt>
                <c:pt idx="18">
                  <c:v>0.173025969101995</c:v>
                </c:pt>
                <c:pt idx="19">
                  <c:v>0.2421759381232837</c:v>
                </c:pt>
                <c:pt idx="20">
                  <c:v>0.30351019094564818</c:v>
                </c:pt>
                <c:pt idx="21">
                  <c:v>0.35844753830019588</c:v>
                </c:pt>
                <c:pt idx="22">
                  <c:v>0.40605063519088996</c:v>
                </c:pt>
                <c:pt idx="23">
                  <c:v>0.44594150418814188</c:v>
                </c:pt>
                <c:pt idx="24">
                  <c:v>0.47869160891806001</c:v>
                </c:pt>
                <c:pt idx="25">
                  <c:v>0.56817922693156131</c:v>
                </c:pt>
                <c:pt idx="26">
                  <c:v>0.59549659001414379</c:v>
                </c:pt>
                <c:pt idx="27">
                  <c:v>0.64385070685151768</c:v>
                </c:pt>
                <c:pt idx="28">
                  <c:v>0.69817364598753717</c:v>
                </c:pt>
                <c:pt idx="29">
                  <c:v>0.75084147675511237</c:v>
                </c:pt>
                <c:pt idx="30">
                  <c:v>0.79914894799625202</c:v>
                </c:pt>
                <c:pt idx="31">
                  <c:v>0.84185090211682068</c:v>
                </c:pt>
                <c:pt idx="32">
                  <c:v>0.87741042527950097</c:v>
                </c:pt>
                <c:pt idx="33">
                  <c:v>0.90565898402525358</c:v>
                </c:pt>
                <c:pt idx="34">
                  <c:v>0.92710057285002989</c:v>
                </c:pt>
                <c:pt idx="35">
                  <c:v>1.0279328170576081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4DF-4FA2-B0C9-EB7B6F86A366}"/>
            </c:ext>
          </c:extLst>
        </c:ser>
        <c:ser>
          <c:idx val="7"/>
          <c:order val="7"/>
          <c:tx>
            <c:strRef>
              <c:f>Données!$B$11</c:f>
              <c:strCache>
                <c:ptCount val="1"/>
                <c:pt idx="0">
                  <c:v>Net exports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Données!$C$11:$AL$11</c:f>
              <c:numCache>
                <c:formatCode>#\ ##0.0</c:formatCode>
                <c:ptCount val="36"/>
                <c:pt idx="0">
                  <c:v>-4.5516733136692118E-9</c:v>
                </c:pt>
                <c:pt idx="1">
                  <c:v>-4.4699730067476309E-9</c:v>
                </c:pt>
                <c:pt idx="2">
                  <c:v>-8.7732648512925717E-9</c:v>
                </c:pt>
                <c:pt idx="3">
                  <c:v>-4.3008781643375513E-9</c:v>
                </c:pt>
                <c:pt idx="4">
                  <c:v>-8.4178213395644067E-9</c:v>
                </c:pt>
                <c:pt idx="5">
                  <c:v>-1.232097428297856E-8</c:v>
                </c:pt>
                <c:pt idx="6">
                  <c:v>-0.14769439615133534</c:v>
                </c:pt>
                <c:pt idx="7">
                  <c:v>-0.24354102848453743</c:v>
                </c:pt>
                <c:pt idx="8">
                  <c:v>-0.30315715137512761</c:v>
                </c:pt>
                <c:pt idx="9">
                  <c:v>-0.32711453776172256</c:v>
                </c:pt>
                <c:pt idx="10">
                  <c:v>-0.30146616957877115</c:v>
                </c:pt>
                <c:pt idx="11">
                  <c:v>-0.29744437448479</c:v>
                </c:pt>
                <c:pt idx="12">
                  <c:v>-0.32144932478011295</c:v>
                </c:pt>
                <c:pt idx="13">
                  <c:v>-0.36898510566299031</c:v>
                </c:pt>
                <c:pt idx="14">
                  <c:v>-0.44039433777043285</c:v>
                </c:pt>
                <c:pt idx="15">
                  <c:v>-0.41953093618483622</c:v>
                </c:pt>
                <c:pt idx="16">
                  <c:v>-0.70666647988774989</c:v>
                </c:pt>
                <c:pt idx="17">
                  <c:v>-0.83281139112251634</c:v>
                </c:pt>
                <c:pt idx="18">
                  <c:v>-0.97115819444664231</c:v>
                </c:pt>
                <c:pt idx="19">
                  <c:v>-1.115757783287338</c:v>
                </c:pt>
                <c:pt idx="20">
                  <c:v>-1.2706475822750825</c:v>
                </c:pt>
                <c:pt idx="21">
                  <c:v>-1.4301790970557891</c:v>
                </c:pt>
                <c:pt idx="22">
                  <c:v>-1.5900839267504752</c:v>
                </c:pt>
                <c:pt idx="23">
                  <c:v>-1.7483792345655251</c:v>
                </c:pt>
                <c:pt idx="24">
                  <c:v>-1.9028655143127329</c:v>
                </c:pt>
                <c:pt idx="25">
                  <c:v>-1.9146060471909052</c:v>
                </c:pt>
                <c:pt idx="26">
                  <c:v>-2.0795798268840247</c:v>
                </c:pt>
                <c:pt idx="27">
                  <c:v>-2.0742098261630448</c:v>
                </c:pt>
                <c:pt idx="28">
                  <c:v>-2.0823138542823862</c:v>
                </c:pt>
                <c:pt idx="29">
                  <c:v>-2.0934440056520858</c:v>
                </c:pt>
                <c:pt idx="30">
                  <c:v>-2.1023596462360317</c:v>
                </c:pt>
                <c:pt idx="31">
                  <c:v>-2.1023053919774348</c:v>
                </c:pt>
                <c:pt idx="32">
                  <c:v>-2.0886900018255323</c:v>
                </c:pt>
                <c:pt idx="33">
                  <c:v>-2.0609587698370877</c:v>
                </c:pt>
                <c:pt idx="34">
                  <c:v>-2.0208320012871646</c:v>
                </c:pt>
                <c:pt idx="35">
                  <c:v>-1.7942769834804111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98260000"/>
        <c:axId val="69826098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Données!$B$5</c15:sqref>
                        </c15:formulaRef>
                      </c:ext>
                    </c:extLst>
                    <c:strCache>
                      <c:ptCount val="1"/>
                      <c:pt idx="0">
                        <c:v>VA du secteur marchand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Données!$C$3:$AL$3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Données!$C$5:$AL$5</c15:sqref>
                        </c15:formulaRef>
                      </c:ext>
                    </c:extLst>
                    <c:numCache>
                      <c:formatCode>#\ ##0.0</c:formatCode>
                      <c:ptCount val="36"/>
                      <c:pt idx="0">
                        <c:v>-6.3611971246047005E-8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-5.6895044231453085E-9</c:v>
                      </c:pt>
                      <c:pt idx="6">
                        <c:v>-0.26996936089720425</c:v>
                      </c:pt>
                      <c:pt idx="7">
                        <c:v>-0.59835171417274013</c:v>
                      </c:pt>
                      <c:pt idx="8">
                        <c:v>-0.89869318748105886</c:v>
                      </c:pt>
                      <c:pt idx="9">
                        <c:v>-1.0830035766375201</c:v>
                      </c:pt>
                      <c:pt idx="10">
                        <c:v>-1.057562681245372</c:v>
                      </c:pt>
                      <c:pt idx="11">
                        <c:v>-0.925660979367815</c:v>
                      </c:pt>
                      <c:pt idx="12">
                        <c:v>-0.67172259068977169</c:v>
                      </c:pt>
                      <c:pt idx="13">
                        <c:v>-0.32978597610165972</c:v>
                      </c:pt>
                      <c:pt idx="14">
                        <c:v>5.7547232662558123E-2</c:v>
                      </c:pt>
                      <c:pt idx="15">
                        <c:v>0.70399923348110072</c:v>
                      </c:pt>
                      <c:pt idx="16">
                        <c:v>0.84347401256539278</c:v>
                      </c:pt>
                      <c:pt idx="17">
                        <c:v>1.1476436050165795</c:v>
                      </c:pt>
                      <c:pt idx="18">
                        <c:v>1.3798994201299486</c:v>
                      </c:pt>
                      <c:pt idx="19">
                        <c:v>1.5398607009050602</c:v>
                      </c:pt>
                      <c:pt idx="20">
                        <c:v>1.6280281739282421</c:v>
                      </c:pt>
                      <c:pt idx="21">
                        <c:v>1.6447482944840219</c:v>
                      </c:pt>
                      <c:pt idx="22">
                        <c:v>1.5929335628219521</c:v>
                      </c:pt>
                      <c:pt idx="23">
                        <c:v>1.4757375491456504</c:v>
                      </c:pt>
                      <c:pt idx="24">
                        <c:v>1.3008303997689152</c:v>
                      </c:pt>
                      <c:pt idx="25">
                        <c:v>1.378747193479013</c:v>
                      </c:pt>
                      <c:pt idx="26">
                        <c:v>1.1304370804403385</c:v>
                      </c:pt>
                      <c:pt idx="27">
                        <c:v>1.0897603974172831</c:v>
                      </c:pt>
                      <c:pt idx="28">
                        <c:v>1.0192632396293977</c:v>
                      </c:pt>
                      <c:pt idx="29">
                        <c:v>0.93102012657264588</c:v>
                      </c:pt>
                      <c:pt idx="30">
                        <c:v>0.83229864332869941</c:v>
                      </c:pt>
                      <c:pt idx="31">
                        <c:v>0.72501637113357997</c:v>
                      </c:pt>
                      <c:pt idx="32">
                        <c:v>0.61358112660463426</c:v>
                      </c:pt>
                      <c:pt idx="33">
                        <c:v>0.5034863659093558</c:v>
                      </c:pt>
                      <c:pt idx="34">
                        <c:v>0.39995431246466762</c:v>
                      </c:pt>
                      <c:pt idx="35">
                        <c:v>0.69342339502347361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64DF-4FA2-B0C9-EB7B6F86A366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Données!$B$7</c15:sqref>
                        </c15:formulaRef>
                      </c:ext>
                    </c:extLst>
                    <c:strCache>
                      <c:ptCount val="1"/>
                      <c:pt idx="0">
                        <c:v>Consommation des ménages automobile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Données!$C$3:$AL$3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Données!$C$7:$AL$7</c15:sqref>
                        </c15:formulaRef>
                      </c:ext>
                    </c:extLst>
                    <c:numCache>
                      <c:formatCode>#\ ##0.0</c:formatCode>
                      <c:ptCount val="36"/>
                      <c:pt idx="0">
                        <c:v>0</c:v>
                      </c:pt>
                      <c:pt idx="1">
                        <c:v>4.4699704048795095E-10</c:v>
                      </c:pt>
                      <c:pt idx="2">
                        <c:v>8.7732725113650497E-10</c:v>
                      </c:pt>
                      <c:pt idx="3">
                        <c:v>1.2902630737854151E-9</c:v>
                      </c:pt>
                      <c:pt idx="4">
                        <c:v>2.1044553348911017E-9</c:v>
                      </c:pt>
                      <c:pt idx="5">
                        <c:v>2.4641939003624854E-9</c:v>
                      </c:pt>
                      <c:pt idx="6">
                        <c:v>-4.5565004229832316E-3</c:v>
                      </c:pt>
                      <c:pt idx="7">
                        <c:v>-3.7629516760686273E-2</c:v>
                      </c:pt>
                      <c:pt idx="8">
                        <c:v>-7.5110190856952808E-2</c:v>
                      </c:pt>
                      <c:pt idx="9">
                        <c:v>-0.10881880033926518</c:v>
                      </c:pt>
                      <c:pt idx="10">
                        <c:v>-0.14299351753275441</c:v>
                      </c:pt>
                      <c:pt idx="11">
                        <c:v>-0.10598485713341847</c:v>
                      </c:pt>
                      <c:pt idx="12">
                        <c:v>-4.5692391962524913E-2</c:v>
                      </c:pt>
                      <c:pt idx="13">
                        <c:v>9.3753688613344346E-3</c:v>
                      </c:pt>
                      <c:pt idx="14">
                        <c:v>5.149258043195068E-2</c:v>
                      </c:pt>
                      <c:pt idx="15">
                        <c:v>8.5912852171433282E-2</c:v>
                      </c:pt>
                      <c:pt idx="16">
                        <c:v>9.7881052588828329E-2</c:v>
                      </c:pt>
                      <c:pt idx="17">
                        <c:v>9.417213152310161E-2</c:v>
                      </c:pt>
                      <c:pt idx="18">
                        <c:v>8.1389319301689952E-2</c:v>
                      </c:pt>
                      <c:pt idx="19">
                        <c:v>6.6885288380380978E-2</c:v>
                      </c:pt>
                      <c:pt idx="20">
                        <c:v>5.1777788703352146E-2</c:v>
                      </c:pt>
                      <c:pt idx="21">
                        <c:v>4.4060856309215267E-2</c:v>
                      </c:pt>
                      <c:pt idx="22">
                        <c:v>3.7245752095742136E-2</c:v>
                      </c:pt>
                      <c:pt idx="23">
                        <c:v>2.9141146656393814E-2</c:v>
                      </c:pt>
                      <c:pt idx="24">
                        <c:v>1.9849507296029797E-2</c:v>
                      </c:pt>
                      <c:pt idx="25">
                        <c:v>1.4971021899111078E-2</c:v>
                      </c:pt>
                      <c:pt idx="26">
                        <c:v>1.106717618970594E-2</c:v>
                      </c:pt>
                      <c:pt idx="27">
                        <c:v>7.8952446441286246E-3</c:v>
                      </c:pt>
                      <c:pt idx="28">
                        <c:v>4.9417832732725044E-3</c:v>
                      </c:pt>
                      <c:pt idx="29">
                        <c:v>2.1607301955420466E-3</c:v>
                      </c:pt>
                      <c:pt idx="30">
                        <c:v>-5.6831672862282475E-4</c:v>
                      </c:pt>
                      <c:pt idx="31">
                        <c:v>-2.4498869150338977E-3</c:v>
                      </c:pt>
                      <c:pt idx="32">
                        <c:v>-5.3697831826445804E-3</c:v>
                      </c:pt>
                      <c:pt idx="33">
                        <c:v>-9.4832612670623772E-3</c:v>
                      </c:pt>
                      <c:pt idx="34">
                        <c:v>-1.4301861896001848E-2</c:v>
                      </c:pt>
                      <c:pt idx="35">
                        <c:v>-1.3858154944731329E-2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4DF-4FA2-B0C9-EB7B6F86A36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Données!$B$8</c15:sqref>
                        </c15:formulaRef>
                      </c:ext>
                    </c:extLst>
                    <c:strCache>
                      <c:ptCount val="1"/>
                      <c:pt idx="0">
                        <c:v>Dépenses publiques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Données!$C$3:$AL$3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Données!$C$8:$AL$8</c15:sqref>
                        </c15:formulaRef>
                      </c:ext>
                    </c:extLst>
                    <c:numCache>
                      <c:formatCode>#\ ##0.0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4DF-4FA2-B0C9-EB7B6F86A366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Données!$B$10</c15:sqref>
                        </c15:formulaRef>
                      </c:ext>
                    </c:extLst>
                    <c:strCache>
                      <c:ptCount val="1"/>
                      <c:pt idx="0">
                        <c:v>Variations de stocks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Données!$C$3:$AL$3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Données!$C$10:$AL$10</c15:sqref>
                        </c15:formulaRef>
                      </c:ext>
                    </c:extLst>
                    <c:numCache>
                      <c:formatCode>#\ ##0.0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64DF-4FA2-B0C9-EB7B6F86A366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0"/>
          <c:order val="0"/>
          <c:tx>
            <c:strRef>
              <c:f>Données!$B$4</c:f>
              <c:strCache>
                <c:ptCount val="1"/>
                <c:pt idx="0">
                  <c:v>GDP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Données!$C$4:$AL$4</c:f>
              <c:numCache>
                <c:formatCode>#\ ##0.0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-0.21445754245220661</c:v>
                </c:pt>
                <c:pt idx="7">
                  <c:v>-0.49019421611700142</c:v>
                </c:pt>
                <c:pt idx="8">
                  <c:v>-0.74705013933182851</c:v>
                </c:pt>
                <c:pt idx="9">
                  <c:v>-0.90687265358143643</c:v>
                </c:pt>
                <c:pt idx="10">
                  <c:v>-0.88831423014767985</c:v>
                </c:pt>
                <c:pt idx="11">
                  <c:v>-0.76953253369115293</c:v>
                </c:pt>
                <c:pt idx="12">
                  <c:v>-0.5354677957937537</c:v>
                </c:pt>
                <c:pt idx="13">
                  <c:v>-0.21786818197716551</c:v>
                </c:pt>
                <c:pt idx="14">
                  <c:v>0.14463714130572569</c:v>
                </c:pt>
                <c:pt idx="15">
                  <c:v>0.7259573271237052</c:v>
                </c:pt>
                <c:pt idx="16">
                  <c:v>0.89739632703200733</c:v>
                </c:pt>
                <c:pt idx="17">
                  <c:v>1.1912892436859002</c:v>
                </c:pt>
                <c:pt idx="18">
                  <c:v>1.422670150654004</c:v>
                </c:pt>
                <c:pt idx="19">
                  <c:v>1.5927048132876598</c:v>
                </c:pt>
                <c:pt idx="20">
                  <c:v>1.6992483127152846</c:v>
                </c:pt>
                <c:pt idx="21">
                  <c:v>1.7416050300094632</c:v>
                </c:pt>
                <c:pt idx="22">
                  <c:v>1.7219271820507309</c:v>
                </c:pt>
                <c:pt idx="23">
                  <c:v>1.6427921372243581</c:v>
                </c:pt>
                <c:pt idx="24">
                  <c:v>1.5106797842955988</c:v>
                </c:pt>
                <c:pt idx="25">
                  <c:v>1.5853261087461101</c:v>
                </c:pt>
                <c:pt idx="26">
                  <c:v>1.3880233618658755</c:v>
                </c:pt>
                <c:pt idx="27">
                  <c:v>1.3531683252475446</c:v>
                </c:pt>
                <c:pt idx="28">
                  <c:v>1.2942222568403716</c:v>
                </c:pt>
                <c:pt idx="29">
                  <c:v>1.2200916161571707</c:v>
                </c:pt>
                <c:pt idx="30">
                  <c:v>1.1364203036534848</c:v>
                </c:pt>
                <c:pt idx="31">
                  <c:v>1.0438508284412285</c:v>
                </c:pt>
                <c:pt idx="32">
                  <c:v>0.94573483820523663</c:v>
                </c:pt>
                <c:pt idx="33">
                  <c:v>0.84694692402964566</c:v>
                </c:pt>
                <c:pt idx="34">
                  <c:v>0.7524228175464831</c:v>
                </c:pt>
                <c:pt idx="35">
                  <c:v>0.99015035137628438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8260000"/>
        <c:axId val="698260984"/>
      </c:lineChart>
      <c:dateAx>
        <c:axId val="698260000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5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\ 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400">
          <a:latin typeface="Marianne Light" panose="02000000000000000000" pitchFamily="50" charset="0"/>
        </a:defRPr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000"/>
              <a:t>Impact on inflation</a:t>
            </a:r>
          </a:p>
          <a:p>
            <a:pPr>
              <a:defRPr sz="2000"/>
            </a:pPr>
            <a:r>
              <a:rPr lang="fr-FR" sz="1600"/>
              <a:t>(deviation</a:t>
            </a:r>
            <a:r>
              <a:rPr lang="fr-FR" sz="1600" baseline="0"/>
              <a:t> in pp from baseline)</a:t>
            </a:r>
            <a:endParaRPr lang="fr-FR" sz="1600"/>
          </a:p>
        </c:rich>
      </c:tx>
      <c:layout>
        <c:manualLayout>
          <c:xMode val="edge"/>
          <c:yMode val="edge"/>
          <c:x val="0.34533691644105374"/>
          <c:y val="1.04790424102523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537262156476636E-2"/>
          <c:y val="0.12992444857958643"/>
          <c:w val="0.91942367557480809"/>
          <c:h val="0.74127524830379787"/>
        </c:manualLayout>
      </c:layout>
      <c:lineChart>
        <c:grouping val="standard"/>
        <c:varyColors val="0"/>
        <c:ser>
          <c:idx val="0"/>
          <c:order val="0"/>
          <c:tx>
            <c:strRef>
              <c:f>Données!$B$59</c:f>
              <c:strCache>
                <c:ptCount val="1"/>
                <c:pt idx="0">
                  <c:v>Baseline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Données!$C$59:$AL$59</c:f>
              <c:numCache>
                <c:formatCode>#\ ##0.0</c:formatCode>
                <c:ptCount val="36"/>
                <c:pt idx="1">
                  <c:v>0</c:v>
                </c:pt>
                <c:pt idx="2">
                  <c:v>2.2289846954189896</c:v>
                </c:pt>
                <c:pt idx="3">
                  <c:v>2.4623602813655943</c:v>
                </c:pt>
                <c:pt idx="4">
                  <c:v>2.0386478401409835</c:v>
                </c:pt>
                <c:pt idx="5">
                  <c:v>1.5735961683329691</c:v>
                </c:pt>
                <c:pt idx="6">
                  <c:v>2.0200227936501225</c:v>
                </c:pt>
                <c:pt idx="7">
                  <c:v>2.0648724521288742</c:v>
                </c:pt>
                <c:pt idx="8">
                  <c:v>2.1341924417412672</c:v>
                </c:pt>
                <c:pt idx="9">
                  <c:v>2.1687069251437263</c:v>
                </c:pt>
                <c:pt idx="10">
                  <c:v>2.1375659883859477</c:v>
                </c:pt>
                <c:pt idx="11">
                  <c:v>2.0850447853030696</c:v>
                </c:pt>
                <c:pt idx="12">
                  <c:v>1.9720736077612822</c:v>
                </c:pt>
                <c:pt idx="13">
                  <c:v>1.8272280620996062</c:v>
                </c:pt>
                <c:pt idx="14">
                  <c:v>1.668795903125897</c:v>
                </c:pt>
                <c:pt idx="15">
                  <c:v>1.5069458365856159</c:v>
                </c:pt>
                <c:pt idx="16">
                  <c:v>1.3431636259995106</c:v>
                </c:pt>
                <c:pt idx="17">
                  <c:v>1.1822030698900532</c:v>
                </c:pt>
                <c:pt idx="18">
                  <c:v>1.0357590714566989</c:v>
                </c:pt>
                <c:pt idx="19">
                  <c:v>0.9104666421255958</c:v>
                </c:pt>
                <c:pt idx="20">
                  <c:v>0.81591034872143808</c:v>
                </c:pt>
                <c:pt idx="21">
                  <c:v>0.74427867231627864</c:v>
                </c:pt>
                <c:pt idx="22">
                  <c:v>0.70008786899147246</c:v>
                </c:pt>
                <c:pt idx="23">
                  <c:v>0.68606962149144746</c:v>
                </c:pt>
                <c:pt idx="24">
                  <c:v>0.70687164920295587</c:v>
                </c:pt>
                <c:pt idx="25">
                  <c:v>0.77454621599457596</c:v>
                </c:pt>
                <c:pt idx="26">
                  <c:v>0.8492196972901711</c:v>
                </c:pt>
                <c:pt idx="27">
                  <c:v>0.93883881104777078</c:v>
                </c:pt>
                <c:pt idx="28">
                  <c:v>1.0421276723286077</c:v>
                </c:pt>
                <c:pt idx="29">
                  <c:v>1.1497061082579307</c:v>
                </c:pt>
                <c:pt idx="30">
                  <c:v>1.2596409241240725</c:v>
                </c:pt>
                <c:pt idx="31">
                  <c:v>1.3676901135239561</c:v>
                </c:pt>
                <c:pt idx="32">
                  <c:v>1.4696622463636455</c:v>
                </c:pt>
                <c:pt idx="33">
                  <c:v>1.5617772413687003</c:v>
                </c:pt>
                <c:pt idx="34">
                  <c:v>1.6406843279735739</c:v>
                </c:pt>
                <c:pt idx="35">
                  <c:v>1.7038116668466774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BB1-4F3D-B713-AB83A709E486}"/>
            </c:ext>
          </c:extLst>
        </c:ser>
        <c:ser>
          <c:idx val="1"/>
          <c:order val="1"/>
          <c:tx>
            <c:strRef>
              <c:f>Données!$B$60</c:f>
              <c:strCache>
                <c:ptCount val="1"/>
                <c:pt idx="0">
                  <c:v>NZ50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Données!$C$60:$AL$60</c:f>
              <c:numCache>
                <c:formatCode>#\ ##0.0</c:formatCode>
                <c:ptCount val="36"/>
                <c:pt idx="1">
                  <c:v>1.8692335023366313</c:v>
                </c:pt>
                <c:pt idx="2">
                  <c:v>2.2289846954189896</c:v>
                </c:pt>
                <c:pt idx="3">
                  <c:v>2.4623603772108149</c:v>
                </c:pt>
                <c:pt idx="4">
                  <c:v>2.0386478382339979</c:v>
                </c:pt>
                <c:pt idx="5">
                  <c:v>1.5735961668904119</c:v>
                </c:pt>
                <c:pt idx="6">
                  <c:v>1.9878648186497205</c:v>
                </c:pt>
                <c:pt idx="7">
                  <c:v>2.4672651885219388</c:v>
                </c:pt>
                <c:pt idx="8">
                  <c:v>2.6961258325169046</c:v>
                </c:pt>
                <c:pt idx="9">
                  <c:v>2.9735047715619078</c:v>
                </c:pt>
                <c:pt idx="10">
                  <c:v>3.3103459440044558</c:v>
                </c:pt>
                <c:pt idx="11">
                  <c:v>2.7798171333491828</c:v>
                </c:pt>
                <c:pt idx="12">
                  <c:v>2.6115020154852786</c:v>
                </c:pt>
                <c:pt idx="13">
                  <c:v>2.4592674510362844</c:v>
                </c:pt>
                <c:pt idx="14">
                  <c:v>2.3057690979830792</c:v>
                </c:pt>
                <c:pt idx="15">
                  <c:v>2.1695856591887663</c:v>
                </c:pt>
                <c:pt idx="16">
                  <c:v>2.0410792119474719</c:v>
                </c:pt>
                <c:pt idx="17">
                  <c:v>1.9252405229466474</c:v>
                </c:pt>
                <c:pt idx="18">
                  <c:v>1.8023404253729947</c:v>
                </c:pt>
                <c:pt idx="19">
                  <c:v>1.6634411701769825</c:v>
                </c:pt>
                <c:pt idx="20">
                  <c:v>1.5408135662762668</c:v>
                </c:pt>
                <c:pt idx="21">
                  <c:v>1.3622720103532826</c:v>
                </c:pt>
                <c:pt idx="22">
                  <c:v>1.2421393083993815</c:v>
                </c:pt>
                <c:pt idx="23">
                  <c:v>1.1347001173387605</c:v>
                </c:pt>
                <c:pt idx="24">
                  <c:v>1.0466083015181038</c:v>
                </c:pt>
                <c:pt idx="25">
                  <c:v>1.0293738685668519</c:v>
                </c:pt>
                <c:pt idx="26">
                  <c:v>0.98526476314493294</c:v>
                </c:pt>
                <c:pt idx="27">
                  <c:v>1.023282762140143</c:v>
                </c:pt>
                <c:pt idx="28">
                  <c:v>1.0755667226552967</c:v>
                </c:pt>
                <c:pt idx="29">
                  <c:v>1.1337239742531979</c:v>
                </c:pt>
                <c:pt idx="30">
                  <c:v>1.1981207576318154</c:v>
                </c:pt>
                <c:pt idx="31">
                  <c:v>1.2589411108432591</c:v>
                </c:pt>
                <c:pt idx="32">
                  <c:v>1.3453611212514982</c:v>
                </c:pt>
                <c:pt idx="33">
                  <c:v>1.4288963391009935</c:v>
                </c:pt>
                <c:pt idx="34">
                  <c:v>1.5066976156997924</c:v>
                </c:pt>
                <c:pt idx="35">
                  <c:v>1.6218737666673366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BB1-4F3D-B713-AB83A709E4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</c:lineChart>
      <c:dateAx>
        <c:axId val="698260000"/>
        <c:scaling>
          <c:orientation val="minMax"/>
          <c:min val="44197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5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>
          <a:latin typeface="Marianne Light" panose="02000000000000000000" pitchFamily="50" charset="0"/>
        </a:defRPr>
      </a:pPr>
      <a:endParaRPr lang="fr-FR"/>
    </a:p>
  </c:txPr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GES emissions </a:t>
            </a:r>
            <a:r>
              <a:rPr lang="fr-FR" baseline="0"/>
              <a:t>(MtCO2e/y)</a:t>
            </a:r>
            <a:endParaRPr lang="fr-FR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Données!$B$62</c:f>
              <c:strCache>
                <c:ptCount val="1"/>
                <c:pt idx="0">
                  <c:v>Baseline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Données!$C$62:$AL$62</c:f>
              <c:numCache>
                <c:formatCode>#,##0</c:formatCode>
                <c:ptCount val="36"/>
                <c:pt idx="0">
                  <c:v>468.65993980000002</c:v>
                </c:pt>
                <c:pt idx="1">
                  <c:v>471.39937600000002</c:v>
                </c:pt>
                <c:pt idx="2">
                  <c:v>472.97158469999999</c:v>
                </c:pt>
                <c:pt idx="3">
                  <c:v>474.60169020000001</c:v>
                </c:pt>
                <c:pt idx="4">
                  <c:v>479.47990039999996</c:v>
                </c:pt>
                <c:pt idx="5">
                  <c:v>488.1867105</c:v>
                </c:pt>
                <c:pt idx="6">
                  <c:v>497.35010119999998</c:v>
                </c:pt>
                <c:pt idx="7">
                  <c:v>507.82124199999998</c:v>
                </c:pt>
                <c:pt idx="8">
                  <c:v>519.10277380000002</c:v>
                </c:pt>
                <c:pt idx="9">
                  <c:v>530.52489709999998</c:v>
                </c:pt>
                <c:pt idx="10">
                  <c:v>541.43650539999999</c:v>
                </c:pt>
                <c:pt idx="11">
                  <c:v>552.61339770000006</c:v>
                </c:pt>
                <c:pt idx="12">
                  <c:v>562.99850459999993</c:v>
                </c:pt>
                <c:pt idx="13">
                  <c:v>572.69615820000001</c:v>
                </c:pt>
                <c:pt idx="14">
                  <c:v>581.86507789999996</c:v>
                </c:pt>
                <c:pt idx="15">
                  <c:v>590.70210050000003</c:v>
                </c:pt>
                <c:pt idx="16">
                  <c:v>599.41465649999998</c:v>
                </c:pt>
                <c:pt idx="17">
                  <c:v>608.27389679999999</c:v>
                </c:pt>
                <c:pt idx="18">
                  <c:v>617.41549680000003</c:v>
                </c:pt>
                <c:pt idx="19">
                  <c:v>626.97131409999997</c:v>
                </c:pt>
                <c:pt idx="20">
                  <c:v>636.99977049999995</c:v>
                </c:pt>
                <c:pt idx="21">
                  <c:v>647.74714949999998</c:v>
                </c:pt>
                <c:pt idx="22">
                  <c:v>659.33931959999995</c:v>
                </c:pt>
                <c:pt idx="23">
                  <c:v>671.90150970000002</c:v>
                </c:pt>
                <c:pt idx="24">
                  <c:v>685.55993720000004</c:v>
                </c:pt>
                <c:pt idx="25">
                  <c:v>700.22609710000006</c:v>
                </c:pt>
                <c:pt idx="26">
                  <c:v>712.34820339999999</c:v>
                </c:pt>
                <c:pt idx="27">
                  <c:v>724.08490140000004</c:v>
                </c:pt>
                <c:pt idx="28">
                  <c:v>736.39144390000001</c:v>
                </c:pt>
                <c:pt idx="29">
                  <c:v>749.49489189999997</c:v>
                </c:pt>
                <c:pt idx="30">
                  <c:v>763.34339699999998</c:v>
                </c:pt>
                <c:pt idx="31">
                  <c:v>777.80001090000007</c:v>
                </c:pt>
                <c:pt idx="32">
                  <c:v>792.70996820000005</c:v>
                </c:pt>
                <c:pt idx="33">
                  <c:v>807.91488070000003</c:v>
                </c:pt>
                <c:pt idx="34">
                  <c:v>823.26047369999992</c:v>
                </c:pt>
                <c:pt idx="35">
                  <c:v>838.59522589999995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C8-4867-AD43-ECA314AA01DF}"/>
            </c:ext>
          </c:extLst>
        </c:ser>
        <c:ser>
          <c:idx val="1"/>
          <c:order val="1"/>
          <c:tx>
            <c:strRef>
              <c:f>Données!$B$63</c:f>
              <c:strCache>
                <c:ptCount val="1"/>
                <c:pt idx="0">
                  <c:v>NZ50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Données!$C$63:$AL$63</c:f>
              <c:numCache>
                <c:formatCode>#,##0</c:formatCode>
                <c:ptCount val="36"/>
                <c:pt idx="0">
                  <c:v>468.65996269999999</c:v>
                </c:pt>
                <c:pt idx="1">
                  <c:v>471.39939870000001</c:v>
                </c:pt>
                <c:pt idx="2">
                  <c:v>472.97160700000001</c:v>
                </c:pt>
                <c:pt idx="3">
                  <c:v>474.60171199999996</c:v>
                </c:pt>
                <c:pt idx="4">
                  <c:v>479.4799223</c:v>
                </c:pt>
                <c:pt idx="5">
                  <c:v>488.18673279999996</c:v>
                </c:pt>
                <c:pt idx="6">
                  <c:v>496.06646190000004</c:v>
                </c:pt>
                <c:pt idx="7">
                  <c:v>503.13263699999999</c:v>
                </c:pt>
                <c:pt idx="8">
                  <c:v>508.69753129999998</c:v>
                </c:pt>
                <c:pt idx="9">
                  <c:v>512.76258440000004</c:v>
                </c:pt>
                <c:pt idx="10">
                  <c:v>513.87388329999999</c:v>
                </c:pt>
                <c:pt idx="11">
                  <c:v>517.76074800000004</c:v>
                </c:pt>
                <c:pt idx="12">
                  <c:v>522.93518440000003</c:v>
                </c:pt>
                <c:pt idx="13">
                  <c:v>528.95318380000003</c:v>
                </c:pt>
                <c:pt idx="14">
                  <c:v>535.46029060000001</c:v>
                </c:pt>
                <c:pt idx="15">
                  <c:v>543.03313600000001</c:v>
                </c:pt>
                <c:pt idx="16">
                  <c:v>546.52361699999994</c:v>
                </c:pt>
                <c:pt idx="17">
                  <c:v>549.76963039999998</c:v>
                </c:pt>
                <c:pt idx="18">
                  <c:v>551.45381370000007</c:v>
                </c:pt>
                <c:pt idx="19">
                  <c:v>549.51388710000003</c:v>
                </c:pt>
                <c:pt idx="20">
                  <c:v>546.54080269999997</c:v>
                </c:pt>
                <c:pt idx="21">
                  <c:v>543.03630700000008</c:v>
                </c:pt>
                <c:pt idx="22">
                  <c:v>539.17700179999997</c:v>
                </c:pt>
                <c:pt idx="23">
                  <c:v>535.18008210999994</c:v>
                </c:pt>
                <c:pt idx="24">
                  <c:v>531.31996880999998</c:v>
                </c:pt>
                <c:pt idx="25">
                  <c:v>528.73549637999997</c:v>
                </c:pt>
                <c:pt idx="26">
                  <c:v>524.47886905999997</c:v>
                </c:pt>
                <c:pt idx="27">
                  <c:v>520.62565517999997</c:v>
                </c:pt>
                <c:pt idx="28">
                  <c:v>517.65168985000003</c:v>
                </c:pt>
                <c:pt idx="29">
                  <c:v>515.67552028</c:v>
                </c:pt>
                <c:pt idx="30">
                  <c:v>514.65639767999994</c:v>
                </c:pt>
                <c:pt idx="31">
                  <c:v>514.58441112000003</c:v>
                </c:pt>
                <c:pt idx="32">
                  <c:v>515.36014174000002</c:v>
                </c:pt>
                <c:pt idx="33">
                  <c:v>516.88324964000003</c:v>
                </c:pt>
                <c:pt idx="34">
                  <c:v>519.06377965000001</c:v>
                </c:pt>
                <c:pt idx="35">
                  <c:v>522.66406460999997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C8-4867-AD43-ECA314AA01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</c:lineChart>
      <c:dateAx>
        <c:axId val="698260000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>
          <a:latin typeface="Marianne Light" panose="02000000000000000000" pitchFamily="50" charset="0"/>
        </a:defRPr>
      </a:pPr>
      <a:endParaRPr lang="fr-F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Valeur</a:t>
            </a:r>
            <a:r>
              <a:rPr lang="fr-FR" baseline="0"/>
              <a:t> ajoutée sectorielle (en pts de VA)</a:t>
            </a:r>
          </a:p>
          <a:p>
            <a:pPr>
              <a:defRPr/>
            </a:pPr>
            <a:endParaRPr lang="fr-FR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Données!$B$82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Données!$C$81:$E$81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Données!$C$82:$E$82</c:f>
              <c:numCache>
                <c:formatCode>#,##0</c:formatCode>
                <c:ptCount val="3"/>
                <c:pt idx="0">
                  <c:v>-3.1914734007900125E-2</c:v>
                </c:pt>
                <c:pt idx="1">
                  <c:v>-3.8923342058634847E-2</c:v>
                </c:pt>
                <c:pt idx="2">
                  <c:v>-8.6449556624593166E-2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EF-431D-9A51-747E617C00CC}"/>
            </c:ext>
          </c:extLst>
        </c:ser>
        <c:ser>
          <c:idx val="1"/>
          <c:order val="1"/>
          <c:tx>
            <c:strRef>
              <c:f>Données!$B$83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Données!$C$81:$E$81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Données!$C$83:$E$83</c:f>
              <c:numCache>
                <c:formatCode>#,##0</c:formatCode>
                <c:ptCount val="3"/>
                <c:pt idx="0">
                  <c:v>3.047815379753203</c:v>
                </c:pt>
                <c:pt idx="1">
                  <c:v>7.6848066857694839</c:v>
                </c:pt>
                <c:pt idx="2">
                  <c:v>14.121498666807753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EF-431D-9A51-747E617C00CC}"/>
            </c:ext>
          </c:extLst>
        </c:ser>
        <c:ser>
          <c:idx val="2"/>
          <c:order val="2"/>
          <c:tx>
            <c:strRef>
              <c:f>Données!$B$84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Données!$C$81:$E$81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Données!$C$84:$E$84</c:f>
              <c:numCache>
                <c:formatCode>#,##0</c:formatCode>
                <c:ptCount val="3"/>
                <c:pt idx="0">
                  <c:v>-0.1992354546455688</c:v>
                </c:pt>
                <c:pt idx="1">
                  <c:v>-0.33607322588741684</c:v>
                </c:pt>
                <c:pt idx="2">
                  <c:v>-0.302016276421329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EF-431D-9A51-747E617C00CC}"/>
            </c:ext>
          </c:extLst>
        </c:ser>
        <c:ser>
          <c:idx val="3"/>
          <c:order val="3"/>
          <c:tx>
            <c:strRef>
              <c:f>Données!$B$85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Données!$C$81:$E$81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Données!$C$85:$E$85</c:f>
              <c:numCache>
                <c:formatCode>#,##0</c:formatCode>
                <c:ptCount val="3"/>
                <c:pt idx="0">
                  <c:v>27.842160811775656</c:v>
                </c:pt>
                <c:pt idx="1">
                  <c:v>51.834612190181531</c:v>
                </c:pt>
                <c:pt idx="2">
                  <c:v>28.092329087999683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EF-431D-9A51-747E617C00CC}"/>
            </c:ext>
          </c:extLst>
        </c:ser>
        <c:ser>
          <c:idx val="4"/>
          <c:order val="4"/>
          <c:tx>
            <c:strRef>
              <c:f>Données!$B$86</c:f>
              <c:strCache>
                <c:ptCount val="1"/>
                <c:pt idx="0">
                  <c:v>Pétrole et gaz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Données!$C$81:$E$81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Données!$C$86:$E$86</c:f>
              <c:numCache>
                <c:formatCode>#,##0</c:formatCode>
                <c:ptCount val="3"/>
                <c:pt idx="0">
                  <c:v>-2.563733065095751E-2</c:v>
                </c:pt>
                <c:pt idx="1">
                  <c:v>-3.8108617612313912E-2</c:v>
                </c:pt>
                <c:pt idx="2">
                  <c:v>1.5165106132493482E-3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3EF-431D-9A51-747E617C00CC}"/>
            </c:ext>
          </c:extLst>
        </c:ser>
        <c:ser>
          <c:idx val="5"/>
          <c:order val="5"/>
          <c:tx>
            <c:strRef>
              <c:f>Données!$B$87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Données!$C$81:$E$81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Données!$C$87:$E$87</c:f>
              <c:numCache>
                <c:formatCode>#,##0</c:formatCode>
                <c:ptCount val="3"/>
                <c:pt idx="0">
                  <c:v>16.436179812039018</c:v>
                </c:pt>
                <c:pt idx="1">
                  <c:v>10.337987002913888</c:v>
                </c:pt>
                <c:pt idx="2">
                  <c:v>50.077940819778135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3EF-431D-9A51-747E617C00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Valeur</a:t>
            </a:r>
            <a:r>
              <a:rPr lang="fr-FR" baseline="0"/>
              <a:t> ajoutée sectorielle (en %)</a:t>
            </a:r>
          </a:p>
          <a:p>
            <a:pPr>
              <a:defRPr/>
            </a:pPr>
            <a:endParaRPr lang="fr-FR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Données!$B$90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Données!$C$89:$E$89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Données!$C$90:$E$90</c:f>
              <c:numCache>
                <c:formatCode>0.0%</c:formatCode>
                <c:ptCount val="3"/>
                <c:pt idx="0">
                  <c:v>-1.7621233287158478E-2</c:v>
                </c:pt>
                <c:pt idx="1">
                  <c:v>-2.1508948404540429E-2</c:v>
                </c:pt>
                <c:pt idx="2">
                  <c:v>-4.74987794666486E-2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82-485E-9582-B510024133C5}"/>
            </c:ext>
          </c:extLst>
        </c:ser>
        <c:ser>
          <c:idx val="1"/>
          <c:order val="1"/>
          <c:tx>
            <c:strRef>
              <c:f>Données!$B$91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Données!$C$89:$E$89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Données!$C$91:$E$91</c:f>
              <c:numCache>
                <c:formatCode>0.0%</c:formatCode>
                <c:ptCount val="3"/>
                <c:pt idx="0">
                  <c:v>3.0339819631715059E-3</c:v>
                </c:pt>
                <c:pt idx="1">
                  <c:v>7.2160466146515834E-3</c:v>
                </c:pt>
                <c:pt idx="2">
                  <c:v>1.2410200301914864E-2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82-485E-9582-B510024133C5}"/>
            </c:ext>
          </c:extLst>
        </c:ser>
        <c:ser>
          <c:idx val="2"/>
          <c:order val="2"/>
          <c:tx>
            <c:strRef>
              <c:f>Données!$B$92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Données!$C$89:$E$89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Données!$C$92:$E$92</c:f>
              <c:numCache>
                <c:formatCode>0.0%</c:formatCode>
                <c:ptCount val="3"/>
                <c:pt idx="0">
                  <c:v>-1.451555006573968E-2</c:v>
                </c:pt>
                <c:pt idx="1">
                  <c:v>-2.6157928193615954E-2</c:v>
                </c:pt>
                <c:pt idx="2">
                  <c:v>-2.4272198092557207E-2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82-485E-9582-B510024133C5}"/>
            </c:ext>
          </c:extLst>
        </c:ser>
        <c:ser>
          <c:idx val="3"/>
          <c:order val="3"/>
          <c:tx>
            <c:strRef>
              <c:f>Données!$B$93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Données!$C$89:$E$89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Données!$C$93:$E$93</c:f>
              <c:numCache>
                <c:formatCode>0.0%</c:formatCode>
                <c:ptCount val="3"/>
                <c:pt idx="0">
                  <c:v>8.9003954887820758E-3</c:v>
                </c:pt>
                <c:pt idx="1">
                  <c:v>1.6420738433209348E-2</c:v>
                </c:pt>
                <c:pt idx="2">
                  <c:v>9.1168598783379906E-3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82-485E-9582-B510024133C5}"/>
            </c:ext>
          </c:extLst>
        </c:ser>
        <c:ser>
          <c:idx val="4"/>
          <c:order val="4"/>
          <c:tx>
            <c:strRef>
              <c:f>Données!$B$94</c:f>
              <c:strCache>
                <c:ptCount val="1"/>
                <c:pt idx="0">
                  <c:v>Pétrole et gaz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Données!$C$89:$E$89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Données!$C$94:$E$94</c:f>
              <c:numCache>
                <c:formatCode>0.0%</c:formatCode>
                <c:ptCount val="3"/>
                <c:pt idx="0">
                  <c:v>0.24844884828267944</c:v>
                </c:pt>
                <c:pt idx="1">
                  <c:v>0.41486044576060199</c:v>
                </c:pt>
                <c:pt idx="2">
                  <c:v>-1.6760415285217767E-2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82-485E-9582-B510024133C5}"/>
            </c:ext>
          </c:extLst>
        </c:ser>
        <c:ser>
          <c:idx val="5"/>
          <c:order val="5"/>
          <c:tx>
            <c:strRef>
              <c:f>Données!$B$95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Données!$C$89:$E$89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Données!$C$95:$E$95</c:f>
              <c:numCache>
                <c:formatCode>0.0%</c:formatCode>
                <c:ptCount val="3"/>
                <c:pt idx="0">
                  <c:v>-1.1318711675407767E-2</c:v>
                </c:pt>
                <c:pt idx="1">
                  <c:v>-1.4552394094921484E-2</c:v>
                </c:pt>
                <c:pt idx="2">
                  <c:v>-4.9121756848340525E-2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82-485E-9582-B510024133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Valeur</a:t>
            </a:r>
            <a:r>
              <a:rPr lang="fr-FR" baseline="0"/>
              <a:t> ajoutée sectorielle (en pts de VA)</a:t>
            </a:r>
          </a:p>
          <a:p>
            <a:pPr>
              <a:defRPr/>
            </a:pPr>
            <a:endParaRPr lang="fr-FR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Données!$B$114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Données!$C$113:$E$113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Données!$C$114:$E$114</c:f>
              <c:numCache>
                <c:formatCode>#,##0</c:formatCode>
                <c:ptCount val="3"/>
                <c:pt idx="0">
                  <c:v>-5.5822637983320806</c:v>
                </c:pt>
                <c:pt idx="1">
                  <c:v>-7.6348786060700977</c:v>
                </c:pt>
                <c:pt idx="2">
                  <c:v>-16.420441079413763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2D-4067-BD64-AD80378C548C}"/>
            </c:ext>
          </c:extLst>
        </c:ser>
        <c:ser>
          <c:idx val="1"/>
          <c:order val="1"/>
          <c:tx>
            <c:strRef>
              <c:f>Données!$B$115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Données!$C$113:$E$113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Données!$C$115:$E$115</c:f>
              <c:numCache>
                <c:formatCode>#,##0</c:formatCode>
                <c:ptCount val="3"/>
                <c:pt idx="0">
                  <c:v>-4.0071611490637764</c:v>
                </c:pt>
                <c:pt idx="1">
                  <c:v>-2.0058261667473394</c:v>
                </c:pt>
                <c:pt idx="2">
                  <c:v>-1.191527454208458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2D-4067-BD64-AD80378C548C}"/>
            </c:ext>
          </c:extLst>
        </c:ser>
        <c:ser>
          <c:idx val="2"/>
          <c:order val="2"/>
          <c:tx>
            <c:strRef>
              <c:f>Données!$B$116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Données!$C$113:$E$113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Données!$C$116:$E$116</c:f>
              <c:numCache>
                <c:formatCode>#,##0</c:formatCode>
                <c:ptCount val="3"/>
                <c:pt idx="0">
                  <c:v>-0.22124988704263324</c:v>
                </c:pt>
                <c:pt idx="1">
                  <c:v>-0.38062554795984871</c:v>
                </c:pt>
                <c:pt idx="2">
                  <c:v>-0.35238855698987132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2D-4067-BD64-AD80378C548C}"/>
            </c:ext>
          </c:extLst>
        </c:ser>
        <c:ser>
          <c:idx val="3"/>
          <c:order val="3"/>
          <c:tx>
            <c:strRef>
              <c:f>Données!$B$117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Données!$C$113:$E$113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Données!$C$117:$E$117</c:f>
              <c:numCache>
                <c:formatCode>#,##0</c:formatCode>
                <c:ptCount val="3"/>
                <c:pt idx="0">
                  <c:v>16.246112812985206</c:v>
                </c:pt>
                <c:pt idx="1">
                  <c:v>33.030097175270576</c:v>
                </c:pt>
                <c:pt idx="2">
                  <c:v>15.136174879637561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2D-4067-BD64-AD80378C548C}"/>
            </c:ext>
          </c:extLst>
        </c:ser>
        <c:ser>
          <c:idx val="4"/>
          <c:order val="4"/>
          <c:tx>
            <c:strRef>
              <c:f>Données!$B$118</c:f>
              <c:strCache>
                <c:ptCount val="1"/>
                <c:pt idx="0">
                  <c:v>Pétrole et gaz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Données!$C$113:$E$113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Données!$C$118:$E$118</c:f>
              <c:numCache>
                <c:formatCode>#,##0</c:formatCode>
                <c:ptCount val="3"/>
                <c:pt idx="0">
                  <c:v>-8.0797107258413197E-3</c:v>
                </c:pt>
                <c:pt idx="1">
                  <c:v>9.7943120843019607E-2</c:v>
                </c:pt>
                <c:pt idx="2">
                  <c:v>0.31556877428763808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2D-4067-BD64-AD80378C548C}"/>
            </c:ext>
          </c:extLst>
        </c:ser>
        <c:ser>
          <c:idx val="5"/>
          <c:order val="5"/>
          <c:tx>
            <c:strRef>
              <c:f>Données!$B$119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Données!$C$113:$E$113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Données!$C$119:$E$119</c:f>
              <c:numCache>
                <c:formatCode>#,##0</c:formatCode>
                <c:ptCount val="3"/>
                <c:pt idx="0">
                  <c:v>-2.8522654024544467</c:v>
                </c:pt>
                <c:pt idx="1">
                  <c:v>-4.6927900092136579</c:v>
                </c:pt>
                <c:pt idx="2">
                  <c:v>-10.464820037405412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2D-4067-BD64-AD80378C54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Valeur</a:t>
            </a:r>
            <a:r>
              <a:rPr lang="fr-FR" baseline="0"/>
              <a:t> ajoutée sectorielle (en %)</a:t>
            </a:r>
          </a:p>
          <a:p>
            <a:pPr>
              <a:defRPr/>
            </a:pPr>
            <a:endParaRPr lang="fr-FR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Données!$B$122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Données!$C$121:$E$121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Données!$C$122:$E$122</c:f>
              <c:numCache>
                <c:formatCode>0.0%</c:formatCode>
                <c:ptCount val="3"/>
                <c:pt idx="0">
                  <c:v>-2.1916133772197033E-2</c:v>
                </c:pt>
                <c:pt idx="1">
                  <c:v>-2.7663746187032157E-2</c:v>
                </c:pt>
                <c:pt idx="2">
                  <c:v>-5.200770936011212E-2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F1-4B6A-9132-8653F2D77B61}"/>
            </c:ext>
          </c:extLst>
        </c:ser>
        <c:ser>
          <c:idx val="1"/>
          <c:order val="1"/>
          <c:tx>
            <c:strRef>
              <c:f>Données!$B$123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Données!$C$121:$E$121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Données!$C$123:$E$123</c:f>
              <c:numCache>
                <c:formatCode>0.0%</c:formatCode>
                <c:ptCount val="3"/>
                <c:pt idx="0">
                  <c:v>-3.3523812989276758E-3</c:v>
                </c:pt>
                <c:pt idx="1">
                  <c:v>-1.5827889106417858E-3</c:v>
                </c:pt>
                <c:pt idx="2">
                  <c:v>-8.8679975995842319E-4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F1-4B6A-9132-8653F2D77B61}"/>
            </c:ext>
          </c:extLst>
        </c:ser>
        <c:ser>
          <c:idx val="2"/>
          <c:order val="2"/>
          <c:tx>
            <c:strRef>
              <c:f>Données!$B$124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Données!$C$121:$E$121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Données!$C$124:$E$124</c:f>
              <c:numCache>
                <c:formatCode>0.0%</c:formatCode>
                <c:ptCount val="3"/>
                <c:pt idx="0">
                  <c:v>-1.8739785294776712E-2</c:v>
                </c:pt>
                <c:pt idx="1">
                  <c:v>-3.3970247483391947E-2</c:v>
                </c:pt>
                <c:pt idx="2">
                  <c:v>-3.2153612804957765E-2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F1-4B6A-9132-8653F2D77B61}"/>
            </c:ext>
          </c:extLst>
        </c:ser>
        <c:ser>
          <c:idx val="3"/>
          <c:order val="3"/>
          <c:tx>
            <c:strRef>
              <c:f>Données!$B$125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Données!$C$121:$E$121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Données!$C$125:$E$125</c:f>
              <c:numCache>
                <c:formatCode>0.0%</c:formatCode>
                <c:ptCount val="3"/>
                <c:pt idx="0">
                  <c:v>7.646685517379348E-3</c:v>
                </c:pt>
                <c:pt idx="1">
                  <c:v>1.5373602126030006E-2</c:v>
                </c:pt>
                <c:pt idx="2">
                  <c:v>7.247245887150866E-3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7F1-4B6A-9132-8653F2D77B61}"/>
            </c:ext>
          </c:extLst>
        </c:ser>
        <c:ser>
          <c:idx val="4"/>
          <c:order val="4"/>
          <c:tx>
            <c:strRef>
              <c:f>Données!$B$126</c:f>
              <c:strCache>
                <c:ptCount val="1"/>
                <c:pt idx="0">
                  <c:v>Pétrole et gaz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Données!$C$121:$E$121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Données!$C$126:$E$126</c:f>
              <c:numCache>
                <c:formatCode>0.0%</c:formatCode>
                <c:ptCount val="3"/>
                <c:pt idx="0">
                  <c:v>-5.5931577760318651E-3</c:v>
                </c:pt>
                <c:pt idx="1">
                  <c:v>6.9344672697458254E-2</c:v>
                </c:pt>
                <c:pt idx="2">
                  <c:v>0.22558975255905933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7F1-4B6A-9132-8653F2D77B61}"/>
            </c:ext>
          </c:extLst>
        </c:ser>
        <c:ser>
          <c:idx val="5"/>
          <c:order val="5"/>
          <c:tx>
            <c:strRef>
              <c:f>Données!$B$127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Données!$C$121:$E$121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Données!$C$127:$E$127</c:f>
              <c:numCache>
                <c:formatCode>0.0%</c:formatCode>
                <c:ptCount val="3"/>
                <c:pt idx="0">
                  <c:v>-1.2874659970722457E-2</c:v>
                </c:pt>
                <c:pt idx="1">
                  <c:v>-1.5440589555587803E-2</c:v>
                </c:pt>
                <c:pt idx="2">
                  <c:v>-3.9408094359038914E-2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7F1-4B6A-9132-8653F2D77B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tabSelected="1" zoomScale="7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/>
  <sheetViews>
    <sheetView zoomScale="70" workbookViewId="0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>
  <sheetPr/>
  <sheetViews>
    <sheetView zoomScale="70" workbookViewId="0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>
  <sheetPr/>
  <sheetViews>
    <sheetView zoomScale="57" workbookViewId="0" zoomToFit="1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>
  <sheetPr/>
  <sheetViews>
    <sheetView zoomScale="57" workbookViewId="0" zoomToFit="1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>
  <sheetPr/>
  <sheetViews>
    <sheetView zoomScale="57" workbookViewId="0" zoomToFit="1"/>
  </sheetViews>
  <pageMargins left="0.7" right="0.7" top="0.75" bottom="0.75" header="0.3" footer="0.3"/>
  <drawing r:id="rId1"/>
</chartsheet>
</file>

<file path=xl/chartsheets/sheet7.xml><?xml version="1.0" encoding="utf-8"?>
<chartsheet xmlns="http://schemas.openxmlformats.org/spreadsheetml/2006/main" xmlns:r="http://schemas.openxmlformats.org/officeDocument/2006/relationships">
  <sheetPr/>
  <sheetViews>
    <sheetView zoomScale="57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0.00879</cdr:x>
      <cdr:y>0.03443</cdr:y>
    </cdr:from>
    <cdr:to>
      <cdr:x>0.15528</cdr:x>
      <cdr:y>0.0988</cdr:y>
    </cdr:to>
    <cdr:sp macro="" textlink="">
      <cdr:nvSpPr>
        <cdr:cNvPr id="3" name="ZoneTexte 2"/>
        <cdr:cNvSpPr txBox="1"/>
      </cdr:nvSpPr>
      <cdr:spPr>
        <a:xfrm xmlns:a="http://schemas.openxmlformats.org/drawingml/2006/main">
          <a:off x="81619" y="208637"/>
          <a:ext cx="1360767" cy="39006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fr-FR" sz="1100"/>
            <a:t>%</a:t>
          </a:r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1-11-30_15-01-09_Result_Fr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rbontax"/>
      <sheetName val="Production"/>
      <sheetName val="Capital"/>
      <sheetName val="PIB"/>
      <sheetName val="Results"/>
      <sheetName val="date"/>
      <sheetName val="Emissions"/>
      <sheetName val="Consumption"/>
      <sheetName val="Value_Added"/>
      <sheetName val="INV"/>
      <sheetName val="Labor"/>
      <sheetName val="Final_nrj"/>
      <sheetName val="Primary_nrj"/>
      <sheetName val="Energy_Mix"/>
      <sheetName val="Transports"/>
      <sheetName val="Hybrid"/>
      <sheetName val="Tab-macro"/>
      <sheetName val="Tab-baseline"/>
      <sheetName val="Macro"/>
      <sheetName val="Baseline"/>
      <sheetName val="produits-secteurs V2-V3"/>
      <sheetName val="Sect&amp;Com_V3"/>
    </sheetNames>
    <sheetDataSet>
      <sheetData sheetId="0" refreshError="1"/>
      <sheetData sheetId="1">
        <row r="4">
          <cell r="B4">
            <v>81743.470839999994</v>
          </cell>
          <cell r="C4">
            <v>83130.400859999994</v>
          </cell>
          <cell r="D4">
            <v>84698.978109999996</v>
          </cell>
          <cell r="E4">
            <v>86454.543799999999</v>
          </cell>
          <cell r="F4">
            <v>88474.445170000006</v>
          </cell>
          <cell r="G4">
            <v>90878.861690000005</v>
          </cell>
          <cell r="H4">
            <v>92916.749960000001</v>
          </cell>
          <cell r="I4">
            <v>94976.896240000002</v>
          </cell>
          <cell r="J4">
            <v>97071.664629999999</v>
          </cell>
          <cell r="K4">
            <v>99212.902230000007</v>
          </cell>
          <cell r="L4">
            <v>101420.8079</v>
          </cell>
          <cell r="M4">
            <v>103553.0848</v>
          </cell>
          <cell r="N4">
            <v>105668.81879999999</v>
          </cell>
          <cell r="O4">
            <v>107770.8414</v>
          </cell>
          <cell r="P4">
            <v>109839.2886</v>
          </cell>
          <cell r="Q4">
            <v>111923.5312</v>
          </cell>
          <cell r="R4">
            <v>113855.9191</v>
          </cell>
          <cell r="S4">
            <v>115704.03260000001</v>
          </cell>
          <cell r="T4">
            <v>117478.1683</v>
          </cell>
          <cell r="U4">
            <v>119194.06479999999</v>
          </cell>
          <cell r="V4">
            <v>120855.0647</v>
          </cell>
          <cell r="W4">
            <v>122496.90519999999</v>
          </cell>
          <cell r="X4">
            <v>124146.3008</v>
          </cell>
          <cell r="Y4">
            <v>125821.7353</v>
          </cell>
          <cell r="Z4">
            <v>127537.9048</v>
          </cell>
          <cell r="AA4">
            <v>129350.144</v>
          </cell>
          <cell r="AB4">
            <v>131501.04440000001</v>
          </cell>
          <cell r="AC4">
            <v>133761.6024</v>
          </cell>
          <cell r="AD4">
            <v>136129.2225</v>
          </cell>
          <cell r="AE4">
            <v>138606.7562</v>
          </cell>
          <cell r="AF4">
            <v>141190.014</v>
          </cell>
          <cell r="AG4">
            <v>143861.50599999999</v>
          </cell>
          <cell r="AH4">
            <v>146610.15090000001</v>
          </cell>
          <cell r="AI4">
            <v>149422.704</v>
          </cell>
          <cell r="AJ4">
            <v>152285.43770000001</v>
          </cell>
          <cell r="AK4">
            <v>155327.5943</v>
          </cell>
        </row>
        <row r="5">
          <cell r="B5">
            <v>81743.470830000006</v>
          </cell>
          <cell r="C5">
            <v>83130.400859999994</v>
          </cell>
          <cell r="D5">
            <v>84698.978109999996</v>
          </cell>
          <cell r="E5">
            <v>86454.543789999996</v>
          </cell>
          <cell r="F5">
            <v>88474.445160000003</v>
          </cell>
          <cell r="G5">
            <v>90878.861680000002</v>
          </cell>
          <cell r="H5">
            <v>93444.030880000006</v>
          </cell>
          <cell r="I5">
            <v>96129.337570000003</v>
          </cell>
          <cell r="J5">
            <v>98905.502600000007</v>
          </cell>
          <cell r="K5">
            <v>101638.15889999999</v>
          </cell>
          <cell r="L5">
            <v>104185.3174</v>
          </cell>
          <cell r="M5">
            <v>106501.842</v>
          </cell>
          <cell r="N5">
            <v>108594.7742</v>
          </cell>
          <cell r="O5">
            <v>110489.4746</v>
          </cell>
          <cell r="P5">
            <v>112225.4008</v>
          </cell>
          <cell r="Q5">
            <v>113850.96400000001</v>
          </cell>
          <cell r="R5">
            <v>115413.1876</v>
          </cell>
          <cell r="S5">
            <v>116956.8132</v>
          </cell>
          <cell r="T5">
            <v>118523.6297</v>
          </cell>
          <cell r="U5">
            <v>120147.2965</v>
          </cell>
          <cell r="V5">
            <v>121837.77619999999</v>
          </cell>
          <cell r="W5">
            <v>123642.83440000001</v>
          </cell>
          <cell r="X5">
            <v>125581.374</v>
          </cell>
          <cell r="Y5">
            <v>127668.0912</v>
          </cell>
          <cell r="Z5">
            <v>129912.152</v>
          </cell>
          <cell r="AA5">
            <v>132269.0766</v>
          </cell>
          <cell r="AB5">
            <v>134773.35509999999</v>
          </cell>
          <cell r="AC5">
            <v>137432.22589999999</v>
          </cell>
          <cell r="AD5">
            <v>140252.9405</v>
          </cell>
          <cell r="AE5">
            <v>143229.59770000001</v>
          </cell>
          <cell r="AF5">
            <v>146344.40779999999</v>
          </cell>
          <cell r="AG5">
            <v>149574.2444</v>
          </cell>
          <cell r="AH5">
            <v>152894.1508</v>
          </cell>
          <cell r="AI5">
            <v>156278.0129</v>
          </cell>
          <cell r="AJ5">
            <v>159699.0361</v>
          </cell>
          <cell r="AK5">
            <v>163129.99280000001</v>
          </cell>
        </row>
        <row r="6">
          <cell r="B6">
            <v>6532.7513779999999</v>
          </cell>
          <cell r="C6">
            <v>6487.0570459999999</v>
          </cell>
          <cell r="D6">
            <v>6444.6767749999999</v>
          </cell>
          <cell r="E6">
            <v>6396.9447410000002</v>
          </cell>
          <cell r="F6">
            <v>6379.8747629999998</v>
          </cell>
          <cell r="G6">
            <v>6381.371247</v>
          </cell>
          <cell r="H6">
            <v>6386.1024660000003</v>
          </cell>
          <cell r="I6">
            <v>6369.4505429999999</v>
          </cell>
          <cell r="J6">
            <v>6335.8864469999999</v>
          </cell>
          <cell r="K6">
            <v>6285.8224550000004</v>
          </cell>
          <cell r="L6">
            <v>6220.942481</v>
          </cell>
          <cell r="M6">
            <v>6213.3368380000002</v>
          </cell>
          <cell r="N6">
            <v>6231.700836</v>
          </cell>
          <cell r="O6">
            <v>6264.7189120000003</v>
          </cell>
          <cell r="P6">
            <v>6307.453004</v>
          </cell>
          <cell r="Q6">
            <v>6372.3993019999998</v>
          </cell>
          <cell r="R6">
            <v>6460.6143689999999</v>
          </cell>
          <cell r="S6">
            <v>6567.343597</v>
          </cell>
          <cell r="T6">
            <v>6684.6119680000002</v>
          </cell>
          <cell r="U6">
            <v>6811.1788740000002</v>
          </cell>
          <cell r="V6">
            <v>6945.5011679999998</v>
          </cell>
          <cell r="W6">
            <v>7095.7892149999998</v>
          </cell>
          <cell r="X6">
            <v>7260.4635029999999</v>
          </cell>
          <cell r="Y6">
            <v>7439.8467870000004</v>
          </cell>
          <cell r="Z6">
            <v>7635.529391</v>
          </cell>
          <cell r="AA6">
            <v>7875.2154369999998</v>
          </cell>
          <cell r="AB6">
            <v>7965.5220829999998</v>
          </cell>
          <cell r="AC6">
            <v>8023.061197</v>
          </cell>
          <cell r="AD6">
            <v>8080.5506130000003</v>
          </cell>
          <cell r="AE6">
            <v>8145.4885270000004</v>
          </cell>
          <cell r="AF6">
            <v>8217.6561359999996</v>
          </cell>
          <cell r="AG6">
            <v>8296.7825169999996</v>
          </cell>
          <cell r="AH6">
            <v>8380.6737699999994</v>
          </cell>
          <cell r="AI6">
            <v>8467.6997630000005</v>
          </cell>
          <cell r="AJ6">
            <v>8556.5589369999998</v>
          </cell>
          <cell r="AK6">
            <v>8661.6151050000008</v>
          </cell>
        </row>
        <row r="7">
          <cell r="B7">
            <v>6532.7513779999999</v>
          </cell>
          <cell r="C7">
            <v>6487.0570459999999</v>
          </cell>
          <cell r="D7">
            <v>6444.6767749999999</v>
          </cell>
          <cell r="E7">
            <v>6396.9447419999997</v>
          </cell>
          <cell r="F7">
            <v>6379.8747629999998</v>
          </cell>
          <cell r="G7">
            <v>6381.371247</v>
          </cell>
          <cell r="H7">
            <v>6425.9012759999996</v>
          </cell>
          <cell r="I7">
            <v>6485.8293059999996</v>
          </cell>
          <cell r="J7">
            <v>6555.9119259999998</v>
          </cell>
          <cell r="K7">
            <v>6630.9286460000003</v>
          </cell>
          <cell r="L7">
            <v>6708.5354790000001</v>
          </cell>
          <cell r="M7">
            <v>6783.0017330000001</v>
          </cell>
          <cell r="N7">
            <v>6855.7879780000003</v>
          </cell>
          <cell r="O7">
            <v>6930.6054160000003</v>
          </cell>
          <cell r="P7">
            <v>7009.8477489999996</v>
          </cell>
          <cell r="Q7">
            <v>7095.6486439999999</v>
          </cell>
          <cell r="R7">
            <v>7210.0966200000003</v>
          </cell>
          <cell r="S7">
            <v>7337.7736800000002</v>
          </cell>
          <cell r="T7">
            <v>7477.2240259999999</v>
          </cell>
          <cell r="U7">
            <v>7629.0010709999997</v>
          </cell>
          <cell r="V7">
            <v>7792.0960489999998</v>
          </cell>
          <cell r="W7">
            <v>7970.5394729999998</v>
          </cell>
          <cell r="X7">
            <v>8165.3197909999999</v>
          </cell>
          <cell r="Y7">
            <v>8377.9823730000007</v>
          </cell>
          <cell r="Z7">
            <v>8610.6231680000001</v>
          </cell>
          <cell r="AA7">
            <v>8860.4543610000001</v>
          </cell>
          <cell r="AB7">
            <v>8977.3288119999997</v>
          </cell>
          <cell r="AC7">
            <v>9059.7373499999994</v>
          </cell>
          <cell r="AD7">
            <v>9141.4884839999995</v>
          </cell>
          <cell r="AE7">
            <v>9230.7119509999993</v>
          </cell>
          <cell r="AF7">
            <v>9327.4243719999995</v>
          </cell>
          <cell r="AG7">
            <v>9429.6565950000004</v>
          </cell>
          <cell r="AH7">
            <v>9535.3058870000004</v>
          </cell>
          <cell r="AI7">
            <v>9642.5312020000001</v>
          </cell>
          <cell r="AJ7">
            <v>9749.7980669999997</v>
          </cell>
          <cell r="AK7">
            <v>9855.8120679999993</v>
          </cell>
        </row>
        <row r="8">
          <cell r="B8">
            <v>157674.9117</v>
          </cell>
          <cell r="C8">
            <v>160428.82149999999</v>
          </cell>
          <cell r="D8">
            <v>163474.7213</v>
          </cell>
          <cell r="E8">
            <v>166908.30179999999</v>
          </cell>
          <cell r="F8">
            <v>170867.64939999999</v>
          </cell>
          <cell r="G8">
            <v>175550.98079999999</v>
          </cell>
          <cell r="H8">
            <v>179898.31479999999</v>
          </cell>
          <cell r="I8">
            <v>184294.65979999999</v>
          </cell>
          <cell r="J8">
            <v>188789.75690000001</v>
          </cell>
          <cell r="K8">
            <v>193434.77720000001</v>
          </cell>
          <cell r="L8">
            <v>198305.48699999999</v>
          </cell>
          <cell r="M8">
            <v>202988.01680000001</v>
          </cell>
          <cell r="N8">
            <v>207613.79639999999</v>
          </cell>
          <cell r="O8">
            <v>212181.48509999999</v>
          </cell>
          <cell r="P8">
            <v>216650.01629999999</v>
          </cell>
          <cell r="Q8">
            <v>221145.39749999999</v>
          </cell>
          <cell r="R8">
            <v>225233.52619999999</v>
          </cell>
          <cell r="S8">
            <v>229149.54790000001</v>
          </cell>
          <cell r="T8">
            <v>232911.99359999999</v>
          </cell>
          <cell r="U8">
            <v>236551.0239</v>
          </cell>
          <cell r="V8">
            <v>240065.53219999999</v>
          </cell>
          <cell r="W8">
            <v>243518.383</v>
          </cell>
          <cell r="X8">
            <v>246958.27729999999</v>
          </cell>
          <cell r="Y8">
            <v>250421.65119999999</v>
          </cell>
          <cell r="Z8">
            <v>253938.6813</v>
          </cell>
          <cell r="AA8">
            <v>257642.66459999999</v>
          </cell>
          <cell r="AB8">
            <v>261819.00750000001</v>
          </cell>
          <cell r="AC8">
            <v>266172.26289999997</v>
          </cell>
          <cell r="AD8">
            <v>270713.70250000001</v>
          </cell>
          <cell r="AE8">
            <v>275456.29359999998</v>
          </cell>
          <cell r="AF8">
            <v>280396.33370000002</v>
          </cell>
          <cell r="AG8">
            <v>285495.4694</v>
          </cell>
          <cell r="AH8">
            <v>290733.86869999999</v>
          </cell>
          <cell r="AI8">
            <v>296088.95370000001</v>
          </cell>
          <cell r="AJ8">
            <v>301537.6483</v>
          </cell>
          <cell r="AK8">
            <v>307399.1703</v>
          </cell>
        </row>
        <row r="9">
          <cell r="B9">
            <v>157674.9117</v>
          </cell>
          <cell r="C9">
            <v>160428.82139999999</v>
          </cell>
          <cell r="D9">
            <v>163474.7213</v>
          </cell>
          <cell r="E9">
            <v>166908.30179999999</v>
          </cell>
          <cell r="F9">
            <v>170867.64929999999</v>
          </cell>
          <cell r="G9">
            <v>175550.98079999999</v>
          </cell>
          <cell r="H9">
            <v>180472.0465</v>
          </cell>
          <cell r="I9">
            <v>185590.12460000001</v>
          </cell>
          <cell r="J9">
            <v>190858.50829999999</v>
          </cell>
          <cell r="K9">
            <v>196068.08859999999</v>
          </cell>
          <cell r="L9">
            <v>201003.3069</v>
          </cell>
          <cell r="M9">
            <v>205537.87580000001</v>
          </cell>
          <cell r="N9">
            <v>209669.5233</v>
          </cell>
          <cell r="O9">
            <v>213426.4307</v>
          </cell>
          <cell r="P9">
            <v>216864.70250000001</v>
          </cell>
          <cell r="Q9">
            <v>220061.82339999999</v>
          </cell>
          <cell r="R9">
            <v>223100.24170000001</v>
          </cell>
          <cell r="S9">
            <v>226063.88639999999</v>
          </cell>
          <cell r="T9">
            <v>229031.88209999999</v>
          </cell>
          <cell r="U9">
            <v>232069.7893</v>
          </cell>
          <cell r="V9">
            <v>235191.9999</v>
          </cell>
          <cell r="W9">
            <v>238503.7077</v>
          </cell>
          <cell r="X9">
            <v>242039.4313</v>
          </cell>
          <cell r="Y9">
            <v>245829.62160000001</v>
          </cell>
          <cell r="Z9">
            <v>249894.804</v>
          </cell>
          <cell r="AA9">
            <v>254134.18309999999</v>
          </cell>
          <cell r="AB9">
            <v>258635.7757</v>
          </cell>
          <cell r="AC9">
            <v>263408.01380000002</v>
          </cell>
          <cell r="AD9">
            <v>268467.82789999997</v>
          </cell>
          <cell r="AE9">
            <v>273813.38799999998</v>
          </cell>
          <cell r="AF9">
            <v>279421.39059999998</v>
          </cell>
          <cell r="AG9">
            <v>285256.3125</v>
          </cell>
          <cell r="AH9">
            <v>291276.32049999997</v>
          </cell>
          <cell r="AI9">
            <v>297435.21710000001</v>
          </cell>
          <cell r="AJ9">
            <v>303683.88919999998</v>
          </cell>
          <cell r="AK9">
            <v>309971.21429999999</v>
          </cell>
        </row>
        <row r="10">
          <cell r="B10">
            <v>125576.64019999999</v>
          </cell>
          <cell r="C10">
            <v>130244.55740000001</v>
          </cell>
          <cell r="D10">
            <v>135076.0969</v>
          </cell>
          <cell r="E10">
            <v>139631.28049999999</v>
          </cell>
          <cell r="F10">
            <v>144376.46369999999</v>
          </cell>
          <cell r="G10">
            <v>149704.2568</v>
          </cell>
          <cell r="H10">
            <v>154303.99530000001</v>
          </cell>
          <cell r="I10">
            <v>158412.05009999999</v>
          </cell>
          <cell r="J10">
            <v>162867.73509999999</v>
          </cell>
          <cell r="K10">
            <v>167111.01329999999</v>
          </cell>
          <cell r="L10">
            <v>170551.27009999999</v>
          </cell>
          <cell r="M10">
            <v>173784.3567</v>
          </cell>
          <cell r="N10">
            <v>176717.90770000001</v>
          </cell>
          <cell r="O10">
            <v>179341.04079999999</v>
          </cell>
          <cell r="P10">
            <v>181748.4621</v>
          </cell>
          <cell r="Q10">
            <v>187527.1483</v>
          </cell>
          <cell r="R10">
            <v>186437.90229999999</v>
          </cell>
          <cell r="S10">
            <v>188781.6035</v>
          </cell>
          <cell r="T10">
            <v>191313.4988</v>
          </cell>
          <cell r="U10">
            <v>194072.59570000001</v>
          </cell>
          <cell r="V10">
            <v>197069.91320000001</v>
          </cell>
          <cell r="W10">
            <v>200475.8988</v>
          </cell>
          <cell r="X10">
            <v>204225.47880000001</v>
          </cell>
          <cell r="Y10">
            <v>208288.9313</v>
          </cell>
          <cell r="Z10">
            <v>212673.82750000001</v>
          </cell>
          <cell r="AA10">
            <v>222606.66380000001</v>
          </cell>
          <cell r="AB10">
            <v>222573.68460000001</v>
          </cell>
          <cell r="AC10">
            <v>228027.08050000001</v>
          </cell>
          <cell r="AD10">
            <v>233910.6753</v>
          </cell>
          <cell r="AE10">
            <v>240102.05119999999</v>
          </cell>
          <cell r="AF10">
            <v>246510.80989999999</v>
          </cell>
          <cell r="AG10">
            <v>253089.7127</v>
          </cell>
          <cell r="AH10">
            <v>259754.34589999999</v>
          </cell>
          <cell r="AI10">
            <v>266464.7548</v>
          </cell>
          <cell r="AJ10">
            <v>273179.77490000002</v>
          </cell>
          <cell r="AK10">
            <v>289167.11849999998</v>
          </cell>
        </row>
        <row r="11">
          <cell r="B11">
            <v>125576.64019999999</v>
          </cell>
          <cell r="C11">
            <v>130244.55740000001</v>
          </cell>
          <cell r="D11">
            <v>135076.0969</v>
          </cell>
          <cell r="E11">
            <v>139631.28049999999</v>
          </cell>
          <cell r="F11">
            <v>144376.46369999999</v>
          </cell>
          <cell r="G11">
            <v>149704.2568</v>
          </cell>
          <cell r="H11">
            <v>154759.2898</v>
          </cell>
          <cell r="I11">
            <v>159702.71030000001</v>
          </cell>
          <cell r="J11">
            <v>164660.50750000001</v>
          </cell>
          <cell r="K11">
            <v>169281.60579999999</v>
          </cell>
          <cell r="L11">
            <v>173160.3137</v>
          </cell>
          <cell r="M11">
            <v>176462.37640000001</v>
          </cell>
          <cell r="N11">
            <v>179341.52799999999</v>
          </cell>
          <cell r="O11">
            <v>181960.44579999999</v>
          </cell>
          <cell r="P11">
            <v>184480.7371</v>
          </cell>
          <cell r="Q11">
            <v>187046.50589999999</v>
          </cell>
          <cell r="R11">
            <v>189752.27770000001</v>
          </cell>
          <cell r="S11">
            <v>192665.1857</v>
          </cell>
          <cell r="T11">
            <v>195838.0484</v>
          </cell>
          <cell r="U11">
            <v>199298.35010000001</v>
          </cell>
          <cell r="V11">
            <v>203051.76310000001</v>
          </cell>
          <cell r="W11">
            <v>207125.66579999999</v>
          </cell>
          <cell r="X11">
            <v>211527.13560000001</v>
          </cell>
          <cell r="Y11">
            <v>216256.9828</v>
          </cell>
          <cell r="Z11">
            <v>221305.66500000001</v>
          </cell>
          <cell r="AA11">
            <v>226630.8713</v>
          </cell>
          <cell r="AB11">
            <v>232256.80160000001</v>
          </cell>
          <cell r="AC11">
            <v>238185.41740000001</v>
          </cell>
          <cell r="AD11">
            <v>244412.4969</v>
          </cell>
          <cell r="AE11">
            <v>250886.8817</v>
          </cell>
          <cell r="AF11">
            <v>257534.54010000001</v>
          </cell>
          <cell r="AG11">
            <v>264285.9645</v>
          </cell>
          <cell r="AH11">
            <v>271084.79499999998</v>
          </cell>
          <cell r="AI11">
            <v>277884.32290000003</v>
          </cell>
          <cell r="AJ11">
            <v>284644.89610000001</v>
          </cell>
          <cell r="AK11">
            <v>291331.413</v>
          </cell>
        </row>
        <row r="12">
          <cell r="B12">
            <v>22089.1263</v>
          </cell>
          <cell r="C12">
            <v>22488.935600000001</v>
          </cell>
          <cell r="D12">
            <v>22917.868709999999</v>
          </cell>
          <cell r="E12">
            <v>23369.61592</v>
          </cell>
          <cell r="F12">
            <v>23882.331750000001</v>
          </cell>
          <cell r="G12">
            <v>24495.743180000001</v>
          </cell>
          <cell r="H12">
            <v>25071.554329999999</v>
          </cell>
          <cell r="I12">
            <v>25652.95235</v>
          </cell>
          <cell r="J12">
            <v>26230.74064</v>
          </cell>
          <cell r="K12">
            <v>26793.114679999999</v>
          </cell>
          <cell r="L12">
            <v>27325.62458</v>
          </cell>
          <cell r="M12">
            <v>27860.992569999999</v>
          </cell>
          <cell r="N12">
            <v>28420.70145</v>
          </cell>
          <cell r="O12">
            <v>29009.5831</v>
          </cell>
          <cell r="P12">
            <v>29624.961800000001</v>
          </cell>
          <cell r="Q12">
            <v>30301.175800000001</v>
          </cell>
          <cell r="R12">
            <v>30927.648219999999</v>
          </cell>
          <cell r="S12">
            <v>31576.51296</v>
          </cell>
          <cell r="T12">
            <v>32237.427319999999</v>
          </cell>
          <cell r="U12">
            <v>32910.46961</v>
          </cell>
          <cell r="V12">
            <v>33594.467830000001</v>
          </cell>
          <cell r="W12">
            <v>34302.68204</v>
          </cell>
          <cell r="X12">
            <v>35041.164859999997</v>
          </cell>
          <cell r="Y12">
            <v>35812.395239999998</v>
          </cell>
          <cell r="Z12">
            <v>36617.940060000001</v>
          </cell>
          <cell r="AA12">
            <v>37508.666060000003</v>
          </cell>
          <cell r="AB12">
            <v>38407.037219999998</v>
          </cell>
          <cell r="AC12">
            <v>39330.929040000003</v>
          </cell>
          <cell r="AD12">
            <v>40267.412790000002</v>
          </cell>
          <cell r="AE12">
            <v>41212.98115</v>
          </cell>
          <cell r="AF12">
            <v>42163.790370000002</v>
          </cell>
          <cell r="AG12">
            <v>43118.692900000002</v>
          </cell>
          <cell r="AH12">
            <v>44073.550750000002</v>
          </cell>
          <cell r="AI12">
            <v>45022.79376</v>
          </cell>
          <cell r="AJ12">
            <v>45960.961109999997</v>
          </cell>
          <cell r="AK12">
            <v>46967.065730000002</v>
          </cell>
        </row>
        <row r="13">
          <cell r="B13">
            <v>22089.1263</v>
          </cell>
          <cell r="C13">
            <v>22488.935600000001</v>
          </cell>
          <cell r="D13">
            <v>22917.868709999999</v>
          </cell>
          <cell r="E13">
            <v>23369.61592</v>
          </cell>
          <cell r="F13">
            <v>23882.331750000001</v>
          </cell>
          <cell r="G13">
            <v>24495.743190000001</v>
          </cell>
          <cell r="H13">
            <v>25169.968010000001</v>
          </cell>
          <cell r="I13">
            <v>25889.95782</v>
          </cell>
          <cell r="J13">
            <v>26646.968959999998</v>
          </cell>
          <cell r="K13">
            <v>27408.629580000001</v>
          </cell>
          <cell r="L13">
            <v>28139.460749999998</v>
          </cell>
          <cell r="M13">
            <v>28831.310259999998</v>
          </cell>
          <cell r="N13">
            <v>29488.35166</v>
          </cell>
          <cell r="O13">
            <v>30119.778999999999</v>
          </cell>
          <cell r="P13">
            <v>30737.221320000001</v>
          </cell>
          <cell r="Q13">
            <v>31353.084780000001</v>
          </cell>
          <cell r="R13">
            <v>31978.612059999999</v>
          </cell>
          <cell r="S13">
            <v>32623.216420000001</v>
          </cell>
          <cell r="T13">
            <v>33295.527280000002</v>
          </cell>
          <cell r="U13">
            <v>34002.40249</v>
          </cell>
          <cell r="V13">
            <v>34746.880389999998</v>
          </cell>
          <cell r="W13">
            <v>35535.91734</v>
          </cell>
          <cell r="X13">
            <v>36374.059600000001</v>
          </cell>
          <cell r="Y13">
            <v>37264.754289999997</v>
          </cell>
          <cell r="Z13">
            <v>38210.278140000002</v>
          </cell>
          <cell r="AA13">
            <v>39204.955289999998</v>
          </cell>
          <cell r="AB13">
            <v>40202.929340000002</v>
          </cell>
          <cell r="AC13">
            <v>41207.800109999996</v>
          </cell>
          <cell r="AD13">
            <v>42229.070729999999</v>
          </cell>
          <cell r="AE13">
            <v>43269.997340000002</v>
          </cell>
          <cell r="AF13">
            <v>44328.427109999997</v>
          </cell>
          <cell r="AG13">
            <v>45399.581859999998</v>
          </cell>
          <cell r="AH13">
            <v>46477.773480000003</v>
          </cell>
          <cell r="AI13">
            <v>47557.001880000003</v>
          </cell>
          <cell r="AJ13">
            <v>48631.25028</v>
          </cell>
          <cell r="AK13">
            <v>49694.565710000003</v>
          </cell>
        </row>
        <row r="14">
          <cell r="B14">
            <v>16304.284309999999</v>
          </cell>
          <cell r="C14">
            <v>16670.965769999999</v>
          </cell>
          <cell r="D14">
            <v>17058.89487</v>
          </cell>
          <cell r="E14">
            <v>17465.20609</v>
          </cell>
          <cell r="F14">
            <v>17911.54421</v>
          </cell>
          <cell r="G14">
            <v>18419.165959999998</v>
          </cell>
          <cell r="H14">
            <v>18903.58742</v>
          </cell>
          <cell r="I14">
            <v>19384.013780000001</v>
          </cell>
          <cell r="J14">
            <v>19899.10773</v>
          </cell>
          <cell r="K14">
            <v>20407.434239999999</v>
          </cell>
          <cell r="L14">
            <v>20871.545239999999</v>
          </cell>
          <cell r="M14">
            <v>21286.817520000001</v>
          </cell>
          <cell r="N14">
            <v>21668.200270000001</v>
          </cell>
          <cell r="O14">
            <v>22025.408370000001</v>
          </cell>
          <cell r="P14">
            <v>22365.858209999999</v>
          </cell>
          <cell r="Q14">
            <v>22848.59477</v>
          </cell>
          <cell r="R14">
            <v>23034.406340000001</v>
          </cell>
          <cell r="S14">
            <v>23358.283780000002</v>
          </cell>
          <cell r="T14">
            <v>23690.669529999999</v>
          </cell>
          <cell r="U14">
            <v>24034.788359999999</v>
          </cell>
          <cell r="V14">
            <v>24390.792600000001</v>
          </cell>
          <cell r="W14">
            <v>24769.393329999999</v>
          </cell>
          <cell r="X14">
            <v>25172.890240000001</v>
          </cell>
          <cell r="Y14">
            <v>25602.651170000001</v>
          </cell>
          <cell r="Z14">
            <v>26060.833500000001</v>
          </cell>
          <cell r="AA14">
            <v>26763.772980000002</v>
          </cell>
          <cell r="AB14">
            <v>27100.3364</v>
          </cell>
          <cell r="AC14">
            <v>27675.157149999999</v>
          </cell>
          <cell r="AD14">
            <v>28289.804950000002</v>
          </cell>
          <cell r="AE14">
            <v>28935.84204</v>
          </cell>
          <cell r="AF14">
            <v>29606.207180000001</v>
          </cell>
          <cell r="AG14">
            <v>30295.13106</v>
          </cell>
          <cell r="AH14">
            <v>30996.62528</v>
          </cell>
          <cell r="AI14">
            <v>31706.266479999998</v>
          </cell>
          <cell r="AJ14">
            <v>32419.157810000001</v>
          </cell>
          <cell r="AK14">
            <v>33433.531430000003</v>
          </cell>
        </row>
        <row r="15">
          <cell r="B15">
            <v>16304.284309999999</v>
          </cell>
          <cell r="C15">
            <v>16670.965769999999</v>
          </cell>
          <cell r="D15">
            <v>17058.89487</v>
          </cell>
          <cell r="E15">
            <v>17465.20609</v>
          </cell>
          <cell r="F15">
            <v>17911.54421</v>
          </cell>
          <cell r="G15">
            <v>18419.165959999998</v>
          </cell>
          <cell r="H15">
            <v>18951.2736</v>
          </cell>
          <cell r="I15">
            <v>19501.951410000001</v>
          </cell>
          <cell r="J15">
            <v>20067.341710000001</v>
          </cell>
          <cell r="K15">
            <v>20612.265869999999</v>
          </cell>
          <cell r="L15">
            <v>21098.605800000001</v>
          </cell>
          <cell r="M15">
            <v>21528.965349999999</v>
          </cell>
          <cell r="N15">
            <v>21910.727859999999</v>
          </cell>
          <cell r="O15">
            <v>22254.63638</v>
          </cell>
          <cell r="P15">
            <v>22573.691879999998</v>
          </cell>
          <cell r="Q15">
            <v>22881.38637</v>
          </cell>
          <cell r="R15">
            <v>23188.499159999999</v>
          </cell>
          <cell r="S15">
            <v>23504.224719999998</v>
          </cell>
          <cell r="T15">
            <v>23836.86349</v>
          </cell>
          <cell r="U15">
            <v>24192.642639999998</v>
          </cell>
          <cell r="V15">
            <v>24574.365089999999</v>
          </cell>
          <cell r="W15">
            <v>24988.582350000001</v>
          </cell>
          <cell r="X15">
            <v>25438.669760000001</v>
          </cell>
          <cell r="Y15">
            <v>25926.853230000001</v>
          </cell>
          <cell r="Z15">
            <v>26454.181130000001</v>
          </cell>
          <cell r="AA15">
            <v>27014.981100000001</v>
          </cell>
          <cell r="AB15">
            <v>27608.867890000001</v>
          </cell>
          <cell r="AC15">
            <v>28237.36994</v>
          </cell>
          <cell r="AD15">
            <v>28901.54867</v>
          </cell>
          <cell r="AE15">
            <v>29597.841390000001</v>
          </cell>
          <cell r="AF15">
            <v>30319.86</v>
          </cell>
          <cell r="AG15">
            <v>31060.708449999998</v>
          </cell>
          <cell r="AH15">
            <v>31813.930059999999</v>
          </cell>
          <cell r="AI15">
            <v>32573.490839999999</v>
          </cell>
          <cell r="AJ15">
            <v>33333.739110000002</v>
          </cell>
          <cell r="AK15">
            <v>34089.337249999997</v>
          </cell>
        </row>
        <row r="16">
          <cell r="B16">
            <v>86961.36189</v>
          </cell>
          <cell r="C16">
            <v>89317.528309999994</v>
          </cell>
          <cell r="D16">
            <v>91733.478180000006</v>
          </cell>
          <cell r="E16">
            <v>94156.704670000006</v>
          </cell>
          <cell r="F16">
            <v>96730.524659999995</v>
          </cell>
          <cell r="G16">
            <v>99688.402610000005</v>
          </cell>
          <cell r="H16">
            <v>102104.6434</v>
          </cell>
          <cell r="I16">
            <v>104572.8187</v>
          </cell>
          <cell r="J16">
            <v>107074.5203</v>
          </cell>
          <cell r="K16">
            <v>109574.2978</v>
          </cell>
          <cell r="L16">
            <v>112029.50930000001</v>
          </cell>
          <cell r="M16">
            <v>114419.5851</v>
          </cell>
          <cell r="N16">
            <v>116761.4424</v>
          </cell>
          <cell r="O16">
            <v>119057.33500000001</v>
          </cell>
          <cell r="P16">
            <v>121307.1364</v>
          </cell>
          <cell r="Q16">
            <v>123620.8468</v>
          </cell>
          <cell r="R16">
            <v>125693.3364</v>
          </cell>
          <cell r="S16">
            <v>127791.4463</v>
          </cell>
          <cell r="T16">
            <v>129869.2215</v>
          </cell>
          <cell r="U16">
            <v>131923.6225</v>
          </cell>
          <cell r="V16">
            <v>133960.19760000001</v>
          </cell>
          <cell r="W16">
            <v>136019.81849999999</v>
          </cell>
          <cell r="X16">
            <v>138128.75829999999</v>
          </cell>
          <cell r="Y16">
            <v>140301.04920000001</v>
          </cell>
          <cell r="Z16">
            <v>142548.57370000001</v>
          </cell>
          <cell r="AA16">
            <v>145004.8941</v>
          </cell>
          <cell r="AB16">
            <v>148360.2102</v>
          </cell>
          <cell r="AC16">
            <v>151919.8855</v>
          </cell>
          <cell r="AD16">
            <v>155603.2856</v>
          </cell>
          <cell r="AE16">
            <v>159381.85999999999</v>
          </cell>
          <cell r="AF16">
            <v>163232.70970000001</v>
          </cell>
          <cell r="AG16">
            <v>167143.65359999999</v>
          </cell>
          <cell r="AH16">
            <v>171104.48989999999</v>
          </cell>
          <cell r="AI16">
            <v>175097.81400000001</v>
          </cell>
          <cell r="AJ16">
            <v>179105.351</v>
          </cell>
          <cell r="AK16">
            <v>183336.0822</v>
          </cell>
        </row>
        <row r="17">
          <cell r="B17">
            <v>86961.36189</v>
          </cell>
          <cell r="C17">
            <v>89317.528309999994</v>
          </cell>
          <cell r="D17">
            <v>91733.478180000006</v>
          </cell>
          <cell r="E17">
            <v>94156.704679999995</v>
          </cell>
          <cell r="F17">
            <v>96730.524669999999</v>
          </cell>
          <cell r="G17">
            <v>99688.40264</v>
          </cell>
          <cell r="H17">
            <v>102813.6805</v>
          </cell>
          <cell r="I17">
            <v>106057.2126</v>
          </cell>
          <cell r="J17">
            <v>109388.8235</v>
          </cell>
          <cell r="K17">
            <v>112555.5341</v>
          </cell>
          <cell r="L17">
            <v>115288.63619999999</v>
          </cell>
          <cell r="M17">
            <v>117653.72659999999</v>
          </cell>
          <cell r="N17">
            <v>119714.2892</v>
          </cell>
          <cell r="O17">
            <v>121550.2452</v>
          </cell>
          <cell r="P17">
            <v>123252.4782</v>
          </cell>
          <cell r="Q17">
            <v>124910.43090000001</v>
          </cell>
          <cell r="R17">
            <v>126589.8851</v>
          </cell>
          <cell r="S17">
            <v>128343.71279999999</v>
          </cell>
          <cell r="T17">
            <v>130218.75659999999</v>
          </cell>
          <cell r="U17">
            <v>132248.1139</v>
          </cell>
          <cell r="V17">
            <v>134450.905</v>
          </cell>
          <cell r="W17">
            <v>136855.24679999999</v>
          </cell>
          <cell r="X17">
            <v>139479.29070000001</v>
          </cell>
          <cell r="Y17">
            <v>142334.09289999999</v>
          </cell>
          <cell r="Z17">
            <v>145423.62770000001</v>
          </cell>
          <cell r="AA17">
            <v>148729.78690000001</v>
          </cell>
          <cell r="AB17">
            <v>152254.58929999999</v>
          </cell>
          <cell r="AC17">
            <v>156002.24650000001</v>
          </cell>
          <cell r="AD17">
            <v>159972.011</v>
          </cell>
          <cell r="AE17">
            <v>164133.23980000001</v>
          </cell>
          <cell r="AF17">
            <v>168439.7102</v>
          </cell>
          <cell r="AG17">
            <v>172845.37090000001</v>
          </cell>
          <cell r="AH17">
            <v>177309.5221</v>
          </cell>
          <cell r="AI17">
            <v>181795.4718</v>
          </cell>
          <cell r="AJ17">
            <v>186269.66450000001</v>
          </cell>
          <cell r="AK17">
            <v>190700.9069</v>
          </cell>
        </row>
        <row r="18">
          <cell r="B18">
            <v>29075.290440000001</v>
          </cell>
          <cell r="C18">
            <v>29821.412840000001</v>
          </cell>
          <cell r="D18">
            <v>30612.84217</v>
          </cell>
          <cell r="E18">
            <v>31424.884819999999</v>
          </cell>
          <cell r="F18">
            <v>32286.82373</v>
          </cell>
          <cell r="G18">
            <v>33242.310949999999</v>
          </cell>
          <cell r="H18">
            <v>34144.393750000003</v>
          </cell>
          <cell r="I18">
            <v>35042.238069999999</v>
          </cell>
          <cell r="J18">
            <v>36020.438119999999</v>
          </cell>
          <cell r="K18">
            <v>36990.22795</v>
          </cell>
          <cell r="L18">
            <v>37868.297129999999</v>
          </cell>
          <cell r="M18">
            <v>38654.331310000001</v>
          </cell>
          <cell r="N18">
            <v>39366.275840000002</v>
          </cell>
          <cell r="O18">
            <v>40022.95534</v>
          </cell>
          <cell r="P18">
            <v>40643.96845</v>
          </cell>
          <cell r="Q18">
            <v>41520.113599999997</v>
          </cell>
          <cell r="R18">
            <v>41871.065089999996</v>
          </cell>
          <cell r="S18">
            <v>42475.00045</v>
          </cell>
          <cell r="T18">
            <v>43110.434549999998</v>
          </cell>
          <cell r="U18">
            <v>43779.982429999996</v>
          </cell>
          <cell r="V18">
            <v>44485.992559999999</v>
          </cell>
          <cell r="W18">
            <v>45248.281589999999</v>
          </cell>
          <cell r="X18">
            <v>46069.96845</v>
          </cell>
          <cell r="Y18">
            <v>46953.581899999997</v>
          </cell>
          <cell r="Z18">
            <v>47904.075839999998</v>
          </cell>
          <cell r="AA18">
            <v>49292.194329999998</v>
          </cell>
          <cell r="AB18">
            <v>50085.530709999999</v>
          </cell>
          <cell r="AC18">
            <v>51278.947590000003</v>
          </cell>
          <cell r="AD18">
            <v>52555.611169999996</v>
          </cell>
          <cell r="AE18">
            <v>53895.91908</v>
          </cell>
          <cell r="AF18">
            <v>55285.37182</v>
          </cell>
          <cell r="AG18">
            <v>56712.812850000002</v>
          </cell>
          <cell r="AH18">
            <v>58165.625540000001</v>
          </cell>
          <cell r="AI18">
            <v>59634.371059999998</v>
          </cell>
          <cell r="AJ18">
            <v>61108.40094</v>
          </cell>
          <cell r="AK18">
            <v>63072.321459999999</v>
          </cell>
        </row>
        <row r="19">
          <cell r="B19">
            <v>29075.290440000001</v>
          </cell>
          <cell r="C19">
            <v>29821.412840000001</v>
          </cell>
          <cell r="D19">
            <v>30612.84217</v>
          </cell>
          <cell r="E19">
            <v>31424.884829999999</v>
          </cell>
          <cell r="F19">
            <v>32286.82374</v>
          </cell>
          <cell r="G19">
            <v>33242.310960000003</v>
          </cell>
          <cell r="H19">
            <v>34246.094689999998</v>
          </cell>
          <cell r="I19">
            <v>35286.251100000001</v>
          </cell>
          <cell r="J19">
            <v>36357.636709999999</v>
          </cell>
          <cell r="K19">
            <v>37386.656000000003</v>
          </cell>
          <cell r="L19">
            <v>38292.031080000001</v>
          </cell>
          <cell r="M19">
            <v>39086.953999999998</v>
          </cell>
          <cell r="N19">
            <v>39790.6109</v>
          </cell>
          <cell r="O19">
            <v>40427.770810000002</v>
          </cell>
          <cell r="P19">
            <v>41026.642659999998</v>
          </cell>
          <cell r="Q19">
            <v>41615.281629999998</v>
          </cell>
          <cell r="R19">
            <v>42215.009669999999</v>
          </cell>
          <cell r="S19">
            <v>42843.143210000002</v>
          </cell>
          <cell r="T19">
            <v>43515.076070000003</v>
          </cell>
          <cell r="U19">
            <v>44242.077089999999</v>
          </cell>
          <cell r="V19">
            <v>45030.4594</v>
          </cell>
          <cell r="W19">
            <v>45889.924879999999</v>
          </cell>
          <cell r="X19">
            <v>46826.912859999997</v>
          </cell>
          <cell r="Y19">
            <v>47845.471700000002</v>
          </cell>
          <cell r="Z19">
            <v>48947.403850000002</v>
          </cell>
          <cell r="AA19">
            <v>50125.998639999998</v>
          </cell>
          <cell r="AB19">
            <v>51357.371400000004</v>
          </cell>
          <cell r="AC19">
            <v>52648.907729999999</v>
          </cell>
          <cell r="AD19">
            <v>54005.608869999996</v>
          </cell>
          <cell r="AE19">
            <v>55420.440300000002</v>
          </cell>
          <cell r="AF19">
            <v>56879.82273</v>
          </cell>
          <cell r="AG19">
            <v>58369.262739999998</v>
          </cell>
          <cell r="AH19">
            <v>59875.509129999999</v>
          </cell>
          <cell r="AI19">
            <v>61386.458379999996</v>
          </cell>
          <cell r="AJ19">
            <v>62891.015070000001</v>
          </cell>
          <cell r="AK19">
            <v>64378.908060000002</v>
          </cell>
        </row>
        <row r="20">
          <cell r="B20">
            <v>80204.450259999998</v>
          </cell>
          <cell r="C20">
            <v>82136.793229999996</v>
          </cell>
          <cell r="D20">
            <v>84162.768389999997</v>
          </cell>
          <cell r="E20">
            <v>86254.008149999994</v>
          </cell>
          <cell r="F20">
            <v>88513.068549999996</v>
          </cell>
          <cell r="G20">
            <v>91075.953760000004</v>
          </cell>
          <cell r="H20">
            <v>93289.006729999994</v>
          </cell>
          <cell r="I20">
            <v>95529.277489999993</v>
          </cell>
          <cell r="J20">
            <v>97814.571179999999</v>
          </cell>
          <cell r="K20">
            <v>100081.8838</v>
          </cell>
          <cell r="L20">
            <v>102248.8746</v>
          </cell>
          <cell r="M20">
            <v>104365.3351</v>
          </cell>
          <cell r="N20">
            <v>106444.76979999999</v>
          </cell>
          <cell r="O20">
            <v>108494.76880000001</v>
          </cell>
          <cell r="P20">
            <v>110525.7729</v>
          </cell>
          <cell r="Q20">
            <v>112836.8268</v>
          </cell>
          <cell r="R20">
            <v>114573.73940000001</v>
          </cell>
          <cell r="S20">
            <v>116502.7574</v>
          </cell>
          <cell r="T20">
            <v>118492.3031</v>
          </cell>
          <cell r="U20">
            <v>120530.6924</v>
          </cell>
          <cell r="V20">
            <v>122619.1391</v>
          </cell>
          <cell r="W20">
            <v>124800.2674</v>
          </cell>
          <cell r="X20">
            <v>127092.6064</v>
          </cell>
          <cell r="Y20">
            <v>129503.702</v>
          </cell>
          <cell r="Z20">
            <v>132040.87609999999</v>
          </cell>
          <cell r="AA20">
            <v>135108.75099999999</v>
          </cell>
          <cell r="AB20">
            <v>138226.70439999999</v>
          </cell>
          <cell r="AC20">
            <v>141717.63740000001</v>
          </cell>
          <cell r="AD20">
            <v>145351.443</v>
          </cell>
          <cell r="AE20">
            <v>149072.7617</v>
          </cell>
          <cell r="AF20">
            <v>152852.1024</v>
          </cell>
          <cell r="AG20">
            <v>156676.72570000001</v>
          </cell>
          <cell r="AH20">
            <v>160530.9546</v>
          </cell>
          <cell r="AI20">
            <v>164394.62520000001</v>
          </cell>
          <cell r="AJ20">
            <v>168247.5509</v>
          </cell>
          <cell r="AK20">
            <v>172772.61900000001</v>
          </cell>
        </row>
        <row r="21">
          <cell r="B21">
            <v>80204.450259999998</v>
          </cell>
          <cell r="C21">
            <v>82136.793229999996</v>
          </cell>
          <cell r="D21">
            <v>84162.768389999997</v>
          </cell>
          <cell r="E21">
            <v>86254.008159999998</v>
          </cell>
          <cell r="F21">
            <v>88513.06856</v>
          </cell>
          <cell r="G21">
            <v>91075.953779999996</v>
          </cell>
          <cell r="H21">
            <v>93805.050489999994</v>
          </cell>
          <cell r="I21">
            <v>96659.127489999999</v>
          </cell>
          <cell r="J21">
            <v>99618.255109999998</v>
          </cell>
          <cell r="K21">
            <v>102479.3305</v>
          </cell>
          <cell r="L21">
            <v>105016.2862</v>
          </cell>
          <cell r="M21">
            <v>107267.66190000001</v>
          </cell>
          <cell r="N21">
            <v>109287.8707</v>
          </cell>
          <cell r="O21">
            <v>111147.8529</v>
          </cell>
          <cell r="P21">
            <v>112927.1054</v>
          </cell>
          <cell r="Q21">
            <v>114702.8317</v>
          </cell>
          <cell r="R21">
            <v>116532.33900000001</v>
          </cell>
          <cell r="S21">
            <v>118460.1724</v>
          </cell>
          <cell r="T21">
            <v>120525.3858</v>
          </cell>
          <cell r="U21">
            <v>122755.6911</v>
          </cell>
          <cell r="V21">
            <v>125166.857</v>
          </cell>
          <cell r="W21">
            <v>127779.4752</v>
          </cell>
          <cell r="X21">
            <v>130609.0937</v>
          </cell>
          <cell r="Y21">
            <v>133665.03700000001</v>
          </cell>
          <cell r="Z21">
            <v>136950.6936</v>
          </cell>
          <cell r="AA21">
            <v>140450.83420000001</v>
          </cell>
          <cell r="AB21">
            <v>144086.19270000001</v>
          </cell>
          <cell r="AC21">
            <v>147867.5466</v>
          </cell>
          <cell r="AD21">
            <v>151808.08429999999</v>
          </cell>
          <cell r="AE21">
            <v>155890.41589999999</v>
          </cell>
          <cell r="AF21">
            <v>160079.07269999999</v>
          </cell>
          <cell r="AG21">
            <v>164335.74069999999</v>
          </cell>
          <cell r="AH21">
            <v>168625.56520000001</v>
          </cell>
          <cell r="AI21">
            <v>172917.1018</v>
          </cell>
          <cell r="AJ21">
            <v>177181.9142</v>
          </cell>
          <cell r="AK21">
            <v>181393.94699999999</v>
          </cell>
        </row>
        <row r="22">
          <cell r="B22">
            <v>81060.726980000007</v>
          </cell>
          <cell r="C22">
            <v>83798.156610000005</v>
          </cell>
          <cell r="D22">
            <v>86578.076000000001</v>
          </cell>
          <cell r="E22">
            <v>89376.106520000001</v>
          </cell>
          <cell r="F22">
            <v>92264.136780000001</v>
          </cell>
          <cell r="G22">
            <v>95334.113570000001</v>
          </cell>
          <cell r="H22">
            <v>97757.279030000005</v>
          </cell>
          <cell r="I22">
            <v>100221.84209999999</v>
          </cell>
          <cell r="J22">
            <v>102703.3651</v>
          </cell>
          <cell r="K22">
            <v>105174.16559999999</v>
          </cell>
          <cell r="L22">
            <v>107601.55130000001</v>
          </cell>
          <cell r="M22">
            <v>109967.3968</v>
          </cell>
          <cell r="N22">
            <v>112253.2377</v>
          </cell>
          <cell r="O22">
            <v>114461.3756</v>
          </cell>
          <cell r="P22">
            <v>116606.2386</v>
          </cell>
          <cell r="Q22">
            <v>118806.1263</v>
          </cell>
          <cell r="R22">
            <v>120628.727</v>
          </cell>
          <cell r="S22">
            <v>122526.86199999999</v>
          </cell>
          <cell r="T22">
            <v>124470.3175</v>
          </cell>
          <cell r="U22">
            <v>126463.4186</v>
          </cell>
          <cell r="V22">
            <v>128512.2852</v>
          </cell>
          <cell r="W22">
            <v>130641.5273</v>
          </cell>
          <cell r="X22">
            <v>132864.96950000001</v>
          </cell>
          <cell r="Y22">
            <v>135187.20079999999</v>
          </cell>
          <cell r="Z22">
            <v>137613.0324</v>
          </cell>
          <cell r="AA22">
            <v>140275.62820000001</v>
          </cell>
          <cell r="AB22">
            <v>143921.58119999999</v>
          </cell>
          <cell r="AC22">
            <v>147741.40239999999</v>
          </cell>
          <cell r="AD22">
            <v>151662.10990000001</v>
          </cell>
          <cell r="AE22">
            <v>155656.46410000001</v>
          </cell>
          <cell r="AF22">
            <v>159705.26300000001</v>
          </cell>
          <cell r="AG22">
            <v>163799.54939999999</v>
          </cell>
          <cell r="AH22">
            <v>167932.1771</v>
          </cell>
          <cell r="AI22">
            <v>172088.6385</v>
          </cell>
          <cell r="AJ22">
            <v>176254.33840000001</v>
          </cell>
          <cell r="AK22">
            <v>180655.9644</v>
          </cell>
        </row>
        <row r="23">
          <cell r="B23">
            <v>81060.726980000007</v>
          </cell>
          <cell r="C23">
            <v>83798.156610000005</v>
          </cell>
          <cell r="D23">
            <v>86578.076010000004</v>
          </cell>
          <cell r="E23">
            <v>89376.106520000001</v>
          </cell>
          <cell r="F23">
            <v>92264.136790000004</v>
          </cell>
          <cell r="G23">
            <v>95334.113589999994</v>
          </cell>
          <cell r="H23">
            <v>98513.197849999997</v>
          </cell>
          <cell r="I23">
            <v>101782.5564</v>
          </cell>
          <cell r="J23">
            <v>105135.54670000001</v>
          </cell>
          <cell r="K23">
            <v>108295.59450000001</v>
          </cell>
          <cell r="L23">
            <v>110967.431</v>
          </cell>
          <cell r="M23">
            <v>113261.9333</v>
          </cell>
          <cell r="N23">
            <v>115264.6908</v>
          </cell>
          <cell r="O23">
            <v>117073.46829999999</v>
          </cell>
          <cell r="P23">
            <v>118791.9126</v>
          </cell>
          <cell r="Q23">
            <v>120516.148</v>
          </cell>
          <cell r="R23">
            <v>122311.3766</v>
          </cell>
          <cell r="S23">
            <v>124226.2681</v>
          </cell>
          <cell r="T23">
            <v>126302.97349999999</v>
          </cell>
          <cell r="U23">
            <v>128568.6045</v>
          </cell>
          <cell r="V23">
            <v>131040.3884</v>
          </cell>
          <cell r="W23">
            <v>133734.9878</v>
          </cell>
          <cell r="X23">
            <v>136667.50599999999</v>
          </cell>
          <cell r="Y23">
            <v>139845.39129999999</v>
          </cell>
          <cell r="Z23">
            <v>143268.65470000001</v>
          </cell>
          <cell r="AA23">
            <v>146926.33249999999</v>
          </cell>
          <cell r="AB23">
            <v>150782.867</v>
          </cell>
          <cell r="AC23">
            <v>154850.67600000001</v>
          </cell>
          <cell r="AD23">
            <v>159133.10709999999</v>
          </cell>
          <cell r="AE23">
            <v>163596.17739999999</v>
          </cell>
          <cell r="AF23">
            <v>168188.92660000001</v>
          </cell>
          <cell r="AG23">
            <v>172862.53839999999</v>
          </cell>
          <cell r="AH23">
            <v>177575.8921</v>
          </cell>
          <cell r="AI23">
            <v>182293.35990000001</v>
          </cell>
          <cell r="AJ23">
            <v>186983.4161</v>
          </cell>
          <cell r="AK23">
            <v>191617.44899999999</v>
          </cell>
        </row>
        <row r="24">
          <cell r="B24">
            <v>104614.1213</v>
          </cell>
          <cell r="C24">
            <v>106776.5278</v>
          </cell>
          <cell r="D24">
            <v>109193.01850000001</v>
          </cell>
          <cell r="E24">
            <v>111776.46369999999</v>
          </cell>
          <cell r="F24">
            <v>114612.64840000001</v>
          </cell>
          <cell r="G24">
            <v>117835.7974</v>
          </cell>
          <cell r="H24">
            <v>120954.9056</v>
          </cell>
          <cell r="I24">
            <v>124031.1176</v>
          </cell>
          <cell r="J24">
            <v>127314.2111</v>
          </cell>
          <cell r="K24">
            <v>130626.6216</v>
          </cell>
          <cell r="L24">
            <v>133792.02609999999</v>
          </cell>
          <cell r="M24">
            <v>136762.06719999999</v>
          </cell>
          <cell r="N24">
            <v>139592.2366</v>
          </cell>
          <cell r="O24">
            <v>142313.302</v>
          </cell>
          <cell r="P24">
            <v>144954.0056</v>
          </cell>
          <cell r="Q24">
            <v>148824.3989</v>
          </cell>
          <cell r="R24">
            <v>150245.7513</v>
          </cell>
          <cell r="S24">
            <v>152766.59359999999</v>
          </cell>
          <cell r="T24">
            <v>155359.86040000001</v>
          </cell>
          <cell r="U24">
            <v>158020.46239999999</v>
          </cell>
          <cell r="V24">
            <v>160752.07889999999</v>
          </cell>
          <cell r="W24">
            <v>163612.84220000001</v>
          </cell>
          <cell r="X24">
            <v>166613.8847</v>
          </cell>
          <cell r="Y24">
            <v>169764.66260000001</v>
          </cell>
          <cell r="Z24">
            <v>173080.18799999999</v>
          </cell>
          <cell r="AA24">
            <v>178303.32519999999</v>
          </cell>
          <cell r="AB24">
            <v>180482.6428</v>
          </cell>
          <cell r="AC24">
            <v>184369.318</v>
          </cell>
          <cell r="AD24">
            <v>188511.2568</v>
          </cell>
          <cell r="AE24">
            <v>192841.67129999999</v>
          </cell>
          <cell r="AF24">
            <v>197323.5534</v>
          </cell>
          <cell r="AG24">
            <v>201923.72039999999</v>
          </cell>
          <cell r="AH24">
            <v>206606.52720000001</v>
          </cell>
          <cell r="AI24">
            <v>211347.3774</v>
          </cell>
          <cell r="AJ24">
            <v>216119.8137</v>
          </cell>
          <cell r="AK24">
            <v>223777.49290000001</v>
          </cell>
        </row>
        <row r="25">
          <cell r="B25">
            <v>104614.1213</v>
          </cell>
          <cell r="C25">
            <v>106776.5278</v>
          </cell>
          <cell r="D25">
            <v>109193.01850000001</v>
          </cell>
          <cell r="E25">
            <v>111776.46369999999</v>
          </cell>
          <cell r="F25">
            <v>114612.64840000001</v>
          </cell>
          <cell r="G25">
            <v>117835.7974</v>
          </cell>
          <cell r="H25">
            <v>121218.82769999999</v>
          </cell>
          <cell r="I25">
            <v>124722.8121</v>
          </cell>
          <cell r="J25">
            <v>128333.8607</v>
          </cell>
          <cell r="K25">
            <v>131868.7978</v>
          </cell>
          <cell r="L25">
            <v>135119.742</v>
          </cell>
          <cell r="M25">
            <v>138079.6649</v>
          </cell>
          <cell r="N25">
            <v>140784.71309999999</v>
          </cell>
          <cell r="O25">
            <v>143291.61780000001</v>
          </cell>
          <cell r="P25">
            <v>145669.1899</v>
          </cell>
          <cell r="Q25">
            <v>147989.55660000001</v>
          </cell>
          <cell r="R25">
            <v>150313.18539999999</v>
          </cell>
          <cell r="S25">
            <v>152692.04449999999</v>
          </cell>
          <cell r="T25">
            <v>155172.36979999999</v>
          </cell>
          <cell r="U25">
            <v>157788.6263</v>
          </cell>
          <cell r="V25">
            <v>160553.4933</v>
          </cell>
          <cell r="W25">
            <v>163505.50270000001</v>
          </cell>
          <cell r="X25">
            <v>166663.9725</v>
          </cell>
          <cell r="Y25">
            <v>170042.08170000001</v>
          </cell>
          <cell r="Z25">
            <v>173645.6453</v>
          </cell>
          <cell r="AA25">
            <v>177436.12469999999</v>
          </cell>
          <cell r="AB25">
            <v>181389.90299999999</v>
          </cell>
          <cell r="AC25">
            <v>185511.95610000001</v>
          </cell>
          <cell r="AD25">
            <v>189814.15669999999</v>
          </cell>
          <cell r="AE25">
            <v>194286.27739999999</v>
          </cell>
          <cell r="AF25">
            <v>198900.38130000001</v>
          </cell>
          <cell r="AG25">
            <v>203622.7519</v>
          </cell>
          <cell r="AH25">
            <v>208419.85699999999</v>
          </cell>
          <cell r="AI25">
            <v>213259.0269</v>
          </cell>
          <cell r="AJ25">
            <v>218108.64300000001</v>
          </cell>
          <cell r="AK25">
            <v>222937.93090000001</v>
          </cell>
        </row>
        <row r="26">
          <cell r="B26">
            <v>271066.03779999999</v>
          </cell>
          <cell r="C26">
            <v>275235.79149999999</v>
          </cell>
          <cell r="D26">
            <v>280028.01949999999</v>
          </cell>
          <cell r="E26">
            <v>285336.848</v>
          </cell>
          <cell r="F26">
            <v>291484.6348</v>
          </cell>
          <cell r="G26">
            <v>298900.63280000002</v>
          </cell>
          <cell r="H26">
            <v>306864.07270000002</v>
          </cell>
          <cell r="I26">
            <v>315033.49810000003</v>
          </cell>
          <cell r="J26">
            <v>323489.0637</v>
          </cell>
          <cell r="K26">
            <v>332317.81400000001</v>
          </cell>
          <cell r="L26">
            <v>341603.9339</v>
          </cell>
          <cell r="M26">
            <v>351368.59159999999</v>
          </cell>
          <cell r="N26">
            <v>361697.86979999999</v>
          </cell>
          <cell r="O26">
            <v>372599.54920000001</v>
          </cell>
          <cell r="P26">
            <v>384032.3751</v>
          </cell>
          <cell r="Q26">
            <v>396322.2585</v>
          </cell>
          <cell r="R26">
            <v>408589.277</v>
          </cell>
          <cell r="S26">
            <v>421215.55499999999</v>
          </cell>
          <cell r="T26">
            <v>434192.20559999999</v>
          </cell>
          <cell r="U26">
            <v>447520.24469999998</v>
          </cell>
          <cell r="V26">
            <v>461199.99900000001</v>
          </cell>
          <cell r="W26">
            <v>475317.53370000003</v>
          </cell>
          <cell r="X26">
            <v>489911.51819999999</v>
          </cell>
          <cell r="Y26">
            <v>505016.17340000003</v>
          </cell>
          <cell r="Z26">
            <v>520663.30479999998</v>
          </cell>
          <cell r="AA26">
            <v>537380.69819999998</v>
          </cell>
          <cell r="AB26">
            <v>553613.68160000001</v>
          </cell>
          <cell r="AC26">
            <v>569663.98860000004</v>
          </cell>
          <cell r="AD26">
            <v>585574.98750000005</v>
          </cell>
          <cell r="AE26">
            <v>601385.72589999996</v>
          </cell>
          <cell r="AF26">
            <v>617102.94949999999</v>
          </cell>
          <cell r="AG26">
            <v>632689.81469999999</v>
          </cell>
          <cell r="AH26">
            <v>648069.55429999996</v>
          </cell>
          <cell r="AI26">
            <v>663171.68189999997</v>
          </cell>
          <cell r="AJ26">
            <v>677934.78159999999</v>
          </cell>
          <cell r="AK26">
            <v>693111.67920000001</v>
          </cell>
        </row>
        <row r="27">
          <cell r="B27">
            <v>271066.03779999999</v>
          </cell>
          <cell r="C27">
            <v>275235.79149999999</v>
          </cell>
          <cell r="D27">
            <v>280028.01949999999</v>
          </cell>
          <cell r="E27">
            <v>285336.848</v>
          </cell>
          <cell r="F27">
            <v>291484.6347</v>
          </cell>
          <cell r="G27">
            <v>298900.63280000002</v>
          </cell>
          <cell r="H27">
            <v>307145.81579999998</v>
          </cell>
          <cell r="I27">
            <v>316057.08880000003</v>
          </cell>
          <cell r="J27">
            <v>325550.76390000002</v>
          </cell>
          <cell r="K27">
            <v>335488.05459999997</v>
          </cell>
          <cell r="L27">
            <v>345701.92629999999</v>
          </cell>
          <cell r="M27">
            <v>355959.30719999998</v>
          </cell>
          <cell r="N27">
            <v>366212.50959999999</v>
          </cell>
          <cell r="O27">
            <v>376481.1213</v>
          </cell>
          <cell r="P27">
            <v>386806.66700000002</v>
          </cell>
          <cell r="Q27">
            <v>397244.70049999998</v>
          </cell>
          <cell r="R27">
            <v>407876.20649999997</v>
          </cell>
          <cell r="S27">
            <v>418772.7708</v>
          </cell>
          <cell r="T27">
            <v>430001.848</v>
          </cell>
          <cell r="U27">
            <v>441621.32809999998</v>
          </cell>
          <cell r="V27">
            <v>453644.06559999997</v>
          </cell>
          <cell r="W27">
            <v>466140.1128</v>
          </cell>
          <cell r="X27">
            <v>479157.4767</v>
          </cell>
          <cell r="Y27">
            <v>492738.1789</v>
          </cell>
          <cell r="Z27">
            <v>506913.62190000003</v>
          </cell>
          <cell r="AA27">
            <v>521609.59889999998</v>
          </cell>
          <cell r="AB27">
            <v>535953.43130000005</v>
          </cell>
          <cell r="AC27">
            <v>549939.58459999994</v>
          </cell>
          <cell r="AD27">
            <v>563723.32849999995</v>
          </cell>
          <cell r="AE27">
            <v>577428.28289999999</v>
          </cell>
          <cell r="AF27">
            <v>591113.85320000001</v>
          </cell>
          <cell r="AG27">
            <v>604790.57440000004</v>
          </cell>
          <cell r="AH27">
            <v>618439.36459999997</v>
          </cell>
          <cell r="AI27">
            <v>632023.88560000004</v>
          </cell>
          <cell r="AJ27">
            <v>645497.65870000003</v>
          </cell>
          <cell r="AK27">
            <v>658807.11210000003</v>
          </cell>
        </row>
        <row r="28">
          <cell r="B28">
            <v>6785.6494739999998</v>
          </cell>
          <cell r="C28">
            <v>6903.6146390000004</v>
          </cell>
          <cell r="D28">
            <v>7028.0333170000004</v>
          </cell>
          <cell r="E28">
            <v>7155.4078939999999</v>
          </cell>
          <cell r="F28">
            <v>7295.7131820000004</v>
          </cell>
          <cell r="G28">
            <v>7463.0281379999997</v>
          </cell>
          <cell r="H28">
            <v>7622.3605559999996</v>
          </cell>
          <cell r="I28">
            <v>7779.0877570000002</v>
          </cell>
          <cell r="J28">
            <v>7941.445592</v>
          </cell>
          <cell r="K28">
            <v>8103.900122</v>
          </cell>
          <cell r="L28">
            <v>8260.4593160000004</v>
          </cell>
          <cell r="M28">
            <v>8411.3551260000004</v>
          </cell>
          <cell r="N28">
            <v>8558.3513839999996</v>
          </cell>
          <cell r="O28">
            <v>8701.0438560000002</v>
          </cell>
          <cell r="P28">
            <v>8839.1112809999995</v>
          </cell>
          <cell r="Q28">
            <v>8985.7956909999994</v>
          </cell>
          <cell r="R28">
            <v>9106.593245</v>
          </cell>
          <cell r="S28">
            <v>9230.0132799999992</v>
          </cell>
          <cell r="T28">
            <v>9351.5181730000004</v>
          </cell>
          <cell r="U28">
            <v>9472.2463509999998</v>
          </cell>
          <cell r="V28">
            <v>9592.6561409999995</v>
          </cell>
          <cell r="W28">
            <v>9716.6918549999991</v>
          </cell>
          <cell r="X28">
            <v>9845.6008409999995</v>
          </cell>
          <cell r="Y28">
            <v>9980.3375319999996</v>
          </cell>
          <cell r="Z28">
            <v>10121.97723</v>
          </cell>
          <cell r="AA28">
            <v>10287.573979999999</v>
          </cell>
          <cell r="AB28">
            <v>10445.16157</v>
          </cell>
          <cell r="AC28">
            <v>10622.67582</v>
          </cell>
          <cell r="AD28">
            <v>10811.85375</v>
          </cell>
          <cell r="AE28">
            <v>11011.22048</v>
          </cell>
          <cell r="AF28">
            <v>11219.43634</v>
          </cell>
          <cell r="AG28">
            <v>11435.13175</v>
          </cell>
          <cell r="AH28">
            <v>11656.74221</v>
          </cell>
          <cell r="AI28">
            <v>11882.90035</v>
          </cell>
          <cell r="AJ28">
            <v>12112.147999999999</v>
          </cell>
          <cell r="AK28">
            <v>12375.92821</v>
          </cell>
        </row>
        <row r="29">
          <cell r="B29">
            <v>6785.6494739999998</v>
          </cell>
          <cell r="C29">
            <v>6903.6146390000004</v>
          </cell>
          <cell r="D29">
            <v>7028.033316</v>
          </cell>
          <cell r="E29">
            <v>7155.4078939999999</v>
          </cell>
          <cell r="F29">
            <v>7295.7131810000001</v>
          </cell>
          <cell r="G29">
            <v>7463.0281370000002</v>
          </cell>
          <cell r="H29">
            <v>7638.2745599999998</v>
          </cell>
          <cell r="I29">
            <v>7818.7334739999997</v>
          </cell>
          <cell r="J29">
            <v>8003.3692330000003</v>
          </cell>
          <cell r="K29">
            <v>8183.4562290000003</v>
          </cell>
          <cell r="L29">
            <v>8349.2880330000007</v>
          </cell>
          <cell r="M29">
            <v>8499.2097780000004</v>
          </cell>
          <cell r="N29">
            <v>8634.6652699999995</v>
          </cell>
          <cell r="O29">
            <v>8758.1478630000001</v>
          </cell>
          <cell r="P29">
            <v>8872.9020110000001</v>
          </cell>
          <cell r="Q29">
            <v>8982.5463670000008</v>
          </cell>
          <cell r="R29">
            <v>9090.3438060000008</v>
          </cell>
          <cell r="S29">
            <v>9199.1516210000009</v>
          </cell>
          <cell r="T29">
            <v>9311.5930449999996</v>
          </cell>
          <cell r="U29">
            <v>9429.7434140000005</v>
          </cell>
          <cell r="V29">
            <v>9554.4061540000002</v>
          </cell>
          <cell r="W29">
            <v>9688.1311370000003</v>
          </cell>
          <cell r="X29">
            <v>9832.0919529999992</v>
          </cell>
          <cell r="Y29">
            <v>9987.1559649999999</v>
          </cell>
          <cell r="Z29">
            <v>10153.8449</v>
          </cell>
          <cell r="AA29">
            <v>10329.969220000001</v>
          </cell>
          <cell r="AB29">
            <v>10513.6273</v>
          </cell>
          <cell r="AC29">
            <v>10706.29328</v>
          </cell>
          <cell r="AD29">
            <v>10908.991840000001</v>
          </cell>
          <cell r="AE29">
            <v>11121.27988</v>
          </cell>
          <cell r="AF29">
            <v>11341.71571</v>
          </cell>
          <cell r="AG29">
            <v>11568.51296</v>
          </cell>
          <cell r="AH29">
            <v>11799.8565</v>
          </cell>
          <cell r="AI29">
            <v>12033.95606</v>
          </cell>
          <cell r="AJ29">
            <v>12269.06954</v>
          </cell>
          <cell r="AK29">
            <v>12503.505139999999</v>
          </cell>
        </row>
        <row r="30">
          <cell r="B30">
            <v>78064.787060000002</v>
          </cell>
          <cell r="C30">
            <v>79421.904829999999</v>
          </cell>
          <cell r="D30">
            <v>80853.266359999994</v>
          </cell>
          <cell r="E30">
            <v>82318.633719999998</v>
          </cell>
          <cell r="F30">
            <v>83932.761069999993</v>
          </cell>
          <cell r="G30">
            <v>85857.618289999999</v>
          </cell>
          <cell r="H30">
            <v>87690.641250000001</v>
          </cell>
          <cell r="I30">
            <v>89493.692769999994</v>
          </cell>
          <cell r="J30">
            <v>91361.52132</v>
          </cell>
          <cell r="K30">
            <v>93230.462289999996</v>
          </cell>
          <cell r="L30">
            <v>95031.580990000002</v>
          </cell>
          <cell r="M30">
            <v>96767.545880000005</v>
          </cell>
          <cell r="N30">
            <v>98458.648790000007</v>
          </cell>
          <cell r="O30">
            <v>100100.2393</v>
          </cell>
          <cell r="P30">
            <v>101688.6213</v>
          </cell>
          <cell r="Q30">
            <v>103376.1366</v>
          </cell>
          <cell r="R30">
            <v>104765.83930000001</v>
          </cell>
          <cell r="S30">
            <v>106185.7121</v>
          </cell>
          <cell r="T30">
            <v>107583.5523</v>
          </cell>
          <cell r="U30">
            <v>108972.4568</v>
          </cell>
          <cell r="V30">
            <v>110357.6985</v>
          </cell>
          <cell r="W30">
            <v>111784.65429999999</v>
          </cell>
          <cell r="X30">
            <v>113267.6741</v>
          </cell>
          <cell r="Y30">
            <v>114817.7381</v>
          </cell>
          <cell r="Z30">
            <v>116447.217</v>
          </cell>
          <cell r="AA30">
            <v>118352.30740000001</v>
          </cell>
          <cell r="AB30">
            <v>120165.2571</v>
          </cell>
          <cell r="AC30">
            <v>122207.45110000001</v>
          </cell>
          <cell r="AD30">
            <v>124383.82859999999</v>
          </cell>
          <cell r="AE30">
            <v>126677.42200000001</v>
          </cell>
          <cell r="AF30">
            <v>129072.8193</v>
          </cell>
          <cell r="AG30">
            <v>131554.26439999999</v>
          </cell>
          <cell r="AH30">
            <v>134103.7586</v>
          </cell>
          <cell r="AI30">
            <v>136705.57089999999</v>
          </cell>
          <cell r="AJ30">
            <v>139342.92619999999</v>
          </cell>
          <cell r="AK30">
            <v>142377.55790000001</v>
          </cell>
        </row>
        <row r="31">
          <cell r="B31">
            <v>78064.787060000002</v>
          </cell>
          <cell r="C31">
            <v>79421.904829999999</v>
          </cell>
          <cell r="D31">
            <v>80853.266350000005</v>
          </cell>
          <cell r="E31">
            <v>82318.633719999998</v>
          </cell>
          <cell r="F31">
            <v>83932.761060000004</v>
          </cell>
          <cell r="G31">
            <v>85857.618289999999</v>
          </cell>
          <cell r="H31">
            <v>87873.722229999999</v>
          </cell>
          <cell r="I31">
            <v>89949.792730000001</v>
          </cell>
          <cell r="J31">
            <v>92073.915299999993</v>
          </cell>
          <cell r="K31">
            <v>94145.707110000003</v>
          </cell>
          <cell r="L31">
            <v>96053.501569999993</v>
          </cell>
          <cell r="M31">
            <v>97778.260439999998</v>
          </cell>
          <cell r="N31">
            <v>99336.593819999995</v>
          </cell>
          <cell r="O31">
            <v>100757.1863</v>
          </cell>
          <cell r="P31">
            <v>102077.36320000001</v>
          </cell>
          <cell r="Q31">
            <v>103338.75509999999</v>
          </cell>
          <cell r="R31">
            <v>104578.89939999999</v>
          </cell>
          <cell r="S31">
            <v>105830.66740000001</v>
          </cell>
          <cell r="T31">
            <v>107124.23789999999</v>
          </cell>
          <cell r="U31">
            <v>108483.4863</v>
          </cell>
          <cell r="V31">
            <v>109917.6556</v>
          </cell>
          <cell r="W31">
            <v>111456.0805</v>
          </cell>
          <cell r="X31">
            <v>113112.2625</v>
          </cell>
          <cell r="Y31">
            <v>114896.1801</v>
          </cell>
          <cell r="Z31">
            <v>116813.83530000001</v>
          </cell>
          <cell r="AA31">
            <v>118840.0389</v>
          </cell>
          <cell r="AB31">
            <v>120952.91379999999</v>
          </cell>
          <cell r="AC31">
            <v>123169.41929999999</v>
          </cell>
          <cell r="AD31">
            <v>125501.3434</v>
          </cell>
          <cell r="AE31">
            <v>127943.5888</v>
          </cell>
          <cell r="AF31">
            <v>130479.56939999999</v>
          </cell>
          <cell r="AG31">
            <v>133088.73439999999</v>
          </cell>
          <cell r="AH31">
            <v>135750.20180000001</v>
          </cell>
          <cell r="AI31">
            <v>138443.37539999999</v>
          </cell>
          <cell r="AJ31">
            <v>141148.21350000001</v>
          </cell>
          <cell r="AK31">
            <v>143845.2531</v>
          </cell>
        </row>
        <row r="32">
          <cell r="B32">
            <v>15433.976989999999</v>
          </cell>
          <cell r="C32">
            <v>16022.19954</v>
          </cell>
          <cell r="D32">
            <v>16605.88078</v>
          </cell>
          <cell r="E32">
            <v>17169.66217</v>
          </cell>
          <cell r="F32">
            <v>17736.747360000001</v>
          </cell>
          <cell r="G32">
            <v>18352.890490000002</v>
          </cell>
          <cell r="H32">
            <v>18933.360130000001</v>
          </cell>
          <cell r="I32">
            <v>19497.563920000001</v>
          </cell>
          <cell r="J32">
            <v>20129.804</v>
          </cell>
          <cell r="K32">
            <v>20720.479909999998</v>
          </cell>
          <cell r="L32">
            <v>21172.74913</v>
          </cell>
          <cell r="M32">
            <v>21534.624500000002</v>
          </cell>
          <cell r="N32">
            <v>21838.409390000001</v>
          </cell>
          <cell r="O32">
            <v>22108.63681</v>
          </cell>
          <cell r="P32">
            <v>22365.09173</v>
          </cell>
          <cell r="Q32">
            <v>22468.463360000002</v>
          </cell>
          <cell r="R32">
            <v>22899.825720000001</v>
          </cell>
          <cell r="S32">
            <v>23194.032439999999</v>
          </cell>
          <cell r="T32">
            <v>23506.558720000001</v>
          </cell>
          <cell r="U32">
            <v>23841.331539999999</v>
          </cell>
          <cell r="V32">
            <v>24202.11076</v>
          </cell>
          <cell r="W32">
            <v>24606.995439999999</v>
          </cell>
          <cell r="X32">
            <v>25055.622749999999</v>
          </cell>
          <cell r="Y32">
            <v>25548.01814</v>
          </cell>
          <cell r="Z32">
            <v>26086.993589999998</v>
          </cell>
          <cell r="AA32">
            <v>26469.43072</v>
          </cell>
          <cell r="AB32">
            <v>27325.872609999999</v>
          </cell>
          <cell r="AC32">
            <v>28037.10281</v>
          </cell>
          <cell r="AD32">
            <v>28806.325690000001</v>
          </cell>
          <cell r="AE32">
            <v>29626.120650000001</v>
          </cell>
          <cell r="AF32">
            <v>30486.485089999998</v>
          </cell>
          <cell r="AG32">
            <v>31381.62745</v>
          </cell>
          <cell r="AH32">
            <v>32302.258470000001</v>
          </cell>
          <cell r="AI32">
            <v>33242.938020000001</v>
          </cell>
          <cell r="AJ32">
            <v>34196.328079999999</v>
          </cell>
          <cell r="AK32">
            <v>34931.318570000003</v>
          </cell>
        </row>
        <row r="33">
          <cell r="B33">
            <v>15433.976989999999</v>
          </cell>
          <cell r="C33">
            <v>16022.19954</v>
          </cell>
          <cell r="D33">
            <v>16605.88078</v>
          </cell>
          <cell r="E33">
            <v>17169.662179999999</v>
          </cell>
          <cell r="F33">
            <v>17736.747360000001</v>
          </cell>
          <cell r="G33">
            <v>18352.890490000002</v>
          </cell>
          <cell r="H33">
            <v>18998.027050000001</v>
          </cell>
          <cell r="I33">
            <v>19663.55215</v>
          </cell>
          <cell r="J33">
            <v>20345.31465</v>
          </cell>
          <cell r="K33">
            <v>20979.427250000001</v>
          </cell>
          <cell r="L33">
            <v>21499.79279</v>
          </cell>
          <cell r="M33">
            <v>21937.07272</v>
          </cell>
          <cell r="N33">
            <v>22311.96442</v>
          </cell>
          <cell r="O33">
            <v>22647.161670000001</v>
          </cell>
          <cell r="P33">
            <v>22966.044150000002</v>
          </cell>
          <cell r="Q33">
            <v>23289.59431</v>
          </cell>
          <cell r="R33">
            <v>23631.122319999999</v>
          </cell>
          <cell r="S33">
            <v>24000.112150000001</v>
          </cell>
          <cell r="T33">
            <v>24404.45966</v>
          </cell>
          <cell r="U33">
            <v>24848.646390000002</v>
          </cell>
          <cell r="V33">
            <v>25335.785639999998</v>
          </cell>
          <cell r="W33">
            <v>25867.595499999999</v>
          </cell>
          <cell r="X33">
            <v>26446.36808</v>
          </cell>
          <cell r="Y33">
            <v>27072.856019999999</v>
          </cell>
          <cell r="Z33">
            <v>27746.32661</v>
          </cell>
          <cell r="AA33">
            <v>28465.830859999998</v>
          </cell>
          <cell r="AB33">
            <v>29231.099839999999</v>
          </cell>
          <cell r="AC33">
            <v>30042.727210000001</v>
          </cell>
          <cell r="AD33">
            <v>30899.318449999999</v>
          </cell>
          <cell r="AE33">
            <v>31792.299729999999</v>
          </cell>
          <cell r="AF33">
            <v>32710.288949999998</v>
          </cell>
          <cell r="AG33">
            <v>33643.045559999999</v>
          </cell>
          <cell r="AH33">
            <v>34582.389589999999</v>
          </cell>
          <cell r="AI33">
            <v>35521.492530000003</v>
          </cell>
          <cell r="AJ33">
            <v>36454.460659999997</v>
          </cell>
          <cell r="AK33">
            <v>37376.009230000003</v>
          </cell>
        </row>
        <row r="34">
          <cell r="B34">
            <v>20631.301049999998</v>
          </cell>
          <cell r="C34">
            <v>21176.55647</v>
          </cell>
          <cell r="D34">
            <v>21746.006700000002</v>
          </cell>
          <cell r="E34">
            <v>22319.820210000002</v>
          </cell>
          <cell r="F34">
            <v>22957.403300000002</v>
          </cell>
          <cell r="G34">
            <v>23702.38766</v>
          </cell>
          <cell r="H34">
            <v>24431.770629999999</v>
          </cell>
          <cell r="I34">
            <v>25104.004120000001</v>
          </cell>
          <cell r="J34">
            <v>25754.807990000001</v>
          </cell>
          <cell r="K34">
            <v>26292.477569999999</v>
          </cell>
          <cell r="L34">
            <v>26632.1423</v>
          </cell>
          <cell r="M34">
            <v>26919.120490000001</v>
          </cell>
          <cell r="N34">
            <v>27228.433389999998</v>
          </cell>
          <cell r="O34">
            <v>27569.333739999998</v>
          </cell>
          <cell r="P34">
            <v>27933.070759999999</v>
          </cell>
          <cell r="Q34">
            <v>28436.251609999999</v>
          </cell>
          <cell r="R34">
            <v>28695.170979999999</v>
          </cell>
          <cell r="S34">
            <v>29042.912520000002</v>
          </cell>
          <cell r="T34">
            <v>29375.380659999999</v>
          </cell>
          <cell r="U34">
            <v>29713.964349999998</v>
          </cell>
          <cell r="V34">
            <v>30066.34693</v>
          </cell>
          <cell r="W34">
            <v>30469.49912</v>
          </cell>
          <cell r="X34">
            <v>30929.177510000001</v>
          </cell>
          <cell r="Y34">
            <v>31446.26354</v>
          </cell>
          <cell r="Z34">
            <v>32022.8056</v>
          </cell>
          <cell r="AA34">
            <v>32825.16345</v>
          </cell>
          <cell r="AB34">
            <v>33396.080929999996</v>
          </cell>
          <cell r="AC34">
            <v>34209.999880000003</v>
          </cell>
          <cell r="AD34">
            <v>35116.681420000001</v>
          </cell>
          <cell r="AE34">
            <v>36112.070919999998</v>
          </cell>
          <cell r="AF34">
            <v>37189.178979999997</v>
          </cell>
          <cell r="AG34">
            <v>38344.41951</v>
          </cell>
          <cell r="AH34">
            <v>39567.312310000001</v>
          </cell>
          <cell r="AI34">
            <v>40847.402090000003</v>
          </cell>
          <cell r="AJ34">
            <v>42172.118119999999</v>
          </cell>
          <cell r="AK34">
            <v>43825.961289999999</v>
          </cell>
        </row>
        <row r="35">
          <cell r="B35">
            <v>20631.301049999998</v>
          </cell>
          <cell r="C35">
            <v>21176.55647</v>
          </cell>
          <cell r="D35">
            <v>21746.006700000002</v>
          </cell>
          <cell r="E35">
            <v>22319.820210000002</v>
          </cell>
          <cell r="F35">
            <v>22957.403289999998</v>
          </cell>
          <cell r="G35">
            <v>23702.38766</v>
          </cell>
          <cell r="H35">
            <v>24491.336859999999</v>
          </cell>
          <cell r="I35">
            <v>25320.463019999999</v>
          </cell>
          <cell r="J35">
            <v>26185.399730000001</v>
          </cell>
          <cell r="K35">
            <v>27034.455099999999</v>
          </cell>
          <cell r="L35">
            <v>27813.336240000001</v>
          </cell>
          <cell r="M35">
            <v>28517.480800000001</v>
          </cell>
          <cell r="N35">
            <v>29153.313900000001</v>
          </cell>
          <cell r="O35">
            <v>29731.419099999999</v>
          </cell>
          <cell r="P35">
            <v>30266.0929</v>
          </cell>
          <cell r="Q35">
            <v>30773.764289999999</v>
          </cell>
          <cell r="R35">
            <v>31269.19556</v>
          </cell>
          <cell r="S35">
            <v>31766.18564</v>
          </cell>
          <cell r="T35">
            <v>32277.529589999998</v>
          </cell>
          <cell r="U35">
            <v>32813.21009</v>
          </cell>
          <cell r="V35">
            <v>33376.379309999997</v>
          </cell>
          <cell r="W35">
            <v>33981.856540000001</v>
          </cell>
          <cell r="X35">
            <v>34635.280590000002</v>
          </cell>
          <cell r="Y35">
            <v>35341.382709999998</v>
          </cell>
          <cell r="Z35">
            <v>36103.060149999998</v>
          </cell>
          <cell r="AA35">
            <v>36907.31568</v>
          </cell>
          <cell r="AB35">
            <v>37764.787450000003</v>
          </cell>
          <cell r="AC35">
            <v>38677.643920000002</v>
          </cell>
          <cell r="AD35">
            <v>39648.422870000002</v>
          </cell>
          <cell r="AE35">
            <v>40674.374000000003</v>
          </cell>
          <cell r="AF35">
            <v>41748.582269999999</v>
          </cell>
          <cell r="AG35">
            <v>42862.718240000002</v>
          </cell>
          <cell r="AH35">
            <v>44008.203630000004</v>
          </cell>
          <cell r="AI35">
            <v>45176.211020000002</v>
          </cell>
          <cell r="AJ35">
            <v>46357.745280000003</v>
          </cell>
          <cell r="AK35">
            <v>47543.649770000004</v>
          </cell>
        </row>
        <row r="36">
          <cell r="B36">
            <v>2017076.1029999999</v>
          </cell>
          <cell r="C36">
            <v>2054213.4350000001</v>
          </cell>
          <cell r="D36">
            <v>2095431.2819999999</v>
          </cell>
          <cell r="E36">
            <v>2140198.1779999998</v>
          </cell>
          <cell r="F36">
            <v>2190433.1439999999</v>
          </cell>
          <cell r="G36">
            <v>2248775.1090000002</v>
          </cell>
          <cell r="H36">
            <v>2304726.6379999998</v>
          </cell>
          <cell r="I36">
            <v>2360436.0729999999</v>
          </cell>
          <cell r="J36">
            <v>2417545.0269999998</v>
          </cell>
          <cell r="K36">
            <v>2476339.9950000001</v>
          </cell>
          <cell r="L36">
            <v>2537075.878</v>
          </cell>
          <cell r="M36">
            <v>2596427.4350000001</v>
          </cell>
          <cell r="N36">
            <v>2655047.4330000002</v>
          </cell>
          <cell r="O36">
            <v>2712730.3390000002</v>
          </cell>
          <cell r="P36">
            <v>2769140.7259999998</v>
          </cell>
          <cell r="Q36">
            <v>2828731.7340000002</v>
          </cell>
          <cell r="R36">
            <v>2879128.14</v>
          </cell>
          <cell r="S36">
            <v>2930202.1439999999</v>
          </cell>
          <cell r="T36">
            <v>2980489.077</v>
          </cell>
          <cell r="U36">
            <v>3030241.4589999998</v>
          </cell>
          <cell r="V36">
            <v>3079473.0809999998</v>
          </cell>
          <cell r="W36">
            <v>3128997.7740000002</v>
          </cell>
          <cell r="X36">
            <v>3179238.8829999999</v>
          </cell>
          <cell r="Y36">
            <v>3230534.4849999999</v>
          </cell>
          <cell r="Z36">
            <v>3283216.622</v>
          </cell>
          <cell r="AA36">
            <v>3343079.5750000002</v>
          </cell>
          <cell r="AB36">
            <v>3400477.699</v>
          </cell>
          <cell r="AC36">
            <v>3463056.4389999998</v>
          </cell>
          <cell r="AD36">
            <v>3528265.1910000001</v>
          </cell>
          <cell r="AE36">
            <v>3595933.949</v>
          </cell>
          <cell r="AF36">
            <v>3665908.9029999999</v>
          </cell>
          <cell r="AG36">
            <v>3737761.2749999999</v>
          </cell>
          <cell r="AH36">
            <v>3811156.977</v>
          </cell>
          <cell r="AI36">
            <v>3885782.3029999998</v>
          </cell>
          <cell r="AJ36">
            <v>3961329.5529999998</v>
          </cell>
          <cell r="AK36">
            <v>4048234.12</v>
          </cell>
        </row>
        <row r="37">
          <cell r="B37">
            <v>2017076.1029999999</v>
          </cell>
          <cell r="C37">
            <v>2054213.4350000001</v>
          </cell>
          <cell r="D37">
            <v>2095431.2819999999</v>
          </cell>
          <cell r="E37">
            <v>2140198.1779999998</v>
          </cell>
          <cell r="F37">
            <v>2190433.1439999999</v>
          </cell>
          <cell r="G37">
            <v>2248775.1090000002</v>
          </cell>
          <cell r="H37">
            <v>2309711.9939999999</v>
          </cell>
          <cell r="I37">
            <v>2372622.5350000001</v>
          </cell>
          <cell r="J37">
            <v>2437190.219</v>
          </cell>
          <cell r="K37">
            <v>2501084.66</v>
          </cell>
          <cell r="L37">
            <v>2561694.0219999999</v>
          </cell>
          <cell r="M37">
            <v>2617702.1030000001</v>
          </cell>
          <cell r="N37">
            <v>2669287.0580000002</v>
          </cell>
          <cell r="O37">
            <v>2716982.216</v>
          </cell>
          <cell r="P37">
            <v>2761582.5040000002</v>
          </cell>
          <cell r="Q37">
            <v>2804065.9879999999</v>
          </cell>
          <cell r="R37">
            <v>2845424.09</v>
          </cell>
          <cell r="S37">
            <v>2886591.21</v>
          </cell>
          <cell r="T37">
            <v>2928438.0120000001</v>
          </cell>
          <cell r="U37">
            <v>2971675.3539999998</v>
          </cell>
          <cell r="V37">
            <v>3016477.7310000001</v>
          </cell>
          <cell r="W37">
            <v>3063891.4240000001</v>
          </cell>
          <cell r="X37">
            <v>3114322.0249999999</v>
          </cell>
          <cell r="Y37">
            <v>3168101.6529999999</v>
          </cell>
          <cell r="Z37">
            <v>3225447.1260000002</v>
          </cell>
          <cell r="AA37">
            <v>3285333.611</v>
          </cell>
          <cell r="AB37">
            <v>3347195.571</v>
          </cell>
          <cell r="AC37">
            <v>3411572.7209999999</v>
          </cell>
          <cell r="AD37">
            <v>3478965.8280000002</v>
          </cell>
          <cell r="AE37">
            <v>3549457.3220000002</v>
          </cell>
          <cell r="AF37">
            <v>3622783.5580000002</v>
          </cell>
          <cell r="AG37">
            <v>3698510.7549999999</v>
          </cell>
          <cell r="AH37">
            <v>3776138.3190000001</v>
          </cell>
          <cell r="AI37">
            <v>3855130.8390000002</v>
          </cell>
          <cell r="AJ37">
            <v>3934934.4479999999</v>
          </cell>
          <cell r="AK37">
            <v>4014983.3829999999</v>
          </cell>
        </row>
        <row r="38">
          <cell r="B38">
            <v>539598.75760000001</v>
          </cell>
          <cell r="C38">
            <v>546510.51850000001</v>
          </cell>
          <cell r="D38">
            <v>553715.99430000002</v>
          </cell>
          <cell r="E38">
            <v>561236.93070000003</v>
          </cell>
          <cell r="F38">
            <v>569170.978</v>
          </cell>
          <cell r="G38">
            <v>577659.03769999999</v>
          </cell>
          <cell r="H38">
            <v>586144.929</v>
          </cell>
          <cell r="I38">
            <v>594701.43090000004</v>
          </cell>
          <cell r="J38">
            <v>603441.83050000004</v>
          </cell>
          <cell r="K38">
            <v>612360.85770000005</v>
          </cell>
          <cell r="L38">
            <v>621467.38219999999</v>
          </cell>
          <cell r="M38">
            <v>630465.70730000001</v>
          </cell>
          <cell r="N38">
            <v>639438.23490000004</v>
          </cell>
          <cell r="O38">
            <v>648390.86069999996</v>
          </cell>
          <cell r="P38">
            <v>657311.02300000004</v>
          </cell>
          <cell r="Q38">
            <v>666548.41379999998</v>
          </cell>
          <cell r="R38">
            <v>675175.6078</v>
          </cell>
          <cell r="S38">
            <v>683964.66780000005</v>
          </cell>
          <cell r="T38">
            <v>692759.39229999995</v>
          </cell>
          <cell r="U38">
            <v>701575.26850000001</v>
          </cell>
          <cell r="V38">
            <v>710415.04779999994</v>
          </cell>
          <cell r="W38">
            <v>719331.9094</v>
          </cell>
          <cell r="X38">
            <v>728357.97010000004</v>
          </cell>
          <cell r="Y38">
            <v>737519.12199999997</v>
          </cell>
          <cell r="Z38">
            <v>746840.31169999996</v>
          </cell>
          <cell r="AA38">
            <v>756756.93770000001</v>
          </cell>
          <cell r="AB38">
            <v>766218.46259999997</v>
          </cell>
          <cell r="AC38">
            <v>776140.13619999995</v>
          </cell>
          <cell r="AD38">
            <v>786310.33559999999</v>
          </cell>
          <cell r="AE38">
            <v>796727.28729999997</v>
          </cell>
          <cell r="AF38">
            <v>807382.30960000004</v>
          </cell>
          <cell r="AG38">
            <v>818244.01229999994</v>
          </cell>
          <cell r="AH38">
            <v>829291.09920000006</v>
          </cell>
          <cell r="AI38">
            <v>840504.00230000005</v>
          </cell>
          <cell r="AJ38">
            <v>851862.5932</v>
          </cell>
          <cell r="AK38">
            <v>864080.08129999996</v>
          </cell>
        </row>
        <row r="39">
          <cell r="B39">
            <v>539598.75760000001</v>
          </cell>
          <cell r="C39">
            <v>546510.51850000001</v>
          </cell>
          <cell r="D39">
            <v>553715.99430000002</v>
          </cell>
          <cell r="E39">
            <v>561236.93070000003</v>
          </cell>
          <cell r="F39">
            <v>569170.978</v>
          </cell>
          <cell r="G39">
            <v>577659.03769999999</v>
          </cell>
          <cell r="H39">
            <v>586378.43539999996</v>
          </cell>
          <cell r="I39">
            <v>595288.94889999996</v>
          </cell>
          <cell r="J39">
            <v>604362.10069999995</v>
          </cell>
          <cell r="K39">
            <v>613474.64280000003</v>
          </cell>
          <cell r="L39">
            <v>622492.39989999996</v>
          </cell>
          <cell r="M39">
            <v>631296.23910000001</v>
          </cell>
          <cell r="N39">
            <v>639886.71140000003</v>
          </cell>
          <cell r="O39">
            <v>648285.92720000003</v>
          </cell>
          <cell r="P39">
            <v>656534.78630000004</v>
          </cell>
          <cell r="Q39">
            <v>664689.67610000004</v>
          </cell>
          <cell r="R39">
            <v>672813.57180000003</v>
          </cell>
          <cell r="S39">
            <v>680966.8236</v>
          </cell>
          <cell r="T39">
            <v>689206.62690000003</v>
          </cell>
          <cell r="U39">
            <v>697581.43660000002</v>
          </cell>
          <cell r="V39">
            <v>706101.75749999995</v>
          </cell>
          <cell r="W39">
            <v>714843.86159999995</v>
          </cell>
          <cell r="X39">
            <v>723835.08869999996</v>
          </cell>
          <cell r="Y39">
            <v>733099.52359999996</v>
          </cell>
          <cell r="Z39">
            <v>742654.74719999998</v>
          </cell>
          <cell r="AA39">
            <v>752427.96180000005</v>
          </cell>
          <cell r="AB39">
            <v>762355.52190000005</v>
          </cell>
          <cell r="AC39">
            <v>772494.12109999999</v>
          </cell>
          <cell r="AD39">
            <v>782888.62600000005</v>
          </cell>
          <cell r="AE39">
            <v>793552.06839999999</v>
          </cell>
          <cell r="AF39">
            <v>804473.7905</v>
          </cell>
          <cell r="AG39">
            <v>815630.61080000002</v>
          </cell>
          <cell r="AH39">
            <v>826993.44739999995</v>
          </cell>
          <cell r="AI39">
            <v>838529.95900000003</v>
          </cell>
          <cell r="AJ39">
            <v>850205.97499999998</v>
          </cell>
          <cell r="AK39">
            <v>861986.22039999999</v>
          </cell>
        </row>
        <row r="40">
          <cell r="B40">
            <v>4215.1773030000004</v>
          </cell>
          <cell r="C40">
            <v>4282.4795519999998</v>
          </cell>
          <cell r="D40">
            <v>4354.9217010000002</v>
          </cell>
          <cell r="E40">
            <v>4431.7564039999997</v>
          </cell>
          <cell r="F40">
            <v>4520.5297330000003</v>
          </cell>
          <cell r="G40">
            <v>4633.721493</v>
          </cell>
          <cell r="H40">
            <v>4723.2760040000003</v>
          </cell>
          <cell r="I40">
            <v>4813.5580069999996</v>
          </cell>
          <cell r="J40">
            <v>4904.0581249999996</v>
          </cell>
          <cell r="K40">
            <v>4992.8570309999996</v>
          </cell>
          <cell r="L40">
            <v>5076.8699139999999</v>
          </cell>
          <cell r="M40">
            <v>5162.4895809999998</v>
          </cell>
          <cell r="N40">
            <v>5249.3397009999999</v>
          </cell>
          <cell r="O40">
            <v>5336.9420620000001</v>
          </cell>
          <cell r="P40">
            <v>5424.7223739999999</v>
          </cell>
          <cell r="Q40">
            <v>5519.1569680000002</v>
          </cell>
          <cell r="R40">
            <v>5609.4872420000002</v>
          </cell>
          <cell r="S40">
            <v>5699.7824280000004</v>
          </cell>
          <cell r="T40">
            <v>5786.6807559999997</v>
          </cell>
          <cell r="U40">
            <v>5867.3049339999998</v>
          </cell>
          <cell r="V40">
            <v>5945.7280449999998</v>
          </cell>
          <cell r="W40">
            <v>6025.1486269999996</v>
          </cell>
          <cell r="X40">
            <v>6106.8744370000004</v>
          </cell>
          <cell r="Y40">
            <v>6191.6149759999998</v>
          </cell>
          <cell r="Z40">
            <v>6280.0278449999996</v>
          </cell>
          <cell r="AA40">
            <v>6380.6156709999996</v>
          </cell>
          <cell r="AB40">
            <v>6494.1082889999998</v>
          </cell>
          <cell r="AC40">
            <v>6616.7548129999996</v>
          </cell>
          <cell r="AD40">
            <v>6745.2952839999998</v>
          </cell>
          <cell r="AE40">
            <v>6878.5188129999997</v>
          </cell>
          <cell r="AF40">
            <v>7015.5496110000004</v>
          </cell>
          <cell r="AG40">
            <v>7156.1081320000003</v>
          </cell>
          <cell r="AH40">
            <v>7299.6651169999996</v>
          </cell>
          <cell r="AI40">
            <v>7445.4300439999997</v>
          </cell>
          <cell r="AJ40">
            <v>7592.607712</v>
          </cell>
          <cell r="AK40">
            <v>7755.076881</v>
          </cell>
        </row>
        <row r="41">
          <cell r="B41">
            <v>4215.1773009999997</v>
          </cell>
          <cell r="C41">
            <v>4282.4795510000004</v>
          </cell>
          <cell r="D41">
            <v>4354.9216990000004</v>
          </cell>
          <cell r="E41">
            <v>4431.7564039999997</v>
          </cell>
          <cell r="F41">
            <v>4520.5297330000003</v>
          </cell>
          <cell r="G41">
            <v>4633.721493</v>
          </cell>
          <cell r="H41">
            <v>4752.8700959999996</v>
          </cell>
          <cell r="I41">
            <v>4878.0678099999996</v>
          </cell>
          <cell r="J41">
            <v>5007.4788950000002</v>
          </cell>
          <cell r="K41">
            <v>5133.6345030000002</v>
          </cell>
          <cell r="L41">
            <v>5248.2555320000001</v>
          </cell>
          <cell r="M41">
            <v>5352.3840559999999</v>
          </cell>
          <cell r="N41">
            <v>5446.113061</v>
          </cell>
          <cell r="O41">
            <v>5531.7411469999997</v>
          </cell>
          <cell r="P41">
            <v>5612.2076729999999</v>
          </cell>
          <cell r="Q41">
            <v>5690.6030259999998</v>
          </cell>
          <cell r="R41">
            <v>5769.460548</v>
          </cell>
          <cell r="S41">
            <v>5850.9591769999997</v>
          </cell>
          <cell r="T41">
            <v>5937.0263709999999</v>
          </cell>
          <cell r="U41">
            <v>6029.1428130000004</v>
          </cell>
          <cell r="V41">
            <v>6127.9903869999998</v>
          </cell>
          <cell r="W41">
            <v>6235.0315559999999</v>
          </cell>
          <cell r="X41">
            <v>6351.114767</v>
          </cell>
          <cell r="Y41">
            <v>6476.8013019999999</v>
          </cell>
          <cell r="Z41">
            <v>6612.4182449999998</v>
          </cell>
          <cell r="AA41">
            <v>6756.7096780000002</v>
          </cell>
          <cell r="AB41">
            <v>6906.0081730000002</v>
          </cell>
          <cell r="AC41">
            <v>7061.5143969999999</v>
          </cell>
          <cell r="AD41">
            <v>7224.2766519999996</v>
          </cell>
          <cell r="AE41">
            <v>7393.9264839999996</v>
          </cell>
          <cell r="AF41">
            <v>7569.2154730000002</v>
          </cell>
          <cell r="AG41">
            <v>7748.633511</v>
          </cell>
          <cell r="AH41">
            <v>7930.7041319999998</v>
          </cell>
          <cell r="AI41">
            <v>8114.0321080000003</v>
          </cell>
          <cell r="AJ41">
            <v>8297.3112889999993</v>
          </cell>
          <cell r="AK41">
            <v>8479.3142329999991</v>
          </cell>
        </row>
        <row r="42">
          <cell r="B42">
            <v>35375.461589999999</v>
          </cell>
          <cell r="C42">
            <v>35747.68245</v>
          </cell>
          <cell r="D42">
            <v>36050.841529999998</v>
          </cell>
          <cell r="E42">
            <v>36242.85772</v>
          </cell>
          <cell r="F42">
            <v>36541.81508</v>
          </cell>
          <cell r="G42">
            <v>37202.478880000002</v>
          </cell>
          <cell r="H42">
            <v>37925.229760000002</v>
          </cell>
          <cell r="I42">
            <v>38621.480730000003</v>
          </cell>
          <cell r="J42">
            <v>39293.394679999998</v>
          </cell>
          <cell r="K42">
            <v>39920.421490000001</v>
          </cell>
          <cell r="L42">
            <v>40438.128089999998</v>
          </cell>
          <cell r="M42">
            <v>41040.877460000003</v>
          </cell>
          <cell r="N42">
            <v>41722.928039999999</v>
          </cell>
          <cell r="O42">
            <v>42460.870219999997</v>
          </cell>
          <cell r="P42">
            <v>43230.643259999997</v>
          </cell>
          <cell r="Q42">
            <v>44043.334589999999</v>
          </cell>
          <cell r="R42">
            <v>44676.359909999999</v>
          </cell>
          <cell r="S42">
            <v>45272.517999999996</v>
          </cell>
          <cell r="T42">
            <v>45674.33509</v>
          </cell>
          <cell r="U42">
            <v>45636.594570000001</v>
          </cell>
          <cell r="V42">
            <v>45477.515310000003</v>
          </cell>
          <cell r="W42">
            <v>45208.016920000002</v>
          </cell>
          <cell r="X42">
            <v>44838.027739999998</v>
          </cell>
          <cell r="Y42">
            <v>44376.963389999997</v>
          </cell>
          <cell r="Z42">
            <v>43835.215819999998</v>
          </cell>
          <cell r="AA42">
            <v>43252.205459999997</v>
          </cell>
          <cell r="AB42">
            <v>42650.589359999998</v>
          </cell>
          <cell r="AC42">
            <v>42002.191050000001</v>
          </cell>
          <cell r="AD42">
            <v>41325.511870000002</v>
          </cell>
          <cell r="AE42">
            <v>40631.105900000002</v>
          </cell>
          <cell r="AF42">
            <v>39928.154739999998</v>
          </cell>
          <cell r="AG42">
            <v>39232.713150000003</v>
          </cell>
          <cell r="AH42">
            <v>38558.06871</v>
          </cell>
          <cell r="AI42">
            <v>37915.99985</v>
          </cell>
          <cell r="AJ42">
            <v>37317.391049999998</v>
          </cell>
          <cell r="AK42">
            <v>36807.034679999997</v>
          </cell>
        </row>
        <row r="43">
          <cell r="B43">
            <v>35375.461490000002</v>
          </cell>
          <cell r="C43">
            <v>35747.682350000003</v>
          </cell>
          <cell r="D43">
            <v>36050.84143</v>
          </cell>
          <cell r="E43">
            <v>36242.857620000002</v>
          </cell>
          <cell r="F43">
            <v>36541.814989999999</v>
          </cell>
          <cell r="G43">
            <v>37202.478790000001</v>
          </cell>
          <cell r="H43">
            <v>37979.926650000001</v>
          </cell>
          <cell r="I43">
            <v>38807.999920000002</v>
          </cell>
          <cell r="J43">
            <v>39670.01513</v>
          </cell>
          <cell r="K43">
            <v>40521.368490000001</v>
          </cell>
          <cell r="L43">
            <v>41314.070460000003</v>
          </cell>
          <cell r="M43">
            <v>42038.02435</v>
          </cell>
          <cell r="N43">
            <v>42696.947610000003</v>
          </cell>
          <cell r="O43">
            <v>43303.224450000002</v>
          </cell>
          <cell r="P43">
            <v>43870.922579999999</v>
          </cell>
          <cell r="Q43">
            <v>44415.43419</v>
          </cell>
          <cell r="R43">
            <v>44941.205399999999</v>
          </cell>
          <cell r="S43">
            <v>45472.100760000001</v>
          </cell>
          <cell r="T43">
            <v>46018.659379999997</v>
          </cell>
          <cell r="U43">
            <v>46589.139889999999</v>
          </cell>
          <cell r="V43">
            <v>47188.66893</v>
          </cell>
          <cell r="W43">
            <v>47828.443529999997</v>
          </cell>
          <cell r="X43">
            <v>48515.744359999997</v>
          </cell>
          <cell r="Y43">
            <v>49257.008070000003</v>
          </cell>
          <cell r="Z43">
            <v>50058.092579999997</v>
          </cell>
          <cell r="AA43">
            <v>50916.78383</v>
          </cell>
          <cell r="AB43">
            <v>51733.708169999998</v>
          </cell>
          <cell r="AC43">
            <v>52567.646840000001</v>
          </cell>
          <cell r="AD43">
            <v>53447.533470000002</v>
          </cell>
          <cell r="AE43">
            <v>54377.711569999999</v>
          </cell>
          <cell r="AF43">
            <v>55352.15135</v>
          </cell>
          <cell r="AG43">
            <v>56361.864909999997</v>
          </cell>
          <cell r="AH43">
            <v>57397.572740000003</v>
          </cell>
          <cell r="AI43">
            <v>58450.099069999997</v>
          </cell>
          <cell r="AJ43">
            <v>59510.46067</v>
          </cell>
          <cell r="AK43">
            <v>60569.739869999998</v>
          </cell>
        </row>
        <row r="44">
          <cell r="B44">
            <v>3921.1024779999998</v>
          </cell>
          <cell r="C44">
            <v>3946.6523050000001</v>
          </cell>
          <cell r="D44">
            <v>3963.3522309999998</v>
          </cell>
          <cell r="E44">
            <v>3968.7854299999999</v>
          </cell>
          <cell r="F44">
            <v>3985.1583540000001</v>
          </cell>
          <cell r="G44">
            <v>4040.0984330000001</v>
          </cell>
          <cell r="H44">
            <v>4097.9867720000002</v>
          </cell>
          <cell r="I44">
            <v>4153.2669310000001</v>
          </cell>
          <cell r="J44">
            <v>4205.5973190000004</v>
          </cell>
          <cell r="K44">
            <v>4252.5074750000003</v>
          </cell>
          <cell r="L44">
            <v>4290.5210800000004</v>
          </cell>
          <cell r="M44">
            <v>4341.1092619999999</v>
          </cell>
          <cell r="N44">
            <v>4400.2951089999997</v>
          </cell>
          <cell r="O44">
            <v>4465.1592909999999</v>
          </cell>
          <cell r="P44">
            <v>4532.951521</v>
          </cell>
          <cell r="Q44">
            <v>4602.7473769999997</v>
          </cell>
          <cell r="R44">
            <v>4667.4983679999996</v>
          </cell>
          <cell r="S44">
            <v>4727.8791510000001</v>
          </cell>
          <cell r="T44">
            <v>5011.9444739999999</v>
          </cell>
          <cell r="U44">
            <v>5955.125951</v>
          </cell>
          <cell r="V44">
            <v>7049.055343</v>
          </cell>
          <cell r="W44">
            <v>8306.5433859999994</v>
          </cell>
          <cell r="X44">
            <v>9741.5863279999994</v>
          </cell>
          <cell r="Y44">
            <v>11366.226129999999</v>
          </cell>
          <cell r="Z44">
            <v>13189.48011</v>
          </cell>
          <cell r="AA44">
            <v>15218.569509999999</v>
          </cell>
          <cell r="AB44">
            <v>17460.163649999999</v>
          </cell>
          <cell r="AC44">
            <v>19906.087729999999</v>
          </cell>
          <cell r="AD44">
            <v>22545.113160000001</v>
          </cell>
          <cell r="AE44">
            <v>25356.074670000002</v>
          </cell>
          <cell r="AF44">
            <v>28309.69702</v>
          </cell>
          <cell r="AG44">
            <v>31373.83409</v>
          </cell>
          <cell r="AH44">
            <v>34509.888780000001</v>
          </cell>
          <cell r="AI44">
            <v>37675.712979999997</v>
          </cell>
          <cell r="AJ44">
            <v>40828.456919999997</v>
          </cell>
          <cell r="AK44">
            <v>43950.99914</v>
          </cell>
        </row>
        <row r="45">
          <cell r="B45">
            <v>3921.1024779999998</v>
          </cell>
          <cell r="C45">
            <v>3946.6523050000001</v>
          </cell>
          <cell r="D45">
            <v>3963.3522309999998</v>
          </cell>
          <cell r="E45">
            <v>3968.7854309999998</v>
          </cell>
          <cell r="F45">
            <v>3985.1583540000001</v>
          </cell>
          <cell r="G45">
            <v>4040.098434</v>
          </cell>
          <cell r="H45">
            <v>4101.9674800000003</v>
          </cell>
          <cell r="I45">
            <v>4167.9437390000003</v>
          </cell>
          <cell r="J45">
            <v>4236.4472580000001</v>
          </cell>
          <cell r="K45">
            <v>4304.5353619999996</v>
          </cell>
          <cell r="L45">
            <v>4369.0958929999997</v>
          </cell>
          <cell r="M45">
            <v>4434.3199109999996</v>
          </cell>
          <cell r="N45">
            <v>4495.3107639999998</v>
          </cell>
          <cell r="O45">
            <v>4551.8332300000002</v>
          </cell>
          <cell r="P45">
            <v>4604.3942260000003</v>
          </cell>
          <cell r="Q45">
            <v>4653.8148760000004</v>
          </cell>
          <cell r="R45">
            <v>4698.7118730000002</v>
          </cell>
          <cell r="S45">
            <v>4742.6659399999999</v>
          </cell>
          <cell r="T45">
            <v>4786.6190450000004</v>
          </cell>
          <cell r="U45">
            <v>4831.2615500000002</v>
          </cell>
          <cell r="V45">
            <v>4877.0623519999999</v>
          </cell>
          <cell r="W45">
            <v>4924.9160300000003</v>
          </cell>
          <cell r="X45">
            <v>4975.4649980000004</v>
          </cell>
          <cell r="Y45">
            <v>5029.268685</v>
          </cell>
          <cell r="Z45">
            <v>5086.8358909999997</v>
          </cell>
          <cell r="AA45">
            <v>5148.0334190000003</v>
          </cell>
          <cell r="AB45">
            <v>5211.9535530000003</v>
          </cell>
          <cell r="AC45">
            <v>5279.4248269999998</v>
          </cell>
          <cell r="AD45">
            <v>5350.970026</v>
          </cell>
          <cell r="AE45">
            <v>5426.5455590000001</v>
          </cell>
          <cell r="AF45">
            <v>5505.7731229999999</v>
          </cell>
          <cell r="AG45">
            <v>5588.1220960000001</v>
          </cell>
          <cell r="AH45">
            <v>5672.9962939999996</v>
          </cell>
          <cell r="AI45">
            <v>5759.7535989999997</v>
          </cell>
          <cell r="AJ45">
            <v>5847.7158369999997</v>
          </cell>
          <cell r="AK45">
            <v>5936.1785609999997</v>
          </cell>
        </row>
        <row r="46">
          <cell r="B46">
            <v>399.08857030000001</v>
          </cell>
          <cell r="C46">
            <v>403.24266349999999</v>
          </cell>
          <cell r="D46">
            <v>404.92040050000003</v>
          </cell>
          <cell r="E46">
            <v>406.56989879999998</v>
          </cell>
          <cell r="F46">
            <v>412.16666720000001</v>
          </cell>
          <cell r="G46">
            <v>420.90434370000003</v>
          </cell>
          <cell r="H46">
            <v>435.73862059999999</v>
          </cell>
          <cell r="I46">
            <v>451.6649018</v>
          </cell>
          <cell r="J46">
            <v>467.615364</v>
          </cell>
          <cell r="K46">
            <v>483.12599290000003</v>
          </cell>
          <cell r="L46">
            <v>490.69666050000001</v>
          </cell>
          <cell r="M46">
            <v>492.7501231</v>
          </cell>
          <cell r="N46">
            <v>494.6688843</v>
          </cell>
          <cell r="O46">
            <v>496.977236</v>
          </cell>
          <cell r="P46">
            <v>499.52085240000002</v>
          </cell>
          <cell r="Q46">
            <v>503.71600510000002</v>
          </cell>
          <cell r="R46">
            <v>487.87563740000002</v>
          </cell>
          <cell r="S46">
            <v>470.35555299999999</v>
          </cell>
          <cell r="T46">
            <v>450.63816530000003</v>
          </cell>
          <cell r="U46">
            <v>429.00665709999998</v>
          </cell>
          <cell r="V46">
            <v>406.33903470000001</v>
          </cell>
          <cell r="W46">
            <v>383.91241280000003</v>
          </cell>
          <cell r="X46">
            <v>362.9256805</v>
          </cell>
          <cell r="Y46">
            <v>344.61293699999999</v>
          </cell>
          <cell r="Z46">
            <v>330.18615110000002</v>
          </cell>
          <cell r="AA46">
            <v>321.95034559999999</v>
          </cell>
          <cell r="AB46">
            <v>315.05593260000001</v>
          </cell>
          <cell r="AC46">
            <v>312.89439340000001</v>
          </cell>
          <cell r="AD46">
            <v>316.71918210000001</v>
          </cell>
          <cell r="AE46">
            <v>326.52613689999998</v>
          </cell>
          <cell r="AF46">
            <v>341.76487689999999</v>
          </cell>
          <cell r="AG46">
            <v>361.74082120000003</v>
          </cell>
          <cell r="AH46">
            <v>385.62637649999999</v>
          </cell>
          <cell r="AI46">
            <v>412.58192700000001</v>
          </cell>
          <cell r="AJ46">
            <v>441.8101479</v>
          </cell>
          <cell r="AK46">
            <v>473.30661850000001</v>
          </cell>
        </row>
        <row r="47">
          <cell r="B47">
            <v>399.08854730000002</v>
          </cell>
          <cell r="C47">
            <v>403.24264090000003</v>
          </cell>
          <cell r="D47">
            <v>404.92037829999998</v>
          </cell>
          <cell r="E47">
            <v>406.56987709999999</v>
          </cell>
          <cell r="F47">
            <v>412.1666457</v>
          </cell>
          <cell r="G47">
            <v>420.90432199999998</v>
          </cell>
          <cell r="H47">
            <v>437.01233669999999</v>
          </cell>
          <cell r="I47">
            <v>456.36381970000002</v>
          </cell>
          <cell r="J47">
            <v>477.63182399999999</v>
          </cell>
          <cell r="K47">
            <v>500.10857559999999</v>
          </cell>
          <cell r="L47">
            <v>523.21661970000002</v>
          </cell>
          <cell r="M47">
            <v>538.59545560000004</v>
          </cell>
          <cell r="N47">
            <v>552.34343439999998</v>
          </cell>
          <cell r="O47">
            <v>565.57067400000005</v>
          </cell>
          <cell r="P47">
            <v>578.62816539999994</v>
          </cell>
          <cell r="Q47">
            <v>591.77704510000001</v>
          </cell>
          <cell r="R47">
            <v>605.12406139999996</v>
          </cell>
          <cell r="S47">
            <v>618.93630489999998</v>
          </cell>
          <cell r="T47">
            <v>633.34941819999995</v>
          </cell>
          <cell r="U47">
            <v>648.52556330000004</v>
          </cell>
          <cell r="V47">
            <v>664.56570820000002</v>
          </cell>
          <cell r="W47">
            <v>681.77273279999997</v>
          </cell>
          <cell r="X47">
            <v>700.34029759999999</v>
          </cell>
          <cell r="Y47">
            <v>720.47345419999999</v>
          </cell>
          <cell r="Z47">
            <v>742.3996856</v>
          </cell>
          <cell r="AA47">
            <v>766.14548960000002</v>
          </cell>
          <cell r="AB47">
            <v>781.98150180000005</v>
          </cell>
          <cell r="AC47">
            <v>794.98564320000003</v>
          </cell>
          <cell r="AD47">
            <v>808.12072239999998</v>
          </cell>
          <cell r="AE47">
            <v>822.21261019999997</v>
          </cell>
          <cell r="AF47">
            <v>837.27839549999999</v>
          </cell>
          <cell r="AG47">
            <v>853.11127539999995</v>
          </cell>
          <cell r="AH47">
            <v>869.47347520000005</v>
          </cell>
          <cell r="AI47">
            <v>886.13705949999996</v>
          </cell>
          <cell r="AJ47">
            <v>902.90178089999995</v>
          </cell>
          <cell r="AK47">
            <v>919.58889429999999</v>
          </cell>
        </row>
        <row r="48">
          <cell r="B48">
            <v>560.25601400000005</v>
          </cell>
          <cell r="C48">
            <v>566.08769110000003</v>
          </cell>
          <cell r="D48">
            <v>568.44296350000002</v>
          </cell>
          <cell r="E48">
            <v>570.75859309999998</v>
          </cell>
          <cell r="F48">
            <v>578.61555369999996</v>
          </cell>
          <cell r="G48">
            <v>590.88184279999996</v>
          </cell>
          <cell r="H48">
            <v>611.70677620000004</v>
          </cell>
          <cell r="I48">
            <v>634.06470730000001</v>
          </cell>
          <cell r="J48">
            <v>656.45658490000005</v>
          </cell>
          <cell r="K48">
            <v>678.23100729999999</v>
          </cell>
          <cell r="L48">
            <v>738.19696799999997</v>
          </cell>
          <cell r="M48">
            <v>794.14065249999999</v>
          </cell>
          <cell r="N48">
            <v>853.49733449999997</v>
          </cell>
          <cell r="O48">
            <v>917.17668000000003</v>
          </cell>
          <cell r="P48">
            <v>984.91854090000004</v>
          </cell>
          <cell r="Q48">
            <v>1059.5794149999999</v>
          </cell>
          <cell r="R48">
            <v>1223.812707</v>
          </cell>
          <cell r="S48">
            <v>1407.0847389999999</v>
          </cell>
          <cell r="T48">
            <v>1606.358962</v>
          </cell>
          <cell r="U48">
            <v>1818.1874789999999</v>
          </cell>
          <cell r="V48">
            <v>2038.980018</v>
          </cell>
          <cell r="W48">
            <v>2265.3187750000002</v>
          </cell>
          <cell r="X48">
            <v>2492.21072</v>
          </cell>
          <cell r="Y48">
            <v>2713.8874900000001</v>
          </cell>
          <cell r="Z48">
            <v>2924.2951710000002</v>
          </cell>
          <cell r="AA48">
            <v>3129.2903080000001</v>
          </cell>
          <cell r="AB48">
            <v>3266.4140050000001</v>
          </cell>
          <cell r="AC48">
            <v>3355.2166189999998</v>
          </cell>
          <cell r="AD48">
            <v>3405.8872419999998</v>
          </cell>
          <cell r="AE48">
            <v>3422.0853830000001</v>
          </cell>
          <cell r="AF48">
            <v>3406.0584570000001</v>
          </cell>
          <cell r="AG48">
            <v>3361.537409</v>
          </cell>
          <cell r="AH48">
            <v>3292.542383</v>
          </cell>
          <cell r="AI48">
            <v>3203.4683380000001</v>
          </cell>
          <cell r="AJ48">
            <v>3098.7010519999999</v>
          </cell>
          <cell r="AK48">
            <v>2986.8515189999998</v>
          </cell>
        </row>
        <row r="49">
          <cell r="B49">
            <v>560.25613840000005</v>
          </cell>
          <cell r="C49">
            <v>566.08781780000004</v>
          </cell>
          <cell r="D49">
            <v>568.44309129999999</v>
          </cell>
          <cell r="E49">
            <v>570.75872230000004</v>
          </cell>
          <cell r="F49">
            <v>578.6156853</v>
          </cell>
          <cell r="G49">
            <v>590.88197769999999</v>
          </cell>
          <cell r="H49">
            <v>613.49503979999997</v>
          </cell>
          <cell r="I49">
            <v>640.6614098</v>
          </cell>
          <cell r="J49">
            <v>670.51826749999998</v>
          </cell>
          <cell r="K49">
            <v>702.07201190000001</v>
          </cell>
          <cell r="L49">
            <v>734.51198969999996</v>
          </cell>
          <cell r="M49">
            <v>756.10140200000001</v>
          </cell>
          <cell r="N49">
            <v>775.40135329999998</v>
          </cell>
          <cell r="O49">
            <v>793.97027049999997</v>
          </cell>
          <cell r="P49">
            <v>812.30088850000004</v>
          </cell>
          <cell r="Q49">
            <v>830.75980100000004</v>
          </cell>
          <cell r="R49">
            <v>849.49686529999997</v>
          </cell>
          <cell r="S49">
            <v>868.88703390000001</v>
          </cell>
          <cell r="T49">
            <v>889.12072709999995</v>
          </cell>
          <cell r="U49">
            <v>910.42559410000001</v>
          </cell>
          <cell r="V49">
            <v>932.94337789999997</v>
          </cell>
          <cell r="W49">
            <v>957.09927319999997</v>
          </cell>
          <cell r="X49">
            <v>983.16514810000001</v>
          </cell>
          <cell r="Y49">
            <v>1011.428862</v>
          </cell>
          <cell r="Z49">
            <v>1042.2097650000001</v>
          </cell>
          <cell r="AA49">
            <v>1075.545055</v>
          </cell>
          <cell r="AB49">
            <v>1097.776269</v>
          </cell>
          <cell r="AC49">
            <v>1116.0319919999999</v>
          </cell>
          <cell r="AD49">
            <v>1134.4715309999999</v>
          </cell>
          <cell r="AE49">
            <v>1154.254275</v>
          </cell>
          <cell r="AF49">
            <v>1175.404215</v>
          </cell>
          <cell r="AG49">
            <v>1197.631032</v>
          </cell>
          <cell r="AH49">
            <v>1220.600929</v>
          </cell>
          <cell r="AI49">
            <v>1243.9939220000001</v>
          </cell>
          <cell r="AJ49">
            <v>1267.528894</v>
          </cell>
          <cell r="AK49">
            <v>1290.9549179999999</v>
          </cell>
        </row>
        <row r="50">
          <cell r="B50">
            <v>46281.732069999998</v>
          </cell>
          <cell r="C50">
            <v>46714.888619999998</v>
          </cell>
          <cell r="D50">
            <v>46964.66433</v>
          </cell>
          <cell r="E50">
            <v>47262.477079999997</v>
          </cell>
          <cell r="F50">
            <v>47678.402970000003</v>
          </cell>
          <cell r="G50">
            <v>48270.373670000001</v>
          </cell>
          <cell r="H50">
            <v>48425.53024</v>
          </cell>
          <cell r="I50">
            <v>48902.068520000001</v>
          </cell>
          <cell r="J50">
            <v>49441.454290000001</v>
          </cell>
          <cell r="K50">
            <v>49916.491849999999</v>
          </cell>
          <cell r="L50">
            <v>50259.842980000001</v>
          </cell>
          <cell r="M50">
            <v>50383.842550000001</v>
          </cell>
          <cell r="N50">
            <v>50280.905079999997</v>
          </cell>
          <cell r="O50">
            <v>50107.74037</v>
          </cell>
          <cell r="P50">
            <v>49895.72896</v>
          </cell>
          <cell r="Q50">
            <v>50170.729379999997</v>
          </cell>
          <cell r="R50">
            <v>49189.810669999999</v>
          </cell>
          <cell r="S50">
            <v>48566.565199999997</v>
          </cell>
          <cell r="T50">
            <v>47906.829510000003</v>
          </cell>
          <cell r="U50">
            <v>47207.841710000001</v>
          </cell>
          <cell r="V50">
            <v>46486.92123</v>
          </cell>
          <cell r="W50">
            <v>45778.764280000003</v>
          </cell>
          <cell r="X50">
            <v>45117.447370000002</v>
          </cell>
          <cell r="Y50">
            <v>44521.054689999997</v>
          </cell>
          <cell r="Z50">
            <v>44000.403919999997</v>
          </cell>
          <cell r="AA50">
            <v>43990.413529999998</v>
          </cell>
          <cell r="AB50">
            <v>45124.023609999997</v>
          </cell>
          <cell r="AC50">
            <v>45777.912880000003</v>
          </cell>
          <cell r="AD50">
            <v>46375.554320000003</v>
          </cell>
          <cell r="AE50">
            <v>47007.753720000001</v>
          </cell>
          <cell r="AF50">
            <v>47672.738039999997</v>
          </cell>
          <cell r="AG50">
            <v>48351.405079999997</v>
          </cell>
          <cell r="AH50">
            <v>49033.69803</v>
          </cell>
          <cell r="AI50">
            <v>49709.89097</v>
          </cell>
          <cell r="AJ50">
            <v>50372.161829999997</v>
          </cell>
          <cell r="AK50">
            <v>51102.710520000001</v>
          </cell>
        </row>
        <row r="51">
          <cell r="B51">
            <v>46281.732069999998</v>
          </cell>
          <cell r="C51">
            <v>46714.888639999997</v>
          </cell>
          <cell r="D51">
            <v>46964.664360000002</v>
          </cell>
          <cell r="E51">
            <v>47262.477129999999</v>
          </cell>
          <cell r="F51">
            <v>47678.403039999997</v>
          </cell>
          <cell r="G51">
            <v>48270.373760000002</v>
          </cell>
          <cell r="H51">
            <v>48522.170819999999</v>
          </cell>
          <cell r="I51">
            <v>49082.557139999997</v>
          </cell>
          <cell r="J51">
            <v>49712.548369999997</v>
          </cell>
          <cell r="K51">
            <v>50303.69399</v>
          </cell>
          <cell r="L51">
            <v>50782.733610000003</v>
          </cell>
          <cell r="M51">
            <v>51152.973429999998</v>
          </cell>
          <cell r="N51">
            <v>51261.252699999997</v>
          </cell>
          <cell r="O51">
            <v>51218.610860000001</v>
          </cell>
          <cell r="P51">
            <v>51059.283150000003</v>
          </cell>
          <cell r="Q51">
            <v>50804.946300000003</v>
          </cell>
          <cell r="R51">
            <v>50240.935219999999</v>
          </cell>
          <cell r="S51">
            <v>49590.637490000001</v>
          </cell>
          <cell r="T51">
            <v>48877.925629999998</v>
          </cell>
          <cell r="U51">
            <v>48138.584439999999</v>
          </cell>
          <cell r="V51">
            <v>47401.751259999997</v>
          </cell>
          <cell r="W51">
            <v>46704.748469999999</v>
          </cell>
          <cell r="X51">
            <v>46071.487330000004</v>
          </cell>
          <cell r="Y51">
            <v>45520.678399999997</v>
          </cell>
          <cell r="Z51">
            <v>45067.059090000002</v>
          </cell>
          <cell r="AA51">
            <v>44709.757729999998</v>
          </cell>
          <cell r="AB51">
            <v>45861.247759999998</v>
          </cell>
          <cell r="AC51">
            <v>46553.962740000003</v>
          </cell>
          <cell r="AD51">
            <v>47210.799610000002</v>
          </cell>
          <cell r="AE51">
            <v>47934.593930000003</v>
          </cell>
          <cell r="AF51">
            <v>48732.678039999999</v>
          </cell>
          <cell r="AG51">
            <v>49588.390610000002</v>
          </cell>
          <cell r="AH51">
            <v>50482.15554</v>
          </cell>
          <cell r="AI51">
            <v>51396.268329999999</v>
          </cell>
          <cell r="AJ51">
            <v>52315.930990000001</v>
          </cell>
          <cell r="AK51">
            <v>53228.677799999998</v>
          </cell>
        </row>
        <row r="52">
          <cell r="B52">
            <v>922.38842179999995</v>
          </cell>
          <cell r="C52">
            <v>931.02117109999995</v>
          </cell>
          <cell r="D52">
            <v>935.99916599999995</v>
          </cell>
          <cell r="E52">
            <v>941.93453220000004</v>
          </cell>
          <cell r="F52">
            <v>950.22387690000005</v>
          </cell>
          <cell r="G52">
            <v>962.02176989999998</v>
          </cell>
          <cell r="H52">
            <v>836.02273400000001</v>
          </cell>
          <cell r="I52">
            <v>702.97517770000002</v>
          </cell>
          <cell r="J52">
            <v>555.41686849999996</v>
          </cell>
          <cell r="K52">
            <v>389.62327010000001</v>
          </cell>
          <cell r="L52">
            <v>203.50043199999999</v>
          </cell>
          <cell r="M52">
            <v>211.14305959999999</v>
          </cell>
          <cell r="N52">
            <v>218.0870749</v>
          </cell>
          <cell r="O52">
            <v>224.9432554</v>
          </cell>
          <cell r="P52">
            <v>231.83171390000001</v>
          </cell>
          <cell r="Q52">
            <v>241.2688229</v>
          </cell>
          <cell r="R52">
            <v>158.40267850000001</v>
          </cell>
          <cell r="S52">
            <v>104.7276454</v>
          </cell>
          <cell r="T52">
            <v>69.176400290000004</v>
          </cell>
          <cell r="U52">
            <v>45.646896320000003</v>
          </cell>
          <cell r="V52">
            <v>30.099859769999998</v>
          </cell>
          <cell r="W52">
            <v>19.848803530000001</v>
          </cell>
          <cell r="X52">
            <v>13.099398900000001</v>
          </cell>
          <cell r="Y52">
            <v>8.6558330310000002</v>
          </cell>
          <cell r="Z52">
            <v>5.7284439630000001</v>
          </cell>
          <cell r="AA52">
            <v>3.8350817840000002</v>
          </cell>
          <cell r="AB52">
            <v>3.9339098479999999</v>
          </cell>
          <cell r="AC52">
            <v>3.9909158769999999</v>
          </cell>
          <cell r="AD52">
            <v>4.0430182239999999</v>
          </cell>
          <cell r="AE52">
            <v>4.0981333319999997</v>
          </cell>
          <cell r="AF52">
            <v>4.1561066279999999</v>
          </cell>
          <cell r="AG52">
            <v>4.2152727829999996</v>
          </cell>
          <cell r="AH52">
            <v>4.274755045</v>
          </cell>
          <cell r="AI52">
            <v>4.3337055070000003</v>
          </cell>
          <cell r="AJ52">
            <v>4.3914422430000002</v>
          </cell>
          <cell r="AK52">
            <v>4.4551314370000004</v>
          </cell>
        </row>
        <row r="53">
          <cell r="B53">
            <v>922.38842199999999</v>
          </cell>
          <cell r="C53">
            <v>931.02117150000004</v>
          </cell>
          <cell r="D53">
            <v>935.99916670000005</v>
          </cell>
          <cell r="E53">
            <v>941.93453320000003</v>
          </cell>
          <cell r="F53">
            <v>950.22387830000002</v>
          </cell>
          <cell r="G53">
            <v>962.0217715</v>
          </cell>
          <cell r="H53">
            <v>837.69114560000003</v>
          </cell>
          <cell r="I53">
            <v>705.56973089999997</v>
          </cell>
          <cell r="J53">
            <v>558.46229319999998</v>
          </cell>
          <cell r="K53">
            <v>392.64557710000003</v>
          </cell>
          <cell r="L53">
            <v>205.6175987</v>
          </cell>
          <cell r="M53">
            <v>214.3662487</v>
          </cell>
          <cell r="N53">
            <v>222.33920889999999</v>
          </cell>
          <cell r="O53">
            <v>229.93016610000001</v>
          </cell>
          <cell r="P53">
            <v>237.23796350000001</v>
          </cell>
          <cell r="Q53">
            <v>244.3187441</v>
          </cell>
          <cell r="R53">
            <v>161.78754499999999</v>
          </cell>
          <cell r="S53">
            <v>106.93592750000001</v>
          </cell>
          <cell r="T53">
            <v>70.578641570000002</v>
          </cell>
          <cell r="U53">
            <v>46.546863690000002</v>
          </cell>
          <cell r="V53">
            <v>30.692203920000001</v>
          </cell>
          <cell r="W53">
            <v>20.250292699999999</v>
          </cell>
          <cell r="X53">
            <v>13.37639484</v>
          </cell>
          <cell r="Y53">
            <v>8.8501809869999999</v>
          </cell>
          <cell r="Z53">
            <v>5.8673125600000002</v>
          </cell>
          <cell r="AA53">
            <v>3.8977941719999998</v>
          </cell>
          <cell r="AB53">
            <v>3.998181008</v>
          </cell>
          <cell r="AC53">
            <v>4.0585718609999999</v>
          </cell>
          <cell r="AD53">
            <v>4.1158348619999998</v>
          </cell>
          <cell r="AE53">
            <v>4.1789352109999998</v>
          </cell>
          <cell r="AF53">
            <v>4.2485121379999997</v>
          </cell>
          <cell r="AG53">
            <v>4.3231131119999997</v>
          </cell>
          <cell r="AH53">
            <v>4.4010314890000002</v>
          </cell>
          <cell r="AI53">
            <v>4.480723791</v>
          </cell>
          <cell r="AJ53">
            <v>4.5608999289999996</v>
          </cell>
          <cell r="AK53">
            <v>4.6404731459999997</v>
          </cell>
        </row>
        <row r="54">
          <cell r="B54">
            <v>1340.3853260000001</v>
          </cell>
          <cell r="C54">
            <v>1352.930161</v>
          </cell>
          <cell r="D54">
            <v>1360.1640239999999</v>
          </cell>
          <cell r="E54">
            <v>1368.7891079999999</v>
          </cell>
          <cell r="F54">
            <v>1380.8349189999999</v>
          </cell>
          <cell r="G54">
            <v>1397.979239</v>
          </cell>
          <cell r="H54">
            <v>1712.035539</v>
          </cell>
          <cell r="I54">
            <v>2067.6614690000001</v>
          </cell>
          <cell r="J54">
            <v>2462.9081580000002</v>
          </cell>
          <cell r="K54">
            <v>2896.944379</v>
          </cell>
          <cell r="L54">
            <v>3369.6230099999998</v>
          </cell>
          <cell r="M54">
            <v>3526.2480230000001</v>
          </cell>
          <cell r="N54">
            <v>3673.5507010000001</v>
          </cell>
          <cell r="O54">
            <v>3821.6345259999998</v>
          </cell>
          <cell r="P54">
            <v>3972.5473940000002</v>
          </cell>
          <cell r="Q54">
            <v>4169.8219600000002</v>
          </cell>
          <cell r="R54">
            <v>4222.5276949999998</v>
          </cell>
          <cell r="S54">
            <v>4305.9105520000003</v>
          </cell>
          <cell r="T54">
            <v>4386.8754330000002</v>
          </cell>
          <cell r="U54">
            <v>4464.8027430000002</v>
          </cell>
          <cell r="V54">
            <v>4540.975657</v>
          </cell>
          <cell r="W54">
            <v>4618.6251199999997</v>
          </cell>
          <cell r="X54">
            <v>4701.3591200000001</v>
          </cell>
          <cell r="Y54">
            <v>4791.5343810000004</v>
          </cell>
          <cell r="Z54">
            <v>4890.9822450000001</v>
          </cell>
          <cell r="AA54">
            <v>5050.422673</v>
          </cell>
          <cell r="AB54">
            <v>5180.5694389999999</v>
          </cell>
          <cell r="AC54">
            <v>5255.6407310000004</v>
          </cell>
          <cell r="AD54">
            <v>5324.2543589999996</v>
          </cell>
          <cell r="AE54">
            <v>5396.8354950000003</v>
          </cell>
          <cell r="AF54">
            <v>5473.1805809999996</v>
          </cell>
          <cell r="AG54">
            <v>5551.0965429999997</v>
          </cell>
          <cell r="AH54">
            <v>5629.4287869999998</v>
          </cell>
          <cell r="AI54">
            <v>5707.0607049999999</v>
          </cell>
          <cell r="AJ54">
            <v>5783.0942649999997</v>
          </cell>
          <cell r="AK54">
            <v>5866.9666219999999</v>
          </cell>
        </row>
        <row r="55">
          <cell r="B55">
            <v>1340.385327</v>
          </cell>
          <cell r="C55">
            <v>1352.9301620000001</v>
          </cell>
          <cell r="D55">
            <v>1360.164025</v>
          </cell>
          <cell r="E55">
            <v>1368.7891099999999</v>
          </cell>
          <cell r="F55">
            <v>1380.8349209999999</v>
          </cell>
          <cell r="G55">
            <v>1397.979241</v>
          </cell>
          <cell r="H55">
            <v>1715.452168</v>
          </cell>
          <cell r="I55">
            <v>2075.2928299999999</v>
          </cell>
          <cell r="J55">
            <v>2476.4126110000002</v>
          </cell>
          <cell r="K55">
            <v>2919.4159709999999</v>
          </cell>
          <cell r="L55">
            <v>3404.6797110000002</v>
          </cell>
          <cell r="M55">
            <v>3580.077706</v>
          </cell>
          <cell r="N55">
            <v>3745.1754390000001</v>
          </cell>
          <cell r="O55">
            <v>3906.3587830000001</v>
          </cell>
          <cell r="P55">
            <v>4065.1860689999999</v>
          </cell>
          <cell r="Q55">
            <v>4222.5334050000001</v>
          </cell>
          <cell r="R55">
            <v>4312.7578149999999</v>
          </cell>
          <cell r="S55">
            <v>4396.7047780000003</v>
          </cell>
          <cell r="T55">
            <v>4475.7996590000002</v>
          </cell>
          <cell r="U55">
            <v>4552.8301250000004</v>
          </cell>
          <cell r="V55">
            <v>4630.3388759999998</v>
          </cell>
          <cell r="W55">
            <v>4712.0477769999998</v>
          </cell>
          <cell r="X55">
            <v>4800.7726439999997</v>
          </cell>
          <cell r="Y55">
            <v>4899.1178920000002</v>
          </cell>
          <cell r="Z55">
            <v>5009.549145</v>
          </cell>
          <cell r="AA55">
            <v>5133.0086730000003</v>
          </cell>
          <cell r="AB55">
            <v>5265.2081879999996</v>
          </cell>
          <cell r="AC55">
            <v>5344.7369570000001</v>
          </cell>
          <cell r="AD55">
            <v>5420.1466549999996</v>
          </cell>
          <cell r="AE55">
            <v>5503.2435610000002</v>
          </cell>
          <cell r="AF55">
            <v>5594.8694800000003</v>
          </cell>
          <cell r="AG55">
            <v>5693.11157</v>
          </cell>
          <cell r="AH55">
            <v>5795.7223510000003</v>
          </cell>
          <cell r="AI55">
            <v>5900.6692160000002</v>
          </cell>
          <cell r="AJ55">
            <v>6006.2532449999999</v>
          </cell>
          <cell r="AK55">
            <v>6111.0432860000001</v>
          </cell>
        </row>
        <row r="56">
          <cell r="B56">
            <v>1217.747662</v>
          </cell>
          <cell r="C56">
            <v>1229.144716</v>
          </cell>
          <cell r="D56">
            <v>1235.716721</v>
          </cell>
          <cell r="E56">
            <v>1243.5526589999999</v>
          </cell>
          <cell r="F56">
            <v>1254.4963459999999</v>
          </cell>
          <cell r="G56">
            <v>1270.072058</v>
          </cell>
          <cell r="H56">
            <v>1093.1876150000001</v>
          </cell>
          <cell r="I56">
            <v>905.89927539999996</v>
          </cell>
          <cell r="J56">
            <v>698.1667506</v>
          </cell>
          <cell r="K56">
            <v>464.97575060000003</v>
          </cell>
          <cell r="L56">
            <v>203.50043199999999</v>
          </cell>
          <cell r="M56">
            <v>211.14305959999999</v>
          </cell>
          <cell r="N56">
            <v>218.0870749</v>
          </cell>
          <cell r="O56">
            <v>224.9432554</v>
          </cell>
          <cell r="P56">
            <v>231.83171390000001</v>
          </cell>
          <cell r="Q56">
            <v>241.2688229</v>
          </cell>
          <cell r="R56">
            <v>251.0513268</v>
          </cell>
          <cell r="S56">
            <v>263.06395140000001</v>
          </cell>
          <cell r="T56">
            <v>275.39620989999997</v>
          </cell>
          <cell r="U56">
            <v>288.01244489999999</v>
          </cell>
          <cell r="V56">
            <v>300.9985977</v>
          </cell>
          <cell r="W56">
            <v>314.58233589999998</v>
          </cell>
          <cell r="X56">
            <v>329.04202350000003</v>
          </cell>
          <cell r="Y56">
            <v>344.59491969999999</v>
          </cell>
          <cell r="Z56">
            <v>361.44037909999997</v>
          </cell>
          <cell r="AA56">
            <v>383.50817840000002</v>
          </cell>
          <cell r="AB56">
            <v>393.39098480000001</v>
          </cell>
          <cell r="AC56">
            <v>399.09158780000001</v>
          </cell>
          <cell r="AD56">
            <v>404.30182239999999</v>
          </cell>
          <cell r="AE56">
            <v>409.81333319999999</v>
          </cell>
          <cell r="AF56">
            <v>415.6106628</v>
          </cell>
          <cell r="AG56">
            <v>421.52727829999998</v>
          </cell>
          <cell r="AH56">
            <v>427.4755045</v>
          </cell>
          <cell r="AI56">
            <v>433.37055070000002</v>
          </cell>
          <cell r="AJ56">
            <v>439.14422430000002</v>
          </cell>
          <cell r="AK56">
            <v>445.5131437</v>
          </cell>
        </row>
        <row r="57">
          <cell r="B57">
            <v>1217.747662</v>
          </cell>
          <cell r="C57">
            <v>1229.144716</v>
          </cell>
          <cell r="D57">
            <v>1235.7167219999999</v>
          </cell>
          <cell r="E57">
            <v>1243.5526600000001</v>
          </cell>
          <cell r="F57">
            <v>1254.4963479999999</v>
          </cell>
          <cell r="G57">
            <v>1270.07206</v>
          </cell>
          <cell r="H57">
            <v>1095.3692390000001</v>
          </cell>
          <cell r="I57">
            <v>909.24278449999997</v>
          </cell>
          <cell r="J57">
            <v>701.99489189999997</v>
          </cell>
          <cell r="K57">
            <v>468.58256660000001</v>
          </cell>
          <cell r="L57">
            <v>205.6175987</v>
          </cell>
          <cell r="M57">
            <v>214.3662487</v>
          </cell>
          <cell r="N57">
            <v>222.33920889999999</v>
          </cell>
          <cell r="O57">
            <v>229.93016610000001</v>
          </cell>
          <cell r="P57">
            <v>237.23796350000001</v>
          </cell>
          <cell r="Q57">
            <v>244.3187441</v>
          </cell>
          <cell r="R57">
            <v>256.4159788</v>
          </cell>
          <cell r="S57">
            <v>268.61090539999998</v>
          </cell>
          <cell r="T57">
            <v>280.978633</v>
          </cell>
          <cell r="U57">
            <v>293.69085510000002</v>
          </cell>
          <cell r="V57">
            <v>306.92203919999997</v>
          </cell>
          <cell r="W57">
            <v>320.94551039999999</v>
          </cell>
          <cell r="X57">
            <v>335.99984699999999</v>
          </cell>
          <cell r="Y57">
            <v>352.33205120000002</v>
          </cell>
          <cell r="Z57">
            <v>370.20239520000001</v>
          </cell>
          <cell r="AA57">
            <v>389.77941720000001</v>
          </cell>
          <cell r="AB57">
            <v>399.81810080000002</v>
          </cell>
          <cell r="AC57">
            <v>405.85718609999998</v>
          </cell>
          <cell r="AD57">
            <v>411.58348619999998</v>
          </cell>
          <cell r="AE57">
            <v>417.89352109999999</v>
          </cell>
          <cell r="AF57">
            <v>424.85121379999998</v>
          </cell>
          <cell r="AG57">
            <v>432.31131119999998</v>
          </cell>
          <cell r="AH57">
            <v>440.10314890000001</v>
          </cell>
          <cell r="AI57">
            <v>448.07237909999998</v>
          </cell>
          <cell r="AJ57">
            <v>456.08999290000003</v>
          </cell>
          <cell r="AK57">
            <v>464.04731459999999</v>
          </cell>
        </row>
        <row r="58">
          <cell r="B58">
            <v>2396.5024509999998</v>
          </cell>
          <cell r="C58">
            <v>2418.931619</v>
          </cell>
          <cell r="D58">
            <v>2431.8651909999999</v>
          </cell>
          <cell r="E58">
            <v>2447.2861560000001</v>
          </cell>
          <cell r="F58">
            <v>2468.823108</v>
          </cell>
          <cell r="G58">
            <v>2499.47579</v>
          </cell>
          <cell r="H58">
            <v>3726.1241420000001</v>
          </cell>
          <cell r="I58">
            <v>5096.4152009999998</v>
          </cell>
          <cell r="J58">
            <v>6618.7651329999999</v>
          </cell>
          <cell r="K58">
            <v>8297.8168800000003</v>
          </cell>
          <cell r="L58">
            <v>10137.18159</v>
          </cell>
          <cell r="M58">
            <v>11326.895060000001</v>
          </cell>
          <cell r="N58">
            <v>12599.292810000001</v>
          </cell>
          <cell r="O58">
            <v>13994.95134</v>
          </cell>
          <cell r="P58">
            <v>15532.93189</v>
          </cell>
          <cell r="Q58">
            <v>17408.605060000002</v>
          </cell>
          <cell r="R58">
            <v>18861.76341</v>
          </cell>
          <cell r="S58">
            <v>20579.656220000001</v>
          </cell>
          <cell r="T58">
            <v>22433.226429999999</v>
          </cell>
          <cell r="U58">
            <v>24428.794669999999</v>
          </cell>
          <cell r="V58">
            <v>26583.506259999998</v>
          </cell>
          <cell r="W58">
            <v>28929.380069999999</v>
          </cell>
          <cell r="X58">
            <v>31507.443500000001</v>
          </cell>
          <cell r="Y58">
            <v>34357.984049999999</v>
          </cell>
          <cell r="Z58">
            <v>37524.289420000001</v>
          </cell>
          <cell r="AA58">
            <v>41457.9136</v>
          </cell>
          <cell r="AB58">
            <v>42526.262479999998</v>
          </cell>
          <cell r="AC58">
            <v>43142.507769999997</v>
          </cell>
          <cell r="AD58">
            <v>43705.743369999997</v>
          </cell>
          <cell r="AE58">
            <v>44301.547449999998</v>
          </cell>
          <cell r="AF58">
            <v>44928.249049999999</v>
          </cell>
          <cell r="AG58">
            <v>45567.845670000002</v>
          </cell>
          <cell r="AH58">
            <v>46210.859450000004</v>
          </cell>
          <cell r="AI58">
            <v>46848.124400000001</v>
          </cell>
          <cell r="AJ58">
            <v>47472.26874</v>
          </cell>
          <cell r="AK58">
            <v>48160.760219999996</v>
          </cell>
        </row>
        <row r="59">
          <cell r="B59">
            <v>2396.5024520000002</v>
          </cell>
          <cell r="C59">
            <v>2418.9316199999998</v>
          </cell>
          <cell r="D59">
            <v>2431.8651930000001</v>
          </cell>
          <cell r="E59">
            <v>2447.2861590000002</v>
          </cell>
          <cell r="F59">
            <v>2468.8231110000002</v>
          </cell>
          <cell r="G59">
            <v>2499.4757949999998</v>
          </cell>
          <cell r="H59">
            <v>3733.5601940000001</v>
          </cell>
          <cell r="I59">
            <v>5115.2251399999996</v>
          </cell>
          <cell r="J59">
            <v>6655.0567039999996</v>
          </cell>
          <cell r="K59">
            <v>8362.1830310000005</v>
          </cell>
          <cell r="L59">
            <v>10242.64625</v>
          </cell>
          <cell r="M59">
            <v>11499.80495</v>
          </cell>
          <cell r="N59">
            <v>12844.94644</v>
          </cell>
          <cell r="O59">
            <v>14305.21436</v>
          </cell>
          <cell r="P59">
            <v>15895.15544</v>
          </cell>
          <cell r="Q59">
            <v>17628.670269999999</v>
          </cell>
          <cell r="R59">
            <v>19264.815630000001</v>
          </cell>
          <cell r="S59">
            <v>21013.597870000001</v>
          </cell>
          <cell r="T59">
            <v>22887.959490000001</v>
          </cell>
          <cell r="U59">
            <v>24910.42913</v>
          </cell>
          <cell r="V59">
            <v>27106.651040000001</v>
          </cell>
          <cell r="W59">
            <v>29514.545460000001</v>
          </cell>
          <cell r="X59">
            <v>32173.690409999999</v>
          </cell>
          <cell r="Y59">
            <v>35129.418060000004</v>
          </cell>
          <cell r="Z59">
            <v>38433.951000000001</v>
          </cell>
          <cell r="AA59">
            <v>42135.84562</v>
          </cell>
          <cell r="AB59">
            <v>43221.045109999999</v>
          </cell>
          <cell r="AC59">
            <v>43873.880929999999</v>
          </cell>
          <cell r="AD59">
            <v>44492.904119999999</v>
          </cell>
          <cell r="AE59">
            <v>45175.030070000001</v>
          </cell>
          <cell r="AF59">
            <v>45927.168980000002</v>
          </cell>
          <cell r="AG59">
            <v>46733.618730000002</v>
          </cell>
          <cell r="AH59">
            <v>47575.930189999999</v>
          </cell>
          <cell r="AI59">
            <v>48437.418089999999</v>
          </cell>
          <cell r="AJ59">
            <v>49304.136359999997</v>
          </cell>
          <cell r="AK59">
            <v>50164.336929999998</v>
          </cell>
        </row>
        <row r="60">
          <cell r="B60">
            <v>871.22152010000002</v>
          </cell>
          <cell r="C60">
            <v>879.37539189999995</v>
          </cell>
          <cell r="D60">
            <v>884.0772465</v>
          </cell>
          <cell r="E60">
            <v>889.68336499999998</v>
          </cell>
          <cell r="F60">
            <v>897.51288160000001</v>
          </cell>
          <cell r="G60">
            <v>908.65631970000004</v>
          </cell>
          <cell r="H60">
            <v>1473.2244169999999</v>
          </cell>
          <cell r="I60">
            <v>2102.3759709999999</v>
          </cell>
          <cell r="J60">
            <v>2801.2931619999999</v>
          </cell>
          <cell r="K60">
            <v>3572.7570620000001</v>
          </cell>
          <cell r="L60">
            <v>4418.7714640000004</v>
          </cell>
          <cell r="M60">
            <v>4971.8346279999996</v>
          </cell>
          <cell r="N60">
            <v>5568.9516949999997</v>
          </cell>
          <cell r="O60">
            <v>6229.0262080000002</v>
          </cell>
          <cell r="P60">
            <v>6961.8343750000004</v>
          </cell>
          <cell r="Q60">
            <v>7856.9810459999999</v>
          </cell>
          <cell r="R60">
            <v>8895.2886940000008</v>
          </cell>
          <cell r="S60">
            <v>10141.49293</v>
          </cell>
          <cell r="T60">
            <v>11551.58395</v>
          </cell>
          <cell r="U60">
            <v>13144.312019999999</v>
          </cell>
          <cell r="V60">
            <v>14946.3141</v>
          </cell>
          <cell r="W60">
            <v>16996.010539999999</v>
          </cell>
          <cell r="X60">
            <v>19342.252700000001</v>
          </cell>
          <cell r="Y60">
            <v>22039.796610000001</v>
          </cell>
          <cell r="Z60">
            <v>25152.34072</v>
          </cell>
          <cell r="AA60">
            <v>29037.511500000001</v>
          </cell>
          <cell r="AB60">
            <v>29785.79307</v>
          </cell>
          <cell r="AC60">
            <v>30217.41705</v>
          </cell>
          <cell r="AD60">
            <v>30611.912550000001</v>
          </cell>
          <cell r="AE60">
            <v>31029.21931</v>
          </cell>
          <cell r="AF60">
            <v>31468.166990000002</v>
          </cell>
          <cell r="AG60">
            <v>31916.14646</v>
          </cell>
          <cell r="AH60">
            <v>32366.519349999999</v>
          </cell>
          <cell r="AI60">
            <v>32812.865689999999</v>
          </cell>
          <cell r="AJ60">
            <v>33250.022239999998</v>
          </cell>
          <cell r="AK60">
            <v>33732.24813</v>
          </cell>
        </row>
        <row r="61">
          <cell r="B61">
            <v>871.22152019999999</v>
          </cell>
          <cell r="C61">
            <v>879.37539219999996</v>
          </cell>
          <cell r="D61">
            <v>884.07724710000002</v>
          </cell>
          <cell r="E61">
            <v>889.68336590000001</v>
          </cell>
          <cell r="F61">
            <v>897.51288290000002</v>
          </cell>
          <cell r="G61">
            <v>908.65632119999998</v>
          </cell>
          <cell r="H61">
            <v>1476.164462</v>
          </cell>
          <cell r="I61">
            <v>2110.1354569999999</v>
          </cell>
          <cell r="J61">
            <v>2816.653026</v>
          </cell>
          <cell r="K61">
            <v>3600.4709320000002</v>
          </cell>
          <cell r="L61">
            <v>4464.7432390000004</v>
          </cell>
          <cell r="M61">
            <v>5047.7318079999995</v>
          </cell>
          <cell r="N61">
            <v>5677.5318509999997</v>
          </cell>
          <cell r="O61">
            <v>6367.1214680000003</v>
          </cell>
          <cell r="P61">
            <v>7124.1823700000004</v>
          </cell>
          <cell r="Q61">
            <v>7956.3025109999999</v>
          </cell>
          <cell r="R61">
            <v>9085.3698550000008</v>
          </cell>
          <cell r="S61">
            <v>10355.33597</v>
          </cell>
          <cell r="T61">
            <v>11785.74051</v>
          </cell>
          <cell r="U61">
            <v>13403.463309999999</v>
          </cell>
          <cell r="V61">
            <v>15240.44709</v>
          </cell>
          <cell r="W61">
            <v>17339.79521</v>
          </cell>
          <cell r="X61">
            <v>19751.258140000002</v>
          </cell>
          <cell r="Y61">
            <v>22534.652440000002</v>
          </cell>
          <cell r="Z61">
            <v>25762.082269999999</v>
          </cell>
          <cell r="AA61">
            <v>29512.34144</v>
          </cell>
          <cell r="AB61">
            <v>30272.425340000002</v>
          </cell>
          <cell r="AC61">
            <v>30729.677670000001</v>
          </cell>
          <cell r="AD61">
            <v>31163.247319999999</v>
          </cell>
          <cell r="AE61">
            <v>31641.014729999999</v>
          </cell>
          <cell r="AF61">
            <v>32167.819879999999</v>
          </cell>
          <cell r="AG61">
            <v>32732.664850000001</v>
          </cell>
          <cell r="AH61">
            <v>33322.627690000001</v>
          </cell>
          <cell r="AI61">
            <v>33926.0219</v>
          </cell>
          <cell r="AJ61">
            <v>34533.0795</v>
          </cell>
          <cell r="AK61">
            <v>35135.572050000002</v>
          </cell>
        </row>
        <row r="62">
          <cell r="B62">
            <v>6706.7950659999997</v>
          </cell>
          <cell r="C62">
            <v>6769.564805</v>
          </cell>
          <cell r="D62">
            <v>6805.7603929999996</v>
          </cell>
          <cell r="E62">
            <v>6848.9171409999999</v>
          </cell>
          <cell r="F62">
            <v>6909.1899450000001</v>
          </cell>
          <cell r="G62">
            <v>6994.9738170000001</v>
          </cell>
          <cell r="H62">
            <v>7012.3974719999997</v>
          </cell>
          <cell r="I62">
            <v>7075.8659189999998</v>
          </cell>
          <cell r="J62">
            <v>7147.8238149999997</v>
          </cell>
          <cell r="K62">
            <v>7209.7922989999997</v>
          </cell>
          <cell r="L62">
            <v>7251.9837559999996</v>
          </cell>
          <cell r="M62">
            <v>7572.0131899999997</v>
          </cell>
          <cell r="N62">
            <v>7870.5945940000001</v>
          </cell>
          <cell r="O62">
            <v>8169.4657299999999</v>
          </cell>
          <cell r="P62">
            <v>8472.987959</v>
          </cell>
          <cell r="Q62">
            <v>8873.7668279999998</v>
          </cell>
          <cell r="R62">
            <v>9327.8539550000005</v>
          </cell>
          <cell r="S62">
            <v>9873.9964189999992</v>
          </cell>
          <cell r="T62">
            <v>10442.440140000001</v>
          </cell>
          <cell r="U62">
            <v>11032.341549999999</v>
          </cell>
          <cell r="V62">
            <v>11647.51629</v>
          </cell>
          <cell r="W62">
            <v>12297.465039999999</v>
          </cell>
          <cell r="X62">
            <v>12994.06517</v>
          </cell>
          <cell r="Y62">
            <v>13747.22222</v>
          </cell>
          <cell r="Z62">
            <v>14566.498250000001</v>
          </cell>
          <cell r="AA62">
            <v>15613.68923</v>
          </cell>
          <cell r="AB62">
            <v>16016.045889999999</v>
          </cell>
          <cell r="AC62">
            <v>16248.13336</v>
          </cell>
          <cell r="AD62">
            <v>16460.256570000001</v>
          </cell>
          <cell r="AE62">
            <v>16684.645570000001</v>
          </cell>
          <cell r="AF62">
            <v>16920.671050000001</v>
          </cell>
          <cell r="AG62">
            <v>17161.55299</v>
          </cell>
          <cell r="AH62">
            <v>17403.721890000001</v>
          </cell>
          <cell r="AI62">
            <v>17643.725689999999</v>
          </cell>
          <cell r="AJ62">
            <v>17878.788069999999</v>
          </cell>
          <cell r="AK62">
            <v>18138.084579999999</v>
          </cell>
        </row>
        <row r="63">
          <cell r="B63">
            <v>6706.795067</v>
          </cell>
          <cell r="C63">
            <v>6769.5648080000001</v>
          </cell>
          <cell r="D63">
            <v>6805.7603980000004</v>
          </cell>
          <cell r="E63">
            <v>6848.9171489999999</v>
          </cell>
          <cell r="F63">
            <v>6909.1899549999998</v>
          </cell>
          <cell r="G63">
            <v>6994.9738289999996</v>
          </cell>
          <cell r="H63">
            <v>7026.3917860000001</v>
          </cell>
          <cell r="I63">
            <v>7101.9816499999997</v>
          </cell>
          <cell r="J63">
            <v>7187.0162849999997</v>
          </cell>
          <cell r="K63">
            <v>7265.7186449999999</v>
          </cell>
          <cell r="L63">
            <v>7327.431552</v>
          </cell>
          <cell r="M63">
            <v>7687.6032070000001</v>
          </cell>
          <cell r="N63">
            <v>8024.0508339999997</v>
          </cell>
          <cell r="O63">
            <v>8350.5798329999998</v>
          </cell>
          <cell r="P63">
            <v>8670.5756259999998</v>
          </cell>
          <cell r="Q63">
            <v>8985.9416590000001</v>
          </cell>
          <cell r="R63">
            <v>9527.1784929999994</v>
          </cell>
          <cell r="S63">
            <v>10082.19904</v>
          </cell>
          <cell r="T63">
            <v>10654.113789999999</v>
          </cell>
          <cell r="U63">
            <v>11249.85354</v>
          </cell>
          <cell r="V63">
            <v>11876.731250000001</v>
          </cell>
          <cell r="W63">
            <v>12546.21046</v>
          </cell>
          <cell r="X63">
            <v>13268.83375</v>
          </cell>
          <cell r="Y63">
            <v>14055.886270000001</v>
          </cell>
          <cell r="Z63">
            <v>14919.61843</v>
          </cell>
          <cell r="AA63">
            <v>15869.008879999999</v>
          </cell>
          <cell r="AB63">
            <v>16277.711730000001</v>
          </cell>
          <cell r="AC63">
            <v>16523.579760000001</v>
          </cell>
          <cell r="AD63">
            <v>16756.71344</v>
          </cell>
          <cell r="AE63">
            <v>17013.612580000001</v>
          </cell>
          <cell r="AF63">
            <v>17296.879690000002</v>
          </cell>
          <cell r="AG63">
            <v>17600.60109</v>
          </cell>
          <cell r="AH63">
            <v>17917.828570000001</v>
          </cell>
          <cell r="AI63">
            <v>18242.278190000001</v>
          </cell>
          <cell r="AJ63">
            <v>18568.697649999998</v>
          </cell>
          <cell r="AK63">
            <v>18892.66244</v>
          </cell>
        </row>
        <row r="64">
          <cell r="B64">
            <v>7902.2626890000001</v>
          </cell>
          <cell r="C64">
            <v>7959.5790989999996</v>
          </cell>
          <cell r="D64">
            <v>7986.5491149999998</v>
          </cell>
          <cell r="E64">
            <v>8031.5447780000004</v>
          </cell>
          <cell r="F64">
            <v>8111.4924339999998</v>
          </cell>
          <cell r="G64">
            <v>8227.2528590000002</v>
          </cell>
          <cell r="H64">
            <v>9206.4617529999996</v>
          </cell>
          <cell r="I64">
            <v>10307.722040000001</v>
          </cell>
          <cell r="J64">
            <v>11517.550869999999</v>
          </cell>
          <cell r="K64">
            <v>12830.391390000001</v>
          </cell>
          <cell r="L64">
            <v>14248.653710000001</v>
          </cell>
          <cell r="M64">
            <v>15291.86606</v>
          </cell>
          <cell r="N64">
            <v>16411.054120000001</v>
          </cell>
          <cell r="O64">
            <v>17645.79305</v>
          </cell>
          <cell r="P64">
            <v>19010.043590000001</v>
          </cell>
          <cell r="Q64">
            <v>20684.07459</v>
          </cell>
          <cell r="R64">
            <v>22586.833159999998</v>
          </cell>
          <cell r="S64">
            <v>24805.270840000001</v>
          </cell>
          <cell r="T64">
            <v>27201.408899999999</v>
          </cell>
          <cell r="U64">
            <v>29760.56277</v>
          </cell>
          <cell r="V64">
            <v>32474.560580000001</v>
          </cell>
          <cell r="W64">
            <v>35360.002390000001</v>
          </cell>
          <cell r="X64">
            <v>38439.205950000003</v>
          </cell>
          <cell r="Y64">
            <v>41734.954290000001</v>
          </cell>
          <cell r="Z64">
            <v>45275.431839999997</v>
          </cell>
          <cell r="AA64">
            <v>49519.07589</v>
          </cell>
          <cell r="AB64">
            <v>50716.578710000002</v>
          </cell>
          <cell r="AC64">
            <v>51434.102890000002</v>
          </cell>
          <cell r="AD64">
            <v>52093.844400000002</v>
          </cell>
          <cell r="AE64">
            <v>52783.554400000001</v>
          </cell>
          <cell r="AF64">
            <v>53499.392480000002</v>
          </cell>
          <cell r="AG64">
            <v>54221.57533</v>
          </cell>
          <cell r="AH64">
            <v>54941.800569999999</v>
          </cell>
          <cell r="AI64">
            <v>55651.249230000001</v>
          </cell>
          <cell r="AJ64">
            <v>56342.84893</v>
          </cell>
          <cell r="AK64">
            <v>57104.870609999998</v>
          </cell>
        </row>
        <row r="65">
          <cell r="B65">
            <v>7902.2626899999996</v>
          </cell>
          <cell r="C65">
            <v>7959.5791049999998</v>
          </cell>
          <cell r="D65">
            <v>7986.5491249999995</v>
          </cell>
          <cell r="E65">
            <v>8031.544793</v>
          </cell>
          <cell r="F65">
            <v>8111.4924540000002</v>
          </cell>
          <cell r="G65">
            <v>8227.2528810000003</v>
          </cell>
          <cell r="H65">
            <v>9218.25612</v>
          </cell>
          <cell r="I65">
            <v>10332.37329</v>
          </cell>
          <cell r="J65">
            <v>11565.969129999999</v>
          </cell>
          <cell r="K65">
            <v>12920.451660000001</v>
          </cell>
          <cell r="L65">
            <v>14401.860430000001</v>
          </cell>
          <cell r="M65">
            <v>15543.506649999999</v>
          </cell>
          <cell r="N65">
            <v>16750.649290000001</v>
          </cell>
          <cell r="O65">
            <v>18050.828089999999</v>
          </cell>
          <cell r="P65">
            <v>19459.0802</v>
          </cell>
          <cell r="Q65">
            <v>20989.620719999999</v>
          </cell>
          <cell r="R65">
            <v>23060.164860000001</v>
          </cell>
          <cell r="S65">
            <v>25303.211299999999</v>
          </cell>
          <cell r="T65">
            <v>27713.905170000002</v>
          </cell>
          <cell r="U65">
            <v>30294.402129999999</v>
          </cell>
          <cell r="V65">
            <v>33045.249770000002</v>
          </cell>
          <cell r="W65">
            <v>35989.702449999997</v>
          </cell>
          <cell r="X65">
            <v>39147.107150000003</v>
          </cell>
          <cell r="Y65">
            <v>42545.50589</v>
          </cell>
          <cell r="Z65">
            <v>46222.773050000003</v>
          </cell>
          <cell r="AA65">
            <v>50204.764040000002</v>
          </cell>
          <cell r="AB65">
            <v>51413.330260000002</v>
          </cell>
          <cell r="AC65">
            <v>52163.205220000003</v>
          </cell>
          <cell r="AD65">
            <v>52879.85858</v>
          </cell>
          <cell r="AE65">
            <v>53666.104240000001</v>
          </cell>
          <cell r="AF65">
            <v>54528.61982</v>
          </cell>
          <cell r="AG65">
            <v>55450.07619</v>
          </cell>
          <cell r="AH65">
            <v>56410.347119999999</v>
          </cell>
          <cell r="AI65">
            <v>57391.26844</v>
          </cell>
          <cell r="AJ65">
            <v>58377.630510000003</v>
          </cell>
          <cell r="AK65">
            <v>59356.57314</v>
          </cell>
        </row>
        <row r="66">
          <cell r="B66">
            <v>109.5558224</v>
          </cell>
          <cell r="C66">
            <v>110.5811691</v>
          </cell>
          <cell r="D66">
            <v>111.1724258</v>
          </cell>
          <cell r="E66">
            <v>111.8773934</v>
          </cell>
          <cell r="F66">
            <v>112.8619525</v>
          </cell>
          <cell r="G66">
            <v>114.26323619999999</v>
          </cell>
          <cell r="H66">
            <v>116.8181747</v>
          </cell>
          <cell r="I66">
            <v>120.3618651</v>
          </cell>
          <cell r="J66">
            <v>124.3214593</v>
          </cell>
          <cell r="K66">
            <v>128.4160248</v>
          </cell>
          <cell r="L66">
            <v>132.4989041</v>
          </cell>
          <cell r="M66">
            <v>136.6849114</v>
          </cell>
          <cell r="N66">
            <v>140.6405206</v>
          </cell>
          <cell r="O66">
            <v>144.8006211</v>
          </cell>
          <cell r="P66">
            <v>149.28158579999999</v>
          </cell>
          <cell r="Q66">
            <v>155.74950419999999</v>
          </cell>
          <cell r="R66">
            <v>158.92646139999999</v>
          </cell>
          <cell r="S66">
            <v>163.82208879999999</v>
          </cell>
          <cell r="T66">
            <v>169.23994909999999</v>
          </cell>
          <cell r="U66">
            <v>175.20510279999999</v>
          </cell>
          <cell r="V66">
            <v>181.82526350000001</v>
          </cell>
          <cell r="W66">
            <v>189.30015080000001</v>
          </cell>
          <cell r="X66">
            <v>197.8679041</v>
          </cell>
          <cell r="Y66">
            <v>207.74255310000001</v>
          </cell>
          <cell r="Z66">
            <v>219.1449484</v>
          </cell>
          <cell r="AA66">
            <v>234.6001923</v>
          </cell>
          <cell r="AB66">
            <v>240.6457173</v>
          </cell>
          <cell r="AC66">
            <v>244.1328986</v>
          </cell>
          <cell r="AD66">
            <v>247.32011109999999</v>
          </cell>
          <cell r="AE66">
            <v>250.69162069999999</v>
          </cell>
          <cell r="AF66">
            <v>254.2379717</v>
          </cell>
          <cell r="AG66">
            <v>257.85729250000003</v>
          </cell>
          <cell r="AH66">
            <v>261.4959503</v>
          </cell>
          <cell r="AI66">
            <v>265.1020767</v>
          </cell>
          <cell r="AJ66">
            <v>268.63395689999999</v>
          </cell>
          <cell r="AK66">
            <v>272.5299617</v>
          </cell>
        </row>
        <row r="67">
          <cell r="B67">
            <v>109.5558224</v>
          </cell>
          <cell r="C67">
            <v>110.5811691</v>
          </cell>
          <cell r="D67">
            <v>111.17242589999999</v>
          </cell>
          <cell r="E67">
            <v>111.8773935</v>
          </cell>
          <cell r="F67">
            <v>112.8619527</v>
          </cell>
          <cell r="G67">
            <v>114.2632364</v>
          </cell>
          <cell r="H67">
            <v>117.05130320000001</v>
          </cell>
          <cell r="I67">
            <v>120.8060988</v>
          </cell>
          <cell r="J67">
            <v>125.0031304</v>
          </cell>
          <cell r="K67">
            <v>129.4121476</v>
          </cell>
          <cell r="L67">
            <v>133.87738899999999</v>
          </cell>
          <cell r="M67">
            <v>138.77146500000001</v>
          </cell>
          <cell r="N67">
            <v>143.38264710000001</v>
          </cell>
          <cell r="O67">
            <v>148.01079859999999</v>
          </cell>
          <cell r="P67">
            <v>152.7627899</v>
          </cell>
          <cell r="Q67">
            <v>157.7183608</v>
          </cell>
          <cell r="R67">
            <v>162.3225205</v>
          </cell>
          <cell r="S67">
            <v>167.27643359999999</v>
          </cell>
          <cell r="T67">
            <v>172.67053010000001</v>
          </cell>
          <cell r="U67">
            <v>178.65942029999999</v>
          </cell>
          <cell r="V67">
            <v>185.40345730000001</v>
          </cell>
          <cell r="W67">
            <v>193.1291957</v>
          </cell>
          <cell r="X67">
            <v>202.0519592</v>
          </cell>
          <cell r="Y67">
            <v>212.40696149999999</v>
          </cell>
          <cell r="Z67">
            <v>224.45744719999999</v>
          </cell>
          <cell r="AA67">
            <v>238.43644380000001</v>
          </cell>
          <cell r="AB67">
            <v>244.5773222</v>
          </cell>
          <cell r="AC67">
            <v>248.2715604</v>
          </cell>
          <cell r="AD67">
            <v>251.77446130000001</v>
          </cell>
          <cell r="AE67">
            <v>255.63444519999999</v>
          </cell>
          <cell r="AF67">
            <v>259.89061529999998</v>
          </cell>
          <cell r="AG67">
            <v>264.45411710000002</v>
          </cell>
          <cell r="AH67">
            <v>269.22055160000002</v>
          </cell>
          <cell r="AI67">
            <v>274.09550100000001</v>
          </cell>
          <cell r="AJ67">
            <v>279.00004760000002</v>
          </cell>
          <cell r="AK67">
            <v>283.86771220000003</v>
          </cell>
        </row>
      </sheetData>
      <sheetData sheetId="2" refreshError="1"/>
      <sheetData sheetId="3" refreshError="1"/>
      <sheetData sheetId="4">
        <row r="485">
          <cell r="F485">
            <v>129.1535824</v>
          </cell>
          <cell r="G485">
            <v>128.34446879999999</v>
          </cell>
          <cell r="H485">
            <v>126.56581730000001</v>
          </cell>
          <cell r="I485">
            <v>124.7562324</v>
          </cell>
          <cell r="J485">
            <v>124.1268013</v>
          </cell>
          <cell r="K485">
            <v>124.408492</v>
          </cell>
          <cell r="L485">
            <v>124.31561720000001</v>
          </cell>
          <cell r="M485">
            <v>123.91440830000001</v>
          </cell>
          <cell r="N485">
            <v>123.0253386</v>
          </cell>
          <cell r="O485">
            <v>121.8523972</v>
          </cell>
          <cell r="P485">
            <v>120.1777462</v>
          </cell>
          <cell r="Q485">
            <v>119.53719289999999</v>
          </cell>
          <cell r="R485">
            <v>119.38486469999999</v>
          </cell>
          <cell r="S485">
            <v>119.4433528</v>
          </cell>
          <cell r="T485">
            <v>119.5671911</v>
          </cell>
          <cell r="U485">
            <v>119.69113969999999</v>
          </cell>
          <cell r="V485">
            <v>119.21040619999999</v>
          </cell>
          <cell r="W485">
            <v>118.5503197</v>
          </cell>
          <cell r="X485">
            <v>117.26430860000001</v>
          </cell>
          <cell r="Y485">
            <v>114.426322</v>
          </cell>
          <cell r="Z485">
            <v>111.1822863</v>
          </cell>
          <cell r="AA485">
            <v>107.67385419999999</v>
          </cell>
          <cell r="AB485">
            <v>103.9094284</v>
          </cell>
          <cell r="AC485">
            <v>99.927771010000001</v>
          </cell>
          <cell r="AD485">
            <v>95.785202010000006</v>
          </cell>
          <cell r="AE485">
            <v>91.503290079999999</v>
          </cell>
          <cell r="AF485">
            <v>87.235197360000001</v>
          </cell>
          <cell r="AG485">
            <v>83.024957979999996</v>
          </cell>
          <cell r="AH485">
            <v>78.905731950000003</v>
          </cell>
          <cell r="AI485">
            <v>74.917740980000005</v>
          </cell>
          <cell r="AJ485">
            <v>71.098747079999995</v>
          </cell>
          <cell r="AK485">
            <v>67.503009919999997</v>
          </cell>
          <cell r="AL485">
            <v>64.143799439999995</v>
          </cell>
          <cell r="AM485">
            <v>61.034362340000001</v>
          </cell>
          <cell r="AN485">
            <v>58.184844349999999</v>
          </cell>
          <cell r="AO485">
            <v>55.605087709999999</v>
          </cell>
        </row>
        <row r="857">
          <cell r="F857">
            <v>339.50638029999999</v>
          </cell>
          <cell r="G857">
            <v>343.05492989999999</v>
          </cell>
          <cell r="H857">
            <v>346.40578970000001</v>
          </cell>
          <cell r="I857">
            <v>349.84547959999998</v>
          </cell>
          <cell r="J857">
            <v>355.35312099999999</v>
          </cell>
          <cell r="K857">
            <v>363.77824079999999</v>
          </cell>
          <cell r="L857">
            <v>371.75084470000002</v>
          </cell>
          <cell r="M857">
            <v>379.2182287</v>
          </cell>
          <cell r="N857">
            <v>385.67219269999998</v>
          </cell>
          <cell r="O857">
            <v>390.9101872</v>
          </cell>
          <cell r="P857">
            <v>393.69613709999999</v>
          </cell>
          <cell r="Q857">
            <v>398.2235551</v>
          </cell>
          <cell r="R857">
            <v>403.55031969999999</v>
          </cell>
          <cell r="S857">
            <v>409.50983100000002</v>
          </cell>
          <cell r="T857">
            <v>415.89309950000001</v>
          </cell>
          <cell r="U857">
            <v>423.34199630000001</v>
          </cell>
          <cell r="V857">
            <v>427.31321079999998</v>
          </cell>
          <cell r="W857">
            <v>431.21931069999999</v>
          </cell>
          <cell r="X857">
            <v>434.18950510000002</v>
          </cell>
          <cell r="Y857">
            <v>435.08756510000001</v>
          </cell>
          <cell r="Z857">
            <v>435.35851639999998</v>
          </cell>
          <cell r="AA857">
            <v>435.36245280000003</v>
          </cell>
          <cell r="AB857">
            <v>435.2675734</v>
          </cell>
          <cell r="AC857">
            <v>435.25231109999999</v>
          </cell>
          <cell r="AD857">
            <v>435.5347668</v>
          </cell>
          <cell r="AE857">
            <v>437.23220629999997</v>
          </cell>
          <cell r="AF857">
            <v>437.24367169999999</v>
          </cell>
          <cell r="AG857">
            <v>437.60069720000001</v>
          </cell>
          <cell r="AH857">
            <v>438.74595790000001</v>
          </cell>
          <cell r="AI857">
            <v>440.75777929999998</v>
          </cell>
          <cell r="AJ857">
            <v>443.55765059999999</v>
          </cell>
          <cell r="AK857">
            <v>447.08140120000002</v>
          </cell>
          <cell r="AL857">
            <v>451.21634230000001</v>
          </cell>
          <cell r="AM857">
            <v>455.8488873</v>
          </cell>
          <cell r="AN857">
            <v>460.87893530000002</v>
          </cell>
          <cell r="AO857">
            <v>467.0589769</v>
          </cell>
        </row>
        <row r="911">
          <cell r="F911">
            <v>129.1535753</v>
          </cell>
          <cell r="G911">
            <v>128.3444619</v>
          </cell>
          <cell r="H911">
            <v>126.5658107</v>
          </cell>
          <cell r="I911">
            <v>124.7562262</v>
          </cell>
          <cell r="J911">
            <v>124.1267951</v>
          </cell>
          <cell r="K911">
            <v>124.4084857</v>
          </cell>
          <cell r="L911">
            <v>124.32508730000001</v>
          </cell>
          <cell r="M911">
            <v>124.5484987</v>
          </cell>
          <cell r="N911">
            <v>124.9098596</v>
          </cell>
          <cell r="O911">
            <v>125.3423085</v>
          </cell>
          <cell r="P911">
            <v>125.85109989999999</v>
          </cell>
          <cell r="Q911">
            <v>126.33871480000001</v>
          </cell>
          <cell r="R911">
            <v>126.7991174</v>
          </cell>
          <cell r="S911">
            <v>127.2242299</v>
          </cell>
          <cell r="T911">
            <v>127.6062661</v>
          </cell>
          <cell r="U911">
            <v>127.93987660000001</v>
          </cell>
          <cell r="V911">
            <v>128.2227116</v>
          </cell>
          <cell r="W911">
            <v>128.4535549</v>
          </cell>
          <cell r="X911">
            <v>128.63635769999999</v>
          </cell>
          <cell r="Y911">
            <v>128.7761051</v>
          </cell>
          <cell r="Z911">
            <v>128.85093309999999</v>
          </cell>
          <cell r="AA911">
            <v>128.91456339999999</v>
          </cell>
          <cell r="AB911">
            <v>128.96846260000001</v>
          </cell>
          <cell r="AC911">
            <v>129.01861</v>
          </cell>
          <cell r="AD911">
            <v>129.07266379999999</v>
          </cell>
          <cell r="AE911">
            <v>129.05957649999999</v>
          </cell>
          <cell r="AF911">
            <v>129.07049520000001</v>
          </cell>
          <cell r="AG911">
            <v>129.107799</v>
          </cell>
          <cell r="AH911">
            <v>129.17691600000001</v>
          </cell>
          <cell r="AI911">
            <v>129.28430729999999</v>
          </cell>
          <cell r="AJ911">
            <v>129.43500220000001</v>
          </cell>
          <cell r="AK911">
            <v>129.63142300000001</v>
          </cell>
          <cell r="AL911">
            <v>129.87314900000001</v>
          </cell>
          <cell r="AM911">
            <v>130.155384</v>
          </cell>
          <cell r="AN911">
            <v>130.4731055</v>
          </cell>
          <cell r="AO911">
            <v>130.8200415</v>
          </cell>
        </row>
        <row r="1283">
          <cell r="F1283">
            <v>339.50636450000002</v>
          </cell>
          <cell r="G1283">
            <v>343.05491410000002</v>
          </cell>
          <cell r="H1283">
            <v>346.40577400000001</v>
          </cell>
          <cell r="I1283">
            <v>349.84546399999999</v>
          </cell>
          <cell r="J1283">
            <v>355.35310529999998</v>
          </cell>
          <cell r="K1283">
            <v>363.77822479999998</v>
          </cell>
          <cell r="L1283">
            <v>373.02501389999998</v>
          </cell>
          <cell r="M1283">
            <v>383.2727433</v>
          </cell>
          <cell r="N1283">
            <v>394.19291420000002</v>
          </cell>
          <cell r="O1283">
            <v>405.18258859999997</v>
          </cell>
          <cell r="P1283">
            <v>415.58540549999998</v>
          </cell>
          <cell r="Q1283">
            <v>426.27468290000002</v>
          </cell>
          <cell r="R1283">
            <v>436.19938719999999</v>
          </cell>
          <cell r="S1283">
            <v>445.4719283</v>
          </cell>
          <cell r="T1283">
            <v>454.25881179999999</v>
          </cell>
          <cell r="U1283">
            <v>462.76222389999998</v>
          </cell>
          <cell r="V1283">
            <v>471.19194490000001</v>
          </cell>
          <cell r="W1283">
            <v>479.82034190000002</v>
          </cell>
          <cell r="X1283">
            <v>488.77913910000001</v>
          </cell>
          <cell r="Y1283">
            <v>498.19520899999998</v>
          </cell>
          <cell r="Z1283">
            <v>508.14883739999999</v>
          </cell>
          <cell r="AA1283">
            <v>518.83258609999996</v>
          </cell>
          <cell r="AB1283">
            <v>530.370857</v>
          </cell>
          <cell r="AC1283">
            <v>542.88289970000005</v>
          </cell>
          <cell r="AD1283">
            <v>556.48727340000005</v>
          </cell>
          <cell r="AE1283">
            <v>571.16652060000001</v>
          </cell>
          <cell r="AF1283">
            <v>583.27770820000001</v>
          </cell>
          <cell r="AG1283">
            <v>594.97710240000004</v>
          </cell>
          <cell r="AH1283">
            <v>607.21452790000001</v>
          </cell>
          <cell r="AI1283">
            <v>620.21058459999995</v>
          </cell>
          <cell r="AJ1283">
            <v>633.9083948</v>
          </cell>
          <cell r="AK1283">
            <v>648.16858790000003</v>
          </cell>
          <cell r="AL1283">
            <v>662.83681920000004</v>
          </cell>
          <cell r="AM1283">
            <v>677.7594967</v>
          </cell>
          <cell r="AN1283">
            <v>692.78736819999995</v>
          </cell>
          <cell r="AO1283">
            <v>707.77518439999994</v>
          </cell>
        </row>
        <row r="1365">
          <cell r="E1365" t="str">
            <v>100*(GDP_2/GDP_0-1)</v>
          </cell>
          <cell r="F1365">
            <v>0</v>
          </cell>
          <cell r="G1365">
            <v>0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-0.21445754245220661</v>
          </cell>
          <cell r="M1365">
            <v>-0.49019421611700142</v>
          </cell>
          <cell r="N1365">
            <v>-0.74705013933182851</v>
          </cell>
          <cell r="O1365">
            <v>-0.90687265358143643</v>
          </cell>
          <cell r="P1365">
            <v>-0.88831423014767985</v>
          </cell>
          <cell r="Q1365">
            <v>-0.76953253369115293</v>
          </cell>
          <cell r="R1365">
            <v>-0.5354677957937537</v>
          </cell>
          <cell r="S1365">
            <v>-0.21786818197716551</v>
          </cell>
          <cell r="T1365">
            <v>0.14463714130572569</v>
          </cell>
          <cell r="U1365">
            <v>0.7259573271237052</v>
          </cell>
          <cell r="V1365">
            <v>0.89739632703200733</v>
          </cell>
          <cell r="W1365">
            <v>1.1912892436859002</v>
          </cell>
          <cell r="X1365">
            <v>1.422670150654004</v>
          </cell>
          <cell r="Y1365">
            <v>1.5927048132876598</v>
          </cell>
          <cell r="Z1365">
            <v>1.6992483127152846</v>
          </cell>
          <cell r="AA1365">
            <v>1.7416050300094632</v>
          </cell>
          <cell r="AB1365">
            <v>1.7219271820507309</v>
          </cell>
          <cell r="AC1365">
            <v>1.6427921372243581</v>
          </cell>
          <cell r="AD1365">
            <v>1.5106797842955988</v>
          </cell>
          <cell r="AE1365">
            <v>1.5853261087461101</v>
          </cell>
          <cell r="AF1365">
            <v>1.3880233618658755</v>
          </cell>
          <cell r="AG1365">
            <v>1.3531683252475446</v>
          </cell>
          <cell r="AH1365">
            <v>1.2942222568403716</v>
          </cell>
          <cell r="AI1365">
            <v>1.2200916161571707</v>
          </cell>
          <cell r="AJ1365">
            <v>1.1364203036534848</v>
          </cell>
          <cell r="AK1365">
            <v>1.0438508284412285</v>
          </cell>
          <cell r="AL1365">
            <v>0.94573483820523663</v>
          </cell>
          <cell r="AM1365">
            <v>0.84694692402964566</v>
          </cell>
          <cell r="AN1365">
            <v>0.7524228175464831</v>
          </cell>
          <cell r="AO1365">
            <v>0.99015035137628438</v>
          </cell>
        </row>
        <row r="1366">
          <cell r="C1366" t="str">
            <v>VA du secteur marchand</v>
          </cell>
          <cell r="E1366" t="str">
            <v>100*((VA_2-VA_spub_2)/(VA_0-VA_spub_0)-1)</v>
          </cell>
          <cell r="F1366">
            <v>-6.3611971246047005E-8</v>
          </cell>
          <cell r="G1366">
            <v>0</v>
          </cell>
          <cell r="H1366">
            <v>0</v>
          </cell>
          <cell r="I1366">
            <v>0</v>
          </cell>
          <cell r="J1366">
            <v>0</v>
          </cell>
          <cell r="K1366">
            <v>-5.6895044231453085E-9</v>
          </cell>
          <cell r="L1366">
            <v>-0.26996936089720425</v>
          </cell>
          <cell r="M1366">
            <v>-0.59835171417274013</v>
          </cell>
          <cell r="N1366">
            <v>-0.89869318748105886</v>
          </cell>
          <cell r="O1366">
            <v>-1.0830035766375201</v>
          </cell>
          <cell r="P1366">
            <v>-1.057562681245372</v>
          </cell>
          <cell r="Q1366">
            <v>-0.925660979367815</v>
          </cell>
          <cell r="R1366">
            <v>-0.67172259068977169</v>
          </cell>
          <cell r="S1366">
            <v>-0.32978597610165972</v>
          </cell>
          <cell r="T1366">
            <v>5.7547232662558123E-2</v>
          </cell>
          <cell r="U1366">
            <v>0.70399923348110072</v>
          </cell>
          <cell r="V1366">
            <v>0.84347401256539278</v>
          </cell>
          <cell r="W1366">
            <v>1.1476436050165795</v>
          </cell>
          <cell r="X1366">
            <v>1.3798994201299486</v>
          </cell>
          <cell r="Y1366">
            <v>1.5398607009050602</v>
          </cell>
          <cell r="Z1366">
            <v>1.6280281739282421</v>
          </cell>
          <cell r="AA1366">
            <v>1.6447482944840219</v>
          </cell>
          <cell r="AB1366">
            <v>1.5929335628219521</v>
          </cell>
          <cell r="AC1366">
            <v>1.4757375491456504</v>
          </cell>
          <cell r="AD1366">
            <v>1.3008303997689152</v>
          </cell>
          <cell r="AE1366">
            <v>1.378747193479013</v>
          </cell>
          <cell r="AF1366">
            <v>1.1304370804403385</v>
          </cell>
          <cell r="AG1366">
            <v>1.0897603974172831</v>
          </cell>
          <cell r="AH1366">
            <v>1.0192632396293977</v>
          </cell>
          <cell r="AI1366">
            <v>0.93102012657264588</v>
          </cell>
          <cell r="AJ1366">
            <v>0.83229864332869941</v>
          </cell>
          <cell r="AK1366">
            <v>0.72501637113357997</v>
          </cell>
          <cell r="AL1366">
            <v>0.61358112660463426</v>
          </cell>
          <cell r="AM1366">
            <v>0.5034863659093558</v>
          </cell>
          <cell r="AN1366">
            <v>0.39995431246466762</v>
          </cell>
          <cell r="AO1366">
            <v>0.69342339502347361</v>
          </cell>
        </row>
        <row r="1367">
          <cell r="E1367" t="str">
            <v>100*((CH_2-CH_0)/GDP_0)</v>
          </cell>
          <cell r="F1367">
            <v>0</v>
          </cell>
          <cell r="G1367">
            <v>0</v>
          </cell>
          <cell r="H1367">
            <v>0</v>
          </cell>
          <cell r="I1367">
            <v>4.3008761615863493E-8</v>
          </cell>
          <cell r="J1367">
            <v>4.20891115976387E-8</v>
          </cell>
          <cell r="K1367">
            <v>4.1069901526818846E-8</v>
          </cell>
          <cell r="L1367">
            <v>-3.7717264845021033E-2</v>
          </cell>
          <cell r="M1367">
            <v>-0.15262864236843929</v>
          </cell>
          <cell r="N1367">
            <v>-0.27157451054645287</v>
          </cell>
          <cell r="O1367">
            <v>-0.33364938755664958</v>
          </cell>
          <cell r="P1367">
            <v>-0.28749859454994414</v>
          </cell>
          <cell r="Q1367">
            <v>-0.15541059150522951</v>
          </cell>
          <cell r="R1367">
            <v>8.4043373752596143E-2</v>
          </cell>
          <cell r="S1367">
            <v>0.40062465038997558</v>
          </cell>
          <cell r="T1367">
            <v>0.76393191758517132</v>
          </cell>
          <cell r="U1367">
            <v>1.1922859415133293</v>
          </cell>
          <cell r="V1367">
            <v>1.5826528891817695</v>
          </cell>
          <cell r="W1367">
            <v>1.9263155964337781</v>
          </cell>
          <cell r="X1367">
            <v>2.2208023952116842</v>
          </cell>
          <cell r="Y1367">
            <v>2.4662866963228063</v>
          </cell>
          <cell r="Z1367">
            <v>2.6663856947160012</v>
          </cell>
          <cell r="AA1367">
            <v>2.8133366163250786</v>
          </cell>
          <cell r="AB1367">
            <v>2.905960437445033</v>
          </cell>
          <cell r="AC1367">
            <v>2.9452298735300584</v>
          </cell>
          <cell r="AD1367">
            <v>2.9348536518158426</v>
          </cell>
          <cell r="AE1367">
            <v>2.9317529175548471</v>
          </cell>
          <cell r="AF1367">
            <v>2.8721066633903556</v>
          </cell>
          <cell r="AG1367">
            <v>2.7835274969834658</v>
          </cell>
          <cell r="AH1367">
            <v>2.6783624515997135</v>
          </cell>
          <cell r="AI1367">
            <v>2.5626941450541545</v>
          </cell>
          <cell r="AJ1367">
            <v>2.4396310539581489</v>
          </cell>
          <cell r="AK1367">
            <v>2.3043052927808447</v>
          </cell>
          <cell r="AL1367">
            <v>2.1570144397703599</v>
          </cell>
          <cell r="AM1367">
            <v>2.0022466853119534</v>
          </cell>
          <cell r="AN1367">
            <v>1.8461542459836031</v>
          </cell>
          <cell r="AO1367">
            <v>1.7564945177991054</v>
          </cell>
        </row>
        <row r="1368">
          <cell r="C1368" t="str">
            <v>Consommation des ménages automobile</v>
          </cell>
          <cell r="E1368" t="str">
            <v>100*((CH_cveh_2-CH_cveh_0)/GDP_0)</v>
          </cell>
          <cell r="F1368">
            <v>0</v>
          </cell>
          <cell r="G1368">
            <v>4.4699704048795095E-10</v>
          </cell>
          <cell r="H1368">
            <v>8.7732725113650497E-10</v>
          </cell>
          <cell r="I1368">
            <v>1.2902630737854151E-9</v>
          </cell>
          <cell r="J1368">
            <v>2.1044553348911017E-9</v>
          </cell>
          <cell r="K1368">
            <v>2.4641939003624854E-9</v>
          </cell>
          <cell r="L1368">
            <v>-4.5565004229832316E-3</v>
          </cell>
          <cell r="M1368">
            <v>-3.7629516760686273E-2</v>
          </cell>
          <cell r="N1368">
            <v>-7.5110190856952808E-2</v>
          </cell>
          <cell r="O1368">
            <v>-0.10881880033926518</v>
          </cell>
          <cell r="P1368">
            <v>-0.14299351753275441</v>
          </cell>
          <cell r="Q1368">
            <v>-0.10598485713341847</v>
          </cell>
          <cell r="R1368">
            <v>-4.5692391962524913E-2</v>
          </cell>
          <cell r="S1368">
            <v>9.3753688613344346E-3</v>
          </cell>
          <cell r="T1368">
            <v>5.149258043195068E-2</v>
          </cell>
          <cell r="U1368">
            <v>8.5912852171433282E-2</v>
          </cell>
          <cell r="V1368">
            <v>9.7881052588828329E-2</v>
          </cell>
          <cell r="W1368">
            <v>9.417213152310161E-2</v>
          </cell>
          <cell r="X1368">
            <v>8.1389319301689952E-2</v>
          </cell>
          <cell r="Y1368">
            <v>6.6885288380380978E-2</v>
          </cell>
          <cell r="Z1368">
            <v>5.1777788703352146E-2</v>
          </cell>
          <cell r="AA1368">
            <v>4.4060856309215267E-2</v>
          </cell>
          <cell r="AB1368">
            <v>3.7245752095742136E-2</v>
          </cell>
          <cell r="AC1368">
            <v>2.9141146656393814E-2</v>
          </cell>
          <cell r="AD1368">
            <v>1.9849507296029797E-2</v>
          </cell>
          <cell r="AE1368">
            <v>1.4971021899111078E-2</v>
          </cell>
          <cell r="AF1368">
            <v>1.106717618970594E-2</v>
          </cell>
          <cell r="AG1368">
            <v>7.8952446441286246E-3</v>
          </cell>
          <cell r="AH1368">
            <v>4.9417832732725044E-3</v>
          </cell>
          <cell r="AI1368">
            <v>2.1607301955420466E-3</v>
          </cell>
          <cell r="AJ1368">
            <v>-5.6831672862282475E-4</v>
          </cell>
          <cell r="AK1368">
            <v>-2.4498869150338977E-3</v>
          </cell>
          <cell r="AL1368">
            <v>-5.3697831826445804E-3</v>
          </cell>
          <cell r="AM1368">
            <v>-9.4832612670623772E-3</v>
          </cell>
          <cell r="AN1368">
            <v>-1.4301861896001848E-2</v>
          </cell>
          <cell r="AO1368">
            <v>-1.3858154944731329E-2</v>
          </cell>
        </row>
        <row r="1369">
          <cell r="C1369" t="str">
            <v>Dépenses publiques</v>
          </cell>
          <cell r="E1369" t="str">
            <v>100*((G_2-G_0)/GDP_0)</v>
          </cell>
          <cell r="F1369">
            <v>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>
            <v>0</v>
          </cell>
          <cell r="AJ1369">
            <v>0</v>
          </cell>
          <cell r="AK1369">
            <v>0</v>
          </cell>
          <cell r="AL1369">
            <v>0</v>
          </cell>
          <cell r="AM1369">
            <v>0</v>
          </cell>
          <cell r="AN1369">
            <v>0</v>
          </cell>
          <cell r="AO1369">
            <v>0</v>
          </cell>
        </row>
        <row r="1370">
          <cell r="E1370" t="str">
            <v>100*((I_2-I_0)/GDP_0)</v>
          </cell>
          <cell r="F1370">
            <v>0</v>
          </cell>
          <cell r="G1370">
            <v>0</v>
          </cell>
          <cell r="H1370">
            <v>4.386634979003778E-9</v>
          </cell>
          <cell r="I1370">
            <v>4.3008756608985488E-9</v>
          </cell>
          <cell r="J1370">
            <v>0</v>
          </cell>
          <cell r="K1370">
            <v>4.1069882402154315E-9</v>
          </cell>
          <cell r="L1370">
            <v>-2.9045893478389088E-2</v>
          </cell>
          <cell r="M1370">
            <v>-9.4024537443687134E-2</v>
          </cell>
          <cell r="N1370">
            <v>-0.17231848122533822</v>
          </cell>
          <cell r="O1370">
            <v>-0.24610868728162724</v>
          </cell>
          <cell r="P1370">
            <v>-0.29934944415226261</v>
          </cell>
          <cell r="Q1370">
            <v>-0.31667759627525244</v>
          </cell>
          <cell r="R1370">
            <v>-0.29806183074005466</v>
          </cell>
          <cell r="S1370">
            <v>-0.24950774394206401</v>
          </cell>
          <cell r="T1370">
            <v>-0.17890042493482203</v>
          </cell>
          <cell r="U1370">
            <v>-4.6797671518637743E-2</v>
          </cell>
          <cell r="V1370">
            <v>2.1409904557943334E-2</v>
          </cell>
          <cell r="W1370">
            <v>9.7785070857969142E-2</v>
          </cell>
          <cell r="X1370">
            <v>0.173025969101995</v>
          </cell>
          <cell r="Y1370">
            <v>0.2421759381232837</v>
          </cell>
          <cell r="Z1370">
            <v>0.30351019094564818</v>
          </cell>
          <cell r="AA1370">
            <v>0.35844753830019588</v>
          </cell>
          <cell r="AB1370">
            <v>0.40605063519088996</v>
          </cell>
          <cell r="AC1370">
            <v>0.44594150418814188</v>
          </cell>
          <cell r="AD1370">
            <v>0.47869160891806001</v>
          </cell>
          <cell r="AE1370">
            <v>0.56817922693156131</v>
          </cell>
          <cell r="AF1370">
            <v>0.59549659001414379</v>
          </cell>
          <cell r="AG1370">
            <v>0.64385070685151768</v>
          </cell>
          <cell r="AH1370">
            <v>0.69817364598753717</v>
          </cell>
          <cell r="AI1370">
            <v>0.75084147675511237</v>
          </cell>
          <cell r="AJ1370">
            <v>0.79914894799625202</v>
          </cell>
          <cell r="AK1370">
            <v>0.84185090211682068</v>
          </cell>
          <cell r="AL1370">
            <v>0.87741042527950097</v>
          </cell>
          <cell r="AM1370">
            <v>0.90565898402525358</v>
          </cell>
          <cell r="AN1370">
            <v>0.92710057285002989</v>
          </cell>
          <cell r="AO1370">
            <v>1.0279328170576081</v>
          </cell>
        </row>
        <row r="1371">
          <cell r="C1371" t="str">
            <v>Variations de stocks</v>
          </cell>
          <cell r="E1371" t="str">
            <v>100*((DS_2-DS_0)/GDP_0)</v>
          </cell>
          <cell r="F1371">
            <v>0</v>
          </cell>
          <cell r="G1371">
            <v>0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0</v>
          </cell>
          <cell r="M1371">
            <v>0</v>
          </cell>
          <cell r="N1371">
            <v>0</v>
          </cell>
          <cell r="O1371">
            <v>0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>
            <v>0</v>
          </cell>
          <cell r="Y1371">
            <v>0</v>
          </cell>
          <cell r="Z1371">
            <v>0</v>
          </cell>
          <cell r="AA1371">
            <v>0</v>
          </cell>
          <cell r="AB1371">
            <v>0</v>
          </cell>
          <cell r="AC1371">
            <v>0</v>
          </cell>
          <cell r="AD1371">
            <v>0</v>
          </cell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>
            <v>0</v>
          </cell>
          <cell r="AJ1371">
            <v>0</v>
          </cell>
          <cell r="AK1371">
            <v>0</v>
          </cell>
          <cell r="AL1371">
            <v>0</v>
          </cell>
          <cell r="AM1371">
            <v>0</v>
          </cell>
          <cell r="AN1371">
            <v>0</v>
          </cell>
          <cell r="AO1371">
            <v>0</v>
          </cell>
        </row>
        <row r="1372">
          <cell r="E1372" t="str">
            <v>100*((X_2-X_0)/GDP_0)-100*((M_2-M_0)/GDP_0)</v>
          </cell>
          <cell r="F1372">
            <v>-4.5516733136692118E-9</v>
          </cell>
          <cell r="G1372">
            <v>-4.4699730067476309E-9</v>
          </cell>
          <cell r="H1372">
            <v>-8.7732648512925717E-9</v>
          </cell>
          <cell r="I1372">
            <v>-4.3008781643375513E-9</v>
          </cell>
          <cell r="J1372">
            <v>-8.4178213395644067E-9</v>
          </cell>
          <cell r="K1372">
            <v>-1.232097428297856E-8</v>
          </cell>
          <cell r="L1372">
            <v>-0.14769439615133534</v>
          </cell>
          <cell r="M1372">
            <v>-0.24354102848453743</v>
          </cell>
          <cell r="N1372">
            <v>-0.30315715137512761</v>
          </cell>
          <cell r="O1372">
            <v>-0.32711453776172256</v>
          </cell>
          <cell r="P1372">
            <v>-0.30146616957877115</v>
          </cell>
          <cell r="Q1372">
            <v>-0.29744437448479</v>
          </cell>
          <cell r="R1372">
            <v>-0.32144932478011295</v>
          </cell>
          <cell r="S1372">
            <v>-0.36898510566299031</v>
          </cell>
          <cell r="T1372">
            <v>-0.44039433777043285</v>
          </cell>
          <cell r="U1372">
            <v>-0.41953093618483622</v>
          </cell>
          <cell r="V1372">
            <v>-0.70666647988774989</v>
          </cell>
          <cell r="W1372">
            <v>-0.83281139112251634</v>
          </cell>
          <cell r="X1372">
            <v>-0.97115819444664231</v>
          </cell>
          <cell r="Y1372">
            <v>-1.115757783287338</v>
          </cell>
          <cell r="Z1372">
            <v>-1.2706475822750825</v>
          </cell>
          <cell r="AA1372">
            <v>-1.4301790970557891</v>
          </cell>
          <cell r="AB1372">
            <v>-1.5900839267504752</v>
          </cell>
          <cell r="AC1372">
            <v>-1.7483792345655251</v>
          </cell>
          <cell r="AD1372">
            <v>-1.9028655143127329</v>
          </cell>
          <cell r="AE1372">
            <v>-1.9146060471909052</v>
          </cell>
          <cell r="AF1372">
            <v>-2.0795798268840247</v>
          </cell>
          <cell r="AG1372">
            <v>-2.0742098261630448</v>
          </cell>
          <cell r="AH1372">
            <v>-2.0823138542823862</v>
          </cell>
          <cell r="AI1372">
            <v>-2.0934440056520858</v>
          </cell>
          <cell r="AJ1372">
            <v>-2.1023596462360317</v>
          </cell>
          <cell r="AK1372">
            <v>-2.1023053919774348</v>
          </cell>
          <cell r="AL1372">
            <v>-2.0886900018255323</v>
          </cell>
          <cell r="AM1372">
            <v>-2.0609587698370877</v>
          </cell>
          <cell r="AN1372">
            <v>-2.0208320012871646</v>
          </cell>
          <cell r="AO1372">
            <v>-1.7942769834804111</v>
          </cell>
        </row>
        <row r="1373">
          <cell r="C1373" t="str">
            <v>Consommation des ménages</v>
          </cell>
          <cell r="E1373" t="str">
            <v>100*((CH_2-CH_ccon_2-(CH_0-CH_ccon_0))/GDP_0)</v>
          </cell>
          <cell r="F1373">
            <v>0</v>
          </cell>
          <cell r="G1373">
            <v>0</v>
          </cell>
          <cell r="H1373">
            <v>0</v>
          </cell>
          <cell r="I1373">
            <v>4.3008761615863493E-8</v>
          </cell>
          <cell r="J1373">
            <v>4.20891115976387E-8</v>
          </cell>
          <cell r="K1373">
            <v>4.1069901526818846E-8</v>
          </cell>
          <cell r="L1373">
            <v>-3.7236337698222807E-2</v>
          </cell>
          <cell r="M1373">
            <v>-0.15010734042630447</v>
          </cell>
          <cell r="N1373">
            <v>-0.26629279485663093</v>
          </cell>
          <cell r="O1373">
            <v>-0.32592656855056368</v>
          </cell>
          <cell r="P1373">
            <v>-0.27844659907190539</v>
          </cell>
          <cell r="Q1373">
            <v>-0.14641796019653047</v>
          </cell>
          <cell r="R1373">
            <v>9.0511522960897747E-2</v>
          </cell>
          <cell r="S1373">
            <v>0.40267473628798495</v>
          </cell>
          <cell r="T1373">
            <v>0.76052578793358738</v>
          </cell>
          <cell r="U1373">
            <v>1.1825050621958066</v>
          </cell>
          <cell r="V1373">
            <v>1.5671603569876267</v>
          </cell>
          <cell r="W1373">
            <v>1.9059859859776769</v>
          </cell>
          <cell r="X1373">
            <v>2.1965263659340937</v>
          </cell>
          <cell r="Y1373">
            <v>2.438860011585148</v>
          </cell>
          <cell r="Z1373">
            <v>2.6363874481428939</v>
          </cell>
          <cell r="AA1373">
            <v>2.7813209261421132</v>
          </cell>
          <cell r="AB1373">
            <v>2.8723832272002308</v>
          </cell>
          <cell r="AC1373">
            <v>2.9105521313322082</v>
          </cell>
          <cell r="AD1373">
            <v>2.8995343620901268</v>
          </cell>
          <cell r="AE1373">
            <v>2.8955637709093809</v>
          </cell>
          <cell r="AF1373">
            <v>2.8358290805082627</v>
          </cell>
          <cell r="AG1373">
            <v>2.7476686038538971</v>
          </cell>
          <cell r="AH1373">
            <v>2.6433501373311286</v>
          </cell>
          <cell r="AI1373">
            <v>2.5288840840872888</v>
          </cell>
          <cell r="AJ1373">
            <v>2.4072986806408578</v>
          </cell>
          <cell r="AK1373">
            <v>2.273741725636143</v>
          </cell>
          <cell r="AL1373">
            <v>2.1284845094507974</v>
          </cell>
          <cell r="AM1373">
            <v>1.9759486521181175</v>
          </cell>
          <cell r="AN1373">
            <v>1.8221837736356792</v>
          </cell>
          <cell r="AO1373">
            <v>1.7340333324714223</v>
          </cell>
        </row>
        <row r="1374">
          <cell r="E1374" t="str">
            <v>100*((I_2+CH_ccon_2-(I_0+CH_ccon_0))/GDP_0)</v>
          </cell>
          <cell r="F1374">
            <v>0</v>
          </cell>
          <cell r="G1374">
            <v>0</v>
          </cell>
          <cell r="H1374">
            <v>4.386634979003778E-9</v>
          </cell>
          <cell r="I1374">
            <v>4.3008756608985488E-9</v>
          </cell>
          <cell r="J1374">
            <v>0</v>
          </cell>
          <cell r="K1374">
            <v>4.1069882402154315E-9</v>
          </cell>
          <cell r="L1374">
            <v>-2.952682062518731E-2</v>
          </cell>
          <cell r="M1374">
            <v>-9.6545839385817386E-2</v>
          </cell>
          <cell r="N1374">
            <v>-0.1776001969151646</v>
          </cell>
          <cell r="O1374">
            <v>-0.25383150628771317</v>
          </cell>
          <cell r="P1374">
            <v>-0.30840143963029715</v>
          </cell>
          <cell r="Q1374">
            <v>-0.32567022758394731</v>
          </cell>
          <cell r="R1374">
            <v>-0.30452997994835629</v>
          </cell>
          <cell r="S1374">
            <v>-0.25155782984007335</v>
          </cell>
          <cell r="T1374">
            <v>-0.17549429528323024</v>
          </cell>
          <cell r="U1374">
            <v>-3.7016792201118962E-2</v>
          </cell>
          <cell r="V1374">
            <v>3.6902436752086154E-2</v>
          </cell>
          <cell r="W1374">
            <v>0.11811468131407038</v>
          </cell>
          <cell r="X1374">
            <v>0.19730199837958978</v>
          </cell>
          <cell r="Y1374">
            <v>0.26960262286094183</v>
          </cell>
          <cell r="Z1374">
            <v>0.33350843751875497</v>
          </cell>
          <cell r="AA1374">
            <v>0.39046322848316495</v>
          </cell>
          <cell r="AB1374">
            <v>0.43962784543569611</v>
          </cell>
          <cell r="AC1374">
            <v>0.4806192463859888</v>
          </cell>
          <cell r="AD1374">
            <v>0.51401089864377592</v>
          </cell>
          <cell r="AE1374">
            <v>0.60436837357702711</v>
          </cell>
          <cell r="AF1374">
            <v>0.63177417289623339</v>
          </cell>
          <cell r="AG1374">
            <v>0.67970959998108316</v>
          </cell>
          <cell r="AH1374">
            <v>0.73318596025611915</v>
          </cell>
          <cell r="AI1374">
            <v>0.78465153772197815</v>
          </cell>
          <cell r="AJ1374">
            <v>0.83148132131354047</v>
          </cell>
          <cell r="AK1374">
            <v>0.87241446926151944</v>
          </cell>
          <cell r="AL1374">
            <v>0.90594035559906327</v>
          </cell>
          <cell r="AM1374">
            <v>0.93195701721908408</v>
          </cell>
          <cell r="AN1374">
            <v>0.95107104519795926</v>
          </cell>
          <cell r="AO1374">
            <v>1.0503940023852856</v>
          </cell>
        </row>
        <row r="1375">
          <cell r="C1375" t="str">
            <v>Investissement entreprises</v>
          </cell>
          <cell r="E1375" t="str">
            <v>100*((I_2-IA_spub_2-(I_0-IA_spub_0))/GDP_0)</v>
          </cell>
          <cell r="F1375">
            <v>0</v>
          </cell>
          <cell r="G1375">
            <v>0</v>
          </cell>
          <cell r="H1375">
            <v>4.386634979003778E-9</v>
          </cell>
          <cell r="I1375">
            <v>3.8707873437769933E-9</v>
          </cell>
          <cell r="J1375">
            <v>0</v>
          </cell>
          <cell r="K1375">
            <v>3.6962884599606618E-9</v>
          </cell>
          <cell r="L1375">
            <v>-2.8703361767897135E-2</v>
          </cell>
          <cell r="M1375">
            <v>-9.1461030298235199E-2</v>
          </cell>
          <cell r="N1375">
            <v>-0.16683531072618654</v>
          </cell>
          <cell r="O1375">
            <v>-0.23760443294985073</v>
          </cell>
          <cell r="P1375">
            <v>-0.28797845812256839</v>
          </cell>
          <cell r="Q1375">
            <v>-0.30454658457577477</v>
          </cell>
          <cell r="R1375">
            <v>-0.28678873066658966</v>
          </cell>
          <cell r="S1375">
            <v>-0.24015993196531737</v>
          </cell>
          <cell r="T1375">
            <v>-0.17212786093009186</v>
          </cell>
          <cell r="U1375">
            <v>-4.3501508370439916E-2</v>
          </cell>
          <cell r="V1375">
            <v>2.1997983011759793E-2</v>
          </cell>
          <cell r="W1375">
            <v>9.5856131875000208E-2</v>
          </cell>
          <cell r="X1375">
            <v>0.16883811113811265</v>
          </cell>
          <cell r="Y1375">
            <v>0.23592300394208646</v>
          </cell>
          <cell r="Z1375">
            <v>0.29529965969402233</v>
          </cell>
          <cell r="AA1375">
            <v>0.34815359044905092</v>
          </cell>
          <cell r="AB1375">
            <v>0.39359542485810467</v>
          </cell>
          <cell r="AC1375">
            <v>0.4312275053243354</v>
          </cell>
          <cell r="AD1375">
            <v>0.46157605621866532</v>
          </cell>
          <cell r="AE1375">
            <v>0.54787260709193231</v>
          </cell>
          <cell r="AF1375">
            <v>0.57246876488303733</v>
          </cell>
          <cell r="AG1375">
            <v>0.61803460744697925</v>
          </cell>
          <cell r="AH1375">
            <v>0.66970953253742571</v>
          </cell>
          <cell r="AI1375">
            <v>0.71994982278481379</v>
          </cell>
          <cell r="AJ1375">
            <v>0.76605838074134114</v>
          </cell>
          <cell r="AK1375">
            <v>0.80680133559301903</v>
          </cell>
          <cell r="AL1375">
            <v>0.84074122491281278</v>
          </cell>
          <cell r="AM1375">
            <v>0.86771374753183361</v>
          </cell>
          <cell r="AN1375">
            <v>0.8881879300904828</v>
          </cell>
          <cell r="AO1375">
            <v>0.98756639715408456</v>
          </cell>
        </row>
        <row r="1376">
          <cell r="C1376" t="str">
            <v>Investissement ménages</v>
          </cell>
          <cell r="E1376" t="str">
            <v>100*((CH_ccon_2-CH_ccon_0)/GDP_0)</v>
          </cell>
          <cell r="F1376">
            <v>0</v>
          </cell>
          <cell r="G1376">
            <v>0</v>
          </cell>
          <cell r="H1376">
            <v>0</v>
          </cell>
          <cell r="I1376">
            <v>0</v>
          </cell>
          <cell r="J1376">
            <v>0</v>
          </cell>
          <cell r="K1376">
            <v>0</v>
          </cell>
          <cell r="L1376">
            <v>-4.8092714679895366E-4</v>
          </cell>
          <cell r="M1376">
            <v>-2.5213019421329564E-3</v>
          </cell>
          <cell r="N1376">
            <v>-5.2817156898256846E-3</v>
          </cell>
          <cell r="O1376">
            <v>-7.7228190060870091E-3</v>
          </cell>
          <cell r="P1376">
            <v>-9.0519954780355835E-3</v>
          </cell>
          <cell r="Q1376">
            <v>-8.9926313086951364E-3</v>
          </cell>
          <cell r="R1376">
            <v>-6.4681492083021163E-3</v>
          </cell>
          <cell r="S1376">
            <v>-2.0500858980062194E-3</v>
          </cell>
          <cell r="T1376">
            <v>3.4061296515896992E-3</v>
          </cell>
          <cell r="U1376">
            <v>9.780879317520844E-3</v>
          </cell>
          <cell r="V1376">
            <v>1.5492532194143059E-2</v>
          </cell>
          <cell r="W1376">
            <v>2.0329610456103476E-2</v>
          </cell>
          <cell r="X1376">
            <v>2.4276029277595021E-2</v>
          </cell>
          <cell r="Y1376">
            <v>2.7426684737657751E-2</v>
          </cell>
          <cell r="Z1376">
            <v>2.999824657310636E-2</v>
          </cell>
          <cell r="AA1376">
            <v>3.2015690182966614E-2</v>
          </cell>
          <cell r="AB1376">
            <v>3.3577210244806921E-2</v>
          </cell>
          <cell r="AC1376">
            <v>3.4677742197848756E-2</v>
          </cell>
          <cell r="AD1376">
            <v>3.5319289725715297E-2</v>
          </cell>
          <cell r="AE1376">
            <v>3.618914664546851E-2</v>
          </cell>
          <cell r="AF1376">
            <v>3.6277582882089515E-2</v>
          </cell>
          <cell r="AG1376">
            <v>3.5858893129566492E-2</v>
          </cell>
          <cell r="AH1376">
            <v>3.5012314268582319E-2</v>
          </cell>
          <cell r="AI1376">
            <v>3.3810060966866305E-2</v>
          </cell>
          <cell r="AJ1376">
            <v>3.2332373317289886E-2</v>
          </cell>
          <cell r="AK1376">
            <v>3.0563567144700651E-2</v>
          </cell>
          <cell r="AL1376">
            <v>2.8529930319560273E-2</v>
          </cell>
          <cell r="AM1376">
            <v>2.629803319383503E-2</v>
          </cell>
          <cell r="AN1376">
            <v>2.3970472347925698E-2</v>
          </cell>
          <cell r="AO1376">
            <v>2.2461185327675999E-2</v>
          </cell>
        </row>
        <row r="1377">
          <cell r="C1377" t="str">
            <v>Investissement public</v>
          </cell>
          <cell r="E1377" t="str">
            <v>100*((IA_spub_2-IA_spub_0)/GDP_0)</v>
          </cell>
          <cell r="F1377">
            <v>0</v>
          </cell>
          <cell r="G1377">
            <v>0</v>
          </cell>
          <cell r="H1377">
            <v>0</v>
          </cell>
          <cell r="I1377">
            <v>4.3008769126180499E-10</v>
          </cell>
          <cell r="J1377">
            <v>0</v>
          </cell>
          <cell r="K1377">
            <v>4.1069918260900314E-10</v>
          </cell>
          <cell r="L1377">
            <v>-3.4253171049253501E-4</v>
          </cell>
          <cell r="M1377">
            <v>-2.5635071454524904E-3</v>
          </cell>
          <cell r="N1377">
            <v>-5.4831704991525169E-3</v>
          </cell>
          <cell r="O1377">
            <v>-8.5042543317802883E-3</v>
          </cell>
          <cell r="P1377">
            <v>-1.1370986029695067E-2</v>
          </cell>
          <cell r="Q1377">
            <v>-1.2131011699478441E-2</v>
          </cell>
          <cell r="R1377">
            <v>-1.1273100073466574E-2</v>
          </cell>
          <cell r="S1377">
            <v>-9.3478119767441276E-3</v>
          </cell>
          <cell r="T1377">
            <v>-6.772564004728949E-3</v>
          </cell>
          <cell r="U1377">
            <v>-3.2961631481985528E-3</v>
          </cell>
          <cell r="V1377">
            <v>-5.8807845381933738E-4</v>
          </cell>
          <cell r="W1377">
            <v>1.92893898297153E-3</v>
          </cell>
          <cell r="X1377">
            <v>4.1878579638826019E-3</v>
          </cell>
          <cell r="Y1377">
            <v>6.2529341811972308E-3</v>
          </cell>
          <cell r="Z1377">
            <v>8.2105312516247159E-3</v>
          </cell>
          <cell r="AA1377">
            <v>1.0293947851147867E-2</v>
          </cell>
          <cell r="AB1377">
            <v>1.2455210332785977E-2</v>
          </cell>
          <cell r="AC1377">
            <v>1.4713998863807276E-2</v>
          </cell>
          <cell r="AD1377">
            <v>1.7115552699396134E-2</v>
          </cell>
          <cell r="AE1377">
            <v>2.030661983962799E-2</v>
          </cell>
          <cell r="AF1377">
            <v>2.3027825131104539E-2</v>
          </cell>
          <cell r="AG1377">
            <v>2.5816099404539369E-2</v>
          </cell>
          <cell r="AH1377">
            <v>2.8464113450109536E-2</v>
          </cell>
          <cell r="AI1377">
            <v>3.089165397029792E-2</v>
          </cell>
          <cell r="AJ1377">
            <v>3.3090567254912204E-2</v>
          </cell>
          <cell r="AK1377">
            <v>3.5049566523800528E-2</v>
          </cell>
          <cell r="AL1377">
            <v>3.6669200366689844E-2</v>
          </cell>
          <cell r="AM1377">
            <v>3.7945236493422449E-2</v>
          </cell>
          <cell r="AN1377">
            <v>3.8912642759544466E-2</v>
          </cell>
          <cell r="AO1377">
            <v>4.0366419903520856E-2</v>
          </cell>
        </row>
        <row r="1378">
          <cell r="C1378" t="str">
            <v>Consommation des ménages</v>
          </cell>
          <cell r="E1378" t="str">
            <v>100*(CH_2/CH_0-1)</v>
          </cell>
          <cell r="F1378">
            <v>0</v>
          </cell>
          <cell r="G1378">
            <v>0</v>
          </cell>
          <cell r="H1378">
            <v>0</v>
          </cell>
          <cell r="I1378">
            <v>7.8959239147025073E-8</v>
          </cell>
          <cell r="J1378">
            <v>7.7203576864803836E-8</v>
          </cell>
          <cell r="K1378">
            <v>7.5089245932247195E-8</v>
          </cell>
          <cell r="L1378">
            <v>-6.8824683895307714E-2</v>
          </cell>
          <cell r="M1378">
            <v>-0.27813532403330177</v>
          </cell>
          <cell r="N1378">
            <v>-0.49439964206061671</v>
          </cell>
          <cell r="O1378">
            <v>-0.60655011688791616</v>
          </cell>
          <cell r="P1378">
            <v>-0.52131621897715252</v>
          </cell>
          <cell r="Q1378">
            <v>-0.28108395718181578</v>
          </cell>
          <cell r="R1378">
            <v>0.15166254866794127</v>
          </cell>
          <cell r="S1378">
            <v>0.72175968956700309</v>
          </cell>
          <cell r="T1378">
            <v>1.3751894692396238</v>
          </cell>
          <cell r="U1378">
            <v>2.1467419216666395</v>
          </cell>
          <cell r="V1378">
            <v>2.8530318198251248</v>
          </cell>
          <cell r="W1378">
            <v>3.479853639666608</v>
          </cell>
          <cell r="X1378">
            <v>4.0235233297333028</v>
          </cell>
          <cell r="Y1378">
            <v>4.4844129041723413</v>
          </cell>
          <cell r="Z1378">
            <v>4.869324756894966</v>
          </cell>
          <cell r="AA1378">
            <v>5.1619658134187452</v>
          </cell>
          <cell r="AB1378">
            <v>5.358835284616581</v>
          </cell>
          <cell r="AC1378">
            <v>5.4599278770437687</v>
          </cell>
          <cell r="AD1378">
            <v>5.4701840366095711</v>
          </cell>
          <cell r="AE1378">
            <v>5.4965166290389167</v>
          </cell>
          <cell r="AF1378">
            <v>5.416252804089039</v>
          </cell>
          <cell r="AG1378">
            <v>5.2791592004097332</v>
          </cell>
          <cell r="AH1378">
            <v>5.1073515290277482</v>
          </cell>
          <cell r="AI1378">
            <v>4.9113700442863006</v>
          </cell>
          <cell r="AJ1378">
            <v>4.6965583635934616</v>
          </cell>
          <cell r="AK1378">
            <v>4.4533710498540158</v>
          </cell>
          <cell r="AL1378">
            <v>4.1824995729863312</v>
          </cell>
          <cell r="AM1378">
            <v>3.8930357880832211</v>
          </cell>
          <cell r="AN1378">
            <v>3.5975324267762288</v>
          </cell>
          <cell r="AO1378">
            <v>3.4289277690807696</v>
          </cell>
        </row>
        <row r="1379">
          <cell r="C1379" t="str">
            <v>Consommation des ménages automobile</v>
          </cell>
          <cell r="E1379" t="str">
            <v>100*(CH_cveh_2/CH_cveh_0-1)</v>
          </cell>
          <cell r="F1379">
            <v>0</v>
          </cell>
          <cell r="G1379">
            <v>1.5040324541359951E-8</v>
          </cell>
          <cell r="H1379">
            <v>2.8115776373738299E-8</v>
          </cell>
          <cell r="I1379">
            <v>4.0273318013817061E-8</v>
          </cell>
          <cell r="J1379">
            <v>6.3946914430346169E-8</v>
          </cell>
          <cell r="K1379">
            <v>7.2009531670857996E-8</v>
          </cell>
          <cell r="L1379">
            <v>-0.13151275251890304</v>
          </cell>
          <cell r="M1379">
            <v>-1.0870824090687292</v>
          </cell>
          <cell r="N1379">
            <v>-2.1841248295493165</v>
          </cell>
          <cell r="O1379">
            <v>-3.1912135850756473</v>
          </cell>
          <cell r="P1379">
            <v>-4.2285550941790317</v>
          </cell>
          <cell r="Q1379">
            <v>-3.164458290407357</v>
          </cell>
          <cell r="R1379">
            <v>-1.3786664987382125</v>
          </cell>
          <cell r="S1379">
            <v>0.2860794941861089</v>
          </cell>
          <cell r="T1379">
            <v>1.5902345185064837</v>
          </cell>
          <cell r="U1379">
            <v>2.6872162193787519</v>
          </cell>
          <cell r="V1379">
            <v>3.1020980206615922</v>
          </cell>
          <cell r="W1379">
            <v>3.0245326417593921</v>
          </cell>
          <cell r="X1379">
            <v>2.6490614955276826</v>
          </cell>
          <cell r="Y1379">
            <v>2.2061076411763914</v>
          </cell>
          <cell r="Z1379">
            <v>1.7311078105022526</v>
          </cell>
          <cell r="AA1379">
            <v>1.4924074080527205</v>
          </cell>
          <cell r="AB1379">
            <v>1.2776879746526193</v>
          </cell>
          <cell r="AC1379">
            <v>1.0121365688759321</v>
          </cell>
          <cell r="AD1379">
            <v>0.69782631642332227</v>
          </cell>
          <cell r="AE1379">
            <v>0.53308250553398828</v>
          </cell>
          <cell r="AF1379">
            <v>0.39887256677080263</v>
          </cell>
          <cell r="AG1379">
            <v>0.28785273167908354</v>
          </cell>
          <cell r="AH1379">
            <v>0.18215088519648592</v>
          </cell>
          <cell r="AI1379">
            <v>8.0459425665635464E-2</v>
          </cell>
          <cell r="AJ1379">
            <v>-2.1364249237509902E-2</v>
          </cell>
          <cell r="AK1379">
            <v>-9.2921201663465069E-2</v>
          </cell>
          <cell r="AL1379">
            <v>-0.20541283529532661</v>
          </cell>
          <cell r="AM1379">
            <v>-0.36579615841982882</v>
          </cell>
          <cell r="AN1379">
            <v>-0.55623674565467018</v>
          </cell>
          <cell r="AO1379">
            <v>-0.54348372093598885</v>
          </cell>
        </row>
        <row r="1380">
          <cell r="C1380" t="str">
            <v>Dépenses publiques</v>
          </cell>
          <cell r="E1380" t="str">
            <v>100*(G_2/G_0-1)</v>
          </cell>
          <cell r="F1380">
            <v>0</v>
          </cell>
          <cell r="G1380">
            <v>0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0</v>
          </cell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>
            <v>0</v>
          </cell>
          <cell r="Z1380">
            <v>0</v>
          </cell>
          <cell r="AA1380">
            <v>0</v>
          </cell>
          <cell r="AB1380">
            <v>0</v>
          </cell>
          <cell r="AC1380">
            <v>0</v>
          </cell>
          <cell r="AD1380">
            <v>0</v>
          </cell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>
            <v>0</v>
          </cell>
          <cell r="AJ1380">
            <v>0</v>
          </cell>
          <cell r="AK1380">
            <v>0</v>
          </cell>
          <cell r="AL1380">
            <v>0</v>
          </cell>
          <cell r="AM1380">
            <v>0</v>
          </cell>
          <cell r="AN1380">
            <v>0</v>
          </cell>
          <cell r="AO1380">
            <v>0</v>
          </cell>
        </row>
        <row r="1381">
          <cell r="C1381" t="str">
            <v>Investissement</v>
          </cell>
          <cell r="E1381" t="str">
            <v>100*(I_2/I_0-1)</v>
          </cell>
          <cell r="F1381">
            <v>0</v>
          </cell>
          <cell r="G1381">
            <v>0</v>
          </cell>
          <cell r="H1381">
            <v>2.0389001598175582E-8</v>
          </cell>
          <cell r="I1381">
            <v>1.9957635544187724E-8</v>
          </cell>
          <cell r="J1381">
            <v>0</v>
          </cell>
          <cell r="K1381">
            <v>1.8963786097003776E-8</v>
          </cell>
          <cell r="L1381">
            <v>-0.13351776705464724</v>
          </cell>
          <cell r="M1381">
            <v>-0.42988762139588577</v>
          </cell>
          <cell r="N1381">
            <v>-0.7831009944133438</v>
          </cell>
          <cell r="O1381">
            <v>-1.1107451286612613</v>
          </cell>
          <cell r="P1381">
            <v>-1.3406177182574974</v>
          </cell>
          <cell r="Q1381">
            <v>-1.4066400427893866</v>
          </cell>
          <cell r="R1381">
            <v>-1.3127322764671101</v>
          </cell>
          <cell r="S1381">
            <v>-1.0892721959719021</v>
          </cell>
          <cell r="T1381">
            <v>-0.77400271016883071</v>
          </cell>
          <cell r="U1381">
            <v>-0.20061113953930843</v>
          </cell>
          <cell r="V1381">
            <v>9.092285589427096E-2</v>
          </cell>
          <cell r="W1381">
            <v>0.41134959927633385</v>
          </cell>
          <cell r="X1381">
            <v>0.72095840837005376</v>
          </cell>
          <cell r="Y1381">
            <v>0.99952426106955095</v>
          </cell>
          <cell r="Z1381">
            <v>1.2407956977298351</v>
          </cell>
          <cell r="AA1381">
            <v>1.4517589787005791</v>
          </cell>
          <cell r="AB1381">
            <v>1.6295424304000994</v>
          </cell>
          <cell r="AC1381">
            <v>1.7736181366210024</v>
          </cell>
          <cell r="AD1381">
            <v>1.8872092021948284</v>
          </cell>
          <cell r="AE1381">
            <v>2.2205119768121007</v>
          </cell>
          <cell r="AF1381">
            <v>2.3104718327528584</v>
          </cell>
          <cell r="AG1381">
            <v>2.483239005486837</v>
          </cell>
          <cell r="AH1381">
            <v>2.6794254354222558</v>
          </cell>
          <cell r="AI1381">
            <v>2.8694863239810742</v>
          </cell>
          <cell r="AJ1381">
            <v>3.0431602334870522</v>
          </cell>
          <cell r="AK1381">
            <v>3.1958846187193135</v>
          </cell>
          <cell r="AL1381">
            <v>3.3220224674262555</v>
          </cell>
          <cell r="AM1381">
            <v>3.4211097980827443</v>
          </cell>
          <cell r="AN1381">
            <v>3.4951654270604093</v>
          </cell>
          <cell r="AO1381">
            <v>3.8686600046901498</v>
          </cell>
        </row>
        <row r="1382">
          <cell r="C1382" t="str">
            <v>Investissement entreprises</v>
          </cell>
          <cell r="E1382" t="str">
            <v>100*((I_2-IA_spub_2)/(I_0-IA_spub_0)-1)</v>
          </cell>
          <cell r="F1382">
            <v>0</v>
          </cell>
          <cell r="G1382">
            <v>0</v>
          </cell>
          <cell r="H1382">
            <v>2.2225732365654949E-8</v>
          </cell>
          <cell r="I1382">
            <v>1.9565349340666671E-8</v>
          </cell>
          <cell r="J1382">
            <v>0</v>
          </cell>
          <cell r="K1382">
            <v>1.8557733127977372E-8</v>
          </cell>
          <cell r="L1382">
            <v>-0.14330774260155055</v>
          </cell>
          <cell r="M1382">
            <v>-0.45365085141282346</v>
          </cell>
          <cell r="N1382">
            <v>-0.82150839401529119</v>
          </cell>
          <cell r="O1382">
            <v>-1.1605116588419007</v>
          </cell>
          <cell r="P1382">
            <v>-1.3941115759597777</v>
          </cell>
          <cell r="Q1382">
            <v>-1.4607737524084508</v>
          </cell>
          <cell r="R1382">
            <v>-1.3626939838432217</v>
          </cell>
          <cell r="S1382">
            <v>-1.1302295673999652</v>
          </cell>
          <cell r="T1382">
            <v>-0.80219279619715422</v>
          </cell>
          <cell r="U1382">
            <v>-0.20074278134563084</v>
          </cell>
          <cell r="V1382">
            <v>0.10050099252310041</v>
          </cell>
          <cell r="W1382">
            <v>0.43353111796602395</v>
          </cell>
          <cell r="X1382">
            <v>0.75590184854754661</v>
          </cell>
          <cell r="Y1382">
            <v>1.0455828414117629</v>
          </cell>
          <cell r="Z1382">
            <v>1.2955005227114791</v>
          </cell>
          <cell r="AA1382">
            <v>1.5121565384392133</v>
          </cell>
          <cell r="AB1382">
            <v>1.692723318841205</v>
          </cell>
          <cell r="AC1382">
            <v>1.8365999693055635</v>
          </cell>
          <cell r="AD1382">
            <v>1.9471051631541503</v>
          </cell>
          <cell r="AE1382">
            <v>2.2891160624745055</v>
          </cell>
          <cell r="AF1382">
            <v>2.3727228292258706</v>
          </cell>
          <cell r="AG1382">
            <v>2.5444115632095032</v>
          </cell>
          <cell r="AH1382">
            <v>2.7414601355675083</v>
          </cell>
          <cell r="AI1382">
            <v>2.9326316669736618</v>
          </cell>
          <cell r="AJ1382">
            <v>3.1070424208325065</v>
          </cell>
          <cell r="AK1382">
            <v>3.2599313306834299</v>
          </cell>
          <cell r="AL1382">
            <v>3.3857695191371384</v>
          </cell>
          <cell r="AM1382">
            <v>3.4841581207372796</v>
          </cell>
          <cell r="AN1382">
            <v>3.5571788291423934</v>
          </cell>
          <cell r="AO1382">
            <v>3.9462301959304114</v>
          </cell>
        </row>
        <row r="1383">
          <cell r="E1383" t="str">
            <v>100*(X_2/X_0-1)</v>
          </cell>
          <cell r="F1383">
            <v>0</v>
          </cell>
          <cell r="G1383">
            <v>0</v>
          </cell>
          <cell r="H1383">
            <v>-1.4726886377047776E-8</v>
          </cell>
          <cell r="I1383">
            <v>0</v>
          </cell>
          <cell r="J1383">
            <v>-1.37603706207301E-8</v>
          </cell>
          <cell r="K1383">
            <v>-2.6583391043999427E-8</v>
          </cell>
          <cell r="L1383">
            <v>-0.71270642018286257</v>
          </cell>
          <cell r="M1383">
            <v>-1.4601121252030613</v>
          </cell>
          <cell r="N1383">
            <v>-2.1106156628855399</v>
          </cell>
          <cell r="O1383">
            <v>-2.5739617546278515</v>
          </cell>
          <cell r="P1383">
            <v>-2.7391962314299634</v>
          </cell>
          <cell r="Q1383">
            <v>-2.7079816208192442</v>
          </cell>
          <cell r="R1383">
            <v>-2.5509276516566426</v>
          </cell>
          <cell r="S1383">
            <v>-2.3297721790170756</v>
          </cell>
          <cell r="T1383">
            <v>-2.1022284706002425</v>
          </cell>
          <cell r="U1383">
            <v>-1.2221729646530788</v>
          </cell>
          <cell r="V1383">
            <v>-1.8958729604193425</v>
          </cell>
          <cell r="W1383">
            <v>-1.9314763231534138</v>
          </cell>
          <cell r="X1383">
            <v>-2.0598142625857685</v>
          </cell>
          <cell r="Y1383">
            <v>-2.288880804860649</v>
          </cell>
          <cell r="Z1383">
            <v>-2.6172344078463583</v>
          </cell>
          <cell r="AA1383">
            <v>-3.013862318377758</v>
          </cell>
          <cell r="AB1383">
            <v>-3.477311504246916</v>
          </cell>
          <cell r="AC1383">
            <v>-4.0032609980887202</v>
          </cell>
          <cell r="AD1383">
            <v>-4.578492857520744</v>
          </cell>
          <cell r="AE1383">
            <v>-4.3785259044291429</v>
          </cell>
          <cell r="AF1383">
            <v>-5.1453365197052232</v>
          </cell>
          <cell r="AG1383">
            <v>-5.1887643633571789</v>
          </cell>
          <cell r="AH1383">
            <v>-5.2777794290098328</v>
          </cell>
          <cell r="AI1383">
            <v>-5.4000146707537278</v>
          </cell>
          <cell r="AJ1383">
            <v>-5.5376144430573815</v>
          </cell>
          <cell r="AK1383">
            <v>-5.6683224375297714</v>
          </cell>
          <cell r="AL1383">
            <v>-5.7795910271242761</v>
          </cell>
          <cell r="AM1383">
            <v>-5.8627138857214049</v>
          </cell>
          <cell r="AN1383">
            <v>-5.9141795197730325</v>
          </cell>
          <cell r="AO1383">
            <v>-4.9517913702920247</v>
          </cell>
        </row>
        <row r="1384">
          <cell r="E1384" t="str">
            <v>100*(M_2/M_0-1)</v>
          </cell>
          <cell r="F1384">
            <v>1.5265522179674917E-8</v>
          </cell>
          <cell r="G1384">
            <v>1.4976597739746467E-8</v>
          </cell>
          <cell r="H1384">
            <v>1.4652457025476906E-8</v>
          </cell>
          <cell r="I1384">
            <v>1.4323986441411307E-8</v>
          </cell>
          <cell r="J1384">
            <v>1.3962342393369909E-8</v>
          </cell>
          <cell r="K1384">
            <v>1.3548873134539008E-8</v>
          </cell>
          <cell r="L1384">
            <v>-0.24530709912009563</v>
          </cell>
          <cell r="M1384">
            <v>-0.70737677805369215</v>
          </cell>
          <cell r="N1384">
            <v>-1.1965776793779526</v>
          </cell>
          <cell r="O1384">
            <v>-1.6081949315482125</v>
          </cell>
          <cell r="P1384">
            <v>-1.8608980339072545</v>
          </cell>
          <cell r="Q1384">
            <v>-1.8344949714234504</v>
          </cell>
          <cell r="R1384">
            <v>-1.586484885014805</v>
          </cell>
          <cell r="S1384">
            <v>-1.1992507900901006</v>
          </cell>
          <cell r="T1384">
            <v>-0.73356069356937947</v>
          </cell>
          <cell r="U1384">
            <v>9.4173661192997749E-2</v>
          </cell>
          <cell r="V1384">
            <v>0.32294482863211016</v>
          </cell>
          <cell r="W1384">
            <v>0.68279422819230717</v>
          </cell>
          <cell r="X1384">
            <v>0.98408697981888782</v>
          </cell>
          <cell r="Y1384">
            <v>1.1997201557006898</v>
          </cell>
          <cell r="Z1384">
            <v>1.3425493924774434</v>
          </cell>
          <cell r="AA1384">
            <v>1.4252065717998752</v>
          </cell>
          <cell r="AB1384">
            <v>1.4341432584371816</v>
          </cell>
          <cell r="AC1384">
            <v>1.3658893381400583</v>
          </cell>
          <cell r="AD1384">
            <v>1.2255607731278761</v>
          </cell>
          <cell r="AE1384">
            <v>1.4305111721184538</v>
          </cell>
          <cell r="AF1384">
            <v>1.1061019862888211</v>
          </cell>
          <cell r="AG1384">
            <v>0.99641222797675066</v>
          </cell>
          <cell r="AH1384">
            <v>0.87691796496778274</v>
          </cell>
          <cell r="AI1384">
            <v>0.72857260862155826</v>
          </cell>
          <cell r="AJ1384">
            <v>0.55528303770735477</v>
          </cell>
          <cell r="AK1384">
            <v>0.3614444501987446</v>
          </cell>
          <cell r="AL1384">
            <v>0.14789353150386209</v>
          </cell>
          <cell r="AM1384">
            <v>-7.6199043936708843E-2</v>
          </cell>
          <cell r="AN1384">
            <v>-0.30047783907891645</v>
          </cell>
          <cell r="AO1384">
            <v>3.3106410408767495E-2</v>
          </cell>
        </row>
        <row r="1385">
          <cell r="C1385" t="str">
            <v>Consommation des ménages</v>
          </cell>
          <cell r="E1385" t="str">
            <v>100*((CH_2-CH_ccon_2)/(CH_0-CH_ccon_0)-1)</v>
          </cell>
          <cell r="F1385">
            <v>0</v>
          </cell>
          <cell r="G1385">
            <v>0</v>
          </cell>
          <cell r="H1385">
            <v>0</v>
          </cell>
          <cell r="I1385">
            <v>8.014344743401125E-8</v>
          </cell>
          <cell r="J1385">
            <v>7.8359319033438624E-8</v>
          </cell>
          <cell r="K1385">
            <v>7.6212636201944406E-8</v>
          </cell>
          <cell r="L1385">
            <v>-6.8964068264687484E-2</v>
          </cell>
          <cell r="M1385">
            <v>-0.27763510190667029</v>
          </cell>
          <cell r="N1385">
            <v>-0.4920360442949856</v>
          </cell>
          <cell r="O1385">
            <v>-0.60136392011849171</v>
          </cell>
          <cell r="P1385">
            <v>-0.51243763525040675</v>
          </cell>
          <cell r="Q1385">
            <v>-0.26876809105221833</v>
          </cell>
          <cell r="R1385">
            <v>0.16576950029356663</v>
          </cell>
          <cell r="S1385">
            <v>0.73627124443036429</v>
          </cell>
          <cell r="T1385">
            <v>1.3894972349900669</v>
          </cell>
          <cell r="U1385">
            <v>2.1609749965803671</v>
          </cell>
          <cell r="V1385">
            <v>2.8674526023520164</v>
          </cell>
          <cell r="W1385">
            <v>3.4948756042624485</v>
          </cell>
          <cell r="X1385">
            <v>4.0395144041285747</v>
          </cell>
          <cell r="Y1385">
            <v>4.5015567481835328</v>
          </cell>
          <cell r="Z1385">
            <v>4.8874867531990107</v>
          </cell>
          <cell r="AA1385">
            <v>5.1807188573854468</v>
          </cell>
          <cell r="AB1385">
            <v>5.3775096924017385</v>
          </cell>
          <cell r="AC1385">
            <v>5.4778630751844748</v>
          </cell>
          <cell r="AD1385">
            <v>5.4867966991076544</v>
          </cell>
          <cell r="AE1385">
            <v>5.511531075673437</v>
          </cell>
          <cell r="AF1385">
            <v>5.429481056248231</v>
          </cell>
          <cell r="AG1385">
            <v>5.2906963004242691</v>
          </cell>
          <cell r="AH1385">
            <v>5.1175139337093833</v>
          </cell>
          <cell r="AI1385">
            <v>4.9205260726608246</v>
          </cell>
          <cell r="AJ1385">
            <v>4.7050224688408138</v>
          </cell>
          <cell r="AK1385">
            <v>4.4613529572750776</v>
          </cell>
          <cell r="AL1385">
            <v>4.190170570709717</v>
          </cell>
          <cell r="AM1385">
            <v>3.9005711501218787</v>
          </cell>
          <cell r="AN1385">
            <v>3.6050881163549375</v>
          </cell>
          <cell r="AO1385">
            <v>3.4368711728884893</v>
          </cell>
        </row>
        <row r="1386">
          <cell r="C1386" t="str">
            <v>Investissement</v>
          </cell>
          <cell r="E1386" t="str">
            <v>100*((I_2+CH_ccon_2)/(I_0+CH_ccon_0)-1)</v>
          </cell>
          <cell r="F1386">
            <v>0</v>
          </cell>
          <cell r="G1386">
            <v>0</v>
          </cell>
          <cell r="H1386">
            <v>1.9651302807233151E-8</v>
          </cell>
          <cell r="I1386">
            <v>1.9239099202650323E-8</v>
          </cell>
          <cell r="J1386">
            <v>0</v>
          </cell>
          <cell r="K1386">
            <v>1.828317497398757E-8</v>
          </cell>
          <cell r="L1386">
            <v>-0.1308670939479728</v>
          </cell>
          <cell r="M1386">
            <v>-0.42566550359272037</v>
          </cell>
          <cell r="N1386">
            <v>-0.77846329881603449</v>
          </cell>
          <cell r="O1386">
            <v>-1.1052054165729297</v>
          </cell>
          <cell r="P1386">
            <v>-1.3327540743031885</v>
          </cell>
          <cell r="Q1386">
            <v>-1.3962067706739578</v>
          </cell>
          <cell r="R1386">
            <v>-1.2948065085718663</v>
          </cell>
          <cell r="S1386">
            <v>-1.0604642585987478</v>
          </cell>
          <cell r="T1386">
            <v>-0.73334019077467838</v>
          </cell>
          <cell r="U1386">
            <v>-0.15330420642970521</v>
          </cell>
          <cell r="V1386">
            <v>0.15144681737622179</v>
          </cell>
          <cell r="W1386">
            <v>0.48030885417826852</v>
          </cell>
          <cell r="X1386">
            <v>0.79496664713614162</v>
          </cell>
          <cell r="Y1386">
            <v>1.076350651538327</v>
          </cell>
          <cell r="Z1386">
            <v>1.3193523470780066</v>
          </cell>
          <cell r="AA1386">
            <v>1.5308784554463051</v>
          </cell>
          <cell r="AB1386">
            <v>1.708567055427368</v>
          </cell>
          <cell r="AC1386">
            <v>1.8519041408049608</v>
          </cell>
          <cell r="AD1386">
            <v>1.9640317423444298</v>
          </cell>
          <cell r="AE1386">
            <v>2.2901703053186617</v>
          </cell>
          <cell r="AF1386">
            <v>2.3776684990802543</v>
          </cell>
          <cell r="AG1386">
            <v>2.5437653215063971</v>
          </cell>
          <cell r="AH1386">
            <v>2.7311676455849643</v>
          </cell>
          <cell r="AI1386">
            <v>2.9114411297520126</v>
          </cell>
          <cell r="AJ1386">
            <v>3.0748763431626358</v>
          </cell>
          <cell r="AK1386">
            <v>3.2169427094805636</v>
          </cell>
          <cell r="AL1386">
            <v>3.3322278651565451</v>
          </cell>
          <cell r="AM1386">
            <v>3.4204983794766664</v>
          </cell>
          <cell r="AN1386">
            <v>3.4840719487762906</v>
          </cell>
          <cell r="AO1386">
            <v>3.8415881416017594</v>
          </cell>
        </row>
        <row r="1387">
          <cell r="C1387" t="str">
            <v>Investissement ménages</v>
          </cell>
          <cell r="E1387" t="str">
            <v>100*((CH_ccon_2)/(CH_ccon_0)-1)</v>
          </cell>
          <cell r="F1387">
            <v>0</v>
          </cell>
          <cell r="G1387">
            <v>0</v>
          </cell>
          <cell r="H1387">
            <v>0</v>
          </cell>
          <cell r="I1387">
            <v>0</v>
          </cell>
          <cell r="J1387">
            <v>0</v>
          </cell>
          <cell r="K1387">
            <v>0</v>
          </cell>
          <cell r="L1387">
            <v>-5.9511841403891985E-2</v>
          </cell>
          <cell r="M1387">
            <v>-0.3115548351033004</v>
          </cell>
          <cell r="N1387">
            <v>-0.65240812791524938</v>
          </cell>
          <cell r="O1387">
            <v>-0.95363752902358767</v>
          </cell>
          <cell r="P1387">
            <v>-1.1162297852559844</v>
          </cell>
          <cell r="Q1387">
            <v>-1.1070489544849682</v>
          </cell>
          <cell r="R1387">
            <v>-0.79472215936752244</v>
          </cell>
          <cell r="S1387">
            <v>-0.25136909790365314</v>
          </cell>
          <cell r="T1387">
            <v>0.41683171630693128</v>
          </cell>
          <cell r="U1387">
            <v>1.1950941658306569</v>
          </cell>
          <cell r="V1387">
            <v>1.8910209932837985</v>
          </cell>
          <cell r="W1387">
            <v>2.4803266303878413</v>
          </cell>
          <cell r="X1387">
            <v>2.9624268278493959</v>
          </cell>
          <cell r="Y1387">
            <v>3.3499362211731887</v>
          </cell>
          <cell r="Z1387">
            <v>3.6705813988747948</v>
          </cell>
          <cell r="AA1387">
            <v>3.9270520324583114</v>
          </cell>
          <cell r="AB1387">
            <v>4.131482688386634</v>
          </cell>
          <cell r="AC1387">
            <v>4.2829621601478962</v>
          </cell>
          <cell r="AD1387">
            <v>4.3811834565849139</v>
          </cell>
          <cell r="AE1387">
            <v>4.5128596285761935</v>
          </cell>
          <cell r="AF1387">
            <v>4.5497442803458688</v>
          </cell>
          <cell r="AG1387">
            <v>4.5233510211361461</v>
          </cell>
          <cell r="AH1387">
            <v>4.4414685444196023</v>
          </cell>
          <cell r="AI1387">
            <v>4.3113183645734354</v>
          </cell>
          <cell r="AJ1387">
            <v>4.1418033662023568</v>
          </cell>
          <cell r="AK1387">
            <v>3.9302551297708765</v>
          </cell>
          <cell r="AL1387">
            <v>3.6798960939222081</v>
          </cell>
          <cell r="AM1387">
            <v>3.3995747192422154</v>
          </cell>
          <cell r="AN1387">
            <v>3.1031366953344186</v>
          </cell>
          <cell r="AO1387">
            <v>2.9097421415821279</v>
          </cell>
        </row>
        <row r="1388">
          <cell r="C1388" t="str">
            <v>Investissement public</v>
          </cell>
          <cell r="E1388" t="str">
            <v>100*((IA_spub_2)/(IA_spub_0)-1)</v>
          </cell>
          <cell r="F1388">
            <v>0</v>
          </cell>
          <cell r="G1388">
            <v>0</v>
          </cell>
          <cell r="H1388">
            <v>0</v>
          </cell>
          <cell r="I1388">
            <v>2.4351876071193601E-8</v>
          </cell>
          <cell r="J1388">
            <v>0</v>
          </cell>
          <cell r="K1388">
            <v>2.3613955235646245E-8</v>
          </cell>
          <cell r="L1388">
            <v>-1.9855171229954394E-2</v>
          </cell>
          <cell r="M1388">
            <v>-0.1498442312409809</v>
          </cell>
          <cell r="N1388">
            <v>-0.32325851146051132</v>
          </cell>
          <cell r="O1388">
            <v>-0.50531226409430419</v>
          </cell>
          <cell r="P1388">
            <v>-0.6799020455972915</v>
          </cell>
          <cell r="Q1388">
            <v>-0.72870078674216465</v>
          </cell>
          <cell r="R1388">
            <v>-0.67921012593148422</v>
          </cell>
          <cell r="S1388">
            <v>-0.56409350590330698</v>
          </cell>
          <cell r="T1388">
            <v>-0.40884770339787435</v>
          </cell>
          <cell r="U1388">
            <v>-0.19888981776740033</v>
          </cell>
          <cell r="V1388">
            <v>-3.5447650415720844E-2</v>
          </cell>
          <cell r="W1388">
            <v>0.11611625005010229</v>
          </cell>
          <cell r="X1388">
            <v>0.25175660743699257</v>
          </cell>
          <cell r="Y1388">
            <v>0.37547463039131479</v>
          </cell>
          <cell r="Z1388">
            <v>0.49262809063475022</v>
          </cell>
          <cell r="AA1388">
            <v>0.6175427924242749</v>
          </cell>
          <cell r="AB1388">
            <v>0.7476672826584263</v>
          </cell>
          <cell r="AC1388">
            <v>0.88458696116877622</v>
          </cell>
          <cell r="AD1388">
            <v>1.031496227801143</v>
          </cell>
          <cell r="AE1388">
            <v>1.2277639993751643</v>
          </cell>
          <cell r="AF1388">
            <v>1.3983993095584291</v>
          </cell>
          <cell r="AG1388">
            <v>1.5760981751983039</v>
          </cell>
          <cell r="AH1388">
            <v>1.7485107549126688</v>
          </cell>
          <cell r="AI1388">
            <v>1.9106771448293314</v>
          </cell>
          <cell r="AJ1388">
            <v>2.0617872453810859</v>
          </cell>
          <cell r="AK1388">
            <v>2.2006533989268107</v>
          </cell>
          <cell r="AL1388">
            <v>2.3203638897137502</v>
          </cell>
          <cell r="AM1388">
            <v>2.419790375758768</v>
          </cell>
          <cell r="AN1388">
            <v>2.5002643069251151</v>
          </cell>
          <cell r="AO1388">
            <v>2.6123635524987865</v>
          </cell>
        </row>
        <row r="1389">
          <cell r="C1389" t="str">
            <v>Revenu disponible des ménages</v>
          </cell>
          <cell r="E1389" t="str">
            <v>100*(DISPINC_AT_VAL_2/DISPINC_AT_VAL_0-1)</v>
          </cell>
          <cell r="F1389">
            <v>0</v>
          </cell>
          <cell r="G1389">
            <v>0</v>
          </cell>
          <cell r="H1389">
            <v>6.8208971804040175E-8</v>
          </cell>
          <cell r="I1389">
            <v>6.5324168296854168E-8</v>
          </cell>
          <cell r="J1389">
            <v>6.2524296851051986E-8</v>
          </cell>
          <cell r="K1389">
            <v>1.1955156864473793E-7</v>
          </cell>
          <cell r="L1389">
            <v>-0.13250706056748829</v>
          </cell>
          <cell r="M1389">
            <v>-5.4902383287647183E-3</v>
          </cell>
          <cell r="N1389">
            <v>0.34650816618766456</v>
          </cell>
          <cell r="O1389">
            <v>1.0893528246150863</v>
          </cell>
          <cell r="P1389">
            <v>2.4312539688783996</v>
          </cell>
          <cell r="Q1389">
            <v>3.4295388108388503</v>
          </cell>
          <cell r="R1389">
            <v>4.5869607489774644</v>
          </cell>
          <cell r="S1389">
            <v>5.8493845429002933</v>
          </cell>
          <cell r="T1389">
            <v>7.1861292809114241</v>
          </cell>
          <cell r="U1389">
            <v>8.7098727154037547</v>
          </cell>
          <cell r="V1389">
            <v>10.125264578249315</v>
          </cell>
          <cell r="W1389">
            <v>11.535831122223872</v>
          </cell>
          <cell r="X1389">
            <v>12.9153276092973</v>
          </cell>
          <cell r="Y1389">
            <v>14.219444170817685</v>
          </cell>
          <cell r="Z1389">
            <v>15.436909017292443</v>
          </cell>
          <cell r="AA1389">
            <v>16.440256997491542</v>
          </cell>
          <cell r="AB1389">
            <v>17.264051565123051</v>
          </cell>
          <cell r="AC1389">
            <v>17.883658288183589</v>
          </cell>
          <cell r="AD1389">
            <v>18.283832794649378</v>
          </cell>
          <cell r="AE1389">
            <v>18.661648414071188</v>
          </cell>
          <cell r="AF1389">
            <v>18.703612051573558</v>
          </cell>
          <cell r="AG1389">
            <v>18.654172730335294</v>
          </cell>
          <cell r="AH1389">
            <v>18.515304052695704</v>
          </cell>
          <cell r="AI1389">
            <v>18.292311855204034</v>
          </cell>
          <cell r="AJ1389">
            <v>17.993277480129354</v>
          </cell>
          <cell r="AK1389">
            <v>17.598915502533586</v>
          </cell>
          <cell r="AL1389">
            <v>17.155118638494706</v>
          </cell>
          <cell r="AM1389">
            <v>16.685034865603864</v>
          </cell>
          <cell r="AN1389">
            <v>16.212395356246944</v>
          </cell>
          <cell r="AO1389">
            <v>16.008417494007499</v>
          </cell>
        </row>
        <row r="1390">
          <cell r="C1390" t="str">
            <v>Revenu disponible réel des ménages</v>
          </cell>
          <cell r="E1390" t="str">
            <v>100*(DISPINC_AT_VAL_2/DISPINC_AT_VAL_0-1)-100*(PCH_2/PCH_0-1)</v>
          </cell>
          <cell r="F1390">
            <v>0</v>
          </cell>
          <cell r="G1390">
            <v>0</v>
          </cell>
          <cell r="H1390">
            <v>6.8208971804040175E-8</v>
          </cell>
          <cell r="I1390">
            <v>-2.8217717051859381E-8</v>
          </cell>
          <cell r="J1390">
            <v>-2.9148727875849545E-8</v>
          </cell>
          <cell r="K1390">
            <v>2.9298763415397389E-8</v>
          </cell>
          <cell r="L1390">
            <v>-0.1009859119998846</v>
          </cell>
          <cell r="M1390">
            <v>-0.3680967537813995</v>
          </cell>
          <cell r="N1390">
            <v>-0.56828462927576151</v>
          </cell>
          <cell r="O1390">
            <v>-0.62036055228458231</v>
          </cell>
          <cell r="P1390">
            <v>-0.44632660737957686</v>
          </cell>
          <cell r="Q1390">
            <v>-0.14820796869203789</v>
          </cell>
          <cell r="R1390">
            <v>0.35971699095387333</v>
          </cell>
          <cell r="S1390">
            <v>0.97520455073705214</v>
          </cell>
          <cell r="T1390">
            <v>1.6548937891306847</v>
          </cell>
          <cell r="U1390">
            <v>2.4897267398227951</v>
          </cell>
          <cell r="V1390">
            <v>3.1736169131058691</v>
          </cell>
          <cell r="W1390">
            <v>3.7987777486632845</v>
          </cell>
          <cell r="X1390">
            <v>4.3608486331473841</v>
          </cell>
          <cell r="Y1390">
            <v>4.8549525141713392</v>
          </cell>
          <cell r="Z1390">
            <v>5.2860467211912159</v>
          </cell>
          <cell r="AA1390">
            <v>5.6136987713073943</v>
          </cell>
          <cell r="AB1390">
            <v>5.8409328325639507</v>
          </cell>
          <cell r="AC1390">
            <v>5.9640676087726376</v>
          </cell>
          <cell r="AD1390">
            <v>5.986679130277949</v>
          </cell>
          <cell r="AE1390">
            <v>6.08052998743225</v>
          </cell>
          <cell r="AF1390">
            <v>5.9706222895258936</v>
          </cell>
          <cell r="AG1390">
            <v>5.8268722036097778</v>
          </cell>
          <cell r="AH1390">
            <v>5.6506642708747954</v>
          </cell>
          <cell r="AI1390">
            <v>5.4455052225517377</v>
          </cell>
          <cell r="AJ1390">
            <v>5.2150307818082489</v>
          </cell>
          <cell r="AK1390">
            <v>4.9416592483942932</v>
          </cell>
          <cell r="AL1390">
            <v>4.6358683991033285</v>
          </cell>
          <cell r="AM1390">
            <v>4.3130020135053719</v>
          </cell>
          <cell r="AN1390">
            <v>3.9884956983799107</v>
          </cell>
          <cell r="AO1390">
            <v>3.8749312684120305</v>
          </cell>
        </row>
        <row r="1391">
          <cell r="C1391" t="str">
            <v>Revenu disponible par emploi en valeur</v>
          </cell>
          <cell r="E1391" t="str">
            <v>100*(DISPINC_AT_VAL_2/DISPINC_AT_VAL_0-1)-100*((F_L_2/F_L_0)-1)</v>
          </cell>
          <cell r="F1391">
            <v>0</v>
          </cell>
          <cell r="G1391">
            <v>-3.6364689037782227E-8</v>
          </cell>
          <cell r="H1391">
            <v>6.8208971804040175E-8</v>
          </cell>
          <cell r="I1391">
            <v>6.5324168296854168E-8</v>
          </cell>
          <cell r="J1391">
            <v>6.2524296851051986E-8</v>
          </cell>
          <cell r="K1391">
            <v>8.4547857603922694E-8</v>
          </cell>
          <cell r="L1391">
            <v>-1.3348960271697408E-2</v>
          </cell>
          <cell r="M1391">
            <v>0.31403818589345045</v>
          </cell>
          <cell r="N1391">
            <v>0.88917162874303513</v>
          </cell>
          <cell r="O1391">
            <v>1.8011740764278694</v>
          </cell>
          <cell r="P1391">
            <v>3.1686450337261696</v>
          </cell>
          <cell r="Q1391">
            <v>4.0891726185623201</v>
          </cell>
          <cell r="R1391">
            <v>5.0725577264181592</v>
          </cell>
          <cell r="S1391">
            <v>6.0766860742064726</v>
          </cell>
          <cell r="T1391">
            <v>7.0944661182237967</v>
          </cell>
          <cell r="U1391">
            <v>8.1685789196024103</v>
          </cell>
          <cell r="V1391">
            <v>9.2568273780201586</v>
          </cell>
          <cell r="W1391">
            <v>10.376282754513699</v>
          </cell>
          <cell r="X1391">
            <v>11.511395224935406</v>
          </cell>
          <cell r="Y1391">
            <v>12.630102166979238</v>
          </cell>
          <cell r="Z1391">
            <v>13.729519549453961</v>
          </cell>
          <cell r="AA1391">
            <v>14.690328112145011</v>
          </cell>
          <cell r="AB1391">
            <v>15.546653340554183</v>
          </cell>
          <cell r="AC1391">
            <v>16.27018711175112</v>
          </cell>
          <cell r="AD1391">
            <v>16.839098905880711</v>
          </cell>
          <cell r="AE1391">
            <v>17.317712872535985</v>
          </cell>
          <cell r="AF1391">
            <v>17.526989812483926</v>
          </cell>
          <cell r="AG1391">
            <v>17.611978725449681</v>
          </cell>
          <cell r="AH1391">
            <v>17.587659960622084</v>
          </cell>
          <cell r="AI1391">
            <v>17.471087650228952</v>
          </cell>
          <cell r="AJ1391">
            <v>17.275679478840587</v>
          </cell>
          <cell r="AK1391">
            <v>16.985340472075162</v>
          </cell>
          <cell r="AL1391">
            <v>16.644345992570742</v>
          </cell>
          <cell r="AM1391">
            <v>16.272157322131385</v>
          </cell>
          <cell r="AN1391">
            <v>15.888247454144054</v>
          </cell>
          <cell r="AO1391">
            <v>15.599897696909306</v>
          </cell>
        </row>
        <row r="1392">
          <cell r="C1392" t="str">
            <v>Revenu disponible réel par emploi</v>
          </cell>
          <cell r="E1392" t="str">
            <v>100*(DISPINC_AT_VAL_2/DISPINC_AT_VAL_0-1)-100*((F_L_2/F_L_0)-1)-100*(PCH_2/PCH_0-1)</v>
          </cell>
          <cell r="F1392">
            <v>0</v>
          </cell>
          <cell r="G1392">
            <v>-3.6364689037782227E-8</v>
          </cell>
          <cell r="H1392">
            <v>6.8208971804040175E-8</v>
          </cell>
          <cell r="I1392">
            <v>-2.8217717051859381E-8</v>
          </cell>
          <cell r="J1392">
            <v>-2.9148727875849545E-8</v>
          </cell>
          <cell r="K1392">
            <v>-5.7049476254178444E-9</v>
          </cell>
          <cell r="L1392">
            <v>1.8172188295906277E-2</v>
          </cell>
          <cell r="M1392">
            <v>-4.8568329559184331E-2</v>
          </cell>
          <cell r="N1392">
            <v>-2.5621166720390942E-2</v>
          </cell>
          <cell r="O1392">
            <v>9.1460699528200795E-2</v>
          </cell>
          <cell r="P1392">
            <v>0.29106445746819309</v>
          </cell>
          <cell r="Q1392">
            <v>0.51142583903143191</v>
          </cell>
          <cell r="R1392">
            <v>0.84531396839456807</v>
          </cell>
          <cell r="S1392">
            <v>1.2025060820432314</v>
          </cell>
          <cell r="T1392">
            <v>1.5632306264430573</v>
          </cell>
          <cell r="U1392">
            <v>1.9484329440214507</v>
          </cell>
          <cell r="V1392">
            <v>2.3051797128767131</v>
          </cell>
          <cell r="W1392">
            <v>2.639229380953112</v>
          </cell>
          <cell r="X1392">
            <v>2.9569162487854896</v>
          </cell>
          <cell r="Y1392">
            <v>3.265610510332893</v>
          </cell>
          <cell r="Z1392">
            <v>3.5786572533527341</v>
          </cell>
          <cell r="AA1392">
            <v>3.8637698859608633</v>
          </cell>
          <cell r="AB1392">
            <v>4.123534607995083</v>
          </cell>
          <cell r="AC1392">
            <v>4.3505964323401685</v>
          </cell>
          <cell r="AD1392">
            <v>4.541945241509282</v>
          </cell>
          <cell r="AE1392">
            <v>4.7365944458970475</v>
          </cell>
          <cell r="AF1392">
            <v>4.7940000504362619</v>
          </cell>
          <cell r="AG1392">
            <v>4.7846781987241656</v>
          </cell>
          <cell r="AH1392">
            <v>4.7230201788011748</v>
          </cell>
          <cell r="AI1392">
            <v>4.6242810175766564</v>
          </cell>
          <cell r="AJ1392">
            <v>4.4974327805194818</v>
          </cell>
          <cell r="AK1392">
            <v>4.3280842179358689</v>
          </cell>
          <cell r="AL1392">
            <v>4.1250957531793642</v>
          </cell>
          <cell r="AM1392">
            <v>3.9001244700328925</v>
          </cell>
          <cell r="AN1392">
            <v>3.6643477962770206</v>
          </cell>
          <cell r="AO1392">
            <v>3.4664114713138368</v>
          </cell>
        </row>
        <row r="1393">
          <cell r="C1393" t="str">
            <v>Taux d'épargne</v>
          </cell>
          <cell r="E1393" t="str">
            <v>100*(MPS_n_2-MPS_n_0)</v>
          </cell>
          <cell r="F1393">
            <v>0</v>
          </cell>
          <cell r="G1393">
            <v>0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0</v>
          </cell>
          <cell r="AA1393">
            <v>0</v>
          </cell>
          <cell r="AB1393">
            <v>0</v>
          </cell>
          <cell r="AC1393">
            <v>0</v>
          </cell>
          <cell r="AD1393">
            <v>0</v>
          </cell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>
            <v>0</v>
          </cell>
          <cell r="AJ1393">
            <v>0</v>
          </cell>
          <cell r="AK1393">
            <v>0</v>
          </cell>
          <cell r="AL1393">
            <v>0</v>
          </cell>
          <cell r="AM1393">
            <v>0</v>
          </cell>
          <cell r="AN1393">
            <v>0</v>
          </cell>
          <cell r="AO1393">
            <v>0</v>
          </cell>
        </row>
        <row r="1394">
          <cell r="C1394" t="str">
            <v>Prix à la consommation des ménages</v>
          </cell>
          <cell r="E1394" t="str">
            <v>100*(PCH_2/PCH_0-1)</v>
          </cell>
          <cell r="F1394">
            <v>0</v>
          </cell>
          <cell r="G1394">
            <v>0</v>
          </cell>
          <cell r="H1394">
            <v>6.8208971804040175E-8</v>
          </cell>
          <cell r="I1394">
            <v>-2.8217717051859381E-8</v>
          </cell>
          <cell r="J1394">
            <v>-2.9148727875849545E-8</v>
          </cell>
          <cell r="K1394">
            <v>2.9298763415397389E-8</v>
          </cell>
          <cell r="L1394">
            <v>-0.1009859119998846</v>
          </cell>
          <cell r="M1394">
            <v>-0.3680967537813995</v>
          </cell>
          <cell r="N1394">
            <v>-0.56828462927576151</v>
          </cell>
          <cell r="O1394">
            <v>-0.62036055228458231</v>
          </cell>
          <cell r="P1394">
            <v>-0.44632660737957686</v>
          </cell>
          <cell r="Q1394">
            <v>-0.14820796869203789</v>
          </cell>
          <cell r="R1394">
            <v>0.35971699095387333</v>
          </cell>
          <cell r="S1394">
            <v>0.97520455073705214</v>
          </cell>
          <cell r="T1394">
            <v>1.6548937891306847</v>
          </cell>
          <cell r="U1394">
            <v>2.4897267398227951</v>
          </cell>
          <cell r="V1394">
            <v>3.1736169131058691</v>
          </cell>
          <cell r="W1394">
            <v>3.7987777486632845</v>
          </cell>
          <cell r="X1394">
            <v>4.3608486331473841</v>
          </cell>
          <cell r="Y1394">
            <v>4.8549525141713392</v>
          </cell>
          <cell r="Z1394">
            <v>5.2860467211912159</v>
          </cell>
          <cell r="AA1394">
            <v>5.6136987713073943</v>
          </cell>
          <cell r="AB1394">
            <v>5.8409328325639507</v>
          </cell>
          <cell r="AC1394">
            <v>5.9640676087726376</v>
          </cell>
          <cell r="AD1394">
            <v>5.986679130277949</v>
          </cell>
          <cell r="AE1394">
            <v>6.08052998743225</v>
          </cell>
          <cell r="AF1394">
            <v>5.9706222895258936</v>
          </cell>
          <cell r="AG1394">
            <v>5.8268722036097778</v>
          </cell>
          <cell r="AH1394">
            <v>5.6506642708747954</v>
          </cell>
          <cell r="AI1394">
            <v>5.4455052225517377</v>
          </cell>
          <cell r="AJ1394">
            <v>5.2150307818082489</v>
          </cell>
          <cell r="AK1394">
            <v>4.9416592483942932</v>
          </cell>
          <cell r="AL1394">
            <v>4.6358683991033285</v>
          </cell>
          <cell r="AM1394">
            <v>4.3130020135053719</v>
          </cell>
          <cell r="AN1394">
            <v>3.9884956983799107</v>
          </cell>
          <cell r="AO1394">
            <v>3.8749312684120305</v>
          </cell>
        </row>
        <row r="1395">
          <cell r="C1395" t="str">
            <v>Prix à la production marchande</v>
          </cell>
          <cell r="E1395" t="str">
            <v>100*(PY_2/PY_0-1)</v>
          </cell>
          <cell r="F1395">
            <v>0</v>
          </cell>
          <cell r="G1395">
            <v>0</v>
          </cell>
          <cell r="H1395">
            <v>0</v>
          </cell>
          <cell r="I1395">
            <v>0</v>
          </cell>
          <cell r="J1395">
            <v>0</v>
          </cell>
          <cell r="K1395">
            <v>8.9778096068471314E-8</v>
          </cell>
          <cell r="L1395">
            <v>-3.9458841421669E-2</v>
          </cell>
          <cell r="M1395">
            <v>0.12706467102006069</v>
          </cell>
          <cell r="N1395">
            <v>0.43729625628039503</v>
          </cell>
          <cell r="O1395">
            <v>0.94025078488730873</v>
          </cell>
          <cell r="P1395">
            <v>1.7526371078087299</v>
          </cell>
          <cell r="Q1395">
            <v>2.4632754734986717</v>
          </cell>
          <cell r="R1395">
            <v>3.1368390411044444</v>
          </cell>
          <cell r="S1395">
            <v>3.8201324758870614</v>
          </cell>
          <cell r="T1395">
            <v>4.5275031075885597</v>
          </cell>
          <cell r="U1395">
            <v>5.2893273310001376</v>
          </cell>
          <cell r="V1395">
            <v>6.0659819418998007</v>
          </cell>
          <cell r="W1395">
            <v>6.8879982356608416</v>
          </cell>
          <cell r="X1395">
            <v>7.749414648642583</v>
          </cell>
          <cell r="Y1395">
            <v>8.6204718038589423</v>
          </cell>
          <cell r="Z1395">
            <v>9.4712747072263745</v>
          </cell>
          <cell r="AA1395">
            <v>10.235899370185631</v>
          </cell>
          <cell r="AB1395">
            <v>10.908203901768122</v>
          </cell>
          <cell r="AC1395">
            <v>11.472030460336713</v>
          </cell>
          <cell r="AD1395">
            <v>11.909837949630342</v>
          </cell>
          <cell r="AE1395">
            <v>12.25834898089504</v>
          </cell>
          <cell r="AF1395">
            <v>12.46840333656689</v>
          </cell>
          <cell r="AG1395">
            <v>12.595693259088335</v>
          </cell>
          <cell r="AH1395">
            <v>12.666587496459837</v>
          </cell>
          <cell r="AI1395">
            <v>12.6867238934109</v>
          </cell>
          <cell r="AJ1395">
            <v>12.660381828959299</v>
          </cell>
          <cell r="AK1395">
            <v>12.585755327285074</v>
          </cell>
          <cell r="AL1395">
            <v>12.486399232260625</v>
          </cell>
          <cell r="AM1395">
            <v>12.375501627904772</v>
          </cell>
          <cell r="AN1395">
            <v>12.26289002124612</v>
          </cell>
          <cell r="AO1395">
            <v>12.219326949349707</v>
          </cell>
        </row>
        <row r="1396">
          <cell r="C1396" t="str">
            <v>Prix des exportations</v>
          </cell>
          <cell r="E1396" t="str">
            <v>100*(PX_2/PX_0-1)</v>
          </cell>
          <cell r="F1396">
            <v>0</v>
          </cell>
          <cell r="G1396">
            <v>0</v>
          </cell>
          <cell r="H1396">
            <v>0</v>
          </cell>
          <cell r="I1396">
            <v>0</v>
          </cell>
          <cell r="J1396">
            <v>9.1431617832427037E-8</v>
          </cell>
          <cell r="K1396">
            <v>0</v>
          </cell>
          <cell r="L1396">
            <v>-4.2940184303563722E-2</v>
          </cell>
          <cell r="M1396">
            <v>0.21212816495441711</v>
          </cell>
          <cell r="N1396">
            <v>0.62015532288197672</v>
          </cell>
          <cell r="O1396">
            <v>1.2313198960608451</v>
          </cell>
          <cell r="P1396">
            <v>2.16113985585622</v>
          </cell>
          <cell r="Q1396">
            <v>2.8783604262202944</v>
          </cell>
          <cell r="R1396">
            <v>3.4664217463088232</v>
          </cell>
          <cell r="S1396">
            <v>4.0055670155950018</v>
          </cell>
          <cell r="T1396">
            <v>4.5296474195824832</v>
          </cell>
          <cell r="U1396">
            <v>5.0952090876429601</v>
          </cell>
          <cell r="V1396">
            <v>5.6495468716282637</v>
          </cell>
          <cell r="W1396">
            <v>6.2783952803051157</v>
          </cell>
          <cell r="X1396">
            <v>6.9773967982330598</v>
          </cell>
          <cell r="Y1396">
            <v>7.7173616689075075</v>
          </cell>
          <cell r="Z1396">
            <v>8.4578061936030338</v>
          </cell>
          <cell r="AA1396">
            <v>9.1266901523136212</v>
          </cell>
          <cell r="AB1396">
            <v>9.7206557878259048</v>
          </cell>
          <cell r="AC1396">
            <v>10.221310724525722</v>
          </cell>
          <cell r="AD1396">
            <v>10.609891554694894</v>
          </cell>
          <cell r="AE1396">
            <v>10.928254062691977</v>
          </cell>
          <cell r="AF1396">
            <v>11.140942667631236</v>
          </cell>
          <cell r="AG1396">
            <v>11.276448456977018</v>
          </cell>
          <cell r="AH1396">
            <v>11.366770535617764</v>
          </cell>
          <cell r="AI1396">
            <v>11.411977067235203</v>
          </cell>
          <cell r="AJ1396">
            <v>11.413587483900777</v>
          </cell>
          <cell r="AK1396">
            <v>11.371198124865579</v>
          </cell>
          <cell r="AL1396">
            <v>11.311360156190187</v>
          </cell>
          <cell r="AM1396">
            <v>11.244644830175465</v>
          </cell>
          <cell r="AN1396">
            <v>11.179246141101483</v>
          </cell>
          <cell r="AO1396">
            <v>11.191508730328458</v>
          </cell>
        </row>
        <row r="1397">
          <cell r="C1397" t="str">
            <v>Prix des importations</v>
          </cell>
          <cell r="E1397" t="str">
            <v>100*(PM_2/PM_0-1)</v>
          </cell>
          <cell r="F1397">
            <v>0</v>
          </cell>
          <cell r="G1397">
            <v>0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-5.2505341691100327E-4</v>
          </cell>
          <cell r="M1397">
            <v>0.61917062970391346</v>
          </cell>
          <cell r="N1397">
            <v>1.090241537712977</v>
          </cell>
          <cell r="O1397">
            <v>1.5784644110047985</v>
          </cell>
          <cell r="P1397">
            <v>2.1506645001946323</v>
          </cell>
          <cell r="Q1397">
            <v>2.4707114633352179</v>
          </cell>
          <cell r="R1397">
            <v>2.5337905570125718</v>
          </cell>
          <cell r="S1397">
            <v>2.4548192042870287</v>
          </cell>
          <cell r="T1397">
            <v>2.2623813220804534</v>
          </cell>
          <cell r="U1397">
            <v>1.9732514189236605</v>
          </cell>
          <cell r="V1397">
            <v>1.7075165164341044</v>
          </cell>
          <cell r="W1397">
            <v>1.6503686627880043</v>
          </cell>
          <cell r="X1397">
            <v>1.6760211938561032</v>
          </cell>
          <cell r="Y1397">
            <v>1.7312141113813295</v>
          </cell>
          <cell r="Z1397">
            <v>1.7749724646720644</v>
          </cell>
          <cell r="AA1397">
            <v>1.8235727508101762</v>
          </cell>
          <cell r="AB1397">
            <v>1.8945953850316943</v>
          </cell>
          <cell r="AC1397">
            <v>1.9459696007490868</v>
          </cell>
          <cell r="AD1397">
            <v>1.9556790418501002</v>
          </cell>
          <cell r="AE1397">
            <v>1.9230891186925225</v>
          </cell>
          <cell r="AF1397">
            <v>1.9482155129830314</v>
          </cell>
          <cell r="AG1397">
            <v>2.0906864142577808</v>
          </cell>
          <cell r="AH1397">
            <v>2.2545927007953104</v>
          </cell>
          <cell r="AI1397">
            <v>2.4126797995527749</v>
          </cell>
          <cell r="AJ1397">
            <v>2.5584883680376258</v>
          </cell>
          <cell r="AK1397">
            <v>2.7269390550754169</v>
          </cell>
          <cell r="AL1397">
            <v>2.9435828293442379</v>
          </cell>
          <cell r="AM1397">
            <v>3.1783506027683206</v>
          </cell>
          <cell r="AN1397">
            <v>3.4190720448205925</v>
          </cell>
          <cell r="AO1397">
            <v>3.6745086378459746</v>
          </cell>
        </row>
        <row r="1398">
          <cell r="C1398" t="str">
            <v>Salaire net nominal (hors cotisations employeurs et employés, unitaire)</v>
          </cell>
          <cell r="E1398" t="str">
            <v>100*(W_2/W_0-1)</v>
          </cell>
          <cell r="F1398">
            <v>0</v>
          </cell>
          <cell r="G1398">
            <v>2.3538482274432226E-8</v>
          </cell>
          <cell r="H1398">
            <v>2.2821478040668808E-8</v>
          </cell>
          <cell r="I1398">
            <v>2.2098833873940293E-8</v>
          </cell>
          <cell r="J1398">
            <v>4.2715186943098615E-8</v>
          </cell>
          <cell r="K1398">
            <v>4.1254111238231417E-8</v>
          </cell>
          <cell r="L1398">
            <v>-2.0688509896715779E-2</v>
          </cell>
          <cell r="M1398">
            <v>-7.7874788357512603E-2</v>
          </cell>
          <cell r="N1398">
            <v>-4.5059696601323918E-2</v>
          </cell>
          <cell r="O1398">
            <v>0.13656128611043705</v>
          </cell>
          <cell r="P1398">
            <v>0.5319350237825482</v>
          </cell>
          <cell r="Q1398">
            <v>1.2178756947260228</v>
          </cell>
          <cell r="R1398">
            <v>2.0236550141039977</v>
          </cell>
          <cell r="S1398">
            <v>2.8777324764639234</v>
          </cell>
          <cell r="T1398">
            <v>3.7549253578260888</v>
          </cell>
          <cell r="U1398">
            <v>4.6772419095252982</v>
          </cell>
          <cell r="V1398">
            <v>5.579390856082056</v>
          </cell>
          <cell r="W1398">
            <v>6.4877671577756146</v>
          </cell>
          <cell r="X1398">
            <v>7.4085621316383632</v>
          </cell>
          <cell r="Y1398">
            <v>8.3402714319555482</v>
          </cell>
          <cell r="Z1398">
            <v>9.2671487146997791</v>
          </cell>
          <cell r="AA1398">
            <v>10.169300828800253</v>
          </cell>
          <cell r="AB1398">
            <v>11.006720370568157</v>
          </cell>
          <cell r="AC1398">
            <v>11.753773713623694</v>
          </cell>
          <cell r="AD1398">
            <v>12.389260333066531</v>
          </cell>
          <cell r="AE1398">
            <v>12.93727936844531</v>
          </cell>
          <cell r="AF1398">
            <v>13.341380359703248</v>
          </cell>
          <cell r="AG1398">
            <v>13.62447396599029</v>
          </cell>
          <cell r="AH1398">
            <v>13.801072757694644</v>
          </cell>
          <cell r="AI1398">
            <v>13.884755293180229</v>
          </cell>
          <cell r="AJ1398">
            <v>13.886573257828093</v>
          </cell>
          <cell r="AK1398">
            <v>13.816124590043021</v>
          </cell>
          <cell r="AL1398">
            <v>13.680726027798396</v>
          </cell>
          <cell r="AM1398">
            <v>13.496281327538039</v>
          </cell>
          <cell r="AN1398">
            <v>13.279522893247343</v>
          </cell>
          <cell r="AO1398">
            <v>13.098932760119553</v>
          </cell>
        </row>
        <row r="1399">
          <cell r="C1399" t="str">
            <v>Salaire net réel (hors cotisations employeurs et employés, unitaire)</v>
          </cell>
          <cell r="E1399" t="str">
            <v>100*((W_2/PCH_2)/(W_0/PCH_0)-1)</v>
          </cell>
          <cell r="F1399">
            <v>0</v>
          </cell>
          <cell r="G1399">
            <v>2.3538482274432226E-8</v>
          </cell>
          <cell r="H1399">
            <v>2.2821478040668808E-8</v>
          </cell>
          <cell r="I1399">
            <v>-7.1443062577003502E-8</v>
          </cell>
          <cell r="J1399">
            <v>-4.8957826681572669E-8</v>
          </cell>
          <cell r="K1399">
            <v>-4.8998705093339368E-8</v>
          </cell>
          <cell r="L1399">
            <v>1.083605431968504E-2</v>
          </cell>
          <cell r="M1399">
            <v>-0.43888986058001622</v>
          </cell>
          <cell r="N1399">
            <v>-0.95115142733355196</v>
          </cell>
          <cell r="O1399">
            <v>-1.5467078202842877</v>
          </cell>
          <cell r="P1399">
            <v>-2.280035688375015</v>
          </cell>
          <cell r="Q1399">
            <v>-2.2783572323000656</v>
          </cell>
          <cell r="R1399">
            <v>-2.1142156930058387</v>
          </cell>
          <cell r="S1399">
            <v>-1.9036597147634726</v>
          </cell>
          <cell r="T1399">
            <v>-1.6832079390305288</v>
          </cell>
          <cell r="U1399">
            <v>-1.4525531403528302</v>
          </cell>
          <cell r="V1399">
            <v>-1.2830628036305081</v>
          </cell>
          <cell r="W1399">
            <v>-1.1595696899684871</v>
          </cell>
          <cell r="X1399">
            <v>-1.0556145221454538</v>
          </cell>
          <cell r="Y1399">
            <v>-0.93651989706711181</v>
          </cell>
          <cell r="Z1399">
            <v>-0.80227568171540309</v>
          </cell>
          <cell r="AA1399">
            <v>-0.59305044558227715</v>
          </cell>
          <cell r="AB1399">
            <v>-0.37370912493519537</v>
          </cell>
          <cell r="AC1399">
            <v>-0.14815723036571971</v>
          </cell>
          <cell r="AD1399">
            <v>8.2020483769684738E-2</v>
          </cell>
          <cell r="AE1399">
            <v>0.31635939204002206</v>
          </cell>
          <cell r="AF1399">
            <v>0.53967396672414125</v>
          </cell>
          <cell r="AG1399">
            <v>0.70654304015360658</v>
          </cell>
          <cell r="AH1399">
            <v>0.82969562272467989</v>
          </cell>
          <cell r="AI1399">
            <v>0.91978558498935215</v>
          </cell>
          <cell r="AJ1399">
            <v>0.98274852815520841</v>
          </cell>
          <cell r="AK1399">
            <v>1.0286672820164267</v>
          </cell>
          <cell r="AL1399">
            <v>1.0322462920219433</v>
          </cell>
          <cell r="AM1399">
            <v>1.0004699985442844</v>
          </cell>
          <cell r="AN1399">
            <v>0.94064030799012599</v>
          </cell>
          <cell r="AO1399">
            <v>0.86097968325158369</v>
          </cell>
        </row>
        <row r="1400">
          <cell r="C1400" t="str">
            <v>Coût du travail nominal (yc. Cotisations employeurs et employés, unitaire)</v>
          </cell>
          <cell r="E1400" t="str">
            <v>100*(C_L_2/C_L_0-1)</v>
          </cell>
          <cell r="F1400">
            <v>0</v>
          </cell>
          <cell r="G1400">
            <v>1.8482126940000398E-8</v>
          </cell>
          <cell r="H1400">
            <v>1.7919155048673474E-8</v>
          </cell>
          <cell r="I1400">
            <v>1.7351742265248049E-8</v>
          </cell>
          <cell r="J1400">
            <v>3.3539437893637114E-8</v>
          </cell>
          <cell r="K1400">
            <v>4.8588333356747171E-8</v>
          </cell>
          <cell r="L1400">
            <v>-2.0688510656929893E-2</v>
          </cell>
          <cell r="M1400">
            <v>-7.7874768615959766E-2</v>
          </cell>
          <cell r="N1400">
            <v>-4.5059674133163252E-2</v>
          </cell>
          <cell r="O1400">
            <v>0.13656126487955333</v>
          </cell>
          <cell r="P1400">
            <v>0.53193501500639062</v>
          </cell>
          <cell r="Q1400">
            <v>1.2178757293010989</v>
          </cell>
          <cell r="R1400">
            <v>2.0236550124066888</v>
          </cell>
          <cell r="S1400">
            <v>2.8777324858130005</v>
          </cell>
          <cell r="T1400">
            <v>3.754925350735494</v>
          </cell>
          <cell r="U1400">
            <v>4.677241889440098</v>
          </cell>
          <cell r="V1400">
            <v>5.5793908651627033</v>
          </cell>
          <cell r="W1400">
            <v>6.4877671585331864</v>
          </cell>
          <cell r="X1400">
            <v>7.408562158819465</v>
          </cell>
          <cell r="Y1400">
            <v>8.3402714508597597</v>
          </cell>
          <cell r="Z1400">
            <v>9.2671486885661292</v>
          </cell>
          <cell r="AA1400">
            <v>10.169300791095459</v>
          </cell>
          <cell r="AB1400">
            <v>11.006720344772148</v>
          </cell>
          <cell r="AC1400">
            <v>11.753773737217799</v>
          </cell>
          <cell r="AD1400">
            <v>12.389260346957176</v>
          </cell>
          <cell r="AE1400">
            <v>12.937279400069212</v>
          </cell>
          <cell r="AF1400">
            <v>13.341380332561958</v>
          </cell>
          <cell r="AG1400">
            <v>13.624474000556596</v>
          </cell>
          <cell r="AH1400">
            <v>13.801072782073076</v>
          </cell>
          <cell r="AI1400">
            <v>13.884755294598738</v>
          </cell>
          <cell r="AJ1400">
            <v>13.886573225600962</v>
          </cell>
          <cell r="AK1400">
            <v>13.816124549370823</v>
          </cell>
          <cell r="AL1400">
            <v>13.680726002354771</v>
          </cell>
          <cell r="AM1400">
            <v>13.496281301531464</v>
          </cell>
          <cell r="AN1400">
            <v>13.279522919480291</v>
          </cell>
          <cell r="AO1400">
            <v>13.09893282963095</v>
          </cell>
        </row>
        <row r="1401">
          <cell r="C1401" t="str">
            <v>Coût réel du travail (yc. Cotisations employeurs et employés, unitaire)</v>
          </cell>
          <cell r="E1401" t="str">
            <v>100*((C_L_2/PVA_2)/(C_L_0/PVA_0)-1)</v>
          </cell>
          <cell r="F1401">
            <v>0</v>
          </cell>
          <cell r="G1401">
            <v>1.8482126940000398E-8</v>
          </cell>
          <cell r="H1401">
            <v>-7.8261142011371021E-8</v>
          </cell>
          <cell r="I1401">
            <v>1.7351742265248049E-8</v>
          </cell>
          <cell r="J1401">
            <v>-5.7978755130250192E-8</v>
          </cell>
          <cell r="K1401">
            <v>4.8588355561207663E-8</v>
          </cell>
          <cell r="L1401">
            <v>2.6127225395944365E-2</v>
          </cell>
          <cell r="M1401">
            <v>4.4087848119911399E-2</v>
          </cell>
          <cell r="N1401">
            <v>6.3331604980065848E-3</v>
          </cell>
          <cell r="O1401">
            <v>-8.8702304157917133E-3</v>
          </cell>
          <cell r="P1401">
            <v>-1.1299364765349207E-2</v>
          </cell>
          <cell r="Q1401">
            <v>-0.13867800318367873</v>
          </cell>
          <cell r="R1401">
            <v>-0.13127603254279308</v>
          </cell>
          <cell r="S1401">
            <v>-9.6454017706670836E-2</v>
          </cell>
          <cell r="T1401">
            <v>-7.5313103791863067E-2</v>
          </cell>
          <cell r="U1401">
            <v>-8.4417360939770258E-2</v>
          </cell>
          <cell r="V1401">
            <v>-8.5092852016155351E-2</v>
          </cell>
          <cell r="W1401">
            <v>-6.8337430411014033E-2</v>
          </cell>
          <cell r="X1401">
            <v>-5.2753552398476788E-2</v>
          </cell>
          <cell r="Y1401">
            <v>-3.2081121646032607E-2</v>
          </cell>
          <cell r="Z1401">
            <v>1.0776375178833675E-2</v>
          </cell>
          <cell r="AA1401">
            <v>7.032736725602895E-2</v>
          </cell>
          <cell r="AB1401">
            <v>0.17426496217296528</v>
          </cell>
          <cell r="AC1401">
            <v>0.31189470349644033</v>
          </cell>
          <cell r="AD1401">
            <v>0.48156354458850359</v>
          </cell>
          <cell r="AE1401">
            <v>0.66766234737671848</v>
          </cell>
          <cell r="AF1401">
            <v>0.83473402758362791</v>
          </cell>
          <cell r="AG1401">
            <v>0.99986404527354633</v>
          </cell>
          <cell r="AH1401">
            <v>1.1419158523293227</v>
          </cell>
          <cell r="AI1401">
            <v>1.2672339134707666</v>
          </cell>
          <cell r="AJ1401">
            <v>1.3807658097238606</v>
          </cell>
          <cell r="AK1401">
            <v>1.4727927659485829</v>
          </cell>
          <cell r="AL1401">
            <v>1.5493462104623656</v>
          </cell>
          <cell r="AM1401">
            <v>1.6044849840317621</v>
          </cell>
          <cell r="AN1401">
            <v>1.6391810736072987</v>
          </cell>
          <cell r="AO1401">
            <v>1.6263889776444884</v>
          </cell>
        </row>
        <row r="1402">
          <cell r="C1402" t="str">
            <v>Emploi en %</v>
          </cell>
          <cell r="E1402" t="str">
            <v>((F_L_2/F_L_0)-1)*100</v>
          </cell>
          <cell r="F1402">
            <v>0</v>
          </cell>
          <cell r="G1402">
            <v>3.6364689037782227E-8</v>
          </cell>
          <cell r="H1402">
            <v>0</v>
          </cell>
          <cell r="I1402">
            <v>0</v>
          </cell>
          <cell r="J1402">
            <v>0</v>
          </cell>
          <cell r="K1402">
            <v>3.5003711040815233E-8</v>
          </cell>
          <cell r="L1402">
            <v>-0.11915810029579088</v>
          </cell>
          <cell r="M1402">
            <v>-0.31952842422221517</v>
          </cell>
          <cell r="N1402">
            <v>-0.54266346255537057</v>
          </cell>
          <cell r="O1402">
            <v>-0.71182125181278311</v>
          </cell>
          <cell r="P1402">
            <v>-0.73739106484776995</v>
          </cell>
          <cell r="Q1402">
            <v>-0.6596338077234698</v>
          </cell>
          <cell r="R1402">
            <v>-0.4855969774406943</v>
          </cell>
          <cell r="S1402">
            <v>-0.22730153130617881</v>
          </cell>
          <cell r="T1402">
            <v>9.166316268762742E-2</v>
          </cell>
          <cell r="U1402">
            <v>0.54129379580134529</v>
          </cell>
          <cell r="V1402">
            <v>0.86843720022915516</v>
          </cell>
          <cell r="W1402">
            <v>1.1595483677101726</v>
          </cell>
          <cell r="X1402">
            <v>1.4039323843618945</v>
          </cell>
          <cell r="Y1402">
            <v>1.5893420038384454</v>
          </cell>
          <cell r="Z1402">
            <v>1.7073894678384827</v>
          </cell>
          <cell r="AA1402">
            <v>1.74992888534653</v>
          </cell>
          <cell r="AB1402">
            <v>1.7173982245688668</v>
          </cell>
          <cell r="AC1402">
            <v>1.6134711764324683</v>
          </cell>
          <cell r="AD1402">
            <v>1.4447338887686678</v>
          </cell>
          <cell r="AE1402">
            <v>1.3439355415352017</v>
          </cell>
          <cell r="AF1402">
            <v>1.1766222390896308</v>
          </cell>
          <cell r="AG1402">
            <v>1.0421940048856104</v>
          </cell>
          <cell r="AH1402">
            <v>0.92764409207362064</v>
          </cell>
          <cell r="AI1402">
            <v>0.82122420497507953</v>
          </cell>
          <cell r="AJ1402">
            <v>0.71759800128876616</v>
          </cell>
          <cell r="AK1402">
            <v>0.61357503045842421</v>
          </cell>
          <cell r="AL1402">
            <v>0.51077264592396254</v>
          </cell>
          <cell r="AM1402">
            <v>0.41287754347247851</v>
          </cell>
          <cell r="AN1402">
            <v>0.32414790210288924</v>
          </cell>
          <cell r="AO1402">
            <v>0.40851979709819464</v>
          </cell>
        </row>
        <row r="1403">
          <cell r="C1403" t="str">
            <v>Emploi en millier</v>
          </cell>
          <cell r="E1403" t="str">
            <v>F_L_2-F_L_0</v>
          </cell>
          <cell r="F1403">
            <v>0</v>
          </cell>
          <cell r="G1403">
            <v>9.9999997473787516E-6</v>
          </cell>
          <cell r="H1403">
            <v>0</v>
          </cell>
          <cell r="I1403">
            <v>0</v>
          </cell>
          <cell r="J1403">
            <v>0</v>
          </cell>
          <cell r="K1403">
            <v>9.9999997473787516E-6</v>
          </cell>
          <cell r="L1403">
            <v>-34.496359999997367</v>
          </cell>
          <cell r="M1403">
            <v>-93.795630000000529</v>
          </cell>
          <cell r="N1403">
            <v>-161.55325000000084</v>
          </cell>
          <cell r="O1403">
            <v>-214.80552000000171</v>
          </cell>
          <cell r="P1403">
            <v>-225.24309999999969</v>
          </cell>
          <cell r="Q1403">
            <v>-203.54339000000255</v>
          </cell>
          <cell r="R1403">
            <v>-151.03455000000031</v>
          </cell>
          <cell r="S1403">
            <v>-71.113069999999425</v>
          </cell>
          <cell r="T1403">
            <v>28.795350000000326</v>
          </cell>
          <cell r="U1403">
            <v>170.51037999999971</v>
          </cell>
          <cell r="V1403">
            <v>274.05852999999843</v>
          </cell>
          <cell r="W1403">
            <v>366.39425000000119</v>
          </cell>
          <cell r="X1403">
            <v>444.09980999999971</v>
          </cell>
          <cell r="Y1403">
            <v>503.35123000000021</v>
          </cell>
          <cell r="Z1403">
            <v>541.5274900000004</v>
          </cell>
          <cell r="AA1403">
            <v>556.10127000000284</v>
          </cell>
          <cell r="AB1403">
            <v>547.17498999999953</v>
          </cell>
          <cell r="AC1403">
            <v>515.76915999999983</v>
          </cell>
          <cell r="AD1403">
            <v>463.72289000000092</v>
          </cell>
          <cell r="AE1403">
            <v>433.40835999999763</v>
          </cell>
          <cell r="AF1403">
            <v>381.31921000000148</v>
          </cell>
          <cell r="AG1403">
            <v>339.45885999999882</v>
          </cell>
          <cell r="AH1403">
            <v>303.73027000000002</v>
          </cell>
          <cell r="AI1403">
            <v>270.352429999999</v>
          </cell>
          <cell r="AJ1403">
            <v>237.56538999999611</v>
          </cell>
          <cell r="AK1403">
            <v>204.27960000000166</v>
          </cell>
          <cell r="AL1403">
            <v>171.00089000000298</v>
          </cell>
          <cell r="AM1403">
            <v>138.96147000000201</v>
          </cell>
          <cell r="AN1403">
            <v>109.63251000000309</v>
          </cell>
          <cell r="AO1403">
            <v>138.76793999999791</v>
          </cell>
        </row>
        <row r="1404">
          <cell r="C1404" t="str">
            <v>Taux de chômage (en point)</v>
          </cell>
          <cell r="E1404" t="str">
            <v>100*(UnR_2-UnR_0)</v>
          </cell>
          <cell r="F1404">
            <v>0</v>
          </cell>
          <cell r="G1404">
            <v>-9.9999980518461484E-9</v>
          </cell>
          <cell r="H1404">
            <v>0</v>
          </cell>
          <cell r="I1404">
            <v>-1.000000082740371E-8</v>
          </cell>
          <cell r="J1404">
            <v>-1.000000082740371E-8</v>
          </cell>
          <cell r="K1404">
            <v>-1.000000082740371E-8</v>
          </cell>
          <cell r="L1404">
            <v>8.8972110000000437E-2</v>
          </cell>
          <cell r="M1404">
            <v>0.23361625999999969</v>
          </cell>
          <cell r="N1404">
            <v>0.39013217999999961</v>
          </cell>
          <cell r="O1404">
            <v>0.50289529000000077</v>
          </cell>
          <cell r="P1404">
            <v>0.50669261000000076</v>
          </cell>
          <cell r="Q1404">
            <v>0.43963426999999999</v>
          </cell>
          <cell r="R1404">
            <v>0.30687447000000007</v>
          </cell>
          <cell r="S1404">
            <v>0.1179984600000003</v>
          </cell>
          <cell r="T1404">
            <v>-0.10874329000000044</v>
          </cell>
          <cell r="U1404">
            <v>-0.4282279299999997</v>
          </cell>
          <cell r="V1404">
            <v>-0.64117684000000041</v>
          </cell>
          <cell r="W1404">
            <v>-0.82808718999999997</v>
          </cell>
          <cell r="X1404">
            <v>-0.98166719000000047</v>
          </cell>
          <cell r="Y1404">
            <v>-1.0938777299999993</v>
          </cell>
          <cell r="Z1404">
            <v>-1.1607081500000005</v>
          </cell>
          <cell r="AA1404">
            <v>-1.1754928399999989</v>
          </cell>
          <cell r="AB1404">
            <v>-1.1407200699999995</v>
          </cell>
          <cell r="AC1404">
            <v>-1.0595413999999996</v>
          </cell>
          <cell r="AD1404">
            <v>-0.93671883000000089</v>
          </cell>
          <cell r="AE1404">
            <v>-0.87457123999999942</v>
          </cell>
          <cell r="AF1404">
            <v>-0.75886252999999981</v>
          </cell>
          <cell r="AG1404">
            <v>-0.6714717200000011</v>
          </cell>
          <cell r="AH1404">
            <v>-0.59862945000000023</v>
          </cell>
          <cell r="AI1404">
            <v>-0.53044304000000042</v>
          </cell>
          <cell r="AJ1404">
            <v>-0.46308203000000048</v>
          </cell>
          <cell r="AK1404">
            <v>-0.39447570000000071</v>
          </cell>
          <cell r="AL1404">
            <v>-0.32622391000000084</v>
          </cell>
          <cell r="AM1404">
            <v>-0.26126609999999884</v>
          </cell>
          <cell r="AN1404">
            <v>-0.20278123999999953</v>
          </cell>
          <cell r="AO1404">
            <v>-0.27894363999999977</v>
          </cell>
        </row>
        <row r="1405">
          <cell r="C1405" t="str">
            <v>Balance commerciale</v>
          </cell>
          <cell r="E1405" t="str">
            <v>100*(Bal_Trade_VAL_2/(GDP_2*PGDP_2)-Bal_Trade_VAL_0/(GDP_0*PGDP_0))</v>
          </cell>
          <cell r="F1405">
            <v>-1.3634754783553582E-9</v>
          </cell>
          <cell r="G1405">
            <v>1.1369157785351414E-9</v>
          </cell>
          <cell r="H1405">
            <v>2.8564190834683145E-9</v>
          </cell>
          <cell r="I1405">
            <v>4.8177197474463807E-9</v>
          </cell>
          <cell r="J1405">
            <v>4.8917770875678279E-9</v>
          </cell>
          <cell r="K1405">
            <v>5.7952566356878066E-9</v>
          </cell>
          <cell r="L1405">
            <v>-0.1568937488156435</v>
          </cell>
          <cell r="M1405">
            <v>-0.35385071235819121</v>
          </cell>
          <cell r="N1405">
            <v>-0.43110179178473784</v>
          </cell>
          <cell r="O1405">
            <v>-0.42579517250356869</v>
          </cell>
          <cell r="P1405">
            <v>-0.31689535072846886</v>
          </cell>
          <cell r="Q1405">
            <v>-0.21757477954786331</v>
          </cell>
          <cell r="R1405">
            <v>-0.11665573281722588</v>
          </cell>
          <cell r="S1405">
            <v>-1.7795711385110852E-2</v>
          </cell>
          <cell r="T1405">
            <v>8.0928445841717267E-2</v>
          </cell>
          <cell r="U1405">
            <v>0.30378199676288076</v>
          </cell>
          <cell r="V1405">
            <v>0.21976244627942496</v>
          </cell>
          <cell r="W1405">
            <v>0.25464638748678992</v>
          </cell>
          <cell r="X1405">
            <v>0.27550554577818603</v>
          </cell>
          <cell r="Y1405">
            <v>0.29259563781783432</v>
          </cell>
          <cell r="Z1405">
            <v>0.30235031146139191</v>
          </cell>
          <cell r="AA1405">
            <v>0.29188887615972797</v>
          </cell>
          <cell r="AB1405">
            <v>0.25939530627438756</v>
          </cell>
          <cell r="AC1405">
            <v>0.21241558449606179</v>
          </cell>
          <cell r="AD1405">
            <v>0.15443497842365511</v>
          </cell>
          <cell r="AE1405">
            <v>0.23037629727459888</v>
          </cell>
          <cell r="AF1405">
            <v>0.11427163912739458</v>
          </cell>
          <cell r="AG1405">
            <v>0.11193952321982004</v>
          </cell>
          <cell r="AH1405">
            <v>8.3202625446010536E-2</v>
          </cell>
          <cell r="AI1405">
            <v>4.2500227046027989E-2</v>
          </cell>
          <cell r="AJ1405">
            <v>-3.3526472833049492E-3</v>
          </cell>
          <cell r="AK1405">
            <v>-5.5841697897068832E-2</v>
          </cell>
          <cell r="AL1405">
            <v>-0.11105331118283837</v>
          </cell>
          <cell r="AM1405">
            <v>-0.1587751831472195</v>
          </cell>
          <cell r="AN1405">
            <v>-0.19558881557909039</v>
          </cell>
          <cell r="AO1405">
            <v>-3.9464013638161599E-2</v>
          </cell>
        </row>
        <row r="1406">
          <cell r="C1406" t="str">
            <v>Facture énergétique</v>
          </cell>
          <cell r="E1406" t="str">
            <v>100*(ENER_BILL_2/(GDP_2*PGDP_2)-ENER_BILL_0/(GDP_0*PGDP_0))</v>
          </cell>
          <cell r="F1406">
            <v>2.2724591305922637E-9</v>
          </cell>
          <cell r="G1406">
            <v>8.7455043207285144E-10</v>
          </cell>
          <cell r="H1406">
            <v>0</v>
          </cell>
          <cell r="I1406">
            <v>-8.0295353699355587E-10</v>
          </cell>
          <cell r="J1406">
            <v>-2.3950348648771325E-9</v>
          </cell>
          <cell r="K1406">
            <v>-2.981469411633686E-9</v>
          </cell>
          <cell r="L1406">
            <v>2.8856492878433226E-4</v>
          </cell>
          <cell r="M1406">
            <v>-3.9902655358069888E-2</v>
          </cell>
          <cell r="N1406">
            <v>-0.12557912611467162</v>
          </cell>
          <cell r="O1406">
            <v>-0.23638314075277114</v>
          </cell>
          <cell r="P1406">
            <v>-0.36431554389861109</v>
          </cell>
          <cell r="Q1406">
            <v>-0.48130163596134923</v>
          </cell>
          <cell r="R1406">
            <v>-0.57992551938956549</v>
          </cell>
          <cell r="S1406">
            <v>-0.66715939253198597</v>
          </cell>
          <cell r="T1406">
            <v>-0.7509213732589276</v>
          </cell>
          <cell r="U1406">
            <v>-0.85569946680191367</v>
          </cell>
          <cell r="V1406">
            <v>-0.91775105097642096</v>
          </cell>
          <cell r="W1406">
            <v>-0.9760752524725167</v>
          </cell>
          <cell r="X1406">
            <v>-1.0253778897593187</v>
          </cell>
          <cell r="Y1406">
            <v>-1.0766203476013176</v>
          </cell>
          <cell r="Z1406">
            <v>-1.1295543668331598</v>
          </cell>
          <cell r="AA1406">
            <v>-1.1817948297627925</v>
          </cell>
          <cell r="AB1406">
            <v>-1.2292065317417107</v>
          </cell>
          <cell r="AC1406">
            <v>-1.2738744714185484</v>
          </cell>
          <cell r="AD1406">
            <v>-1.3180661306112209</v>
          </cell>
          <cell r="AE1406">
            <v>-1.3811469655270918</v>
          </cell>
          <cell r="AF1406">
            <v>-1.4139063360796498</v>
          </cell>
          <cell r="AG1406">
            <v>-1.4371319243490286</v>
          </cell>
          <cell r="AH1406">
            <v>-1.4558076825448014</v>
          </cell>
          <cell r="AI1406">
            <v>-1.4720063159390004</v>
          </cell>
          <cell r="AJ1406">
            <v>-1.4863005960032711</v>
          </cell>
          <cell r="AK1406">
            <v>-1.4980486441592389</v>
          </cell>
          <cell r="AL1406">
            <v>-1.5071429823439786</v>
          </cell>
          <cell r="AM1406">
            <v>-1.5140427332731223</v>
          </cell>
          <cell r="AN1406">
            <v>-1.5191809808939492</v>
          </cell>
          <cell r="AO1406">
            <v>-1.5213649725889435</v>
          </cell>
        </row>
        <row r="1407">
          <cell r="C1407" t="str">
            <v>Solde public primaire</v>
          </cell>
          <cell r="E1407" t="str">
            <v>100*((-Bal_G_prim_VAL_2)/(GDP_2*PGDP_2)-(-Bal_G_prim_VAL_0)/(GDP_0*PGDP_0))</v>
          </cell>
          <cell r="F1407">
            <v>1.3634756518277058E-9</v>
          </cell>
          <cell r="G1407">
            <v>1.3118260817901461E-9</v>
          </cell>
          <cell r="H1407">
            <v>-4.6206779721891245E-10</v>
          </cell>
          <cell r="I1407">
            <v>-2.5293028197044543E-9</v>
          </cell>
          <cell r="J1407">
            <v>-5.1476410807549389E-9</v>
          </cell>
          <cell r="K1407">
            <v>-8.3157614474971275E-9</v>
          </cell>
          <cell r="L1407">
            <v>7.2116330963099481E-2</v>
          </cell>
          <cell r="M1407">
            <v>0.25370755024070601</v>
          </cell>
          <cell r="N1407">
            <v>0.44248385243151506</v>
          </cell>
          <cell r="O1407">
            <v>0.59307685234438257</v>
          </cell>
          <cell r="P1407">
            <v>0.66248927758885412</v>
          </cell>
          <cell r="Q1407">
            <v>0.55561666771788554</v>
          </cell>
          <cell r="R1407">
            <v>0.38397415211997643</v>
          </cell>
          <cell r="S1407">
            <v>0.17373036720866181</v>
          </cell>
          <cell r="T1407">
            <v>-5.8446444875986936E-2</v>
          </cell>
          <cell r="U1407">
            <v>-0.35957383685170163</v>
          </cell>
          <cell r="V1407">
            <v>-0.56997772992666496</v>
          </cell>
          <cell r="W1407">
            <v>-0.75935247305315212</v>
          </cell>
          <cell r="X1407">
            <v>-0.92713062473010965</v>
          </cell>
          <cell r="Y1407">
            <v>-1.0721464712601381</v>
          </cell>
          <cell r="Z1407">
            <v>-1.1818039595711218</v>
          </cell>
          <cell r="AA1407">
            <v>-1.2580128170567473</v>
          </cell>
          <cell r="AB1407">
            <v>-1.2869946031228727</v>
          </cell>
          <cell r="AC1407">
            <v>-1.2691364425531628</v>
          </cell>
          <cell r="AD1407">
            <v>-1.2076360406901743</v>
          </cell>
          <cell r="AE1407">
            <v>-1.1790449824283276</v>
          </cell>
          <cell r="AF1407">
            <v>-1.096656333068692</v>
          </cell>
          <cell r="AG1407">
            <v>-1.0161991270687196</v>
          </cell>
          <cell r="AH1407">
            <v>-0.93532548166959528</v>
          </cell>
          <cell r="AI1407">
            <v>-0.85063949626996016</v>
          </cell>
          <cell r="AJ1407">
            <v>-0.76139955538456072</v>
          </cell>
          <cell r="AK1407">
            <v>-0.66774597309233052</v>
          </cell>
          <cell r="AL1407">
            <v>-0.56750705702719584</v>
          </cell>
          <cell r="AM1407">
            <v>-0.46469968156917368</v>
          </cell>
          <cell r="AN1407">
            <v>-0.36389203004407733</v>
          </cell>
          <cell r="AO1407">
            <v>-0.35453078983703618</v>
          </cell>
        </row>
        <row r="1408">
          <cell r="C1408" t="str">
            <v xml:space="preserve">Solde public </v>
          </cell>
          <cell r="E1408" t="str">
            <v>100*((-Bal_G_tot_VAL_2)/(GDP_2*PGDP_2)-(-Bal_G_tot_VAL_0)/(GDP_0*PGDP_0))</v>
          </cell>
          <cell r="F1408">
            <v>1.8179673044738109E-9</v>
          </cell>
          <cell r="G1408">
            <v>8.3082308394155646E-9</v>
          </cell>
          <cell r="H1408">
            <v>8.4012328344096332E-9</v>
          </cell>
          <cell r="I1408">
            <v>8.0295325943779972E-9</v>
          </cell>
          <cell r="J1408">
            <v>6.3038149353267237E-9</v>
          </cell>
          <cell r="K1408">
            <v>2.3397035177341596E-9</v>
          </cell>
          <cell r="L1408">
            <v>7.6448031657512253E-2</v>
          </cell>
          <cell r="M1408">
            <v>0.24807434010500964</v>
          </cell>
          <cell r="N1408">
            <v>0.59186265684132122</v>
          </cell>
          <cell r="O1408">
            <v>0.86140052922908972</v>
          </cell>
          <cell r="P1408">
            <v>1.0451661627608344</v>
          </cell>
          <cell r="Q1408">
            <v>1.081420035013247</v>
          </cell>
          <cell r="R1408">
            <v>0.823384274911932</v>
          </cell>
          <cell r="S1408">
            <v>0.53680051826943476</v>
          </cell>
          <cell r="T1408">
            <v>0.24221541150664105</v>
          </cell>
          <cell r="U1408">
            <v>-0.1168886495074295</v>
          </cell>
          <cell r="V1408">
            <v>-0.37963008732560322</v>
          </cell>
          <cell r="W1408">
            <v>-0.62149622361925072</v>
          </cell>
          <cell r="X1408">
            <v>-0.84295098137130986</v>
          </cell>
          <cell r="Y1408">
            <v>-1.0454086137145304</v>
          </cell>
          <cell r="Z1408">
            <v>-1.2148222582394188</v>
          </cell>
          <cell r="AA1408">
            <v>-1.3492958547592719</v>
          </cell>
          <cell r="AB1408">
            <v>-1.427253494809251</v>
          </cell>
          <cell r="AC1408">
            <v>-1.4480402118840323</v>
          </cell>
          <cell r="AD1408">
            <v>-1.4126818996837334</v>
          </cell>
          <cell r="AE1408">
            <v>-1.3945971686351171</v>
          </cell>
          <cell r="AF1408">
            <v>-1.3172160033893681</v>
          </cell>
          <cell r="AG1408">
            <v>-1.2248347664825285</v>
          </cell>
          <cell r="AH1408">
            <v>-1.1348613377001284</v>
          </cell>
          <cell r="AI1408">
            <v>-1.0415470262215552</v>
          </cell>
          <cell r="AJ1408">
            <v>-0.9423383463138022</v>
          </cell>
          <cell r="AK1408">
            <v>-0.83707404838123389</v>
          </cell>
          <cell r="AL1408">
            <v>-0.72083210378741935</v>
          </cell>
          <cell r="AM1408">
            <v>-0.60908364951370586</v>
          </cell>
          <cell r="AN1408">
            <v>-0.50407684303343803</v>
          </cell>
          <cell r="AO1408">
            <v>-0.48843865404028519</v>
          </cell>
        </row>
        <row r="1409">
          <cell r="C1409" t="str">
            <v>Dette publique</v>
          </cell>
          <cell r="E1409" t="str">
            <v>(DEBT_G_VAL_2/(PGDP_2*GDP_2)-DEBT_G_VAL_0/(PGDP_0*GDP_0))*100</v>
          </cell>
          <cell r="F1409">
            <v>0</v>
          </cell>
          <cell r="G1409">
            <v>0</v>
          </cell>
          <cell r="H1409">
            <v>4.2006176315112498E-8</v>
          </cell>
          <cell r="I1409">
            <v>4.0147674074120232E-8</v>
          </cell>
          <cell r="J1409">
            <v>-4.2310543957313484E-8</v>
          </cell>
          <cell r="K1409">
            <v>-3.9142777907841264E-8</v>
          </cell>
          <cell r="L1409">
            <v>0.28849902815403228</v>
          </cell>
          <cell r="M1409">
            <v>0.57026733416901676</v>
          </cell>
          <cell r="N1409">
            <v>0.99791233752811737</v>
          </cell>
          <cell r="O1409">
            <v>1.4427502416234472</v>
          </cell>
          <cell r="P1409">
            <v>1.7325524689855265</v>
          </cell>
          <cell r="Q1409">
            <v>2.2197616314376778</v>
          </cell>
          <cell r="R1409">
            <v>2.4365325455253881</v>
          </cell>
          <cell r="S1409">
            <v>2.3783394043127961</v>
          </cell>
          <cell r="T1409">
            <v>2.0727293273390512</v>
          </cell>
          <cell r="U1409">
            <v>1.4076478171317464</v>
          </cell>
          <cell r="V1409">
            <v>0.70445543827745427</v>
          </cell>
          <cell r="W1409">
            <v>-0.17012305657727878</v>
          </cell>
          <cell r="X1409">
            <v>-1.1558447695568519</v>
          </cell>
          <cell r="Y1409">
            <v>-2.2384181228060949</v>
          </cell>
          <cell r="Z1409">
            <v>-3.3947204999673235</v>
          </cell>
          <cell r="AA1409">
            <v>-4.6074283673190193</v>
          </cell>
          <cell r="AB1409">
            <v>-5.8404153303962758</v>
          </cell>
          <cell r="AC1409">
            <v>-7.0578698577294459</v>
          </cell>
          <cell r="AD1409">
            <v>-8.2255969422349366</v>
          </cell>
          <cell r="AE1409">
            <v>-9.2831725195737018</v>
          </cell>
          <cell r="AF1409">
            <v>-10.368683798033784</v>
          </cell>
          <cell r="AG1409">
            <v>-11.294433263524283</v>
          </cell>
          <cell r="AH1409">
            <v>-12.13160007335623</v>
          </cell>
          <cell r="AI1409">
            <v>-12.878011649913446</v>
          </cell>
          <cell r="AJ1409">
            <v>-13.531128607581778</v>
          </cell>
          <cell r="AK1409">
            <v>-14.100079839838831</v>
          </cell>
          <cell r="AL1409">
            <v>-14.563447104106908</v>
          </cell>
          <cell r="AM1409">
            <v>-14.918134016020701</v>
          </cell>
          <cell r="AN1409">
            <v>-15.164995546137128</v>
          </cell>
          <cell r="AO1409">
            <v>-15.016846852240418</v>
          </cell>
        </row>
        <row r="1410">
          <cell r="C1410" t="str">
            <v>PIB</v>
          </cell>
          <cell r="E1410" t="str">
            <v>GDP_2</v>
          </cell>
          <cell r="F1410">
            <v>2196993.054</v>
          </cell>
          <cell r="G1410">
            <v>2237148.7790000001</v>
          </cell>
          <cell r="H1410">
            <v>2279651.8339999998</v>
          </cell>
          <cell r="I1410">
            <v>2325108.0159999998</v>
          </cell>
          <cell r="J1410">
            <v>2375911.7880000002</v>
          </cell>
          <cell r="K1410">
            <v>2434872.9700000002</v>
          </cell>
          <cell r="L1410">
            <v>2489962.108</v>
          </cell>
          <cell r="M1410">
            <v>2544897.0890000002</v>
          </cell>
          <cell r="N1410">
            <v>2601591.9819999998</v>
          </cell>
          <cell r="O1410">
            <v>2659801.0389999999</v>
          </cell>
          <cell r="P1410">
            <v>2719524.1889999998</v>
          </cell>
          <cell r="Q1410">
            <v>2778190.943</v>
          </cell>
          <cell r="R1410">
            <v>2836539.077</v>
          </cell>
          <cell r="S1410">
            <v>2894262.4309999999</v>
          </cell>
          <cell r="T1410">
            <v>2951034.2779999999</v>
          </cell>
          <cell r="U1410">
            <v>3012976.5</v>
          </cell>
          <cell r="V1410">
            <v>3062124.273</v>
          </cell>
          <cell r="W1410">
            <v>3115175.5920000002</v>
          </cell>
          <cell r="X1410">
            <v>3167309.5219999999</v>
          </cell>
          <cell r="Y1410">
            <v>3219110.9219999998</v>
          </cell>
          <cell r="Z1410">
            <v>3270525.5090000001</v>
          </cell>
          <cell r="AA1410">
            <v>3322472.46</v>
          </cell>
          <cell r="AB1410">
            <v>3375233.6809999999</v>
          </cell>
          <cell r="AC1410">
            <v>3429068.1009999998</v>
          </cell>
          <cell r="AD1410">
            <v>3484248.95</v>
          </cell>
          <cell r="AE1410">
            <v>3548647.7760000001</v>
          </cell>
          <cell r="AF1410">
            <v>3606742.4029999999</v>
          </cell>
          <cell r="AG1410">
            <v>3673310.2519999999</v>
          </cell>
          <cell r="AH1410">
            <v>3741798.852</v>
          </cell>
          <cell r="AI1410">
            <v>3812403.0890000002</v>
          </cell>
          <cell r="AJ1410">
            <v>3885015.51</v>
          </cell>
          <cell r="AK1410">
            <v>3959241.6680000001</v>
          </cell>
          <cell r="AL1410">
            <v>4034749.6290000002</v>
          </cell>
          <cell r="AM1410">
            <v>4111245.4350000001</v>
          </cell>
          <cell r="AN1410">
            <v>4188433.2069999999</v>
          </cell>
          <cell r="AO1410">
            <v>4279708.9220000003</v>
          </cell>
        </row>
        <row r="1411">
          <cell r="C1411" t="str">
            <v>Ecart PIB</v>
          </cell>
          <cell r="E1411" t="str">
            <v>(GDPter_2/GDPbis_2-1)*100</v>
          </cell>
          <cell r="F1411">
            <v>0</v>
          </cell>
          <cell r="G1411">
            <v>0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3.7596792346050734E-8</v>
          </cell>
          <cell r="P1411">
            <v>0</v>
          </cell>
          <cell r="Q1411">
            <v>-3.5994651703674663E-8</v>
          </cell>
          <cell r="R1411">
            <v>0</v>
          </cell>
          <cell r="S1411">
            <v>-3.4551106420366295E-8</v>
          </cell>
          <cell r="T1411">
            <v>-3.388642699775346E-8</v>
          </cell>
          <cell r="U1411">
            <v>-3.3189773152031421E-8</v>
          </cell>
          <cell r="V1411">
            <v>0</v>
          </cell>
          <cell r="W1411">
            <v>0</v>
          </cell>
          <cell r="X1411">
            <v>0</v>
          </cell>
          <cell r="Y1411">
            <v>0</v>
          </cell>
          <cell r="Z1411">
            <v>0</v>
          </cell>
          <cell r="AA1411">
            <v>0</v>
          </cell>
          <cell r="AB1411">
            <v>0</v>
          </cell>
          <cell r="AC1411">
            <v>0</v>
          </cell>
          <cell r="AD1411">
            <v>-2.8700597454189847E-8</v>
          </cell>
          <cell r="AE1411">
            <v>-2.8179747424417201E-8</v>
          </cell>
          <cell r="AF1411">
            <v>0</v>
          </cell>
          <cell r="AG1411">
            <v>0</v>
          </cell>
          <cell r="AH1411">
            <v>0</v>
          </cell>
          <cell r="AI1411">
            <v>0</v>
          </cell>
          <cell r="AJ1411">
            <v>0</v>
          </cell>
          <cell r="AK1411">
            <v>-2.5257362867847633E-8</v>
          </cell>
          <cell r="AL1411">
            <v>0</v>
          </cell>
          <cell r="AM1411">
            <v>0</v>
          </cell>
          <cell r="AN1411">
            <v>0</v>
          </cell>
          <cell r="AO1411">
            <v>0</v>
          </cell>
        </row>
        <row r="1412">
          <cell r="C1412" t="str">
            <v>Dépenses publiques</v>
          </cell>
          <cell r="E1412" t="str">
            <v>SPEND_G_VAL_2</v>
          </cell>
          <cell r="F1412">
            <v>1178059.233</v>
          </cell>
          <cell r="G1412">
            <v>1216570.19</v>
          </cell>
          <cell r="H1412">
            <v>1254343.416</v>
          </cell>
          <cell r="I1412">
            <v>1299490.1040000001</v>
          </cell>
          <cell r="J1412">
            <v>1344268.926</v>
          </cell>
          <cell r="K1412">
            <v>1379003.4450000001</v>
          </cell>
          <cell r="L1412">
            <v>1411152.56</v>
          </cell>
          <cell r="M1412">
            <v>1454836.0160000001</v>
          </cell>
          <cell r="N1412">
            <v>1505951.058</v>
          </cell>
          <cell r="O1412">
            <v>1560036.855</v>
          </cell>
          <cell r="P1412">
            <v>1620268.702</v>
          </cell>
          <cell r="Q1412">
            <v>1677132.9620000001</v>
          </cell>
          <cell r="R1412">
            <v>1724377.068</v>
          </cell>
          <cell r="S1412">
            <v>1769518.277</v>
          </cell>
          <cell r="T1412">
            <v>1812639.4369999999</v>
          </cell>
          <cell r="U1412">
            <v>1853346.9029999999</v>
          </cell>
          <cell r="V1412">
            <v>1892504.639</v>
          </cell>
          <cell r="W1412">
            <v>1929982.307</v>
          </cell>
          <cell r="X1412">
            <v>1965684.7960000001</v>
          </cell>
          <cell r="Y1412">
            <v>1999388.8049999999</v>
          </cell>
          <cell r="Z1412">
            <v>2029752.3859999999</v>
          </cell>
          <cell r="AA1412">
            <v>2059371.399</v>
          </cell>
          <cell r="AB1412">
            <v>2087430.6470000001</v>
          </cell>
          <cell r="AC1412">
            <v>2113983.2370000002</v>
          </cell>
          <cell r="AD1412">
            <v>2139222.6740000001</v>
          </cell>
          <cell r="AE1412">
            <v>2158650.14</v>
          </cell>
          <cell r="AF1412">
            <v>2179585.2289999998</v>
          </cell>
          <cell r="AG1412">
            <v>2200667.3640000001</v>
          </cell>
          <cell r="AH1412">
            <v>2220941.1869999999</v>
          </cell>
          <cell r="AI1412">
            <v>2240558.8289999999</v>
          </cell>
          <cell r="AJ1412">
            <v>2259752.0040000002</v>
          </cell>
          <cell r="AK1412">
            <v>2278554.253</v>
          </cell>
          <cell r="AL1412">
            <v>2297613.3969999999</v>
          </cell>
          <cell r="AM1412">
            <v>2316156.9750000001</v>
          </cell>
          <cell r="AN1412">
            <v>2334375.8810000001</v>
          </cell>
          <cell r="AO1412">
            <v>2351937.75</v>
          </cell>
        </row>
        <row r="1413">
          <cell r="C1413" t="str">
            <v>Recettes publiques</v>
          </cell>
          <cell r="E1413" t="str">
            <v>INC_G_VAL_2</v>
          </cell>
          <cell r="F1413">
            <v>1010830.99</v>
          </cell>
          <cell r="G1413">
            <v>1046666.798</v>
          </cell>
          <cell r="H1413">
            <v>1089393.267</v>
          </cell>
          <cell r="I1413">
            <v>1138816.0449999999</v>
          </cell>
          <cell r="J1413">
            <v>1191640.477</v>
          </cell>
          <cell r="K1413">
            <v>1245408.497</v>
          </cell>
          <cell r="L1413">
            <v>1303837.3759999999</v>
          </cell>
          <cell r="M1413">
            <v>1366121.4350000001</v>
          </cell>
          <cell r="N1413">
            <v>1434002.4350000001</v>
          </cell>
          <cell r="O1413">
            <v>1508949.3060000001</v>
          </cell>
          <cell r="P1413">
            <v>1592703.429</v>
          </cell>
          <cell r="Q1413">
            <v>1679598.0859999999</v>
          </cell>
          <cell r="R1413">
            <v>1767779.9450000001</v>
          </cell>
          <cell r="S1413">
            <v>1855625.912</v>
          </cell>
          <cell r="T1413">
            <v>1941928.621</v>
          </cell>
          <cell r="U1413">
            <v>2029129.0449999999</v>
          </cell>
          <cell r="V1413">
            <v>2109506.8769999999</v>
          </cell>
          <cell r="W1413">
            <v>2187415.3480000002</v>
          </cell>
          <cell r="X1413">
            <v>2262700.128</v>
          </cell>
          <cell r="Y1413">
            <v>2335543.4049999998</v>
          </cell>
          <cell r="Z1413">
            <v>2405454.6970000002</v>
          </cell>
          <cell r="AA1413">
            <v>2472767.8870000001</v>
          </cell>
          <cell r="AB1413">
            <v>2537467.2570000002</v>
          </cell>
          <cell r="AC1413">
            <v>2600050.44</v>
          </cell>
          <cell r="AD1413">
            <v>2661208.5980000002</v>
          </cell>
          <cell r="AE1413">
            <v>2726392.1030000001</v>
          </cell>
          <cell r="AF1413">
            <v>2789143.3029999998</v>
          </cell>
          <cell r="AG1413">
            <v>2855802.62</v>
          </cell>
          <cell r="AH1413">
            <v>2927008.9879999999</v>
          </cell>
          <cell r="AI1413">
            <v>3003527.4530000002</v>
          </cell>
          <cell r="AJ1413">
            <v>3085813.5780000002</v>
          </cell>
          <cell r="AK1413">
            <v>3173867.1749999998</v>
          </cell>
          <cell r="AL1413">
            <v>3267883.5350000001</v>
          </cell>
          <cell r="AM1413">
            <v>3367924.284</v>
          </cell>
          <cell r="AN1413">
            <v>3473917.32</v>
          </cell>
          <cell r="AO1413">
            <v>3595115.8220000002</v>
          </cell>
        </row>
        <row r="1414">
          <cell r="C1414" t="str">
            <v>Solde public</v>
          </cell>
          <cell r="E1414" t="str">
            <v>Bal_G_tot_VAL_2</v>
          </cell>
          <cell r="F1414">
            <v>-65251.174950000001</v>
          </cell>
          <cell r="G1414">
            <v>-64663.766380000001</v>
          </cell>
          <cell r="H1414">
            <v>-56477.334080000001</v>
          </cell>
          <cell r="I1414">
            <v>-49377.377809999998</v>
          </cell>
          <cell r="J1414">
            <v>-38862.89819</v>
          </cell>
          <cell r="K1414">
            <v>-17886.252499999999</v>
          </cell>
          <cell r="L1414">
            <v>9287.8242620000001</v>
          </cell>
          <cell r="M1414">
            <v>27424.035479999999</v>
          </cell>
          <cell r="N1414">
            <v>42818.792130000002</v>
          </cell>
          <cell r="O1414">
            <v>61538.926310000003</v>
          </cell>
          <cell r="P1414">
            <v>81984.256760000004</v>
          </cell>
          <cell r="Q1414">
            <v>107915.4406</v>
          </cell>
          <cell r="R1414">
            <v>143457.4209</v>
          </cell>
          <cell r="S1414">
            <v>178989.3082</v>
          </cell>
          <cell r="T1414">
            <v>213221.3921</v>
          </cell>
          <cell r="U1414">
            <v>249053.28</v>
          </cell>
          <cell r="V1414">
            <v>277820.71179999999</v>
          </cell>
          <cell r="W1414">
            <v>304360.47970000003</v>
          </cell>
          <cell r="X1414">
            <v>328724.74660000001</v>
          </cell>
          <cell r="Y1414">
            <v>351427.77750000003</v>
          </cell>
          <cell r="Z1414">
            <v>373404.09970000002</v>
          </cell>
          <cell r="AA1414">
            <v>392428.07140000002</v>
          </cell>
          <cell r="AB1414">
            <v>409446.79019999999</v>
          </cell>
          <cell r="AC1414">
            <v>425005.04340000002</v>
          </cell>
          <cell r="AD1414">
            <v>439673.5123</v>
          </cell>
          <cell r="AE1414">
            <v>463445.87560000003</v>
          </cell>
          <cell r="AF1414">
            <v>482089.69329999998</v>
          </cell>
          <cell r="AG1414">
            <v>503562.39049999998</v>
          </cell>
          <cell r="AH1414">
            <v>529316.81519999995</v>
          </cell>
          <cell r="AI1414">
            <v>559751.79729999998</v>
          </cell>
          <cell r="AJ1414">
            <v>594857.15800000005</v>
          </cell>
          <cell r="AK1414">
            <v>634365.64720000001</v>
          </cell>
          <cell r="AL1414">
            <v>677604.58140000002</v>
          </cell>
          <cell r="AM1414">
            <v>725221.52390000003</v>
          </cell>
          <cell r="AN1414">
            <v>776734.57739999995</v>
          </cell>
          <cell r="AO1414">
            <v>841534.48149999999</v>
          </cell>
        </row>
        <row r="1415">
          <cell r="C1415" t="str">
            <v>Dette publique</v>
          </cell>
          <cell r="E1415" t="str">
            <v>DEBT_G_VAL_2</v>
          </cell>
          <cell r="F1415">
            <v>2104792.5279999999</v>
          </cell>
          <cell r="G1415">
            <v>2169456.2949999999</v>
          </cell>
          <cell r="H1415">
            <v>2225933.6290000002</v>
          </cell>
          <cell r="I1415">
            <v>2275311.0070000002</v>
          </cell>
          <cell r="J1415">
            <v>2314173.9049999998</v>
          </cell>
          <cell r="K1415">
            <v>2332060.1570000001</v>
          </cell>
          <cell r="L1415">
            <v>2322772.3330000001</v>
          </cell>
          <cell r="M1415">
            <v>2295348.298</v>
          </cell>
          <cell r="N1415">
            <v>2252529.5049999999</v>
          </cell>
          <cell r="O1415">
            <v>2190990.5789999999</v>
          </cell>
          <cell r="P1415">
            <v>2109006.3220000002</v>
          </cell>
          <cell r="Q1415">
            <v>2001090.882</v>
          </cell>
          <cell r="R1415">
            <v>1857633.4609999999</v>
          </cell>
          <cell r="S1415">
            <v>1678644.1529999999</v>
          </cell>
          <cell r="T1415">
            <v>1465422.7609999999</v>
          </cell>
          <cell r="U1415">
            <v>1216369.4809999999</v>
          </cell>
          <cell r="V1415">
            <v>938548.76879999996</v>
          </cell>
          <cell r="W1415">
            <v>634188.28910000005</v>
          </cell>
          <cell r="X1415">
            <v>305463.54249999998</v>
          </cell>
          <cell r="Y1415">
            <v>-45964.23504</v>
          </cell>
          <cell r="Z1415">
            <v>-419368.33470000001</v>
          </cell>
          <cell r="AA1415">
            <v>-811796.40610000002</v>
          </cell>
          <cell r="AB1415">
            <v>-1221243.196</v>
          </cell>
          <cell r="AC1415">
            <v>-1646248.24</v>
          </cell>
          <cell r="AD1415">
            <v>-2085921.7520000001</v>
          </cell>
          <cell r="AE1415">
            <v>-2549367.628</v>
          </cell>
          <cell r="AF1415">
            <v>-3031457.321</v>
          </cell>
          <cell r="AG1415">
            <v>-3535019.7110000001</v>
          </cell>
          <cell r="AH1415">
            <v>-4064336.5269999998</v>
          </cell>
          <cell r="AI1415">
            <v>-4624088.324</v>
          </cell>
          <cell r="AJ1415">
            <v>-5218945.4819999998</v>
          </cell>
          <cell r="AK1415">
            <v>-5853311.1289999997</v>
          </cell>
          <cell r="AL1415">
            <v>-6530915.71</v>
          </cell>
          <cell r="AM1415">
            <v>-7256137.2340000002</v>
          </cell>
          <cell r="AN1415">
            <v>-8032871.8119999999</v>
          </cell>
          <cell r="AO1415">
            <v>-8874406.2929999996</v>
          </cell>
        </row>
        <row r="1512">
          <cell r="F1512">
            <v>1966005.571</v>
          </cell>
          <cell r="G1512">
            <v>2002403.781</v>
          </cell>
          <cell r="H1512">
            <v>2040828.6629999999</v>
          </cell>
          <cell r="I1512">
            <v>2081939.2819999999</v>
          </cell>
          <cell r="J1512">
            <v>2127470.0070000002</v>
          </cell>
          <cell r="K1512">
            <v>2179614.889</v>
          </cell>
          <cell r="L1512">
            <v>2228074.7710000002</v>
          </cell>
          <cell r="M1512">
            <v>2276656.2230000002</v>
          </cell>
          <cell r="N1512">
            <v>2326936.1639999999</v>
          </cell>
          <cell r="O1512">
            <v>2378506.2910000002</v>
          </cell>
          <cell r="P1512">
            <v>2431235.3149999999</v>
          </cell>
          <cell r="Q1512">
            <v>2482762.594</v>
          </cell>
          <cell r="R1512">
            <v>2533761.8620000002</v>
          </cell>
          <cell r="S1512">
            <v>2584084.11</v>
          </cell>
          <cell r="T1512">
            <v>2633542.696</v>
          </cell>
          <cell r="U1512">
            <v>2687882.969</v>
          </cell>
          <cell r="V1512">
            <v>2730360.5669999998</v>
          </cell>
          <cell r="W1512">
            <v>2776896.2289999998</v>
          </cell>
          <cell r="X1512">
            <v>2822767.6910000001</v>
          </cell>
          <cell r="Y1512">
            <v>2868416.0290000001</v>
          </cell>
          <cell r="Z1512">
            <v>2913868.58</v>
          </cell>
          <cell r="AA1512">
            <v>2959879.5430000001</v>
          </cell>
          <cell r="AB1512">
            <v>3006696.2650000001</v>
          </cell>
          <cell r="AC1512">
            <v>3054528.0449999999</v>
          </cell>
          <cell r="AD1512">
            <v>3103593.9040000001</v>
          </cell>
          <cell r="AE1512">
            <v>3161250.82</v>
          </cell>
          <cell r="AF1512">
            <v>3213356.2859999998</v>
          </cell>
          <cell r="AG1512">
            <v>3273653.5580000002</v>
          </cell>
          <cell r="AH1512">
            <v>3335650.7680000002</v>
          </cell>
          <cell r="AI1512">
            <v>3399480.165</v>
          </cell>
          <cell r="AJ1512">
            <v>3465023.4130000002</v>
          </cell>
          <cell r="AK1512">
            <v>3531937.3739999998</v>
          </cell>
          <cell r="AL1512">
            <v>3599942.4929999998</v>
          </cell>
          <cell r="AM1512">
            <v>3668784.9679999999</v>
          </cell>
          <cell r="AN1512">
            <v>3738205.4180000001</v>
          </cell>
          <cell r="AO1512">
            <v>3820699.7340000002</v>
          </cell>
        </row>
        <row r="1513">
          <cell r="F1513">
            <v>36094.496930000001</v>
          </cell>
          <cell r="G1513">
            <v>36615.237090000002</v>
          </cell>
          <cell r="H1513">
            <v>37201.561809999999</v>
          </cell>
          <cell r="I1513">
            <v>37866.921820000003</v>
          </cell>
          <cell r="J1513">
            <v>38652.58051</v>
          </cell>
          <cell r="K1513">
            <v>39577.497159999999</v>
          </cell>
          <cell r="L1513">
            <v>40320.246950000001</v>
          </cell>
          <cell r="M1513">
            <v>41086.380749999997</v>
          </cell>
          <cell r="N1513">
            <v>41871.185160000001</v>
          </cell>
          <cell r="O1513">
            <v>42682.835180000002</v>
          </cell>
          <cell r="P1513">
            <v>43537.199480000003</v>
          </cell>
          <cell r="Q1513">
            <v>44391.127979999997</v>
          </cell>
          <cell r="R1513">
            <v>45250.644379999998</v>
          </cell>
          <cell r="S1513">
            <v>46108.337509999998</v>
          </cell>
          <cell r="T1513">
            <v>46954.419650000003</v>
          </cell>
          <cell r="U1513">
            <v>47823.818650000001</v>
          </cell>
          <cell r="V1513">
            <v>48647.884180000001</v>
          </cell>
          <cell r="W1513">
            <v>49463.739320000001</v>
          </cell>
          <cell r="X1513">
            <v>50266.417540000002</v>
          </cell>
          <cell r="Y1513">
            <v>51058.444320000002</v>
          </cell>
          <cell r="Z1513">
            <v>51838.072719999996</v>
          </cell>
          <cell r="AA1513">
            <v>52622.067309999999</v>
          </cell>
          <cell r="AB1513">
            <v>53417.645759999999</v>
          </cell>
          <cell r="AC1513">
            <v>54231.314489999997</v>
          </cell>
          <cell r="AD1513">
            <v>55069.461869999999</v>
          </cell>
          <cell r="AE1513">
            <v>55976.631240000002</v>
          </cell>
          <cell r="AF1513">
            <v>56890.415090000002</v>
          </cell>
          <cell r="AG1513">
            <v>57796.54492</v>
          </cell>
          <cell r="AH1513">
            <v>58732.94644</v>
          </cell>
          <cell r="AI1513">
            <v>59709.095209999999</v>
          </cell>
          <cell r="AJ1513">
            <v>60724.064019999998</v>
          </cell>
          <cell r="AK1513">
            <v>61769.710319999998</v>
          </cell>
          <cell r="AL1513">
            <v>62841.273739999997</v>
          </cell>
          <cell r="AM1513">
            <v>63933.700599999996</v>
          </cell>
          <cell r="AN1513">
            <v>65042.218439999997</v>
          </cell>
          <cell r="AO1513">
            <v>66235.187359999996</v>
          </cell>
        </row>
        <row r="1516">
          <cell r="F1516">
            <v>331641.99930000002</v>
          </cell>
          <cell r="G1516">
            <v>339855.08880000003</v>
          </cell>
          <cell r="H1516">
            <v>348106.91629999998</v>
          </cell>
          <cell r="I1516">
            <v>356682.55310000002</v>
          </cell>
          <cell r="J1516">
            <v>366017.79019999999</v>
          </cell>
          <cell r="K1516">
            <v>376612.58159999998</v>
          </cell>
          <cell r="L1516">
            <v>386177.49969999999</v>
          </cell>
          <cell r="M1516">
            <v>395950.21120000002</v>
          </cell>
          <cell r="N1516">
            <v>406317.90010000003</v>
          </cell>
          <cell r="O1516">
            <v>416915.48019999999</v>
          </cell>
          <cell r="P1516">
            <v>427521.29800000001</v>
          </cell>
          <cell r="Q1516">
            <v>437983.87190000003</v>
          </cell>
          <cell r="R1516">
            <v>448391.87689999997</v>
          </cell>
          <cell r="S1516">
            <v>458778.33130000002</v>
          </cell>
          <cell r="T1516">
            <v>469183.79609999998</v>
          </cell>
          <cell r="U1516">
            <v>481876.29139999999</v>
          </cell>
          <cell r="V1516">
            <v>490006.29979999998</v>
          </cell>
          <cell r="W1516">
            <v>500851.28</v>
          </cell>
          <cell r="X1516">
            <v>511657.03279999999</v>
          </cell>
          <cell r="Y1516">
            <v>522683.54680000001</v>
          </cell>
          <cell r="Z1516">
            <v>533965.7537</v>
          </cell>
          <cell r="AA1516">
            <v>545675.67429999996</v>
          </cell>
          <cell r="AB1516">
            <v>557825.8567</v>
          </cell>
          <cell r="AC1516">
            <v>570449.86250000005</v>
          </cell>
          <cell r="AD1516">
            <v>583595.18370000005</v>
          </cell>
          <cell r="AE1516">
            <v>600430.86880000005</v>
          </cell>
          <cell r="AF1516">
            <v>612456.13879999996</v>
          </cell>
          <cell r="AG1516">
            <v>628247.34349999996</v>
          </cell>
          <cell r="AH1516">
            <v>643952.98840000003</v>
          </cell>
          <cell r="AI1516">
            <v>659889.58389999997</v>
          </cell>
          <cell r="AJ1516">
            <v>676052.30359999998</v>
          </cell>
          <cell r="AK1516">
            <v>692375.39399999997</v>
          </cell>
          <cell r="AL1516">
            <v>708767.14199999999</v>
          </cell>
          <cell r="AM1516">
            <v>725154.81140000001</v>
          </cell>
          <cell r="AN1516">
            <v>741463.85</v>
          </cell>
          <cell r="AO1516">
            <v>763039.95510000002</v>
          </cell>
        </row>
        <row r="1528">
          <cell r="F1528">
            <v>48471.471210000003</v>
          </cell>
          <cell r="G1528">
            <v>49515.247600000002</v>
          </cell>
          <cell r="H1528">
            <v>50532.569969999997</v>
          </cell>
          <cell r="I1528">
            <v>51570.043230000003</v>
          </cell>
          <cell r="J1528">
            <v>52722.10024</v>
          </cell>
          <cell r="K1528">
            <v>54074.71097</v>
          </cell>
          <cell r="L1528">
            <v>55332.918870000001</v>
          </cell>
          <cell r="M1528">
            <v>56557.021659999999</v>
          </cell>
          <cell r="N1528">
            <v>57834.493540000003</v>
          </cell>
          <cell r="O1528">
            <v>59051.103909999998</v>
          </cell>
          <cell r="P1528">
            <v>60128.935089999999</v>
          </cell>
          <cell r="Q1528">
            <v>61149.259279999998</v>
          </cell>
          <cell r="R1528">
            <v>62154.979789999998</v>
          </cell>
          <cell r="S1528">
            <v>63145.365299999998</v>
          </cell>
          <cell r="T1528">
            <v>64116.566400000003</v>
          </cell>
          <cell r="U1528">
            <v>65180.616269999999</v>
          </cell>
          <cell r="V1528">
            <v>66028.841190000006</v>
          </cell>
          <cell r="W1528">
            <v>66916.457269999999</v>
          </cell>
          <cell r="X1528">
            <v>67797.733420000004</v>
          </cell>
          <cell r="Y1528">
            <v>68686.183139999994</v>
          </cell>
          <cell r="Z1528">
            <v>69586.28658</v>
          </cell>
          <cell r="AA1528">
            <v>70540.227870000002</v>
          </cell>
          <cell r="AB1528">
            <v>71551.580260000002</v>
          </cell>
          <cell r="AC1528">
            <v>72624.890350000001</v>
          </cell>
          <cell r="AD1528">
            <v>73767.409230000005</v>
          </cell>
          <cell r="AE1528">
            <v>75124.590219999998</v>
          </cell>
          <cell r="AF1528">
            <v>76390.04247</v>
          </cell>
          <cell r="AG1528">
            <v>77842.930300000007</v>
          </cell>
          <cell r="AH1528">
            <v>79405.785780000006</v>
          </cell>
          <cell r="AI1528">
            <v>81063.427330000006</v>
          </cell>
          <cell r="AJ1528">
            <v>82804.232090000005</v>
          </cell>
          <cell r="AK1528">
            <v>84618.598740000001</v>
          </cell>
          <cell r="AL1528">
            <v>86491.598840000006</v>
          </cell>
          <cell r="AM1528">
            <v>88411.362890000004</v>
          </cell>
          <cell r="AN1528">
            <v>90363.746660000004</v>
          </cell>
          <cell r="AO1528">
            <v>92639.712849999996</v>
          </cell>
        </row>
        <row r="1533">
          <cell r="F1533">
            <v>1511280.4539999999</v>
          </cell>
          <cell r="G1533">
            <v>1537557.719</v>
          </cell>
          <cell r="H1533">
            <v>1565951.0379999999</v>
          </cell>
          <cell r="I1533">
            <v>1596507.7890000001</v>
          </cell>
          <cell r="J1533">
            <v>1630360.827</v>
          </cell>
          <cell r="K1533">
            <v>1669086.061</v>
          </cell>
          <cell r="L1533">
            <v>1706031.682</v>
          </cell>
          <cell r="M1533">
            <v>1743037.382</v>
          </cell>
          <cell r="N1533">
            <v>1781149.328</v>
          </cell>
          <cell r="O1533">
            <v>1820485.513</v>
          </cell>
          <cell r="P1533">
            <v>1861216.2350000001</v>
          </cell>
          <cell r="Q1533">
            <v>1900942.5519999999</v>
          </cell>
          <cell r="R1533">
            <v>1940244.665</v>
          </cell>
          <cell r="S1533">
            <v>1978988.3459999999</v>
          </cell>
          <cell r="T1533">
            <v>2016977.27</v>
          </cell>
          <cell r="U1533">
            <v>2057123.6029999999</v>
          </cell>
          <cell r="V1533">
            <v>2091231.692</v>
          </cell>
          <cell r="W1533">
            <v>2126265.7089999998</v>
          </cell>
          <cell r="X1533">
            <v>2160829.3760000002</v>
          </cell>
          <cell r="Y1533">
            <v>2195109.4980000001</v>
          </cell>
          <cell r="Z1533">
            <v>2229108.5970000001</v>
          </cell>
          <cell r="AA1533">
            <v>2263328.1660000002</v>
          </cell>
          <cell r="AB1533">
            <v>2298005.8250000002</v>
          </cell>
          <cell r="AC1533">
            <v>2333345.1850000001</v>
          </cell>
          <cell r="AD1533">
            <v>2369552.3569999998</v>
          </cell>
          <cell r="AE1533">
            <v>2410364.9530000002</v>
          </cell>
          <cell r="AF1533">
            <v>2449014.7880000002</v>
          </cell>
          <cell r="AG1533">
            <v>2491144.909</v>
          </cell>
          <cell r="AH1533">
            <v>2534780.6779999998</v>
          </cell>
          <cell r="AI1533">
            <v>2579930.7009999999</v>
          </cell>
          <cell r="AJ1533">
            <v>2626533.8199999998</v>
          </cell>
          <cell r="AK1533">
            <v>2674325.2769999998</v>
          </cell>
          <cell r="AL1533">
            <v>2723116.4819999998</v>
          </cell>
          <cell r="AM1533">
            <v>2772728.4810000001</v>
          </cell>
          <cell r="AN1533">
            <v>2822982.2450000001</v>
          </cell>
          <cell r="AO1533">
            <v>2880587.8849999998</v>
          </cell>
        </row>
        <row r="1537">
          <cell r="F1537">
            <v>-2124.5391890000001</v>
          </cell>
          <cell r="G1537">
            <v>-2147.0412289999999</v>
          </cell>
          <cell r="H1537">
            <v>-2166.7305150000002</v>
          </cell>
          <cell r="I1537">
            <v>-2156.9128289999999</v>
          </cell>
          <cell r="J1537">
            <v>-2140.075124</v>
          </cell>
          <cell r="K1537">
            <v>-2139.8458919999998</v>
          </cell>
          <cell r="L1537">
            <v>-2139.0040600000002</v>
          </cell>
          <cell r="M1537">
            <v>-2159.1004240000002</v>
          </cell>
          <cell r="N1537">
            <v>-2185.4295510000002</v>
          </cell>
          <cell r="O1537">
            <v>-2217.9799990000001</v>
          </cell>
          <cell r="P1537">
            <v>-2258.6475679999999</v>
          </cell>
          <cell r="Q1537">
            <v>-2296.5146589999999</v>
          </cell>
          <cell r="R1537">
            <v>-2352.2927690000001</v>
          </cell>
          <cell r="S1537">
            <v>-2428.494197</v>
          </cell>
          <cell r="T1537">
            <v>-2526.4289210000002</v>
          </cell>
          <cell r="U1537">
            <v>-2650.1286490000002</v>
          </cell>
          <cell r="V1537">
            <v>-2811.715271</v>
          </cell>
          <cell r="W1537">
            <v>-2957.8626589999999</v>
          </cell>
          <cell r="X1537">
            <v>-3086.6046249999999</v>
          </cell>
          <cell r="Y1537">
            <v>-3184.200503</v>
          </cell>
          <cell r="Z1537">
            <v>-3221.812809</v>
          </cell>
          <cell r="AA1537">
            <v>-3237.3605809999999</v>
          </cell>
          <cell r="AB1537">
            <v>-3234.1816349999999</v>
          </cell>
          <cell r="AC1537">
            <v>-3213.9957989999998</v>
          </cell>
          <cell r="AD1537">
            <v>-3179.3751569999999</v>
          </cell>
          <cell r="AE1537">
            <v>-3132.691112</v>
          </cell>
          <cell r="AF1537">
            <v>-3080.9296680000002</v>
          </cell>
          <cell r="AG1537">
            <v>-3027.5480889999999</v>
          </cell>
          <cell r="AH1537">
            <v>-2969.8597960000002</v>
          </cell>
          <cell r="AI1537">
            <v>-2909.5339469999999</v>
          </cell>
          <cell r="AJ1537">
            <v>-2847.7278209999999</v>
          </cell>
          <cell r="AK1537">
            <v>-2786.332531</v>
          </cell>
          <cell r="AL1537">
            <v>-2726.3279600000001</v>
          </cell>
          <cell r="AM1537">
            <v>-2668.613229</v>
          </cell>
          <cell r="AN1537">
            <v>-2614.0000580000001</v>
          </cell>
          <cell r="AO1537">
            <v>-2562.72003</v>
          </cell>
        </row>
        <row r="1541">
          <cell r="F1541">
            <v>40550.824460000003</v>
          </cell>
          <cell r="G1541">
            <v>40914.507400000002</v>
          </cell>
          <cell r="H1541">
            <v>41110.52968</v>
          </cell>
          <cell r="I1541">
            <v>41374.521849999997</v>
          </cell>
          <cell r="J1541">
            <v>41753.185530000002</v>
          </cell>
          <cell r="K1541">
            <v>42289.340640000002</v>
          </cell>
          <cell r="L1541">
            <v>42219.76801</v>
          </cell>
          <cell r="M1541">
            <v>42034.354330000002</v>
          </cell>
          <cell r="N1541">
            <v>41779.780100000004</v>
          </cell>
          <cell r="O1541">
            <v>41401.399640000003</v>
          </cell>
          <cell r="P1541">
            <v>40852.383150000001</v>
          </cell>
          <cell r="Q1541">
            <v>40310.89071</v>
          </cell>
          <cell r="R1541">
            <v>39745.70594</v>
          </cell>
          <cell r="S1541">
            <v>39118.422440000002</v>
          </cell>
          <cell r="T1541">
            <v>38412.899830000002</v>
          </cell>
          <cell r="U1541">
            <v>38047.590479999999</v>
          </cell>
          <cell r="V1541">
            <v>36650.765200000002</v>
          </cell>
          <cell r="W1541">
            <v>35607.771659999999</v>
          </cell>
          <cell r="X1541">
            <v>34412.64314</v>
          </cell>
          <cell r="Y1541">
            <v>33081.813670000003</v>
          </cell>
          <cell r="Z1541">
            <v>31607.136920000001</v>
          </cell>
          <cell r="AA1541">
            <v>29990.749510000001</v>
          </cell>
          <cell r="AB1541">
            <v>28219.95664</v>
          </cell>
          <cell r="AC1541">
            <v>26263.099719999998</v>
          </cell>
          <cell r="AD1541">
            <v>24080.878430000001</v>
          </cell>
          <cell r="AE1541">
            <v>21930.707780000001</v>
          </cell>
          <cell r="AF1541">
            <v>21374.375019999999</v>
          </cell>
          <cell r="AG1541">
            <v>21654.04723</v>
          </cell>
          <cell r="AH1541">
            <v>22129.41836</v>
          </cell>
          <cell r="AI1541">
            <v>22608.971710000002</v>
          </cell>
          <cell r="AJ1541">
            <v>23047.858929999999</v>
          </cell>
          <cell r="AK1541">
            <v>23444.58165</v>
          </cell>
          <cell r="AL1541">
            <v>23811.338479999999</v>
          </cell>
          <cell r="AM1541">
            <v>24153.562150000002</v>
          </cell>
          <cell r="AN1541">
            <v>24474.64933</v>
          </cell>
          <cell r="AO1541">
            <v>24842.691449999998</v>
          </cell>
        </row>
        <row r="1551">
          <cell r="F1551">
            <v>1966005.5719999999</v>
          </cell>
          <cell r="G1551">
            <v>2002403.781</v>
          </cell>
          <cell r="H1551">
            <v>2040828.6629999999</v>
          </cell>
          <cell r="I1551">
            <v>2081939.2819999999</v>
          </cell>
          <cell r="J1551">
            <v>2127470.0070000002</v>
          </cell>
          <cell r="K1551">
            <v>2179614.889</v>
          </cell>
          <cell r="L1551">
            <v>2233122.0869999998</v>
          </cell>
          <cell r="M1551">
            <v>2288161.219</v>
          </cell>
          <cell r="N1551">
            <v>2344651.4010000001</v>
          </cell>
          <cell r="O1551">
            <v>2400322.1060000001</v>
          </cell>
          <cell r="P1551">
            <v>2452862.0550000002</v>
          </cell>
          <cell r="Q1551">
            <v>2501913.2069999999</v>
          </cell>
          <cell r="R1551">
            <v>2547640.6710000001</v>
          </cell>
          <cell r="S1551">
            <v>2590508.3169999998</v>
          </cell>
          <cell r="T1551">
            <v>2631212.9589999998</v>
          </cell>
          <cell r="U1551">
            <v>2670577.3879999998</v>
          </cell>
          <cell r="V1551">
            <v>2709352.284</v>
          </cell>
          <cell r="W1551">
            <v>2748275.2089999998</v>
          </cell>
          <cell r="X1551">
            <v>2788031.3139999998</v>
          </cell>
          <cell r="Y1551">
            <v>2829150.645</v>
          </cell>
          <cell r="Z1551">
            <v>2871720.9810000001</v>
          </cell>
          <cell r="AA1551">
            <v>2916570.193</v>
          </cell>
          <cell r="AB1551">
            <v>2963947.3369999998</v>
          </cell>
          <cell r="AC1551">
            <v>3014065.2039999999</v>
          </cell>
          <cell r="AD1551">
            <v>3067034.5380000002</v>
          </cell>
          <cell r="AE1551">
            <v>3121943.59</v>
          </cell>
          <cell r="AF1551">
            <v>3180205.8160000001</v>
          </cell>
          <cell r="AG1551">
            <v>3241129.36</v>
          </cell>
          <cell r="AH1551">
            <v>3304594.4640000002</v>
          </cell>
          <cell r="AI1551">
            <v>3370456.9419999998</v>
          </cell>
          <cell r="AJ1551">
            <v>3438426.4210000001</v>
          </cell>
          <cell r="AK1551">
            <v>3508138.2340000002</v>
          </cell>
          <cell r="AL1551">
            <v>3579199.1519999998</v>
          </cell>
          <cell r="AM1551">
            <v>3651193.051</v>
          </cell>
          <cell r="AN1551">
            <v>3723690.4109999998</v>
          </cell>
          <cell r="AO1551">
            <v>3796251.8139999998</v>
          </cell>
        </row>
        <row r="1552">
          <cell r="F1552">
            <v>36094.496930000001</v>
          </cell>
          <cell r="G1552">
            <v>36615.237090000002</v>
          </cell>
          <cell r="H1552">
            <v>37201.561809999999</v>
          </cell>
          <cell r="I1552">
            <v>37866.921820000003</v>
          </cell>
          <cell r="J1552">
            <v>38652.580499999996</v>
          </cell>
          <cell r="K1552">
            <v>39577.497159999999</v>
          </cell>
          <cell r="L1552">
            <v>40578.275130000002</v>
          </cell>
          <cell r="M1552">
            <v>41627.887280000003</v>
          </cell>
          <cell r="N1552">
            <v>42715.381150000001</v>
          </cell>
          <cell r="O1552">
            <v>43782.476860000002</v>
          </cell>
          <cell r="P1552">
            <v>44776.697209999998</v>
          </cell>
          <cell r="Q1552">
            <v>45684.501810000002</v>
          </cell>
          <cell r="R1552">
            <v>46513.991470000001</v>
          </cell>
          <cell r="S1552">
            <v>47278.570110000001</v>
          </cell>
          <cell r="T1552">
            <v>47994.758750000001</v>
          </cell>
          <cell r="U1552">
            <v>48681.64935</v>
          </cell>
          <cell r="V1552">
            <v>49373.826529999998</v>
          </cell>
          <cell r="W1552">
            <v>50073.764770000002</v>
          </cell>
          <cell r="X1552">
            <v>50795.029499999997</v>
          </cell>
          <cell r="Y1552">
            <v>51549.358919999999</v>
          </cell>
          <cell r="Z1552">
            <v>52337.402690000003</v>
          </cell>
          <cell r="AA1552">
            <v>53181.898150000001</v>
          </cell>
          <cell r="AB1552">
            <v>54088.506509999999</v>
          </cell>
          <cell r="AC1552">
            <v>55063.185140000001</v>
          </cell>
          <cell r="AD1552">
            <v>56110.28615</v>
          </cell>
          <cell r="AE1552">
            <v>57207.095710000001</v>
          </cell>
          <cell r="AF1552">
            <v>58246.828459999997</v>
          </cell>
          <cell r="AG1552">
            <v>59314.95033</v>
          </cell>
          <cell r="AH1552">
            <v>60440.566590000002</v>
          </cell>
          <cell r="AI1552">
            <v>61627.270799999998</v>
          </cell>
          <cell r="AJ1552">
            <v>62868.35828</v>
          </cell>
          <cell r="AK1552">
            <v>64154.170389999999</v>
          </cell>
          <cell r="AL1552">
            <v>65474.509039999997</v>
          </cell>
          <cell r="AM1552">
            <v>66818.943469999998</v>
          </cell>
          <cell r="AN1552">
            <v>68176.995219999997</v>
          </cell>
          <cell r="AO1552">
            <v>69538.165340000007</v>
          </cell>
        </row>
        <row r="1555">
          <cell r="F1555">
            <v>331641.99930000002</v>
          </cell>
          <cell r="G1555">
            <v>339855.08880000003</v>
          </cell>
          <cell r="H1555">
            <v>348106.91629999998</v>
          </cell>
          <cell r="I1555">
            <v>356682.55300000001</v>
          </cell>
          <cell r="J1555">
            <v>366017.79019999999</v>
          </cell>
          <cell r="K1555">
            <v>376612.58149999997</v>
          </cell>
          <cell r="L1555">
            <v>387625.90470000001</v>
          </cell>
          <cell r="M1555">
            <v>399071.3615</v>
          </cell>
          <cell r="N1555">
            <v>410941.23749999999</v>
          </cell>
          <cell r="O1555">
            <v>422588.91409999999</v>
          </cell>
          <cell r="P1555">
            <v>433413.10960000003</v>
          </cell>
          <cell r="Q1555">
            <v>443550.6974</v>
          </cell>
          <cell r="R1555">
            <v>453136.67979999998</v>
          </cell>
          <cell r="S1555">
            <v>462345.45140000002</v>
          </cell>
          <cell r="T1555">
            <v>471373.89069999999</v>
          </cell>
          <cell r="U1555">
            <v>480418.70970000001</v>
          </cell>
          <cell r="V1555">
            <v>489639.5013</v>
          </cell>
          <cell r="W1555">
            <v>499170.30369999999</v>
          </cell>
          <cell r="X1555">
            <v>509133.27149999997</v>
          </cell>
          <cell r="Y1555">
            <v>519613.71429999999</v>
          </cell>
          <cell r="Z1555">
            <v>530630.48899999994</v>
          </cell>
          <cell r="AA1555">
            <v>542301.75190000003</v>
          </cell>
          <cell r="AB1555">
            <v>554673.89159999997</v>
          </cell>
          <cell r="AC1555">
            <v>567783.66899999999</v>
          </cell>
          <cell r="AD1555">
            <v>581646.25280000002</v>
          </cell>
          <cell r="AE1555">
            <v>596129.17290000001</v>
          </cell>
          <cell r="AF1555">
            <v>610802.52960000001</v>
          </cell>
          <cell r="AG1555">
            <v>625744.0834</v>
          </cell>
          <cell r="AH1555">
            <v>641048.88049999997</v>
          </cell>
          <cell r="AI1555">
            <v>656707.93469999998</v>
          </cell>
          <cell r="AJ1555">
            <v>672651.96470000001</v>
          </cell>
          <cell r="AK1555">
            <v>688796.60279999999</v>
          </cell>
          <cell r="AL1555">
            <v>705057.4094</v>
          </cell>
          <cell r="AM1555">
            <v>721349.10759999999</v>
          </cell>
          <cell r="AN1555">
            <v>737586.97169999999</v>
          </cell>
          <cell r="AO1555">
            <v>753686.554</v>
          </cell>
        </row>
        <row r="1567">
          <cell r="F1567">
            <v>48471.471210000003</v>
          </cell>
          <cell r="G1567">
            <v>49515.247589999999</v>
          </cell>
          <cell r="H1567">
            <v>50532.569969999997</v>
          </cell>
          <cell r="I1567">
            <v>51570.04322</v>
          </cell>
          <cell r="J1567">
            <v>52722.100229999996</v>
          </cell>
          <cell r="K1567">
            <v>54074.71097</v>
          </cell>
          <cell r="L1567">
            <v>55471.255740000001</v>
          </cell>
          <cell r="M1567">
            <v>56911.178540000001</v>
          </cell>
          <cell r="N1567">
            <v>58390.567340000001</v>
          </cell>
          <cell r="O1567">
            <v>59820.414779999999</v>
          </cell>
          <cell r="P1567">
            <v>61117.265070000001</v>
          </cell>
          <cell r="Q1567">
            <v>62291.218990000001</v>
          </cell>
          <cell r="R1567">
            <v>63357.585400000004</v>
          </cell>
          <cell r="S1567">
            <v>64336.975270000003</v>
          </cell>
          <cell r="T1567">
            <v>65255.285969999997</v>
          </cell>
          <cell r="U1567">
            <v>66140.684689999995</v>
          </cell>
          <cell r="V1567">
            <v>67017.033379999993</v>
          </cell>
          <cell r="W1567">
            <v>67905.82548</v>
          </cell>
          <cell r="X1567">
            <v>68827.159239999994</v>
          </cell>
          <cell r="Y1567">
            <v>69796.157300000006</v>
          </cell>
          <cell r="Z1567">
            <v>70817.284239999994</v>
          </cell>
          <cell r="AA1567">
            <v>71912.72193</v>
          </cell>
          <cell r="AB1567">
            <v>73090.213969999997</v>
          </cell>
          <cell r="AC1567">
            <v>74356.101939999993</v>
          </cell>
          <cell r="AD1567">
            <v>75713.812409999999</v>
          </cell>
          <cell r="AE1567">
            <v>77142.477610000002</v>
          </cell>
          <cell r="AF1567">
            <v>78638.533089999997</v>
          </cell>
          <cell r="AG1567">
            <v>80213.324269999997</v>
          </cell>
          <cell r="AH1567">
            <v>81873.150999999998</v>
          </cell>
          <cell r="AI1567">
            <v>83611.826560000001</v>
          </cell>
          <cell r="AJ1567">
            <v>85416.501999999993</v>
          </cell>
          <cell r="AK1567">
            <v>87273.062720000002</v>
          </cell>
          <cell r="AL1567">
            <v>89167.735539999994</v>
          </cell>
          <cell r="AM1567">
            <v>91086.813710000002</v>
          </cell>
          <cell r="AN1567">
            <v>93016.765620000006</v>
          </cell>
          <cell r="AO1567">
            <v>94944.217709999997</v>
          </cell>
        </row>
        <row r="1572">
          <cell r="F1572">
            <v>1511280.4539999999</v>
          </cell>
          <cell r="G1572">
            <v>1537557.719</v>
          </cell>
          <cell r="H1572">
            <v>1565951.0379999999</v>
          </cell>
          <cell r="I1572">
            <v>1596507.7890000001</v>
          </cell>
          <cell r="J1572">
            <v>1630360.827</v>
          </cell>
          <cell r="K1572">
            <v>1669086.061</v>
          </cell>
          <cell r="L1572">
            <v>1709145.47</v>
          </cell>
          <cell r="M1572">
            <v>1750367.4010000001</v>
          </cell>
          <cell r="N1572">
            <v>1792608.6259999999</v>
          </cell>
          <cell r="O1572">
            <v>1834427.307</v>
          </cell>
          <cell r="P1572">
            <v>1874296.6880000001</v>
          </cell>
          <cell r="Q1572">
            <v>1911485.8540000001</v>
          </cell>
          <cell r="R1572">
            <v>1946163.6950000001</v>
          </cell>
          <cell r="S1572">
            <v>1978645.882</v>
          </cell>
          <cell r="T1572">
            <v>2009393.503</v>
          </cell>
          <cell r="U1572">
            <v>2038975.9110000001</v>
          </cell>
          <cell r="V1572">
            <v>2067971.483</v>
          </cell>
          <cell r="W1572">
            <v>2096924.32</v>
          </cell>
          <cell r="X1572">
            <v>2126342.7949999999</v>
          </cell>
          <cell r="Y1572">
            <v>2156638.943</v>
          </cell>
          <cell r="Z1572">
            <v>2187887.5499999998</v>
          </cell>
          <cell r="AA1572">
            <v>2220754.6370000001</v>
          </cell>
          <cell r="AB1572">
            <v>2255454.1869999999</v>
          </cell>
          <cell r="AC1572">
            <v>2292180.9</v>
          </cell>
          <cell r="AD1572">
            <v>2331061.503</v>
          </cell>
          <cell r="AE1572">
            <v>2371424.4130000002</v>
          </cell>
          <cell r="AF1572">
            <v>2412927.804</v>
          </cell>
          <cell r="AG1572">
            <v>2455964.2239999999</v>
          </cell>
          <cell r="AH1572">
            <v>2500844.1159999999</v>
          </cell>
          <cell r="AI1572">
            <v>2547608.781</v>
          </cell>
          <cell r="AJ1572">
            <v>2596098.264</v>
          </cell>
          <cell r="AK1572">
            <v>2646059.7170000002</v>
          </cell>
          <cell r="AL1572">
            <v>2697203.7220000001</v>
          </cell>
          <cell r="AM1572">
            <v>2749219.34</v>
          </cell>
          <cell r="AN1572">
            <v>2801783.1690000002</v>
          </cell>
          <cell r="AO1572">
            <v>2854563.2319999998</v>
          </cell>
        </row>
        <row r="1575">
          <cell r="F1575">
            <v>-2033.6744040000001</v>
          </cell>
          <cell r="G1575">
            <v>-2054.0189930000001</v>
          </cell>
          <cell r="H1575">
            <v>-2073.9526219999998</v>
          </cell>
          <cell r="I1575">
            <v>-2062.54718</v>
          </cell>
          <cell r="J1575">
            <v>-2036.4762229999999</v>
          </cell>
          <cell r="K1575">
            <v>-2025.302432</v>
          </cell>
          <cell r="L1575">
            <v>-2003.7508399999999</v>
          </cell>
          <cell r="M1575">
            <v>-2001.923683</v>
          </cell>
          <cell r="N1575">
            <v>-2008.391519</v>
          </cell>
          <cell r="O1575">
            <v>-2020.441032</v>
          </cell>
          <cell r="P1575">
            <v>-2033.88617</v>
          </cell>
          <cell r="Q1575">
            <v>-2058.1565220000002</v>
          </cell>
          <cell r="R1575">
            <v>-2080.197013</v>
          </cell>
          <cell r="S1575">
            <v>-2097.9242530000001</v>
          </cell>
          <cell r="T1575">
            <v>-2111.8314489999998</v>
          </cell>
          <cell r="U1575">
            <v>-2122.7370689999998</v>
          </cell>
          <cell r="V1575">
            <v>-2131.9745600000001</v>
          </cell>
          <cell r="W1575">
            <v>-2138.8666469999998</v>
          </cell>
          <cell r="X1575">
            <v>-2145.6011950000002</v>
          </cell>
          <cell r="Y1575">
            <v>-2152.8230130000002</v>
          </cell>
          <cell r="Z1575">
            <v>-2160.942235</v>
          </cell>
          <cell r="AA1575">
            <v>-2169.4820070000001</v>
          </cell>
          <cell r="AB1575">
            <v>-2178.9469490000001</v>
          </cell>
          <cell r="AC1575">
            <v>-2189.4681230000001</v>
          </cell>
          <cell r="AD1575">
            <v>-2201.031876</v>
          </cell>
          <cell r="AE1575">
            <v>-2214.1343489999999</v>
          </cell>
          <cell r="AF1575">
            <v>-2248.9401979999998</v>
          </cell>
          <cell r="AG1575">
            <v>-2283.4711499999999</v>
          </cell>
          <cell r="AH1575">
            <v>-2317.3930770000002</v>
          </cell>
          <cell r="AI1575">
            <v>-2352.978627</v>
          </cell>
          <cell r="AJ1575">
            <v>-2391.0626710000001</v>
          </cell>
          <cell r="AK1575">
            <v>-2431.475383</v>
          </cell>
          <cell r="AL1575">
            <v>-2473.7109540000001</v>
          </cell>
          <cell r="AM1575">
            <v>-2517.2590009999999</v>
          </cell>
          <cell r="AN1575">
            <v>-2561.6373239999998</v>
          </cell>
          <cell r="AO1575">
            <v>-2606.4044509999999</v>
          </cell>
        </row>
        <row r="1580">
          <cell r="F1580">
            <v>40550.824460000003</v>
          </cell>
          <cell r="G1580">
            <v>40914.507420000002</v>
          </cell>
          <cell r="H1580">
            <v>41110.529710000003</v>
          </cell>
          <cell r="I1580">
            <v>41374.5219</v>
          </cell>
          <cell r="J1580">
            <v>41753.185599999997</v>
          </cell>
          <cell r="K1580">
            <v>42289.34072</v>
          </cell>
          <cell r="L1580">
            <v>42304.932119999998</v>
          </cell>
          <cell r="M1580">
            <v>42185.315139999999</v>
          </cell>
          <cell r="N1580">
            <v>42003.9807</v>
          </cell>
          <cell r="O1580">
            <v>41723.434070000003</v>
          </cell>
          <cell r="P1580">
            <v>41292.181759999999</v>
          </cell>
          <cell r="Q1580">
            <v>40959.091310000003</v>
          </cell>
          <cell r="R1580">
            <v>40548.9156</v>
          </cell>
          <cell r="S1580">
            <v>39999.362059999999</v>
          </cell>
          <cell r="T1580">
            <v>39307.351719999999</v>
          </cell>
          <cell r="U1580">
            <v>38483.170389999999</v>
          </cell>
          <cell r="V1580">
            <v>37482.414320000003</v>
          </cell>
          <cell r="W1580">
            <v>36339.86161</v>
          </cell>
          <cell r="X1580">
            <v>35078.660680000001</v>
          </cell>
          <cell r="Y1580">
            <v>33705.294600000001</v>
          </cell>
          <cell r="Z1580">
            <v>32209.19687</v>
          </cell>
          <cell r="AA1580">
            <v>30588.665560000001</v>
          </cell>
          <cell r="AB1580">
            <v>28819.485649999999</v>
          </cell>
          <cell r="AC1580">
            <v>26870.815739999998</v>
          </cell>
          <cell r="AD1580">
            <v>24703.71573</v>
          </cell>
          <cell r="AE1580">
            <v>22254.564979999999</v>
          </cell>
          <cell r="AF1580">
            <v>21839.060440000001</v>
          </cell>
          <cell r="AG1580">
            <v>22176.24957</v>
          </cell>
          <cell r="AH1580">
            <v>22705.142879999999</v>
          </cell>
          <cell r="AI1580">
            <v>23254.107609999999</v>
          </cell>
          <cell r="AJ1580">
            <v>23782.395120000001</v>
          </cell>
          <cell r="AK1580">
            <v>24286.156579999999</v>
          </cell>
          <cell r="AL1580">
            <v>24769.487420000001</v>
          </cell>
          <cell r="AM1580">
            <v>25236.105739999999</v>
          </cell>
          <cell r="AN1580">
            <v>25688.147270000001</v>
          </cell>
          <cell r="AO1580">
            <v>26126.048869999999</v>
          </cell>
        </row>
        <row r="1760">
          <cell r="F1760">
            <v>1.0018723169999999</v>
          </cell>
          <cell r="G1760">
            <v>1.0205996500000001</v>
          </cell>
          <cell r="H1760">
            <v>1.0433486599999999</v>
          </cell>
          <cell r="I1760">
            <v>1.0690396639999999</v>
          </cell>
          <cell r="J1760">
            <v>1.090833618</v>
          </cell>
          <cell r="K1760">
            <v>1.107998934</v>
          </cell>
          <cell r="L1760">
            <v>1.130024455</v>
          </cell>
          <cell r="M1760">
            <v>1.1579051549999999</v>
          </cell>
          <cell r="N1760">
            <v>1.1891237349999999</v>
          </cell>
          <cell r="O1760">
            <v>1.224482386</v>
          </cell>
          <cell r="P1760">
            <v>1.265016989</v>
          </cell>
          <cell r="Q1760">
            <v>1.300182148</v>
          </cell>
          <cell r="R1760">
            <v>1.3341364309999999</v>
          </cell>
          <cell r="S1760">
            <v>1.3669464140000001</v>
          </cell>
          <cell r="T1760">
            <v>1.398465042</v>
          </cell>
          <cell r="U1760">
            <v>1.4288059390000001</v>
          </cell>
          <cell r="V1760">
            <v>1.4579690000000001</v>
          </cell>
          <cell r="W1760">
            <v>1.4860384099999999</v>
          </cell>
          <cell r="X1760">
            <v>1.512821881</v>
          </cell>
          <cell r="Y1760">
            <v>1.537986783</v>
          </cell>
          <cell r="Z1760">
            <v>1.561684292</v>
          </cell>
          <cell r="AA1760">
            <v>1.58295868</v>
          </cell>
          <cell r="AB1760">
            <v>1.602621232</v>
          </cell>
          <cell r="AC1760">
            <v>1.620806177</v>
          </cell>
          <cell r="AD1760">
            <v>1.6377696690000001</v>
          </cell>
          <cell r="AE1760">
            <v>1.6546284419999999</v>
          </cell>
          <cell r="AF1760">
            <v>1.6709309130000001</v>
          </cell>
          <cell r="AG1760">
            <v>1.6880292610000001</v>
          </cell>
          <cell r="AH1760">
            <v>1.706185142</v>
          </cell>
          <cell r="AI1760">
            <v>1.725528572</v>
          </cell>
          <cell r="AJ1760">
            <v>1.746202488</v>
          </cell>
          <cell r="AK1760">
            <v>1.7681861489999999</v>
          </cell>
          <cell r="AL1760">
            <v>1.7919746379999999</v>
          </cell>
          <cell r="AM1760">
            <v>1.8175800980000001</v>
          </cell>
          <cell r="AN1760">
            <v>1.844965534</v>
          </cell>
          <cell r="AO1760">
            <v>1.874888546</v>
          </cell>
        </row>
        <row r="1789">
          <cell r="F1789">
            <v>1.0018723169999999</v>
          </cell>
          <cell r="G1789">
            <v>1.0205996500000001</v>
          </cell>
          <cell r="H1789">
            <v>1.0433486599999999</v>
          </cell>
          <cell r="I1789">
            <v>1.0690396630000001</v>
          </cell>
          <cell r="J1789">
            <v>1.0908336169999999</v>
          </cell>
          <cell r="K1789">
            <v>1.107998933</v>
          </cell>
          <cell r="L1789">
            <v>1.1303807640000001</v>
          </cell>
          <cell r="M1789">
            <v>1.1537216850000001</v>
          </cell>
          <cell r="N1789">
            <v>1.1783443259999999</v>
          </cell>
          <cell r="O1789">
            <v>1.2038991610000001</v>
          </cell>
          <cell r="P1789">
            <v>1.2296332999999999</v>
          </cell>
          <cell r="Q1789">
            <v>1.255271705</v>
          </cell>
          <cell r="R1789">
            <v>1.280026587</v>
          </cell>
          <cell r="S1789">
            <v>1.3034155919999999</v>
          </cell>
          <cell r="T1789">
            <v>1.325166938</v>
          </cell>
          <cell r="U1789">
            <v>1.3451364859999999</v>
          </cell>
          <cell r="V1789">
            <v>1.36320387</v>
          </cell>
          <cell r="W1789">
            <v>1.3793197079999999</v>
          </cell>
          <cell r="X1789">
            <v>1.3936061369999999</v>
          </cell>
          <cell r="Y1789">
            <v>1.4062944559999999</v>
          </cell>
          <cell r="Z1789">
            <v>1.4177685579999999</v>
          </cell>
          <cell r="AA1789">
            <v>1.4283207069999999</v>
          </cell>
          <cell r="AB1789">
            <v>1.4383202070000001</v>
          </cell>
          <cell r="AC1789">
            <v>1.448188085</v>
          </cell>
          <cell r="AD1789">
            <v>1.458424916</v>
          </cell>
          <cell r="AE1789">
            <v>1.469721091</v>
          </cell>
          <cell r="AF1789">
            <v>1.482202252</v>
          </cell>
          <cell r="AG1789">
            <v>1.496117742</v>
          </cell>
          <cell r="AH1789">
            <v>1.511709199</v>
          </cell>
          <cell r="AI1789">
            <v>1.529089412</v>
          </cell>
          <cell r="AJ1789">
            <v>1.5483504480000001</v>
          </cell>
          <cell r="AK1789">
            <v>1.569527084</v>
          </cell>
          <cell r="AL1789">
            <v>1.5925938310000001</v>
          </cell>
          <cell r="AM1789">
            <v>1.6174665989999999</v>
          </cell>
          <cell r="AN1789">
            <v>1.64400412</v>
          </cell>
          <cell r="AO1789">
            <v>1.6720148539999999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127"/>
  <sheetViews>
    <sheetView workbookViewId="0">
      <pane xSplit="2" ySplit="3" topLeftCell="C119" activePane="bottomRight" state="frozen"/>
      <selection pane="topRight" activeCell="C1" sqref="C1"/>
      <selection pane="bottomLeft" activeCell="A4" sqref="A4"/>
      <selection pane="bottomRight" activeCell="C122" sqref="C122"/>
    </sheetView>
  </sheetViews>
  <sheetFormatPr baseColWidth="10" defaultRowHeight="14.5" x14ac:dyDescent="0.35"/>
  <cols>
    <col min="1" max="1" width="26.90625" customWidth="1"/>
    <col min="2" max="2" width="43.08984375" customWidth="1"/>
    <col min="3" max="26" width="11.1796875" bestFit="1" customWidth="1"/>
    <col min="27" max="36" width="11.81640625" bestFit="1" customWidth="1"/>
    <col min="37" max="38" width="12.81640625" bestFit="1" customWidth="1"/>
  </cols>
  <sheetData>
    <row r="1" spans="1:38" x14ac:dyDescent="0.35">
      <c r="A1" t="s">
        <v>5</v>
      </c>
      <c r="B1" t="s">
        <v>6</v>
      </c>
    </row>
    <row r="3" spans="1:38" x14ac:dyDescent="0.35">
      <c r="B3" t="s">
        <v>0</v>
      </c>
      <c r="C3" s="2">
        <v>42005</v>
      </c>
      <c r="D3" s="2">
        <v>42370</v>
      </c>
      <c r="E3" s="2">
        <v>42736</v>
      </c>
      <c r="F3" s="2">
        <v>43101</v>
      </c>
      <c r="G3" s="2">
        <v>43466</v>
      </c>
      <c r="H3" s="2">
        <v>43831</v>
      </c>
      <c r="I3" s="2">
        <v>44197</v>
      </c>
      <c r="J3" s="2">
        <v>44562</v>
      </c>
      <c r="K3" s="2">
        <v>44927</v>
      </c>
      <c r="L3" s="2">
        <v>45292</v>
      </c>
      <c r="M3" s="2">
        <v>45658</v>
      </c>
      <c r="N3" s="2">
        <v>46023</v>
      </c>
      <c r="O3" s="2">
        <v>46388</v>
      </c>
      <c r="P3" s="2">
        <v>46753</v>
      </c>
      <c r="Q3" s="2">
        <v>47119</v>
      </c>
      <c r="R3" s="2">
        <v>47484</v>
      </c>
      <c r="S3" s="2">
        <v>47849</v>
      </c>
      <c r="T3" s="2">
        <v>48214</v>
      </c>
      <c r="U3" s="2">
        <v>48580</v>
      </c>
      <c r="V3" s="2">
        <v>48945</v>
      </c>
      <c r="W3" s="2">
        <v>49310</v>
      </c>
      <c r="X3" s="2">
        <v>49675</v>
      </c>
      <c r="Y3" s="2">
        <v>50041</v>
      </c>
      <c r="Z3" s="2">
        <v>50406</v>
      </c>
      <c r="AA3" s="2">
        <v>50771</v>
      </c>
      <c r="AB3" s="2">
        <v>51136</v>
      </c>
      <c r="AC3" s="2">
        <v>51502</v>
      </c>
      <c r="AD3" s="2">
        <v>51867</v>
      </c>
      <c r="AE3" s="2">
        <v>52232</v>
      </c>
      <c r="AF3" s="2">
        <v>52597</v>
      </c>
      <c r="AG3" s="2">
        <v>52963</v>
      </c>
      <c r="AH3" s="2">
        <v>53328</v>
      </c>
      <c r="AI3" s="2">
        <v>53693</v>
      </c>
      <c r="AJ3" s="2">
        <v>54058</v>
      </c>
      <c r="AK3" s="2">
        <v>54424</v>
      </c>
      <c r="AL3" s="2">
        <v>54789</v>
      </c>
    </row>
    <row r="4" spans="1:38" x14ac:dyDescent="0.35">
      <c r="A4" s="3" t="str">
        <f>[1]Results!E1365</f>
        <v>100*(GDP_2/GDP_0-1)</v>
      </c>
      <c r="B4" t="s">
        <v>20</v>
      </c>
      <c r="C4" s="1">
        <f>[1]Results!F1365</f>
        <v>0</v>
      </c>
      <c r="D4" s="1">
        <f>[1]Results!G1365</f>
        <v>0</v>
      </c>
      <c r="E4" s="1">
        <f>[1]Results!H1365</f>
        <v>0</v>
      </c>
      <c r="F4" s="1">
        <f>[1]Results!I1365</f>
        <v>0</v>
      </c>
      <c r="G4" s="1">
        <f>[1]Results!J1365</f>
        <v>0</v>
      </c>
      <c r="H4" s="1">
        <f>[1]Results!K1365</f>
        <v>0</v>
      </c>
      <c r="I4" s="1">
        <f>[1]Results!L1365</f>
        <v>-0.21445754245220661</v>
      </c>
      <c r="J4" s="1">
        <f>[1]Results!M1365</f>
        <v>-0.49019421611700142</v>
      </c>
      <c r="K4" s="1">
        <f>[1]Results!N1365</f>
        <v>-0.74705013933182851</v>
      </c>
      <c r="L4" s="1">
        <f>[1]Results!O1365</f>
        <v>-0.90687265358143643</v>
      </c>
      <c r="M4" s="1">
        <f>[1]Results!P1365</f>
        <v>-0.88831423014767985</v>
      </c>
      <c r="N4" s="1">
        <f>[1]Results!Q1365</f>
        <v>-0.76953253369115293</v>
      </c>
      <c r="O4" s="1">
        <f>[1]Results!R1365</f>
        <v>-0.5354677957937537</v>
      </c>
      <c r="P4" s="1">
        <f>[1]Results!S1365</f>
        <v>-0.21786818197716551</v>
      </c>
      <c r="Q4" s="1">
        <f>[1]Results!T1365</f>
        <v>0.14463714130572569</v>
      </c>
      <c r="R4" s="1">
        <f>[1]Results!U1365</f>
        <v>0.7259573271237052</v>
      </c>
      <c r="S4" s="1">
        <f>[1]Results!V1365</f>
        <v>0.89739632703200733</v>
      </c>
      <c r="T4" s="1">
        <f>[1]Results!W1365</f>
        <v>1.1912892436859002</v>
      </c>
      <c r="U4" s="1">
        <f>[1]Results!X1365</f>
        <v>1.422670150654004</v>
      </c>
      <c r="V4" s="1">
        <f>[1]Results!Y1365</f>
        <v>1.5927048132876598</v>
      </c>
      <c r="W4" s="1">
        <f>[1]Results!Z1365</f>
        <v>1.6992483127152846</v>
      </c>
      <c r="X4" s="1">
        <f>[1]Results!AA1365</f>
        <v>1.7416050300094632</v>
      </c>
      <c r="Y4" s="1">
        <f>[1]Results!AB1365</f>
        <v>1.7219271820507309</v>
      </c>
      <c r="Z4" s="1">
        <f>[1]Results!AC1365</f>
        <v>1.6427921372243581</v>
      </c>
      <c r="AA4" s="1">
        <f>[1]Results!AD1365</f>
        <v>1.5106797842955988</v>
      </c>
      <c r="AB4" s="1">
        <f>[1]Results!AE1365</f>
        <v>1.5853261087461101</v>
      </c>
      <c r="AC4" s="1">
        <f>[1]Results!AF1365</f>
        <v>1.3880233618658755</v>
      </c>
      <c r="AD4" s="1">
        <f>[1]Results!AG1365</f>
        <v>1.3531683252475446</v>
      </c>
      <c r="AE4" s="1">
        <f>[1]Results!AH1365</f>
        <v>1.2942222568403716</v>
      </c>
      <c r="AF4" s="1">
        <f>[1]Results!AI1365</f>
        <v>1.2200916161571707</v>
      </c>
      <c r="AG4" s="1">
        <f>[1]Results!AJ1365</f>
        <v>1.1364203036534848</v>
      </c>
      <c r="AH4" s="1">
        <f>[1]Results!AK1365</f>
        <v>1.0438508284412285</v>
      </c>
      <c r="AI4" s="1">
        <f>[1]Results!AL1365</f>
        <v>0.94573483820523663</v>
      </c>
      <c r="AJ4" s="1">
        <f>[1]Results!AM1365</f>
        <v>0.84694692402964566</v>
      </c>
      <c r="AK4" s="1">
        <f>[1]Results!AN1365</f>
        <v>0.7524228175464831</v>
      </c>
      <c r="AL4" s="1">
        <f>[1]Results!AO1365</f>
        <v>0.99015035137628438</v>
      </c>
    </row>
    <row r="5" spans="1:38" x14ac:dyDescent="0.35">
      <c r="A5" s="3" t="str">
        <f>[1]Results!E1366</f>
        <v>100*((VA_2-VA_spub_2)/(VA_0-VA_spub_0)-1)</v>
      </c>
      <c r="B5" t="str">
        <f>[1]Results!C1366</f>
        <v>VA du secteur marchand</v>
      </c>
      <c r="C5" s="1">
        <f>[1]Results!F1366</f>
        <v>-6.3611971246047005E-8</v>
      </c>
      <c r="D5" s="1">
        <f>[1]Results!G1366</f>
        <v>0</v>
      </c>
      <c r="E5" s="1">
        <f>[1]Results!H1366</f>
        <v>0</v>
      </c>
      <c r="F5" s="1">
        <f>[1]Results!I1366</f>
        <v>0</v>
      </c>
      <c r="G5" s="1">
        <f>[1]Results!J1366</f>
        <v>0</v>
      </c>
      <c r="H5" s="1">
        <f>[1]Results!K1366</f>
        <v>-5.6895044231453085E-9</v>
      </c>
      <c r="I5" s="1">
        <f>[1]Results!L1366</f>
        <v>-0.26996936089720425</v>
      </c>
      <c r="J5" s="1">
        <f>[1]Results!M1366</f>
        <v>-0.59835171417274013</v>
      </c>
      <c r="K5" s="1">
        <f>[1]Results!N1366</f>
        <v>-0.89869318748105886</v>
      </c>
      <c r="L5" s="1">
        <f>[1]Results!O1366</f>
        <v>-1.0830035766375201</v>
      </c>
      <c r="M5" s="1">
        <f>[1]Results!P1366</f>
        <v>-1.057562681245372</v>
      </c>
      <c r="N5" s="1">
        <f>[1]Results!Q1366</f>
        <v>-0.925660979367815</v>
      </c>
      <c r="O5" s="1">
        <f>[1]Results!R1366</f>
        <v>-0.67172259068977169</v>
      </c>
      <c r="P5" s="1">
        <f>[1]Results!S1366</f>
        <v>-0.32978597610165972</v>
      </c>
      <c r="Q5" s="1">
        <f>[1]Results!T1366</f>
        <v>5.7547232662558123E-2</v>
      </c>
      <c r="R5" s="1">
        <f>[1]Results!U1366</f>
        <v>0.70399923348110072</v>
      </c>
      <c r="S5" s="1">
        <f>[1]Results!V1366</f>
        <v>0.84347401256539278</v>
      </c>
      <c r="T5" s="1">
        <f>[1]Results!W1366</f>
        <v>1.1476436050165795</v>
      </c>
      <c r="U5" s="1">
        <f>[1]Results!X1366</f>
        <v>1.3798994201299486</v>
      </c>
      <c r="V5" s="1">
        <f>[1]Results!Y1366</f>
        <v>1.5398607009050602</v>
      </c>
      <c r="W5" s="1">
        <f>[1]Results!Z1366</f>
        <v>1.6280281739282421</v>
      </c>
      <c r="X5" s="1">
        <f>[1]Results!AA1366</f>
        <v>1.6447482944840219</v>
      </c>
      <c r="Y5" s="1">
        <f>[1]Results!AB1366</f>
        <v>1.5929335628219521</v>
      </c>
      <c r="Z5" s="1">
        <f>[1]Results!AC1366</f>
        <v>1.4757375491456504</v>
      </c>
      <c r="AA5" s="1">
        <f>[1]Results!AD1366</f>
        <v>1.3008303997689152</v>
      </c>
      <c r="AB5" s="1">
        <f>[1]Results!AE1366</f>
        <v>1.378747193479013</v>
      </c>
      <c r="AC5" s="1">
        <f>[1]Results!AF1366</f>
        <v>1.1304370804403385</v>
      </c>
      <c r="AD5" s="1">
        <f>[1]Results!AG1366</f>
        <v>1.0897603974172831</v>
      </c>
      <c r="AE5" s="1">
        <f>[1]Results!AH1366</f>
        <v>1.0192632396293977</v>
      </c>
      <c r="AF5" s="1">
        <f>[1]Results!AI1366</f>
        <v>0.93102012657264588</v>
      </c>
      <c r="AG5" s="1">
        <f>[1]Results!AJ1366</f>
        <v>0.83229864332869941</v>
      </c>
      <c r="AH5" s="1">
        <f>[1]Results!AK1366</f>
        <v>0.72501637113357997</v>
      </c>
      <c r="AI5" s="1">
        <f>[1]Results!AL1366</f>
        <v>0.61358112660463426</v>
      </c>
      <c r="AJ5" s="1">
        <f>[1]Results!AM1366</f>
        <v>0.5034863659093558</v>
      </c>
      <c r="AK5" s="1">
        <f>[1]Results!AN1366</f>
        <v>0.39995431246466762</v>
      </c>
      <c r="AL5" s="1">
        <f>[1]Results!AO1366</f>
        <v>0.69342339502347361</v>
      </c>
    </row>
    <row r="6" spans="1:38" x14ac:dyDescent="0.35">
      <c r="A6" s="3" t="str">
        <f>[1]Results!E1367</f>
        <v>100*((CH_2-CH_0)/GDP_0)</v>
      </c>
      <c r="B6" t="s">
        <v>21</v>
      </c>
      <c r="C6" s="1">
        <f>[1]Results!F1367</f>
        <v>0</v>
      </c>
      <c r="D6" s="1">
        <f>[1]Results!G1367</f>
        <v>0</v>
      </c>
      <c r="E6" s="1">
        <f>[1]Results!H1367</f>
        <v>0</v>
      </c>
      <c r="F6" s="1">
        <f>[1]Results!I1367</f>
        <v>4.3008761615863493E-8</v>
      </c>
      <c r="G6" s="1">
        <f>[1]Results!J1367</f>
        <v>4.20891115976387E-8</v>
      </c>
      <c r="H6" s="1">
        <f>[1]Results!K1367</f>
        <v>4.1069901526818846E-8</v>
      </c>
      <c r="I6" s="1">
        <f>[1]Results!L1367</f>
        <v>-3.7717264845021033E-2</v>
      </c>
      <c r="J6" s="1">
        <f>[1]Results!M1367</f>
        <v>-0.15262864236843929</v>
      </c>
      <c r="K6" s="1">
        <f>[1]Results!N1367</f>
        <v>-0.27157451054645287</v>
      </c>
      <c r="L6" s="1">
        <f>[1]Results!O1367</f>
        <v>-0.33364938755664958</v>
      </c>
      <c r="M6" s="1">
        <f>[1]Results!P1367</f>
        <v>-0.28749859454994414</v>
      </c>
      <c r="N6" s="1">
        <f>[1]Results!Q1367</f>
        <v>-0.15541059150522951</v>
      </c>
      <c r="O6" s="1">
        <f>[1]Results!R1367</f>
        <v>8.4043373752596143E-2</v>
      </c>
      <c r="P6" s="1">
        <f>[1]Results!S1367</f>
        <v>0.40062465038997558</v>
      </c>
      <c r="Q6" s="1">
        <f>[1]Results!T1367</f>
        <v>0.76393191758517132</v>
      </c>
      <c r="R6" s="1">
        <f>[1]Results!U1367</f>
        <v>1.1922859415133293</v>
      </c>
      <c r="S6" s="1">
        <f>[1]Results!V1367</f>
        <v>1.5826528891817695</v>
      </c>
      <c r="T6" s="1">
        <f>[1]Results!W1367</f>
        <v>1.9263155964337781</v>
      </c>
      <c r="U6" s="1">
        <f>[1]Results!X1367</f>
        <v>2.2208023952116842</v>
      </c>
      <c r="V6" s="1">
        <f>[1]Results!Y1367</f>
        <v>2.4662866963228063</v>
      </c>
      <c r="W6" s="1">
        <f>[1]Results!Z1367</f>
        <v>2.6663856947160012</v>
      </c>
      <c r="X6" s="1">
        <f>[1]Results!AA1367</f>
        <v>2.8133366163250786</v>
      </c>
      <c r="Y6" s="1">
        <f>[1]Results!AB1367</f>
        <v>2.905960437445033</v>
      </c>
      <c r="Z6" s="1">
        <f>[1]Results!AC1367</f>
        <v>2.9452298735300584</v>
      </c>
      <c r="AA6" s="1">
        <f>[1]Results!AD1367</f>
        <v>2.9348536518158426</v>
      </c>
      <c r="AB6" s="1">
        <f>[1]Results!AE1367</f>
        <v>2.9317529175548471</v>
      </c>
      <c r="AC6" s="1">
        <f>[1]Results!AF1367</f>
        <v>2.8721066633903556</v>
      </c>
      <c r="AD6" s="1">
        <f>[1]Results!AG1367</f>
        <v>2.7835274969834658</v>
      </c>
      <c r="AE6" s="1">
        <f>[1]Results!AH1367</f>
        <v>2.6783624515997135</v>
      </c>
      <c r="AF6" s="1">
        <f>[1]Results!AI1367</f>
        <v>2.5626941450541545</v>
      </c>
      <c r="AG6" s="1">
        <f>[1]Results!AJ1367</f>
        <v>2.4396310539581489</v>
      </c>
      <c r="AH6" s="1">
        <f>[1]Results!AK1367</f>
        <v>2.3043052927808447</v>
      </c>
      <c r="AI6" s="1">
        <f>[1]Results!AL1367</f>
        <v>2.1570144397703599</v>
      </c>
      <c r="AJ6" s="1">
        <f>[1]Results!AM1367</f>
        <v>2.0022466853119534</v>
      </c>
      <c r="AK6" s="1">
        <f>[1]Results!AN1367</f>
        <v>1.8461542459836031</v>
      </c>
      <c r="AL6" s="1">
        <f>[1]Results!AO1367</f>
        <v>1.7564945177991054</v>
      </c>
    </row>
    <row r="7" spans="1:38" x14ac:dyDescent="0.35">
      <c r="A7" s="3" t="str">
        <f>[1]Results!E1368</f>
        <v>100*((CH_cveh_2-CH_cveh_0)/GDP_0)</v>
      </c>
      <c r="B7" t="str">
        <f>[1]Results!C1368</f>
        <v>Consommation des ménages automobile</v>
      </c>
      <c r="C7" s="1">
        <f>[1]Results!F1368</f>
        <v>0</v>
      </c>
      <c r="D7" s="1">
        <f>[1]Results!G1368</f>
        <v>4.4699704048795095E-10</v>
      </c>
      <c r="E7" s="1">
        <f>[1]Results!H1368</f>
        <v>8.7732725113650497E-10</v>
      </c>
      <c r="F7" s="1">
        <f>[1]Results!I1368</f>
        <v>1.2902630737854151E-9</v>
      </c>
      <c r="G7" s="1">
        <f>[1]Results!J1368</f>
        <v>2.1044553348911017E-9</v>
      </c>
      <c r="H7" s="1">
        <f>[1]Results!K1368</f>
        <v>2.4641939003624854E-9</v>
      </c>
      <c r="I7" s="1">
        <f>[1]Results!L1368</f>
        <v>-4.5565004229832316E-3</v>
      </c>
      <c r="J7" s="1">
        <f>[1]Results!M1368</f>
        <v>-3.7629516760686273E-2</v>
      </c>
      <c r="K7" s="1">
        <f>[1]Results!N1368</f>
        <v>-7.5110190856952808E-2</v>
      </c>
      <c r="L7" s="1">
        <f>[1]Results!O1368</f>
        <v>-0.10881880033926518</v>
      </c>
      <c r="M7" s="1">
        <f>[1]Results!P1368</f>
        <v>-0.14299351753275441</v>
      </c>
      <c r="N7" s="1">
        <f>[1]Results!Q1368</f>
        <v>-0.10598485713341847</v>
      </c>
      <c r="O7" s="1">
        <f>[1]Results!R1368</f>
        <v>-4.5692391962524913E-2</v>
      </c>
      <c r="P7" s="1">
        <f>[1]Results!S1368</f>
        <v>9.3753688613344346E-3</v>
      </c>
      <c r="Q7" s="1">
        <f>[1]Results!T1368</f>
        <v>5.149258043195068E-2</v>
      </c>
      <c r="R7" s="1">
        <f>[1]Results!U1368</f>
        <v>8.5912852171433282E-2</v>
      </c>
      <c r="S7" s="1">
        <f>[1]Results!V1368</f>
        <v>9.7881052588828329E-2</v>
      </c>
      <c r="T7" s="1">
        <f>[1]Results!W1368</f>
        <v>9.417213152310161E-2</v>
      </c>
      <c r="U7" s="1">
        <f>[1]Results!X1368</f>
        <v>8.1389319301689952E-2</v>
      </c>
      <c r="V7" s="1">
        <f>[1]Results!Y1368</f>
        <v>6.6885288380380978E-2</v>
      </c>
      <c r="W7" s="1">
        <f>[1]Results!Z1368</f>
        <v>5.1777788703352146E-2</v>
      </c>
      <c r="X7" s="1">
        <f>[1]Results!AA1368</f>
        <v>4.4060856309215267E-2</v>
      </c>
      <c r="Y7" s="1">
        <f>[1]Results!AB1368</f>
        <v>3.7245752095742136E-2</v>
      </c>
      <c r="Z7" s="1">
        <f>[1]Results!AC1368</f>
        <v>2.9141146656393814E-2</v>
      </c>
      <c r="AA7" s="1">
        <f>[1]Results!AD1368</f>
        <v>1.9849507296029797E-2</v>
      </c>
      <c r="AB7" s="1">
        <f>[1]Results!AE1368</f>
        <v>1.4971021899111078E-2</v>
      </c>
      <c r="AC7" s="1">
        <f>[1]Results!AF1368</f>
        <v>1.106717618970594E-2</v>
      </c>
      <c r="AD7" s="1">
        <f>[1]Results!AG1368</f>
        <v>7.8952446441286246E-3</v>
      </c>
      <c r="AE7" s="1">
        <f>[1]Results!AH1368</f>
        <v>4.9417832732725044E-3</v>
      </c>
      <c r="AF7" s="1">
        <f>[1]Results!AI1368</f>
        <v>2.1607301955420466E-3</v>
      </c>
      <c r="AG7" s="1">
        <f>[1]Results!AJ1368</f>
        <v>-5.6831672862282475E-4</v>
      </c>
      <c r="AH7" s="1">
        <f>[1]Results!AK1368</f>
        <v>-2.4498869150338977E-3</v>
      </c>
      <c r="AI7" s="1">
        <f>[1]Results!AL1368</f>
        <v>-5.3697831826445804E-3</v>
      </c>
      <c r="AJ7" s="1">
        <f>[1]Results!AM1368</f>
        <v>-9.4832612670623772E-3</v>
      </c>
      <c r="AK7" s="1">
        <f>[1]Results!AN1368</f>
        <v>-1.4301861896001848E-2</v>
      </c>
      <c r="AL7" s="1">
        <f>[1]Results!AO1368</f>
        <v>-1.3858154944731329E-2</v>
      </c>
    </row>
    <row r="8" spans="1:38" x14ac:dyDescent="0.35">
      <c r="A8" s="3" t="str">
        <f>[1]Results!E1369</f>
        <v>100*((G_2-G_0)/GDP_0)</v>
      </c>
      <c r="B8" t="str">
        <f>[1]Results!C1369</f>
        <v>Dépenses publiques</v>
      </c>
      <c r="C8" s="1">
        <f>[1]Results!F1369</f>
        <v>0</v>
      </c>
      <c r="D8" s="1">
        <f>[1]Results!G1369</f>
        <v>0</v>
      </c>
      <c r="E8" s="1">
        <f>[1]Results!H1369</f>
        <v>0</v>
      </c>
      <c r="F8" s="1">
        <f>[1]Results!I1369</f>
        <v>0</v>
      </c>
      <c r="G8" s="1">
        <f>[1]Results!J1369</f>
        <v>0</v>
      </c>
      <c r="H8" s="1">
        <f>[1]Results!K1369</f>
        <v>0</v>
      </c>
      <c r="I8" s="1">
        <f>[1]Results!L1369</f>
        <v>0</v>
      </c>
      <c r="J8" s="1">
        <f>[1]Results!M1369</f>
        <v>0</v>
      </c>
      <c r="K8" s="1">
        <f>[1]Results!N1369</f>
        <v>0</v>
      </c>
      <c r="L8" s="1">
        <f>[1]Results!O1369</f>
        <v>0</v>
      </c>
      <c r="M8" s="1">
        <f>[1]Results!P1369</f>
        <v>0</v>
      </c>
      <c r="N8" s="1">
        <f>[1]Results!Q1369</f>
        <v>0</v>
      </c>
      <c r="O8" s="1">
        <f>[1]Results!R1369</f>
        <v>0</v>
      </c>
      <c r="P8" s="1">
        <f>[1]Results!S1369</f>
        <v>0</v>
      </c>
      <c r="Q8" s="1">
        <f>[1]Results!T1369</f>
        <v>0</v>
      </c>
      <c r="R8" s="1">
        <f>[1]Results!U1369</f>
        <v>0</v>
      </c>
      <c r="S8" s="1">
        <f>[1]Results!V1369</f>
        <v>0</v>
      </c>
      <c r="T8" s="1">
        <f>[1]Results!W1369</f>
        <v>0</v>
      </c>
      <c r="U8" s="1">
        <f>[1]Results!X1369</f>
        <v>0</v>
      </c>
      <c r="V8" s="1">
        <f>[1]Results!Y1369</f>
        <v>0</v>
      </c>
      <c r="W8" s="1">
        <f>[1]Results!Z1369</f>
        <v>0</v>
      </c>
      <c r="X8" s="1">
        <f>[1]Results!AA1369</f>
        <v>0</v>
      </c>
      <c r="Y8" s="1">
        <f>[1]Results!AB1369</f>
        <v>0</v>
      </c>
      <c r="Z8" s="1">
        <f>[1]Results!AC1369</f>
        <v>0</v>
      </c>
      <c r="AA8" s="1">
        <f>[1]Results!AD1369</f>
        <v>0</v>
      </c>
      <c r="AB8" s="1">
        <f>[1]Results!AE1369</f>
        <v>0</v>
      </c>
      <c r="AC8" s="1">
        <f>[1]Results!AF1369</f>
        <v>0</v>
      </c>
      <c r="AD8" s="1">
        <f>[1]Results!AG1369</f>
        <v>0</v>
      </c>
      <c r="AE8" s="1">
        <f>[1]Results!AH1369</f>
        <v>0</v>
      </c>
      <c r="AF8" s="1">
        <f>[1]Results!AI1369</f>
        <v>0</v>
      </c>
      <c r="AG8" s="1">
        <f>[1]Results!AJ1369</f>
        <v>0</v>
      </c>
      <c r="AH8" s="1">
        <f>[1]Results!AK1369</f>
        <v>0</v>
      </c>
      <c r="AI8" s="1">
        <f>[1]Results!AL1369</f>
        <v>0</v>
      </c>
      <c r="AJ8" s="1">
        <f>[1]Results!AM1369</f>
        <v>0</v>
      </c>
      <c r="AK8" s="1">
        <f>[1]Results!AN1369</f>
        <v>0</v>
      </c>
      <c r="AL8" s="1">
        <f>[1]Results!AO1369</f>
        <v>0</v>
      </c>
    </row>
    <row r="9" spans="1:38" x14ac:dyDescent="0.35">
      <c r="A9" s="3" t="str">
        <f>[1]Results!E1370</f>
        <v>100*((I_2-I_0)/GDP_0)</v>
      </c>
      <c r="B9" t="s">
        <v>23</v>
      </c>
      <c r="C9" s="1">
        <f>[1]Results!F1370</f>
        <v>0</v>
      </c>
      <c r="D9" s="1">
        <f>[1]Results!G1370</f>
        <v>0</v>
      </c>
      <c r="E9" s="1">
        <f>[1]Results!H1370</f>
        <v>4.386634979003778E-9</v>
      </c>
      <c r="F9" s="1">
        <f>[1]Results!I1370</f>
        <v>4.3008756608985488E-9</v>
      </c>
      <c r="G9" s="1">
        <f>[1]Results!J1370</f>
        <v>0</v>
      </c>
      <c r="H9" s="1">
        <f>[1]Results!K1370</f>
        <v>4.1069882402154315E-9</v>
      </c>
      <c r="I9" s="1">
        <f>[1]Results!L1370</f>
        <v>-2.9045893478389088E-2</v>
      </c>
      <c r="J9" s="1">
        <f>[1]Results!M1370</f>
        <v>-9.4024537443687134E-2</v>
      </c>
      <c r="K9" s="1">
        <f>[1]Results!N1370</f>
        <v>-0.17231848122533822</v>
      </c>
      <c r="L9" s="1">
        <f>[1]Results!O1370</f>
        <v>-0.24610868728162724</v>
      </c>
      <c r="M9" s="1">
        <f>[1]Results!P1370</f>
        <v>-0.29934944415226261</v>
      </c>
      <c r="N9" s="1">
        <f>[1]Results!Q1370</f>
        <v>-0.31667759627525244</v>
      </c>
      <c r="O9" s="1">
        <f>[1]Results!R1370</f>
        <v>-0.29806183074005466</v>
      </c>
      <c r="P9" s="1">
        <f>[1]Results!S1370</f>
        <v>-0.24950774394206401</v>
      </c>
      <c r="Q9" s="1">
        <f>[1]Results!T1370</f>
        <v>-0.17890042493482203</v>
      </c>
      <c r="R9" s="1">
        <f>[1]Results!U1370</f>
        <v>-4.6797671518637743E-2</v>
      </c>
      <c r="S9" s="1">
        <f>[1]Results!V1370</f>
        <v>2.1409904557943334E-2</v>
      </c>
      <c r="T9" s="1">
        <f>[1]Results!W1370</f>
        <v>9.7785070857969142E-2</v>
      </c>
      <c r="U9" s="1">
        <f>[1]Results!X1370</f>
        <v>0.173025969101995</v>
      </c>
      <c r="V9" s="1">
        <f>[1]Results!Y1370</f>
        <v>0.2421759381232837</v>
      </c>
      <c r="W9" s="1">
        <f>[1]Results!Z1370</f>
        <v>0.30351019094564818</v>
      </c>
      <c r="X9" s="1">
        <f>[1]Results!AA1370</f>
        <v>0.35844753830019588</v>
      </c>
      <c r="Y9" s="1">
        <f>[1]Results!AB1370</f>
        <v>0.40605063519088996</v>
      </c>
      <c r="Z9" s="1">
        <f>[1]Results!AC1370</f>
        <v>0.44594150418814188</v>
      </c>
      <c r="AA9" s="1">
        <f>[1]Results!AD1370</f>
        <v>0.47869160891806001</v>
      </c>
      <c r="AB9" s="1">
        <f>[1]Results!AE1370</f>
        <v>0.56817922693156131</v>
      </c>
      <c r="AC9" s="1">
        <f>[1]Results!AF1370</f>
        <v>0.59549659001414379</v>
      </c>
      <c r="AD9" s="1">
        <f>[1]Results!AG1370</f>
        <v>0.64385070685151768</v>
      </c>
      <c r="AE9" s="1">
        <f>[1]Results!AH1370</f>
        <v>0.69817364598753717</v>
      </c>
      <c r="AF9" s="1">
        <f>[1]Results!AI1370</f>
        <v>0.75084147675511237</v>
      </c>
      <c r="AG9" s="1">
        <f>[1]Results!AJ1370</f>
        <v>0.79914894799625202</v>
      </c>
      <c r="AH9" s="1">
        <f>[1]Results!AK1370</f>
        <v>0.84185090211682068</v>
      </c>
      <c r="AI9" s="1">
        <f>[1]Results!AL1370</f>
        <v>0.87741042527950097</v>
      </c>
      <c r="AJ9" s="1">
        <f>[1]Results!AM1370</f>
        <v>0.90565898402525358</v>
      </c>
      <c r="AK9" s="1">
        <f>[1]Results!AN1370</f>
        <v>0.92710057285002989</v>
      </c>
      <c r="AL9" s="1">
        <f>[1]Results!AO1370</f>
        <v>1.0279328170576081</v>
      </c>
    </row>
    <row r="10" spans="1:38" x14ac:dyDescent="0.35">
      <c r="A10" s="3" t="str">
        <f>[1]Results!E1371</f>
        <v>100*((DS_2-DS_0)/GDP_0)</v>
      </c>
      <c r="B10" t="str">
        <f>[1]Results!C1371</f>
        <v>Variations de stocks</v>
      </c>
      <c r="C10" s="1">
        <f>[1]Results!F1371</f>
        <v>0</v>
      </c>
      <c r="D10" s="1">
        <f>[1]Results!G1371</f>
        <v>0</v>
      </c>
      <c r="E10" s="1">
        <f>[1]Results!H1371</f>
        <v>0</v>
      </c>
      <c r="F10" s="1">
        <f>[1]Results!I1371</f>
        <v>0</v>
      </c>
      <c r="G10" s="1">
        <f>[1]Results!J1371</f>
        <v>0</v>
      </c>
      <c r="H10" s="1">
        <f>[1]Results!K1371</f>
        <v>0</v>
      </c>
      <c r="I10" s="1">
        <f>[1]Results!L1371</f>
        <v>0</v>
      </c>
      <c r="J10" s="1">
        <f>[1]Results!M1371</f>
        <v>0</v>
      </c>
      <c r="K10" s="1">
        <f>[1]Results!N1371</f>
        <v>0</v>
      </c>
      <c r="L10" s="1">
        <f>[1]Results!O1371</f>
        <v>0</v>
      </c>
      <c r="M10" s="1">
        <f>[1]Results!P1371</f>
        <v>0</v>
      </c>
      <c r="N10" s="1">
        <f>[1]Results!Q1371</f>
        <v>0</v>
      </c>
      <c r="O10" s="1">
        <f>[1]Results!R1371</f>
        <v>0</v>
      </c>
      <c r="P10" s="1">
        <f>[1]Results!S1371</f>
        <v>0</v>
      </c>
      <c r="Q10" s="1">
        <f>[1]Results!T1371</f>
        <v>0</v>
      </c>
      <c r="R10" s="1">
        <f>[1]Results!U1371</f>
        <v>0</v>
      </c>
      <c r="S10" s="1">
        <f>[1]Results!V1371</f>
        <v>0</v>
      </c>
      <c r="T10" s="1">
        <f>[1]Results!W1371</f>
        <v>0</v>
      </c>
      <c r="U10" s="1">
        <f>[1]Results!X1371</f>
        <v>0</v>
      </c>
      <c r="V10" s="1">
        <f>[1]Results!Y1371</f>
        <v>0</v>
      </c>
      <c r="W10" s="1">
        <f>[1]Results!Z1371</f>
        <v>0</v>
      </c>
      <c r="X10" s="1">
        <f>[1]Results!AA1371</f>
        <v>0</v>
      </c>
      <c r="Y10" s="1">
        <f>[1]Results!AB1371</f>
        <v>0</v>
      </c>
      <c r="Z10" s="1">
        <f>[1]Results!AC1371</f>
        <v>0</v>
      </c>
      <c r="AA10" s="1">
        <f>[1]Results!AD1371</f>
        <v>0</v>
      </c>
      <c r="AB10" s="1">
        <f>[1]Results!AE1371</f>
        <v>0</v>
      </c>
      <c r="AC10" s="1">
        <f>[1]Results!AF1371</f>
        <v>0</v>
      </c>
      <c r="AD10" s="1">
        <f>[1]Results!AG1371</f>
        <v>0</v>
      </c>
      <c r="AE10" s="1">
        <f>[1]Results!AH1371</f>
        <v>0</v>
      </c>
      <c r="AF10" s="1">
        <f>[1]Results!AI1371</f>
        <v>0</v>
      </c>
      <c r="AG10" s="1">
        <f>[1]Results!AJ1371</f>
        <v>0</v>
      </c>
      <c r="AH10" s="1">
        <f>[1]Results!AK1371</f>
        <v>0</v>
      </c>
      <c r="AI10" s="1">
        <f>[1]Results!AL1371</f>
        <v>0</v>
      </c>
      <c r="AJ10" s="1">
        <f>[1]Results!AM1371</f>
        <v>0</v>
      </c>
      <c r="AK10" s="1">
        <f>[1]Results!AN1371</f>
        <v>0</v>
      </c>
      <c r="AL10" s="1">
        <f>[1]Results!AO1371</f>
        <v>0</v>
      </c>
    </row>
    <row r="11" spans="1:38" x14ac:dyDescent="0.35">
      <c r="A11" s="3" t="str">
        <f>[1]Results!E1372</f>
        <v>100*((X_2-X_0)/GDP_0)-100*((M_2-M_0)/GDP_0)</v>
      </c>
      <c r="B11" t="s">
        <v>22</v>
      </c>
      <c r="C11" s="1">
        <f>[1]Results!F1372</f>
        <v>-4.5516733136692118E-9</v>
      </c>
      <c r="D11" s="1">
        <f>[1]Results!G1372</f>
        <v>-4.4699730067476309E-9</v>
      </c>
      <c r="E11" s="1">
        <f>[1]Results!H1372</f>
        <v>-8.7732648512925717E-9</v>
      </c>
      <c r="F11" s="1">
        <f>[1]Results!I1372</f>
        <v>-4.3008781643375513E-9</v>
      </c>
      <c r="G11" s="1">
        <f>[1]Results!J1372</f>
        <v>-8.4178213395644067E-9</v>
      </c>
      <c r="H11" s="1">
        <f>[1]Results!K1372</f>
        <v>-1.232097428297856E-8</v>
      </c>
      <c r="I11" s="1">
        <f>[1]Results!L1372</f>
        <v>-0.14769439615133534</v>
      </c>
      <c r="J11" s="1">
        <f>[1]Results!M1372</f>
        <v>-0.24354102848453743</v>
      </c>
      <c r="K11" s="1">
        <f>[1]Results!N1372</f>
        <v>-0.30315715137512761</v>
      </c>
      <c r="L11" s="1">
        <f>[1]Results!O1372</f>
        <v>-0.32711453776172256</v>
      </c>
      <c r="M11" s="1">
        <f>[1]Results!P1372</f>
        <v>-0.30146616957877115</v>
      </c>
      <c r="N11" s="1">
        <f>[1]Results!Q1372</f>
        <v>-0.29744437448479</v>
      </c>
      <c r="O11" s="1">
        <f>[1]Results!R1372</f>
        <v>-0.32144932478011295</v>
      </c>
      <c r="P11" s="1">
        <f>[1]Results!S1372</f>
        <v>-0.36898510566299031</v>
      </c>
      <c r="Q11" s="1">
        <f>[1]Results!T1372</f>
        <v>-0.44039433777043285</v>
      </c>
      <c r="R11" s="1">
        <f>[1]Results!U1372</f>
        <v>-0.41953093618483622</v>
      </c>
      <c r="S11" s="1">
        <f>[1]Results!V1372</f>
        <v>-0.70666647988774989</v>
      </c>
      <c r="T11" s="1">
        <f>[1]Results!W1372</f>
        <v>-0.83281139112251634</v>
      </c>
      <c r="U11" s="1">
        <f>[1]Results!X1372</f>
        <v>-0.97115819444664231</v>
      </c>
      <c r="V11" s="1">
        <f>[1]Results!Y1372</f>
        <v>-1.115757783287338</v>
      </c>
      <c r="W11" s="1">
        <f>[1]Results!Z1372</f>
        <v>-1.2706475822750825</v>
      </c>
      <c r="X11" s="1">
        <f>[1]Results!AA1372</f>
        <v>-1.4301790970557891</v>
      </c>
      <c r="Y11" s="1">
        <f>[1]Results!AB1372</f>
        <v>-1.5900839267504752</v>
      </c>
      <c r="Z11" s="1">
        <f>[1]Results!AC1372</f>
        <v>-1.7483792345655251</v>
      </c>
      <c r="AA11" s="1">
        <f>[1]Results!AD1372</f>
        <v>-1.9028655143127329</v>
      </c>
      <c r="AB11" s="1">
        <f>[1]Results!AE1372</f>
        <v>-1.9146060471909052</v>
      </c>
      <c r="AC11" s="1">
        <f>[1]Results!AF1372</f>
        <v>-2.0795798268840247</v>
      </c>
      <c r="AD11" s="1">
        <f>[1]Results!AG1372</f>
        <v>-2.0742098261630448</v>
      </c>
      <c r="AE11" s="1">
        <f>[1]Results!AH1372</f>
        <v>-2.0823138542823862</v>
      </c>
      <c r="AF11" s="1">
        <f>[1]Results!AI1372</f>
        <v>-2.0934440056520858</v>
      </c>
      <c r="AG11" s="1">
        <f>[1]Results!AJ1372</f>
        <v>-2.1023596462360317</v>
      </c>
      <c r="AH11" s="1">
        <f>[1]Results!AK1372</f>
        <v>-2.1023053919774348</v>
      </c>
      <c r="AI11" s="1">
        <f>[1]Results!AL1372</f>
        <v>-2.0886900018255323</v>
      </c>
      <c r="AJ11" s="1">
        <f>[1]Results!AM1372</f>
        <v>-2.0609587698370877</v>
      </c>
      <c r="AK11" s="1">
        <f>[1]Results!AN1372</f>
        <v>-2.0208320012871646</v>
      </c>
      <c r="AL11" s="1">
        <f>[1]Results!AO1372</f>
        <v>-1.7942769834804111</v>
      </c>
    </row>
    <row r="12" spans="1:38" x14ac:dyDescent="0.35">
      <c r="A12" s="3" t="str">
        <f>[1]Results!E1373</f>
        <v>100*((CH_2-CH_ccon_2-(CH_0-CH_ccon_0))/GDP_0)</v>
      </c>
      <c r="B12" t="str">
        <f>[1]Results!C1373</f>
        <v>Consommation des ménages</v>
      </c>
      <c r="C12" s="1">
        <f>[1]Results!F1373</f>
        <v>0</v>
      </c>
      <c r="D12" s="1">
        <f>[1]Results!G1373</f>
        <v>0</v>
      </c>
      <c r="E12" s="1">
        <f>[1]Results!H1373</f>
        <v>0</v>
      </c>
      <c r="F12" s="1">
        <f>[1]Results!I1373</f>
        <v>4.3008761615863493E-8</v>
      </c>
      <c r="G12" s="1">
        <f>[1]Results!J1373</f>
        <v>4.20891115976387E-8</v>
      </c>
      <c r="H12" s="1">
        <f>[1]Results!K1373</f>
        <v>4.1069901526818846E-8</v>
      </c>
      <c r="I12" s="1">
        <f>[1]Results!L1373</f>
        <v>-3.7236337698222807E-2</v>
      </c>
      <c r="J12" s="1">
        <f>[1]Results!M1373</f>
        <v>-0.15010734042630447</v>
      </c>
      <c r="K12" s="1">
        <f>[1]Results!N1373</f>
        <v>-0.26629279485663093</v>
      </c>
      <c r="L12" s="1">
        <f>[1]Results!O1373</f>
        <v>-0.32592656855056368</v>
      </c>
      <c r="M12" s="1">
        <f>[1]Results!P1373</f>
        <v>-0.27844659907190539</v>
      </c>
      <c r="N12" s="1">
        <f>[1]Results!Q1373</f>
        <v>-0.14641796019653047</v>
      </c>
      <c r="O12" s="1">
        <f>[1]Results!R1373</f>
        <v>9.0511522960897747E-2</v>
      </c>
      <c r="P12" s="1">
        <f>[1]Results!S1373</f>
        <v>0.40267473628798495</v>
      </c>
      <c r="Q12" s="1">
        <f>[1]Results!T1373</f>
        <v>0.76052578793358738</v>
      </c>
      <c r="R12" s="1">
        <f>[1]Results!U1373</f>
        <v>1.1825050621958066</v>
      </c>
      <c r="S12" s="1">
        <f>[1]Results!V1373</f>
        <v>1.5671603569876267</v>
      </c>
      <c r="T12" s="1">
        <f>[1]Results!W1373</f>
        <v>1.9059859859776769</v>
      </c>
      <c r="U12" s="1">
        <f>[1]Results!X1373</f>
        <v>2.1965263659340937</v>
      </c>
      <c r="V12" s="1">
        <f>[1]Results!Y1373</f>
        <v>2.438860011585148</v>
      </c>
      <c r="W12" s="1">
        <f>[1]Results!Z1373</f>
        <v>2.6363874481428939</v>
      </c>
      <c r="X12" s="1">
        <f>[1]Results!AA1373</f>
        <v>2.7813209261421132</v>
      </c>
      <c r="Y12" s="1">
        <f>[1]Results!AB1373</f>
        <v>2.8723832272002308</v>
      </c>
      <c r="Z12" s="1">
        <f>[1]Results!AC1373</f>
        <v>2.9105521313322082</v>
      </c>
      <c r="AA12" s="1">
        <f>[1]Results!AD1373</f>
        <v>2.8995343620901268</v>
      </c>
      <c r="AB12" s="1">
        <f>[1]Results!AE1373</f>
        <v>2.8955637709093809</v>
      </c>
      <c r="AC12" s="1">
        <f>[1]Results!AF1373</f>
        <v>2.8358290805082627</v>
      </c>
      <c r="AD12" s="1">
        <f>[1]Results!AG1373</f>
        <v>2.7476686038538971</v>
      </c>
      <c r="AE12" s="1">
        <f>[1]Results!AH1373</f>
        <v>2.6433501373311286</v>
      </c>
      <c r="AF12" s="1">
        <f>[1]Results!AI1373</f>
        <v>2.5288840840872888</v>
      </c>
      <c r="AG12" s="1">
        <f>[1]Results!AJ1373</f>
        <v>2.4072986806408578</v>
      </c>
      <c r="AH12" s="1">
        <f>[1]Results!AK1373</f>
        <v>2.273741725636143</v>
      </c>
      <c r="AI12" s="1">
        <f>[1]Results!AL1373</f>
        <v>2.1284845094507974</v>
      </c>
      <c r="AJ12" s="1">
        <f>[1]Results!AM1373</f>
        <v>1.9759486521181175</v>
      </c>
      <c r="AK12" s="1">
        <f>[1]Results!AN1373</f>
        <v>1.8221837736356792</v>
      </c>
      <c r="AL12" s="1">
        <f>[1]Results!AO1373</f>
        <v>1.7340333324714223</v>
      </c>
    </row>
    <row r="13" spans="1:38" x14ac:dyDescent="0.35">
      <c r="A13" s="3" t="str">
        <f>[1]Results!E1374</f>
        <v>100*((I_2+CH_ccon_2-(I_0+CH_ccon_0))/GDP_0)</v>
      </c>
      <c r="B13" t="s">
        <v>23</v>
      </c>
      <c r="C13" s="1">
        <f>[1]Results!F1374</f>
        <v>0</v>
      </c>
      <c r="D13" s="1">
        <f>[1]Results!G1374</f>
        <v>0</v>
      </c>
      <c r="E13" s="1">
        <f>[1]Results!H1374</f>
        <v>4.386634979003778E-9</v>
      </c>
      <c r="F13" s="1">
        <f>[1]Results!I1374</f>
        <v>4.3008756608985488E-9</v>
      </c>
      <c r="G13" s="1">
        <f>[1]Results!J1374</f>
        <v>0</v>
      </c>
      <c r="H13" s="1">
        <f>[1]Results!K1374</f>
        <v>4.1069882402154315E-9</v>
      </c>
      <c r="I13" s="1">
        <f>[1]Results!L1374</f>
        <v>-2.952682062518731E-2</v>
      </c>
      <c r="J13" s="1">
        <f>[1]Results!M1374</f>
        <v>-9.6545839385817386E-2</v>
      </c>
      <c r="K13" s="1">
        <f>[1]Results!N1374</f>
        <v>-0.1776001969151646</v>
      </c>
      <c r="L13" s="1">
        <f>[1]Results!O1374</f>
        <v>-0.25383150628771317</v>
      </c>
      <c r="M13" s="1">
        <f>[1]Results!P1374</f>
        <v>-0.30840143963029715</v>
      </c>
      <c r="N13" s="1">
        <f>[1]Results!Q1374</f>
        <v>-0.32567022758394731</v>
      </c>
      <c r="O13" s="1">
        <f>[1]Results!R1374</f>
        <v>-0.30452997994835629</v>
      </c>
      <c r="P13" s="1">
        <f>[1]Results!S1374</f>
        <v>-0.25155782984007335</v>
      </c>
      <c r="Q13" s="1">
        <f>[1]Results!T1374</f>
        <v>-0.17549429528323024</v>
      </c>
      <c r="R13" s="1">
        <f>[1]Results!U1374</f>
        <v>-3.7016792201118962E-2</v>
      </c>
      <c r="S13" s="1">
        <f>[1]Results!V1374</f>
        <v>3.6902436752086154E-2</v>
      </c>
      <c r="T13" s="1">
        <f>[1]Results!W1374</f>
        <v>0.11811468131407038</v>
      </c>
      <c r="U13" s="1">
        <f>[1]Results!X1374</f>
        <v>0.19730199837958978</v>
      </c>
      <c r="V13" s="1">
        <f>[1]Results!Y1374</f>
        <v>0.26960262286094183</v>
      </c>
      <c r="W13" s="1">
        <f>[1]Results!Z1374</f>
        <v>0.33350843751875497</v>
      </c>
      <c r="X13" s="1">
        <f>[1]Results!AA1374</f>
        <v>0.39046322848316495</v>
      </c>
      <c r="Y13" s="1">
        <f>[1]Results!AB1374</f>
        <v>0.43962784543569611</v>
      </c>
      <c r="Z13" s="1">
        <f>[1]Results!AC1374</f>
        <v>0.4806192463859888</v>
      </c>
      <c r="AA13" s="1">
        <f>[1]Results!AD1374</f>
        <v>0.51401089864377592</v>
      </c>
      <c r="AB13" s="1">
        <f>[1]Results!AE1374</f>
        <v>0.60436837357702711</v>
      </c>
      <c r="AC13" s="1">
        <f>[1]Results!AF1374</f>
        <v>0.63177417289623339</v>
      </c>
      <c r="AD13" s="1">
        <f>[1]Results!AG1374</f>
        <v>0.67970959998108316</v>
      </c>
      <c r="AE13" s="1">
        <f>[1]Results!AH1374</f>
        <v>0.73318596025611915</v>
      </c>
      <c r="AF13" s="1">
        <f>[1]Results!AI1374</f>
        <v>0.78465153772197815</v>
      </c>
      <c r="AG13" s="1">
        <f>[1]Results!AJ1374</f>
        <v>0.83148132131354047</v>
      </c>
      <c r="AH13" s="1">
        <f>[1]Results!AK1374</f>
        <v>0.87241446926151944</v>
      </c>
      <c r="AI13" s="1">
        <f>[1]Results!AL1374</f>
        <v>0.90594035559906327</v>
      </c>
      <c r="AJ13" s="1">
        <f>[1]Results!AM1374</f>
        <v>0.93195701721908408</v>
      </c>
      <c r="AK13" s="1">
        <f>[1]Results!AN1374</f>
        <v>0.95107104519795926</v>
      </c>
      <c r="AL13" s="1">
        <f>[1]Results!AO1374</f>
        <v>1.0503940023852856</v>
      </c>
    </row>
    <row r="14" spans="1:38" x14ac:dyDescent="0.35">
      <c r="A14" s="3" t="str">
        <f>[1]Results!E1375</f>
        <v>100*((I_2-IA_spub_2-(I_0-IA_spub_0))/GDP_0)</v>
      </c>
      <c r="B14" t="str">
        <f>[1]Results!C1375</f>
        <v>Investissement entreprises</v>
      </c>
      <c r="C14" s="1">
        <f>[1]Results!F1375</f>
        <v>0</v>
      </c>
      <c r="D14" s="1">
        <f>[1]Results!G1375</f>
        <v>0</v>
      </c>
      <c r="E14" s="1">
        <f>[1]Results!H1375</f>
        <v>4.386634979003778E-9</v>
      </c>
      <c r="F14" s="1">
        <f>[1]Results!I1375</f>
        <v>3.8707873437769933E-9</v>
      </c>
      <c r="G14" s="1">
        <f>[1]Results!J1375</f>
        <v>0</v>
      </c>
      <c r="H14" s="1">
        <f>[1]Results!K1375</f>
        <v>3.6962884599606618E-9</v>
      </c>
      <c r="I14" s="1">
        <f>[1]Results!L1375</f>
        <v>-2.8703361767897135E-2</v>
      </c>
      <c r="J14" s="1">
        <f>[1]Results!M1375</f>
        <v>-9.1461030298235199E-2</v>
      </c>
      <c r="K14" s="1">
        <f>[1]Results!N1375</f>
        <v>-0.16683531072618654</v>
      </c>
      <c r="L14" s="1">
        <f>[1]Results!O1375</f>
        <v>-0.23760443294985073</v>
      </c>
      <c r="M14" s="1">
        <f>[1]Results!P1375</f>
        <v>-0.28797845812256839</v>
      </c>
      <c r="N14" s="1">
        <f>[1]Results!Q1375</f>
        <v>-0.30454658457577477</v>
      </c>
      <c r="O14" s="1">
        <f>[1]Results!R1375</f>
        <v>-0.28678873066658966</v>
      </c>
      <c r="P14" s="1">
        <f>[1]Results!S1375</f>
        <v>-0.24015993196531737</v>
      </c>
      <c r="Q14" s="1">
        <f>[1]Results!T1375</f>
        <v>-0.17212786093009186</v>
      </c>
      <c r="R14" s="1">
        <f>[1]Results!U1375</f>
        <v>-4.3501508370439916E-2</v>
      </c>
      <c r="S14" s="1">
        <f>[1]Results!V1375</f>
        <v>2.1997983011759793E-2</v>
      </c>
      <c r="T14" s="1">
        <f>[1]Results!W1375</f>
        <v>9.5856131875000208E-2</v>
      </c>
      <c r="U14" s="1">
        <f>[1]Results!X1375</f>
        <v>0.16883811113811265</v>
      </c>
      <c r="V14" s="1">
        <f>[1]Results!Y1375</f>
        <v>0.23592300394208646</v>
      </c>
      <c r="W14" s="1">
        <f>[1]Results!Z1375</f>
        <v>0.29529965969402233</v>
      </c>
      <c r="X14" s="1">
        <f>[1]Results!AA1375</f>
        <v>0.34815359044905092</v>
      </c>
      <c r="Y14" s="1">
        <f>[1]Results!AB1375</f>
        <v>0.39359542485810467</v>
      </c>
      <c r="Z14" s="1">
        <f>[1]Results!AC1375</f>
        <v>0.4312275053243354</v>
      </c>
      <c r="AA14" s="1">
        <f>[1]Results!AD1375</f>
        <v>0.46157605621866532</v>
      </c>
      <c r="AB14" s="1">
        <f>[1]Results!AE1375</f>
        <v>0.54787260709193231</v>
      </c>
      <c r="AC14" s="1">
        <f>[1]Results!AF1375</f>
        <v>0.57246876488303733</v>
      </c>
      <c r="AD14" s="1">
        <f>[1]Results!AG1375</f>
        <v>0.61803460744697925</v>
      </c>
      <c r="AE14" s="1">
        <f>[1]Results!AH1375</f>
        <v>0.66970953253742571</v>
      </c>
      <c r="AF14" s="1">
        <f>[1]Results!AI1375</f>
        <v>0.71994982278481379</v>
      </c>
      <c r="AG14" s="1">
        <f>[1]Results!AJ1375</f>
        <v>0.76605838074134114</v>
      </c>
      <c r="AH14" s="1">
        <f>[1]Results!AK1375</f>
        <v>0.80680133559301903</v>
      </c>
      <c r="AI14" s="1">
        <f>[1]Results!AL1375</f>
        <v>0.84074122491281278</v>
      </c>
      <c r="AJ14" s="1">
        <f>[1]Results!AM1375</f>
        <v>0.86771374753183361</v>
      </c>
      <c r="AK14" s="1">
        <f>[1]Results!AN1375</f>
        <v>0.8881879300904828</v>
      </c>
      <c r="AL14" s="1">
        <f>[1]Results!AO1375</f>
        <v>0.98756639715408456</v>
      </c>
    </row>
    <row r="15" spans="1:38" x14ac:dyDescent="0.35">
      <c r="A15" s="3" t="str">
        <f>[1]Results!E1376</f>
        <v>100*((CH_ccon_2-CH_ccon_0)/GDP_0)</v>
      </c>
      <c r="B15" t="str">
        <f>[1]Results!C1376</f>
        <v>Investissement ménages</v>
      </c>
      <c r="C15" s="1">
        <f>[1]Results!F1376</f>
        <v>0</v>
      </c>
      <c r="D15" s="1">
        <f>[1]Results!G1376</f>
        <v>0</v>
      </c>
      <c r="E15" s="1">
        <f>[1]Results!H1376</f>
        <v>0</v>
      </c>
      <c r="F15" s="1">
        <f>[1]Results!I1376</f>
        <v>0</v>
      </c>
      <c r="G15" s="1">
        <f>[1]Results!J1376</f>
        <v>0</v>
      </c>
      <c r="H15" s="1">
        <f>[1]Results!K1376</f>
        <v>0</v>
      </c>
      <c r="I15" s="1">
        <f>[1]Results!L1376</f>
        <v>-4.8092714679895366E-4</v>
      </c>
      <c r="J15" s="1">
        <f>[1]Results!M1376</f>
        <v>-2.5213019421329564E-3</v>
      </c>
      <c r="K15" s="1">
        <f>[1]Results!N1376</f>
        <v>-5.2817156898256846E-3</v>
      </c>
      <c r="L15" s="1">
        <f>[1]Results!O1376</f>
        <v>-7.7228190060870091E-3</v>
      </c>
      <c r="M15" s="1">
        <f>[1]Results!P1376</f>
        <v>-9.0519954780355835E-3</v>
      </c>
      <c r="N15" s="1">
        <f>[1]Results!Q1376</f>
        <v>-8.9926313086951364E-3</v>
      </c>
      <c r="O15" s="1">
        <f>[1]Results!R1376</f>
        <v>-6.4681492083021163E-3</v>
      </c>
      <c r="P15" s="1">
        <f>[1]Results!S1376</f>
        <v>-2.0500858980062194E-3</v>
      </c>
      <c r="Q15" s="1">
        <f>[1]Results!T1376</f>
        <v>3.4061296515896992E-3</v>
      </c>
      <c r="R15" s="1">
        <f>[1]Results!U1376</f>
        <v>9.780879317520844E-3</v>
      </c>
      <c r="S15" s="1">
        <f>[1]Results!V1376</f>
        <v>1.5492532194143059E-2</v>
      </c>
      <c r="T15" s="1">
        <f>[1]Results!W1376</f>
        <v>2.0329610456103476E-2</v>
      </c>
      <c r="U15" s="1">
        <f>[1]Results!X1376</f>
        <v>2.4276029277595021E-2</v>
      </c>
      <c r="V15" s="1">
        <f>[1]Results!Y1376</f>
        <v>2.7426684737657751E-2</v>
      </c>
      <c r="W15" s="1">
        <f>[1]Results!Z1376</f>
        <v>2.999824657310636E-2</v>
      </c>
      <c r="X15" s="1">
        <f>[1]Results!AA1376</f>
        <v>3.2015690182966614E-2</v>
      </c>
      <c r="Y15" s="1">
        <f>[1]Results!AB1376</f>
        <v>3.3577210244806921E-2</v>
      </c>
      <c r="Z15" s="1">
        <f>[1]Results!AC1376</f>
        <v>3.4677742197848756E-2</v>
      </c>
      <c r="AA15" s="1">
        <f>[1]Results!AD1376</f>
        <v>3.5319289725715297E-2</v>
      </c>
      <c r="AB15" s="1">
        <f>[1]Results!AE1376</f>
        <v>3.618914664546851E-2</v>
      </c>
      <c r="AC15" s="1">
        <f>[1]Results!AF1376</f>
        <v>3.6277582882089515E-2</v>
      </c>
      <c r="AD15" s="1">
        <f>[1]Results!AG1376</f>
        <v>3.5858893129566492E-2</v>
      </c>
      <c r="AE15" s="1">
        <f>[1]Results!AH1376</f>
        <v>3.5012314268582319E-2</v>
      </c>
      <c r="AF15" s="1">
        <f>[1]Results!AI1376</f>
        <v>3.3810060966866305E-2</v>
      </c>
      <c r="AG15" s="1">
        <f>[1]Results!AJ1376</f>
        <v>3.2332373317289886E-2</v>
      </c>
      <c r="AH15" s="1">
        <f>[1]Results!AK1376</f>
        <v>3.0563567144700651E-2</v>
      </c>
      <c r="AI15" s="1">
        <f>[1]Results!AL1376</f>
        <v>2.8529930319560273E-2</v>
      </c>
      <c r="AJ15" s="1">
        <f>[1]Results!AM1376</f>
        <v>2.629803319383503E-2</v>
      </c>
      <c r="AK15" s="1">
        <f>[1]Results!AN1376</f>
        <v>2.3970472347925698E-2</v>
      </c>
      <c r="AL15" s="1">
        <f>[1]Results!AO1376</f>
        <v>2.2461185327675999E-2</v>
      </c>
    </row>
    <row r="16" spans="1:38" x14ac:dyDescent="0.35">
      <c r="A16" s="3" t="str">
        <f>[1]Results!E1377</f>
        <v>100*((IA_spub_2-IA_spub_0)/GDP_0)</v>
      </c>
      <c r="B16" t="str">
        <f>[1]Results!C1377</f>
        <v>Investissement public</v>
      </c>
      <c r="C16" s="1">
        <f>[1]Results!F1377</f>
        <v>0</v>
      </c>
      <c r="D16" s="1">
        <f>[1]Results!G1377</f>
        <v>0</v>
      </c>
      <c r="E16" s="1">
        <f>[1]Results!H1377</f>
        <v>0</v>
      </c>
      <c r="F16" s="1">
        <f>[1]Results!I1377</f>
        <v>4.3008769126180499E-10</v>
      </c>
      <c r="G16" s="1">
        <f>[1]Results!J1377</f>
        <v>0</v>
      </c>
      <c r="H16" s="1">
        <f>[1]Results!K1377</f>
        <v>4.1069918260900314E-10</v>
      </c>
      <c r="I16" s="1">
        <f>[1]Results!L1377</f>
        <v>-3.4253171049253501E-4</v>
      </c>
      <c r="J16" s="1">
        <f>[1]Results!M1377</f>
        <v>-2.5635071454524904E-3</v>
      </c>
      <c r="K16" s="1">
        <f>[1]Results!N1377</f>
        <v>-5.4831704991525169E-3</v>
      </c>
      <c r="L16" s="1">
        <f>[1]Results!O1377</f>
        <v>-8.5042543317802883E-3</v>
      </c>
      <c r="M16" s="1">
        <f>[1]Results!P1377</f>
        <v>-1.1370986029695067E-2</v>
      </c>
      <c r="N16" s="1">
        <f>[1]Results!Q1377</f>
        <v>-1.2131011699478441E-2</v>
      </c>
      <c r="O16" s="1">
        <f>[1]Results!R1377</f>
        <v>-1.1273100073466574E-2</v>
      </c>
      <c r="P16" s="1">
        <f>[1]Results!S1377</f>
        <v>-9.3478119767441276E-3</v>
      </c>
      <c r="Q16" s="1">
        <f>[1]Results!T1377</f>
        <v>-6.772564004728949E-3</v>
      </c>
      <c r="R16" s="1">
        <f>[1]Results!U1377</f>
        <v>-3.2961631481985528E-3</v>
      </c>
      <c r="S16" s="1">
        <f>[1]Results!V1377</f>
        <v>-5.8807845381933738E-4</v>
      </c>
      <c r="T16" s="1">
        <f>[1]Results!W1377</f>
        <v>1.92893898297153E-3</v>
      </c>
      <c r="U16" s="1">
        <f>[1]Results!X1377</f>
        <v>4.1878579638826019E-3</v>
      </c>
      <c r="V16" s="1">
        <f>[1]Results!Y1377</f>
        <v>6.2529341811972308E-3</v>
      </c>
      <c r="W16" s="1">
        <f>[1]Results!Z1377</f>
        <v>8.2105312516247159E-3</v>
      </c>
      <c r="X16" s="1">
        <f>[1]Results!AA1377</f>
        <v>1.0293947851147867E-2</v>
      </c>
      <c r="Y16" s="1">
        <f>[1]Results!AB1377</f>
        <v>1.2455210332785977E-2</v>
      </c>
      <c r="Z16" s="1">
        <f>[1]Results!AC1377</f>
        <v>1.4713998863807276E-2</v>
      </c>
      <c r="AA16" s="1">
        <f>[1]Results!AD1377</f>
        <v>1.7115552699396134E-2</v>
      </c>
      <c r="AB16" s="1">
        <f>[1]Results!AE1377</f>
        <v>2.030661983962799E-2</v>
      </c>
      <c r="AC16" s="1">
        <f>[1]Results!AF1377</f>
        <v>2.3027825131104539E-2</v>
      </c>
      <c r="AD16" s="1">
        <f>[1]Results!AG1377</f>
        <v>2.5816099404539369E-2</v>
      </c>
      <c r="AE16" s="1">
        <f>[1]Results!AH1377</f>
        <v>2.8464113450109536E-2</v>
      </c>
      <c r="AF16" s="1">
        <f>[1]Results!AI1377</f>
        <v>3.089165397029792E-2</v>
      </c>
      <c r="AG16" s="1">
        <f>[1]Results!AJ1377</f>
        <v>3.3090567254912204E-2</v>
      </c>
      <c r="AH16" s="1">
        <f>[1]Results!AK1377</f>
        <v>3.5049566523800528E-2</v>
      </c>
      <c r="AI16" s="1">
        <f>[1]Results!AL1377</f>
        <v>3.6669200366689844E-2</v>
      </c>
      <c r="AJ16" s="1">
        <f>[1]Results!AM1377</f>
        <v>3.7945236493422449E-2</v>
      </c>
      <c r="AK16" s="1">
        <f>[1]Results!AN1377</f>
        <v>3.8912642759544466E-2</v>
      </c>
      <c r="AL16" s="1">
        <f>[1]Results!AO1377</f>
        <v>4.0366419903520856E-2</v>
      </c>
    </row>
    <row r="17" spans="1:38" x14ac:dyDescent="0.35">
      <c r="A17" s="3" t="str">
        <f>[1]Results!E1378</f>
        <v>100*(CH_2/CH_0-1)</v>
      </c>
      <c r="B17" t="str">
        <f>[1]Results!C1378</f>
        <v>Consommation des ménages</v>
      </c>
      <c r="C17" s="1">
        <f>[1]Results!F1378</f>
        <v>0</v>
      </c>
      <c r="D17" s="1">
        <f>[1]Results!G1378</f>
        <v>0</v>
      </c>
      <c r="E17" s="1">
        <f>[1]Results!H1378</f>
        <v>0</v>
      </c>
      <c r="F17" s="1">
        <f>[1]Results!I1378</f>
        <v>7.8959239147025073E-8</v>
      </c>
      <c r="G17" s="1">
        <f>[1]Results!J1378</f>
        <v>7.7203576864803836E-8</v>
      </c>
      <c r="H17" s="1">
        <f>[1]Results!K1378</f>
        <v>7.5089245932247195E-8</v>
      </c>
      <c r="I17" s="1">
        <f>[1]Results!L1378</f>
        <v>-6.8824683895307714E-2</v>
      </c>
      <c r="J17" s="1">
        <f>[1]Results!M1378</f>
        <v>-0.27813532403330177</v>
      </c>
      <c r="K17" s="1">
        <f>[1]Results!N1378</f>
        <v>-0.49439964206061671</v>
      </c>
      <c r="L17" s="1">
        <f>[1]Results!O1378</f>
        <v>-0.60655011688791616</v>
      </c>
      <c r="M17" s="1">
        <f>[1]Results!P1378</f>
        <v>-0.52131621897715252</v>
      </c>
      <c r="N17" s="1">
        <f>[1]Results!Q1378</f>
        <v>-0.28108395718181578</v>
      </c>
      <c r="O17" s="1">
        <f>[1]Results!R1378</f>
        <v>0.15166254866794127</v>
      </c>
      <c r="P17" s="1">
        <f>[1]Results!S1378</f>
        <v>0.72175968956700309</v>
      </c>
      <c r="Q17" s="1">
        <f>[1]Results!T1378</f>
        <v>1.3751894692396238</v>
      </c>
      <c r="R17" s="1">
        <f>[1]Results!U1378</f>
        <v>2.1467419216666395</v>
      </c>
      <c r="S17" s="1">
        <f>[1]Results!V1378</f>
        <v>2.8530318198251248</v>
      </c>
      <c r="T17" s="1">
        <f>[1]Results!W1378</f>
        <v>3.479853639666608</v>
      </c>
      <c r="U17" s="1">
        <f>[1]Results!X1378</f>
        <v>4.0235233297333028</v>
      </c>
      <c r="V17" s="1">
        <f>[1]Results!Y1378</f>
        <v>4.4844129041723413</v>
      </c>
      <c r="W17" s="1">
        <f>[1]Results!Z1378</f>
        <v>4.869324756894966</v>
      </c>
      <c r="X17" s="1">
        <f>[1]Results!AA1378</f>
        <v>5.1619658134187452</v>
      </c>
      <c r="Y17" s="1">
        <f>[1]Results!AB1378</f>
        <v>5.358835284616581</v>
      </c>
      <c r="Z17" s="1">
        <f>[1]Results!AC1378</f>
        <v>5.4599278770437687</v>
      </c>
      <c r="AA17" s="1">
        <f>[1]Results!AD1378</f>
        <v>5.4701840366095711</v>
      </c>
      <c r="AB17" s="1">
        <f>[1]Results!AE1378</f>
        <v>5.4965166290389167</v>
      </c>
      <c r="AC17" s="1">
        <f>[1]Results!AF1378</f>
        <v>5.416252804089039</v>
      </c>
      <c r="AD17" s="1">
        <f>[1]Results!AG1378</f>
        <v>5.2791592004097332</v>
      </c>
      <c r="AE17" s="1">
        <f>[1]Results!AH1378</f>
        <v>5.1073515290277482</v>
      </c>
      <c r="AF17" s="1">
        <f>[1]Results!AI1378</f>
        <v>4.9113700442863006</v>
      </c>
      <c r="AG17" s="1">
        <f>[1]Results!AJ1378</f>
        <v>4.6965583635934616</v>
      </c>
      <c r="AH17" s="1">
        <f>[1]Results!AK1378</f>
        <v>4.4533710498540158</v>
      </c>
      <c r="AI17" s="1">
        <f>[1]Results!AL1378</f>
        <v>4.1824995729863312</v>
      </c>
      <c r="AJ17" s="1">
        <f>[1]Results!AM1378</f>
        <v>3.8930357880832211</v>
      </c>
      <c r="AK17" s="1">
        <f>[1]Results!AN1378</f>
        <v>3.5975324267762288</v>
      </c>
      <c r="AL17" s="1">
        <f>[1]Results!AO1378</f>
        <v>3.4289277690807696</v>
      </c>
    </row>
    <row r="18" spans="1:38" x14ac:dyDescent="0.35">
      <c r="A18" s="3" t="str">
        <f>[1]Results!E1379</f>
        <v>100*(CH_cveh_2/CH_cveh_0-1)</v>
      </c>
      <c r="B18" t="str">
        <f>[1]Results!C1379</f>
        <v>Consommation des ménages automobile</v>
      </c>
      <c r="C18" s="1">
        <f>[1]Results!F1379</f>
        <v>0</v>
      </c>
      <c r="D18" s="1">
        <f>[1]Results!G1379</f>
        <v>1.5040324541359951E-8</v>
      </c>
      <c r="E18" s="1">
        <f>[1]Results!H1379</f>
        <v>2.8115776373738299E-8</v>
      </c>
      <c r="F18" s="1">
        <f>[1]Results!I1379</f>
        <v>4.0273318013817061E-8</v>
      </c>
      <c r="G18" s="1">
        <f>[1]Results!J1379</f>
        <v>6.3946914430346169E-8</v>
      </c>
      <c r="H18" s="1">
        <f>[1]Results!K1379</f>
        <v>7.2009531670857996E-8</v>
      </c>
      <c r="I18" s="1">
        <f>[1]Results!L1379</f>
        <v>-0.13151275251890304</v>
      </c>
      <c r="J18" s="1">
        <f>[1]Results!M1379</f>
        <v>-1.0870824090687292</v>
      </c>
      <c r="K18" s="1">
        <f>[1]Results!N1379</f>
        <v>-2.1841248295493165</v>
      </c>
      <c r="L18" s="1">
        <f>[1]Results!O1379</f>
        <v>-3.1912135850756473</v>
      </c>
      <c r="M18" s="1">
        <f>[1]Results!P1379</f>
        <v>-4.2285550941790317</v>
      </c>
      <c r="N18" s="1">
        <f>[1]Results!Q1379</f>
        <v>-3.164458290407357</v>
      </c>
      <c r="O18" s="1">
        <f>[1]Results!R1379</f>
        <v>-1.3786664987382125</v>
      </c>
      <c r="P18" s="1">
        <f>[1]Results!S1379</f>
        <v>0.2860794941861089</v>
      </c>
      <c r="Q18" s="1">
        <f>[1]Results!T1379</f>
        <v>1.5902345185064837</v>
      </c>
      <c r="R18" s="1">
        <f>[1]Results!U1379</f>
        <v>2.6872162193787519</v>
      </c>
      <c r="S18" s="1">
        <f>[1]Results!V1379</f>
        <v>3.1020980206615922</v>
      </c>
      <c r="T18" s="1">
        <f>[1]Results!W1379</f>
        <v>3.0245326417593921</v>
      </c>
      <c r="U18" s="1">
        <f>[1]Results!X1379</f>
        <v>2.6490614955276826</v>
      </c>
      <c r="V18" s="1">
        <f>[1]Results!Y1379</f>
        <v>2.2061076411763914</v>
      </c>
      <c r="W18" s="1">
        <f>[1]Results!Z1379</f>
        <v>1.7311078105022526</v>
      </c>
      <c r="X18" s="1">
        <f>[1]Results!AA1379</f>
        <v>1.4924074080527205</v>
      </c>
      <c r="Y18" s="1">
        <f>[1]Results!AB1379</f>
        <v>1.2776879746526193</v>
      </c>
      <c r="Z18" s="1">
        <f>[1]Results!AC1379</f>
        <v>1.0121365688759321</v>
      </c>
      <c r="AA18" s="1">
        <f>[1]Results!AD1379</f>
        <v>0.69782631642332227</v>
      </c>
      <c r="AB18" s="1">
        <f>[1]Results!AE1379</f>
        <v>0.53308250553398828</v>
      </c>
      <c r="AC18" s="1">
        <f>[1]Results!AF1379</f>
        <v>0.39887256677080263</v>
      </c>
      <c r="AD18" s="1">
        <f>[1]Results!AG1379</f>
        <v>0.28785273167908354</v>
      </c>
      <c r="AE18" s="1">
        <f>[1]Results!AH1379</f>
        <v>0.18215088519648592</v>
      </c>
      <c r="AF18" s="1">
        <f>[1]Results!AI1379</f>
        <v>8.0459425665635464E-2</v>
      </c>
      <c r="AG18" s="1">
        <f>[1]Results!AJ1379</f>
        <v>-2.1364249237509902E-2</v>
      </c>
      <c r="AH18" s="1">
        <f>[1]Results!AK1379</f>
        <v>-9.2921201663465069E-2</v>
      </c>
      <c r="AI18" s="1">
        <f>[1]Results!AL1379</f>
        <v>-0.20541283529532661</v>
      </c>
      <c r="AJ18" s="1">
        <f>[1]Results!AM1379</f>
        <v>-0.36579615841982882</v>
      </c>
      <c r="AK18" s="1">
        <f>[1]Results!AN1379</f>
        <v>-0.55623674565467018</v>
      </c>
      <c r="AL18" s="1">
        <f>[1]Results!AO1379</f>
        <v>-0.54348372093598885</v>
      </c>
    </row>
    <row r="19" spans="1:38" x14ac:dyDescent="0.35">
      <c r="A19" s="3" t="str">
        <f>[1]Results!E1380</f>
        <v>100*(G_2/G_0-1)</v>
      </c>
      <c r="B19" t="str">
        <f>[1]Results!C1380</f>
        <v>Dépenses publiques</v>
      </c>
      <c r="C19" s="1">
        <f>[1]Results!F1380</f>
        <v>0</v>
      </c>
      <c r="D19" s="1">
        <f>[1]Results!G1380</f>
        <v>0</v>
      </c>
      <c r="E19" s="1">
        <f>[1]Results!H1380</f>
        <v>0</v>
      </c>
      <c r="F19" s="1">
        <f>[1]Results!I1380</f>
        <v>0</v>
      </c>
      <c r="G19" s="1">
        <f>[1]Results!J1380</f>
        <v>0</v>
      </c>
      <c r="H19" s="1">
        <f>[1]Results!K1380</f>
        <v>0</v>
      </c>
      <c r="I19" s="1">
        <f>[1]Results!L1380</f>
        <v>0</v>
      </c>
      <c r="J19" s="1">
        <f>[1]Results!M1380</f>
        <v>0</v>
      </c>
      <c r="K19" s="1">
        <f>[1]Results!N1380</f>
        <v>0</v>
      </c>
      <c r="L19" s="1">
        <f>[1]Results!O1380</f>
        <v>0</v>
      </c>
      <c r="M19" s="1">
        <f>[1]Results!P1380</f>
        <v>0</v>
      </c>
      <c r="N19" s="1">
        <f>[1]Results!Q1380</f>
        <v>0</v>
      </c>
      <c r="O19" s="1">
        <f>[1]Results!R1380</f>
        <v>0</v>
      </c>
      <c r="P19" s="1">
        <f>[1]Results!S1380</f>
        <v>0</v>
      </c>
      <c r="Q19" s="1">
        <f>[1]Results!T1380</f>
        <v>0</v>
      </c>
      <c r="R19" s="1">
        <f>[1]Results!U1380</f>
        <v>0</v>
      </c>
      <c r="S19" s="1">
        <f>[1]Results!V1380</f>
        <v>0</v>
      </c>
      <c r="T19" s="1">
        <f>[1]Results!W1380</f>
        <v>0</v>
      </c>
      <c r="U19" s="1">
        <f>[1]Results!X1380</f>
        <v>0</v>
      </c>
      <c r="V19" s="1">
        <f>[1]Results!Y1380</f>
        <v>0</v>
      </c>
      <c r="W19" s="1">
        <f>[1]Results!Z1380</f>
        <v>0</v>
      </c>
      <c r="X19" s="1">
        <f>[1]Results!AA1380</f>
        <v>0</v>
      </c>
      <c r="Y19" s="1">
        <f>[1]Results!AB1380</f>
        <v>0</v>
      </c>
      <c r="Z19" s="1">
        <f>[1]Results!AC1380</f>
        <v>0</v>
      </c>
      <c r="AA19" s="1">
        <f>[1]Results!AD1380</f>
        <v>0</v>
      </c>
      <c r="AB19" s="1">
        <f>[1]Results!AE1380</f>
        <v>0</v>
      </c>
      <c r="AC19" s="1">
        <f>[1]Results!AF1380</f>
        <v>0</v>
      </c>
      <c r="AD19" s="1">
        <f>[1]Results!AG1380</f>
        <v>0</v>
      </c>
      <c r="AE19" s="1">
        <f>[1]Results!AH1380</f>
        <v>0</v>
      </c>
      <c r="AF19" s="1">
        <f>[1]Results!AI1380</f>
        <v>0</v>
      </c>
      <c r="AG19" s="1">
        <f>[1]Results!AJ1380</f>
        <v>0</v>
      </c>
      <c r="AH19" s="1">
        <f>[1]Results!AK1380</f>
        <v>0</v>
      </c>
      <c r="AI19" s="1">
        <f>[1]Results!AL1380</f>
        <v>0</v>
      </c>
      <c r="AJ19" s="1">
        <f>[1]Results!AM1380</f>
        <v>0</v>
      </c>
      <c r="AK19" s="1">
        <f>[1]Results!AN1380</f>
        <v>0</v>
      </c>
      <c r="AL19" s="1">
        <f>[1]Results!AO1380</f>
        <v>0</v>
      </c>
    </row>
    <row r="20" spans="1:38" x14ac:dyDescent="0.35">
      <c r="A20" s="3" t="str">
        <f>[1]Results!E1381</f>
        <v>100*(I_2/I_0-1)</v>
      </c>
      <c r="B20" t="str">
        <f>[1]Results!C1381</f>
        <v>Investissement</v>
      </c>
      <c r="C20" s="1">
        <f>[1]Results!F1381</f>
        <v>0</v>
      </c>
      <c r="D20" s="1">
        <f>[1]Results!G1381</f>
        <v>0</v>
      </c>
      <c r="E20" s="1">
        <f>[1]Results!H1381</f>
        <v>2.0389001598175582E-8</v>
      </c>
      <c r="F20" s="1">
        <f>[1]Results!I1381</f>
        <v>1.9957635544187724E-8</v>
      </c>
      <c r="G20" s="1">
        <f>[1]Results!J1381</f>
        <v>0</v>
      </c>
      <c r="H20" s="1">
        <f>[1]Results!K1381</f>
        <v>1.8963786097003776E-8</v>
      </c>
      <c r="I20" s="1">
        <f>[1]Results!L1381</f>
        <v>-0.13351776705464724</v>
      </c>
      <c r="J20" s="1">
        <f>[1]Results!M1381</f>
        <v>-0.42988762139588577</v>
      </c>
      <c r="K20" s="1">
        <f>[1]Results!N1381</f>
        <v>-0.7831009944133438</v>
      </c>
      <c r="L20" s="1">
        <f>[1]Results!O1381</f>
        <v>-1.1107451286612613</v>
      </c>
      <c r="M20" s="1">
        <f>[1]Results!P1381</f>
        <v>-1.3406177182574974</v>
      </c>
      <c r="N20" s="1">
        <f>[1]Results!Q1381</f>
        <v>-1.4066400427893866</v>
      </c>
      <c r="O20" s="1">
        <f>[1]Results!R1381</f>
        <v>-1.3127322764671101</v>
      </c>
      <c r="P20" s="1">
        <f>[1]Results!S1381</f>
        <v>-1.0892721959719021</v>
      </c>
      <c r="Q20" s="1">
        <f>[1]Results!T1381</f>
        <v>-0.77400271016883071</v>
      </c>
      <c r="R20" s="1">
        <f>[1]Results!U1381</f>
        <v>-0.20061113953930843</v>
      </c>
      <c r="S20" s="1">
        <f>[1]Results!V1381</f>
        <v>9.092285589427096E-2</v>
      </c>
      <c r="T20" s="1">
        <f>[1]Results!W1381</f>
        <v>0.41134959927633385</v>
      </c>
      <c r="U20" s="1">
        <f>[1]Results!X1381</f>
        <v>0.72095840837005376</v>
      </c>
      <c r="V20" s="1">
        <f>[1]Results!Y1381</f>
        <v>0.99952426106955095</v>
      </c>
      <c r="W20" s="1">
        <f>[1]Results!Z1381</f>
        <v>1.2407956977298351</v>
      </c>
      <c r="X20" s="1">
        <f>[1]Results!AA1381</f>
        <v>1.4517589787005791</v>
      </c>
      <c r="Y20" s="1">
        <f>[1]Results!AB1381</f>
        <v>1.6295424304000994</v>
      </c>
      <c r="Z20" s="1">
        <f>[1]Results!AC1381</f>
        <v>1.7736181366210024</v>
      </c>
      <c r="AA20" s="1">
        <f>[1]Results!AD1381</f>
        <v>1.8872092021948284</v>
      </c>
      <c r="AB20" s="1">
        <f>[1]Results!AE1381</f>
        <v>2.2205119768121007</v>
      </c>
      <c r="AC20" s="1">
        <f>[1]Results!AF1381</f>
        <v>2.3104718327528584</v>
      </c>
      <c r="AD20" s="1">
        <f>[1]Results!AG1381</f>
        <v>2.483239005486837</v>
      </c>
      <c r="AE20" s="1">
        <f>[1]Results!AH1381</f>
        <v>2.6794254354222558</v>
      </c>
      <c r="AF20" s="1">
        <f>[1]Results!AI1381</f>
        <v>2.8694863239810742</v>
      </c>
      <c r="AG20" s="1">
        <f>[1]Results!AJ1381</f>
        <v>3.0431602334870522</v>
      </c>
      <c r="AH20" s="1">
        <f>[1]Results!AK1381</f>
        <v>3.1958846187193135</v>
      </c>
      <c r="AI20" s="1">
        <f>[1]Results!AL1381</f>
        <v>3.3220224674262555</v>
      </c>
      <c r="AJ20" s="1">
        <f>[1]Results!AM1381</f>
        <v>3.4211097980827443</v>
      </c>
      <c r="AK20" s="1">
        <f>[1]Results!AN1381</f>
        <v>3.4951654270604093</v>
      </c>
      <c r="AL20" s="1">
        <f>[1]Results!AO1381</f>
        <v>3.8686600046901498</v>
      </c>
    </row>
    <row r="21" spans="1:38" x14ac:dyDescent="0.35">
      <c r="A21" s="3" t="str">
        <f>[1]Results!E1382</f>
        <v>100*((I_2-IA_spub_2)/(I_0-IA_spub_0)-1)</v>
      </c>
      <c r="B21" t="str">
        <f>[1]Results!C1382</f>
        <v>Investissement entreprises</v>
      </c>
      <c r="C21" s="1">
        <f>[1]Results!F1382</f>
        <v>0</v>
      </c>
      <c r="D21" s="1">
        <f>[1]Results!G1382</f>
        <v>0</v>
      </c>
      <c r="E21" s="1">
        <f>[1]Results!H1382</f>
        <v>2.2225732365654949E-8</v>
      </c>
      <c r="F21" s="1">
        <f>[1]Results!I1382</f>
        <v>1.9565349340666671E-8</v>
      </c>
      <c r="G21" s="1">
        <f>[1]Results!J1382</f>
        <v>0</v>
      </c>
      <c r="H21" s="1">
        <f>[1]Results!K1382</f>
        <v>1.8557733127977372E-8</v>
      </c>
      <c r="I21" s="1">
        <f>[1]Results!L1382</f>
        <v>-0.14330774260155055</v>
      </c>
      <c r="J21" s="1">
        <f>[1]Results!M1382</f>
        <v>-0.45365085141282346</v>
      </c>
      <c r="K21" s="1">
        <f>[1]Results!N1382</f>
        <v>-0.82150839401529119</v>
      </c>
      <c r="L21" s="1">
        <f>[1]Results!O1382</f>
        <v>-1.1605116588419007</v>
      </c>
      <c r="M21" s="1">
        <f>[1]Results!P1382</f>
        <v>-1.3941115759597777</v>
      </c>
      <c r="N21" s="1">
        <f>[1]Results!Q1382</f>
        <v>-1.4607737524084508</v>
      </c>
      <c r="O21" s="1">
        <f>[1]Results!R1382</f>
        <v>-1.3626939838432217</v>
      </c>
      <c r="P21" s="1">
        <f>[1]Results!S1382</f>
        <v>-1.1302295673999652</v>
      </c>
      <c r="Q21" s="1">
        <f>[1]Results!T1382</f>
        <v>-0.80219279619715422</v>
      </c>
      <c r="R21" s="1">
        <f>[1]Results!U1382</f>
        <v>-0.20074278134563084</v>
      </c>
      <c r="S21" s="1">
        <f>[1]Results!V1382</f>
        <v>0.10050099252310041</v>
      </c>
      <c r="T21" s="1">
        <f>[1]Results!W1382</f>
        <v>0.43353111796602395</v>
      </c>
      <c r="U21" s="1">
        <f>[1]Results!X1382</f>
        <v>0.75590184854754661</v>
      </c>
      <c r="V21" s="1">
        <f>[1]Results!Y1382</f>
        <v>1.0455828414117629</v>
      </c>
      <c r="W21" s="1">
        <f>[1]Results!Z1382</f>
        <v>1.2955005227114791</v>
      </c>
      <c r="X21" s="1">
        <f>[1]Results!AA1382</f>
        <v>1.5121565384392133</v>
      </c>
      <c r="Y21" s="1">
        <f>[1]Results!AB1382</f>
        <v>1.692723318841205</v>
      </c>
      <c r="Z21" s="1">
        <f>[1]Results!AC1382</f>
        <v>1.8365999693055635</v>
      </c>
      <c r="AA21" s="1">
        <f>[1]Results!AD1382</f>
        <v>1.9471051631541503</v>
      </c>
      <c r="AB21" s="1">
        <f>[1]Results!AE1382</f>
        <v>2.2891160624745055</v>
      </c>
      <c r="AC21" s="1">
        <f>[1]Results!AF1382</f>
        <v>2.3727228292258706</v>
      </c>
      <c r="AD21" s="1">
        <f>[1]Results!AG1382</f>
        <v>2.5444115632095032</v>
      </c>
      <c r="AE21" s="1">
        <f>[1]Results!AH1382</f>
        <v>2.7414601355675083</v>
      </c>
      <c r="AF21" s="1">
        <f>[1]Results!AI1382</f>
        <v>2.9326316669736618</v>
      </c>
      <c r="AG21" s="1">
        <f>[1]Results!AJ1382</f>
        <v>3.1070424208325065</v>
      </c>
      <c r="AH21" s="1">
        <f>[1]Results!AK1382</f>
        <v>3.2599313306834299</v>
      </c>
      <c r="AI21" s="1">
        <f>[1]Results!AL1382</f>
        <v>3.3857695191371384</v>
      </c>
      <c r="AJ21" s="1">
        <f>[1]Results!AM1382</f>
        <v>3.4841581207372796</v>
      </c>
      <c r="AK21" s="1">
        <f>[1]Results!AN1382</f>
        <v>3.5571788291423934</v>
      </c>
      <c r="AL21" s="1">
        <f>[1]Results!AO1382</f>
        <v>3.9462301959304114</v>
      </c>
    </row>
    <row r="22" spans="1:38" x14ac:dyDescent="0.35">
      <c r="A22" s="3" t="str">
        <f>[1]Results!E1383</f>
        <v>100*(X_2/X_0-1)</v>
      </c>
      <c r="B22" t="s">
        <v>24</v>
      </c>
      <c r="C22" s="1">
        <f>[1]Results!F1383</f>
        <v>0</v>
      </c>
      <c r="D22" s="1">
        <f>[1]Results!G1383</f>
        <v>0</v>
      </c>
      <c r="E22" s="1">
        <f>[1]Results!H1383</f>
        <v>-1.4726886377047776E-8</v>
      </c>
      <c r="F22" s="1">
        <f>[1]Results!I1383</f>
        <v>0</v>
      </c>
      <c r="G22" s="1">
        <f>[1]Results!J1383</f>
        <v>-1.37603706207301E-8</v>
      </c>
      <c r="H22" s="1">
        <f>[1]Results!K1383</f>
        <v>-2.6583391043999427E-8</v>
      </c>
      <c r="I22" s="1">
        <f>[1]Results!L1383</f>
        <v>-0.71270642018286257</v>
      </c>
      <c r="J22" s="1">
        <f>[1]Results!M1383</f>
        <v>-1.4601121252030613</v>
      </c>
      <c r="K22" s="1">
        <f>[1]Results!N1383</f>
        <v>-2.1106156628855399</v>
      </c>
      <c r="L22" s="1">
        <f>[1]Results!O1383</f>
        <v>-2.5739617546278515</v>
      </c>
      <c r="M22" s="1">
        <f>[1]Results!P1383</f>
        <v>-2.7391962314299634</v>
      </c>
      <c r="N22" s="1">
        <f>[1]Results!Q1383</f>
        <v>-2.7079816208192442</v>
      </c>
      <c r="O22" s="1">
        <f>[1]Results!R1383</f>
        <v>-2.5509276516566426</v>
      </c>
      <c r="P22" s="1">
        <f>[1]Results!S1383</f>
        <v>-2.3297721790170756</v>
      </c>
      <c r="Q22" s="1">
        <f>[1]Results!T1383</f>
        <v>-2.1022284706002425</v>
      </c>
      <c r="R22" s="1">
        <f>[1]Results!U1383</f>
        <v>-1.2221729646530788</v>
      </c>
      <c r="S22" s="1">
        <f>[1]Results!V1383</f>
        <v>-1.8958729604193425</v>
      </c>
      <c r="T22" s="1">
        <f>[1]Results!W1383</f>
        <v>-1.9314763231534138</v>
      </c>
      <c r="U22" s="1">
        <f>[1]Results!X1383</f>
        <v>-2.0598142625857685</v>
      </c>
      <c r="V22" s="1">
        <f>[1]Results!Y1383</f>
        <v>-2.288880804860649</v>
      </c>
      <c r="W22" s="1">
        <f>[1]Results!Z1383</f>
        <v>-2.6172344078463583</v>
      </c>
      <c r="X22" s="1">
        <f>[1]Results!AA1383</f>
        <v>-3.013862318377758</v>
      </c>
      <c r="Y22" s="1">
        <f>[1]Results!AB1383</f>
        <v>-3.477311504246916</v>
      </c>
      <c r="Z22" s="1">
        <f>[1]Results!AC1383</f>
        <v>-4.0032609980887202</v>
      </c>
      <c r="AA22" s="1">
        <f>[1]Results!AD1383</f>
        <v>-4.578492857520744</v>
      </c>
      <c r="AB22" s="1">
        <f>[1]Results!AE1383</f>
        <v>-4.3785259044291429</v>
      </c>
      <c r="AC22" s="1">
        <f>[1]Results!AF1383</f>
        <v>-5.1453365197052232</v>
      </c>
      <c r="AD22" s="1">
        <f>[1]Results!AG1383</f>
        <v>-5.1887643633571789</v>
      </c>
      <c r="AE22" s="1">
        <f>[1]Results!AH1383</f>
        <v>-5.2777794290098328</v>
      </c>
      <c r="AF22" s="1">
        <f>[1]Results!AI1383</f>
        <v>-5.4000146707537278</v>
      </c>
      <c r="AG22" s="1">
        <f>[1]Results!AJ1383</f>
        <v>-5.5376144430573815</v>
      </c>
      <c r="AH22" s="1">
        <f>[1]Results!AK1383</f>
        <v>-5.6683224375297714</v>
      </c>
      <c r="AI22" s="1">
        <f>[1]Results!AL1383</f>
        <v>-5.7795910271242761</v>
      </c>
      <c r="AJ22" s="1">
        <f>[1]Results!AM1383</f>
        <v>-5.8627138857214049</v>
      </c>
      <c r="AK22" s="1">
        <f>[1]Results!AN1383</f>
        <v>-5.9141795197730325</v>
      </c>
      <c r="AL22" s="1">
        <f>[1]Results!AO1383</f>
        <v>-4.9517913702920247</v>
      </c>
    </row>
    <row r="23" spans="1:38" x14ac:dyDescent="0.35">
      <c r="A23" s="3" t="str">
        <f>[1]Results!E1384</f>
        <v>100*(M_2/M_0-1)</v>
      </c>
      <c r="B23" t="s">
        <v>25</v>
      </c>
      <c r="C23" s="1">
        <f>[1]Results!F1384</f>
        <v>1.5265522179674917E-8</v>
      </c>
      <c r="D23" s="1">
        <f>[1]Results!G1384</f>
        <v>1.4976597739746467E-8</v>
      </c>
      <c r="E23" s="1">
        <f>[1]Results!H1384</f>
        <v>1.4652457025476906E-8</v>
      </c>
      <c r="F23" s="1">
        <f>[1]Results!I1384</f>
        <v>1.4323986441411307E-8</v>
      </c>
      <c r="G23" s="1">
        <f>[1]Results!J1384</f>
        <v>1.3962342393369909E-8</v>
      </c>
      <c r="H23" s="1">
        <f>[1]Results!K1384</f>
        <v>1.3548873134539008E-8</v>
      </c>
      <c r="I23" s="1">
        <f>[1]Results!L1384</f>
        <v>-0.24530709912009563</v>
      </c>
      <c r="J23" s="1">
        <f>[1]Results!M1384</f>
        <v>-0.70737677805369215</v>
      </c>
      <c r="K23" s="1">
        <f>[1]Results!N1384</f>
        <v>-1.1965776793779526</v>
      </c>
      <c r="L23" s="1">
        <f>[1]Results!O1384</f>
        <v>-1.6081949315482125</v>
      </c>
      <c r="M23" s="1">
        <f>[1]Results!P1384</f>
        <v>-1.8608980339072545</v>
      </c>
      <c r="N23" s="1">
        <f>[1]Results!Q1384</f>
        <v>-1.8344949714234504</v>
      </c>
      <c r="O23" s="1">
        <f>[1]Results!R1384</f>
        <v>-1.586484885014805</v>
      </c>
      <c r="P23" s="1">
        <f>[1]Results!S1384</f>
        <v>-1.1992507900901006</v>
      </c>
      <c r="Q23" s="1">
        <f>[1]Results!T1384</f>
        <v>-0.73356069356937947</v>
      </c>
      <c r="R23" s="1">
        <f>[1]Results!U1384</f>
        <v>9.4173661192997749E-2</v>
      </c>
      <c r="S23" s="1">
        <f>[1]Results!V1384</f>
        <v>0.32294482863211016</v>
      </c>
      <c r="T23" s="1">
        <f>[1]Results!W1384</f>
        <v>0.68279422819230717</v>
      </c>
      <c r="U23" s="1">
        <f>[1]Results!X1384</f>
        <v>0.98408697981888782</v>
      </c>
      <c r="V23" s="1">
        <f>[1]Results!Y1384</f>
        <v>1.1997201557006898</v>
      </c>
      <c r="W23" s="1">
        <f>[1]Results!Z1384</f>
        <v>1.3425493924774434</v>
      </c>
      <c r="X23" s="1">
        <f>[1]Results!AA1384</f>
        <v>1.4252065717998752</v>
      </c>
      <c r="Y23" s="1">
        <f>[1]Results!AB1384</f>
        <v>1.4341432584371816</v>
      </c>
      <c r="Z23" s="1">
        <f>[1]Results!AC1384</f>
        <v>1.3658893381400583</v>
      </c>
      <c r="AA23" s="1">
        <f>[1]Results!AD1384</f>
        <v>1.2255607731278761</v>
      </c>
      <c r="AB23" s="1">
        <f>[1]Results!AE1384</f>
        <v>1.4305111721184538</v>
      </c>
      <c r="AC23" s="1">
        <f>[1]Results!AF1384</f>
        <v>1.1061019862888211</v>
      </c>
      <c r="AD23" s="1">
        <f>[1]Results!AG1384</f>
        <v>0.99641222797675066</v>
      </c>
      <c r="AE23" s="1">
        <f>[1]Results!AH1384</f>
        <v>0.87691796496778274</v>
      </c>
      <c r="AF23" s="1">
        <f>[1]Results!AI1384</f>
        <v>0.72857260862155826</v>
      </c>
      <c r="AG23" s="1">
        <f>[1]Results!AJ1384</f>
        <v>0.55528303770735477</v>
      </c>
      <c r="AH23" s="1">
        <f>[1]Results!AK1384</f>
        <v>0.3614444501987446</v>
      </c>
      <c r="AI23" s="1">
        <f>[1]Results!AL1384</f>
        <v>0.14789353150386209</v>
      </c>
      <c r="AJ23" s="1">
        <f>[1]Results!AM1384</f>
        <v>-7.6199043936708843E-2</v>
      </c>
      <c r="AK23" s="1">
        <f>[1]Results!AN1384</f>
        <v>-0.30047783907891645</v>
      </c>
      <c r="AL23" s="1">
        <f>[1]Results!AO1384</f>
        <v>3.3106410408767495E-2</v>
      </c>
    </row>
    <row r="24" spans="1:38" x14ac:dyDescent="0.35">
      <c r="A24" s="3" t="str">
        <f>[1]Results!E1385</f>
        <v>100*((CH_2-CH_ccon_2)/(CH_0-CH_ccon_0)-1)</v>
      </c>
      <c r="B24" t="str">
        <f>[1]Results!C1385</f>
        <v>Consommation des ménages</v>
      </c>
      <c r="C24" s="1">
        <f>[1]Results!F1385</f>
        <v>0</v>
      </c>
      <c r="D24" s="1">
        <f>[1]Results!G1385</f>
        <v>0</v>
      </c>
      <c r="E24" s="1">
        <f>[1]Results!H1385</f>
        <v>0</v>
      </c>
      <c r="F24" s="1">
        <f>[1]Results!I1385</f>
        <v>8.014344743401125E-8</v>
      </c>
      <c r="G24" s="1">
        <f>[1]Results!J1385</f>
        <v>7.8359319033438624E-8</v>
      </c>
      <c r="H24" s="1">
        <f>[1]Results!K1385</f>
        <v>7.6212636201944406E-8</v>
      </c>
      <c r="I24" s="1">
        <f>[1]Results!L1385</f>
        <v>-6.8964068264687484E-2</v>
      </c>
      <c r="J24" s="1">
        <f>[1]Results!M1385</f>
        <v>-0.27763510190667029</v>
      </c>
      <c r="K24" s="1">
        <f>[1]Results!N1385</f>
        <v>-0.4920360442949856</v>
      </c>
      <c r="L24" s="1">
        <f>[1]Results!O1385</f>
        <v>-0.60136392011849171</v>
      </c>
      <c r="M24" s="1">
        <f>[1]Results!P1385</f>
        <v>-0.51243763525040675</v>
      </c>
      <c r="N24" s="1">
        <f>[1]Results!Q1385</f>
        <v>-0.26876809105221833</v>
      </c>
      <c r="O24" s="1">
        <f>[1]Results!R1385</f>
        <v>0.16576950029356663</v>
      </c>
      <c r="P24" s="1">
        <f>[1]Results!S1385</f>
        <v>0.73627124443036429</v>
      </c>
      <c r="Q24" s="1">
        <f>[1]Results!T1385</f>
        <v>1.3894972349900669</v>
      </c>
      <c r="R24" s="1">
        <f>[1]Results!U1385</f>
        <v>2.1609749965803671</v>
      </c>
      <c r="S24" s="1">
        <f>[1]Results!V1385</f>
        <v>2.8674526023520164</v>
      </c>
      <c r="T24" s="1">
        <f>[1]Results!W1385</f>
        <v>3.4948756042624485</v>
      </c>
      <c r="U24" s="1">
        <f>[1]Results!X1385</f>
        <v>4.0395144041285747</v>
      </c>
      <c r="V24" s="1">
        <f>[1]Results!Y1385</f>
        <v>4.5015567481835328</v>
      </c>
      <c r="W24" s="1">
        <f>[1]Results!Z1385</f>
        <v>4.8874867531990107</v>
      </c>
      <c r="X24" s="1">
        <f>[1]Results!AA1385</f>
        <v>5.1807188573854468</v>
      </c>
      <c r="Y24" s="1">
        <f>[1]Results!AB1385</f>
        <v>5.3775096924017385</v>
      </c>
      <c r="Z24" s="1">
        <f>[1]Results!AC1385</f>
        <v>5.4778630751844748</v>
      </c>
      <c r="AA24" s="1">
        <f>[1]Results!AD1385</f>
        <v>5.4867966991076544</v>
      </c>
      <c r="AB24" s="1">
        <f>[1]Results!AE1385</f>
        <v>5.511531075673437</v>
      </c>
      <c r="AC24" s="1">
        <f>[1]Results!AF1385</f>
        <v>5.429481056248231</v>
      </c>
      <c r="AD24" s="1">
        <f>[1]Results!AG1385</f>
        <v>5.2906963004242691</v>
      </c>
      <c r="AE24" s="1">
        <f>[1]Results!AH1385</f>
        <v>5.1175139337093833</v>
      </c>
      <c r="AF24" s="1">
        <f>[1]Results!AI1385</f>
        <v>4.9205260726608246</v>
      </c>
      <c r="AG24" s="1">
        <f>[1]Results!AJ1385</f>
        <v>4.7050224688408138</v>
      </c>
      <c r="AH24" s="1">
        <f>[1]Results!AK1385</f>
        <v>4.4613529572750776</v>
      </c>
      <c r="AI24" s="1">
        <f>[1]Results!AL1385</f>
        <v>4.190170570709717</v>
      </c>
      <c r="AJ24" s="1">
        <f>[1]Results!AM1385</f>
        <v>3.9005711501218787</v>
      </c>
      <c r="AK24" s="1">
        <f>[1]Results!AN1385</f>
        <v>3.6050881163549375</v>
      </c>
      <c r="AL24" s="1">
        <f>[1]Results!AO1385</f>
        <v>3.4368711728884893</v>
      </c>
    </row>
    <row r="25" spans="1:38" x14ac:dyDescent="0.35">
      <c r="A25" s="3" t="str">
        <f>[1]Results!E1386</f>
        <v>100*((I_2+CH_ccon_2)/(I_0+CH_ccon_0)-1)</v>
      </c>
      <c r="B25" t="str">
        <f>[1]Results!C1386</f>
        <v>Investissement</v>
      </c>
      <c r="C25" s="1">
        <f>[1]Results!F1386</f>
        <v>0</v>
      </c>
      <c r="D25" s="1">
        <f>[1]Results!G1386</f>
        <v>0</v>
      </c>
      <c r="E25" s="1">
        <f>[1]Results!H1386</f>
        <v>1.9651302807233151E-8</v>
      </c>
      <c r="F25" s="1">
        <f>[1]Results!I1386</f>
        <v>1.9239099202650323E-8</v>
      </c>
      <c r="G25" s="1">
        <f>[1]Results!J1386</f>
        <v>0</v>
      </c>
      <c r="H25" s="1">
        <f>[1]Results!K1386</f>
        <v>1.828317497398757E-8</v>
      </c>
      <c r="I25" s="1">
        <f>[1]Results!L1386</f>
        <v>-0.1308670939479728</v>
      </c>
      <c r="J25" s="1">
        <f>[1]Results!M1386</f>
        <v>-0.42566550359272037</v>
      </c>
      <c r="K25" s="1">
        <f>[1]Results!N1386</f>
        <v>-0.77846329881603449</v>
      </c>
      <c r="L25" s="1">
        <f>[1]Results!O1386</f>
        <v>-1.1052054165729297</v>
      </c>
      <c r="M25" s="1">
        <f>[1]Results!P1386</f>
        <v>-1.3327540743031885</v>
      </c>
      <c r="N25" s="1">
        <f>[1]Results!Q1386</f>
        <v>-1.3962067706739578</v>
      </c>
      <c r="O25" s="1">
        <f>[1]Results!R1386</f>
        <v>-1.2948065085718663</v>
      </c>
      <c r="P25" s="1">
        <f>[1]Results!S1386</f>
        <v>-1.0604642585987478</v>
      </c>
      <c r="Q25" s="1">
        <f>[1]Results!T1386</f>
        <v>-0.73334019077467838</v>
      </c>
      <c r="R25" s="1">
        <f>[1]Results!U1386</f>
        <v>-0.15330420642970521</v>
      </c>
      <c r="S25" s="1">
        <f>[1]Results!V1386</f>
        <v>0.15144681737622179</v>
      </c>
      <c r="T25" s="1">
        <f>[1]Results!W1386</f>
        <v>0.48030885417826852</v>
      </c>
      <c r="U25" s="1">
        <f>[1]Results!X1386</f>
        <v>0.79496664713614162</v>
      </c>
      <c r="V25" s="1">
        <f>[1]Results!Y1386</f>
        <v>1.076350651538327</v>
      </c>
      <c r="W25" s="1">
        <f>[1]Results!Z1386</f>
        <v>1.3193523470780066</v>
      </c>
      <c r="X25" s="1">
        <f>[1]Results!AA1386</f>
        <v>1.5308784554463051</v>
      </c>
      <c r="Y25" s="1">
        <f>[1]Results!AB1386</f>
        <v>1.708567055427368</v>
      </c>
      <c r="Z25" s="1">
        <f>[1]Results!AC1386</f>
        <v>1.8519041408049608</v>
      </c>
      <c r="AA25" s="1">
        <f>[1]Results!AD1386</f>
        <v>1.9640317423444298</v>
      </c>
      <c r="AB25" s="1">
        <f>[1]Results!AE1386</f>
        <v>2.2901703053186617</v>
      </c>
      <c r="AC25" s="1">
        <f>[1]Results!AF1386</f>
        <v>2.3776684990802543</v>
      </c>
      <c r="AD25" s="1">
        <f>[1]Results!AG1386</f>
        <v>2.5437653215063971</v>
      </c>
      <c r="AE25" s="1">
        <f>[1]Results!AH1386</f>
        <v>2.7311676455849643</v>
      </c>
      <c r="AF25" s="1">
        <f>[1]Results!AI1386</f>
        <v>2.9114411297520126</v>
      </c>
      <c r="AG25" s="1">
        <f>[1]Results!AJ1386</f>
        <v>3.0748763431626358</v>
      </c>
      <c r="AH25" s="1">
        <f>[1]Results!AK1386</f>
        <v>3.2169427094805636</v>
      </c>
      <c r="AI25" s="1">
        <f>[1]Results!AL1386</f>
        <v>3.3322278651565451</v>
      </c>
      <c r="AJ25" s="1">
        <f>[1]Results!AM1386</f>
        <v>3.4204983794766664</v>
      </c>
      <c r="AK25" s="1">
        <f>[1]Results!AN1386</f>
        <v>3.4840719487762906</v>
      </c>
      <c r="AL25" s="1">
        <f>[1]Results!AO1386</f>
        <v>3.8415881416017594</v>
      </c>
    </row>
    <row r="26" spans="1:38" x14ac:dyDescent="0.35">
      <c r="A26" s="3" t="str">
        <f>[1]Results!E1387</f>
        <v>100*((CH_ccon_2)/(CH_ccon_0)-1)</v>
      </c>
      <c r="B26" t="str">
        <f>[1]Results!C1387</f>
        <v>Investissement ménages</v>
      </c>
      <c r="C26" s="1">
        <f>[1]Results!F1387</f>
        <v>0</v>
      </c>
      <c r="D26" s="1">
        <f>[1]Results!G1387</f>
        <v>0</v>
      </c>
      <c r="E26" s="1">
        <f>[1]Results!H1387</f>
        <v>0</v>
      </c>
      <c r="F26" s="1">
        <f>[1]Results!I1387</f>
        <v>0</v>
      </c>
      <c r="G26" s="1">
        <f>[1]Results!J1387</f>
        <v>0</v>
      </c>
      <c r="H26" s="1">
        <f>[1]Results!K1387</f>
        <v>0</v>
      </c>
      <c r="I26" s="1">
        <f>[1]Results!L1387</f>
        <v>-5.9511841403891985E-2</v>
      </c>
      <c r="J26" s="1">
        <f>[1]Results!M1387</f>
        <v>-0.3115548351033004</v>
      </c>
      <c r="K26" s="1">
        <f>[1]Results!N1387</f>
        <v>-0.65240812791524938</v>
      </c>
      <c r="L26" s="1">
        <f>[1]Results!O1387</f>
        <v>-0.95363752902358767</v>
      </c>
      <c r="M26" s="1">
        <f>[1]Results!P1387</f>
        <v>-1.1162297852559844</v>
      </c>
      <c r="N26" s="1">
        <f>[1]Results!Q1387</f>
        <v>-1.1070489544849682</v>
      </c>
      <c r="O26" s="1">
        <f>[1]Results!R1387</f>
        <v>-0.79472215936752244</v>
      </c>
      <c r="P26" s="1">
        <f>[1]Results!S1387</f>
        <v>-0.25136909790365314</v>
      </c>
      <c r="Q26" s="1">
        <f>[1]Results!T1387</f>
        <v>0.41683171630693128</v>
      </c>
      <c r="R26" s="1">
        <f>[1]Results!U1387</f>
        <v>1.1950941658306569</v>
      </c>
      <c r="S26" s="1">
        <f>[1]Results!V1387</f>
        <v>1.8910209932837985</v>
      </c>
      <c r="T26" s="1">
        <f>[1]Results!W1387</f>
        <v>2.4803266303878413</v>
      </c>
      <c r="U26" s="1">
        <f>[1]Results!X1387</f>
        <v>2.9624268278493959</v>
      </c>
      <c r="V26" s="1">
        <f>[1]Results!Y1387</f>
        <v>3.3499362211731887</v>
      </c>
      <c r="W26" s="1">
        <f>[1]Results!Z1387</f>
        <v>3.6705813988747948</v>
      </c>
      <c r="X26" s="1">
        <f>[1]Results!AA1387</f>
        <v>3.9270520324583114</v>
      </c>
      <c r="Y26" s="1">
        <f>[1]Results!AB1387</f>
        <v>4.131482688386634</v>
      </c>
      <c r="Z26" s="1">
        <f>[1]Results!AC1387</f>
        <v>4.2829621601478962</v>
      </c>
      <c r="AA26" s="1">
        <f>[1]Results!AD1387</f>
        <v>4.3811834565849139</v>
      </c>
      <c r="AB26" s="1">
        <f>[1]Results!AE1387</f>
        <v>4.5128596285761935</v>
      </c>
      <c r="AC26" s="1">
        <f>[1]Results!AF1387</f>
        <v>4.5497442803458688</v>
      </c>
      <c r="AD26" s="1">
        <f>[1]Results!AG1387</f>
        <v>4.5233510211361461</v>
      </c>
      <c r="AE26" s="1">
        <f>[1]Results!AH1387</f>
        <v>4.4414685444196023</v>
      </c>
      <c r="AF26" s="1">
        <f>[1]Results!AI1387</f>
        <v>4.3113183645734354</v>
      </c>
      <c r="AG26" s="1">
        <f>[1]Results!AJ1387</f>
        <v>4.1418033662023568</v>
      </c>
      <c r="AH26" s="1">
        <f>[1]Results!AK1387</f>
        <v>3.9302551297708765</v>
      </c>
      <c r="AI26" s="1">
        <f>[1]Results!AL1387</f>
        <v>3.6798960939222081</v>
      </c>
      <c r="AJ26" s="1">
        <f>[1]Results!AM1387</f>
        <v>3.3995747192422154</v>
      </c>
      <c r="AK26" s="1">
        <f>[1]Results!AN1387</f>
        <v>3.1031366953344186</v>
      </c>
      <c r="AL26" s="1">
        <f>[1]Results!AO1387</f>
        <v>2.9097421415821279</v>
      </c>
    </row>
    <row r="27" spans="1:38" x14ac:dyDescent="0.35">
      <c r="A27" s="3" t="str">
        <f>[1]Results!E1388</f>
        <v>100*((IA_spub_2)/(IA_spub_0)-1)</v>
      </c>
      <c r="B27" t="str">
        <f>[1]Results!C1388</f>
        <v>Investissement public</v>
      </c>
      <c r="C27" s="1">
        <f>[1]Results!F1388</f>
        <v>0</v>
      </c>
      <c r="D27" s="1">
        <f>[1]Results!G1388</f>
        <v>0</v>
      </c>
      <c r="E27" s="1">
        <f>[1]Results!H1388</f>
        <v>0</v>
      </c>
      <c r="F27" s="1">
        <f>[1]Results!I1388</f>
        <v>2.4351876071193601E-8</v>
      </c>
      <c r="G27" s="1">
        <f>[1]Results!J1388</f>
        <v>0</v>
      </c>
      <c r="H27" s="1">
        <f>[1]Results!K1388</f>
        <v>2.3613955235646245E-8</v>
      </c>
      <c r="I27" s="1">
        <f>[1]Results!L1388</f>
        <v>-1.9855171229954394E-2</v>
      </c>
      <c r="J27" s="1">
        <f>[1]Results!M1388</f>
        <v>-0.1498442312409809</v>
      </c>
      <c r="K27" s="1">
        <f>[1]Results!N1388</f>
        <v>-0.32325851146051132</v>
      </c>
      <c r="L27" s="1">
        <f>[1]Results!O1388</f>
        <v>-0.50531226409430419</v>
      </c>
      <c r="M27" s="1">
        <f>[1]Results!P1388</f>
        <v>-0.6799020455972915</v>
      </c>
      <c r="N27" s="1">
        <f>[1]Results!Q1388</f>
        <v>-0.72870078674216465</v>
      </c>
      <c r="O27" s="1">
        <f>[1]Results!R1388</f>
        <v>-0.67921012593148422</v>
      </c>
      <c r="P27" s="1">
        <f>[1]Results!S1388</f>
        <v>-0.56409350590330698</v>
      </c>
      <c r="Q27" s="1">
        <f>[1]Results!T1388</f>
        <v>-0.40884770339787435</v>
      </c>
      <c r="R27" s="1">
        <f>[1]Results!U1388</f>
        <v>-0.19888981776740033</v>
      </c>
      <c r="S27" s="1">
        <f>[1]Results!V1388</f>
        <v>-3.5447650415720844E-2</v>
      </c>
      <c r="T27" s="1">
        <f>[1]Results!W1388</f>
        <v>0.11611625005010229</v>
      </c>
      <c r="U27" s="1">
        <f>[1]Results!X1388</f>
        <v>0.25175660743699257</v>
      </c>
      <c r="V27" s="1">
        <f>[1]Results!Y1388</f>
        <v>0.37547463039131479</v>
      </c>
      <c r="W27" s="1">
        <f>[1]Results!Z1388</f>
        <v>0.49262809063475022</v>
      </c>
      <c r="X27" s="1">
        <f>[1]Results!AA1388</f>
        <v>0.6175427924242749</v>
      </c>
      <c r="Y27" s="1">
        <f>[1]Results!AB1388</f>
        <v>0.7476672826584263</v>
      </c>
      <c r="Z27" s="1">
        <f>[1]Results!AC1388</f>
        <v>0.88458696116877622</v>
      </c>
      <c r="AA27" s="1">
        <f>[1]Results!AD1388</f>
        <v>1.031496227801143</v>
      </c>
      <c r="AB27" s="1">
        <f>[1]Results!AE1388</f>
        <v>1.2277639993751643</v>
      </c>
      <c r="AC27" s="1">
        <f>[1]Results!AF1388</f>
        <v>1.3983993095584291</v>
      </c>
      <c r="AD27" s="1">
        <f>[1]Results!AG1388</f>
        <v>1.5760981751983039</v>
      </c>
      <c r="AE27" s="1">
        <f>[1]Results!AH1388</f>
        <v>1.7485107549126688</v>
      </c>
      <c r="AF27" s="1">
        <f>[1]Results!AI1388</f>
        <v>1.9106771448293314</v>
      </c>
      <c r="AG27" s="1">
        <f>[1]Results!AJ1388</f>
        <v>2.0617872453810859</v>
      </c>
      <c r="AH27" s="1">
        <f>[1]Results!AK1388</f>
        <v>2.2006533989268107</v>
      </c>
      <c r="AI27" s="1">
        <f>[1]Results!AL1388</f>
        <v>2.3203638897137502</v>
      </c>
      <c r="AJ27" s="1">
        <f>[1]Results!AM1388</f>
        <v>2.419790375758768</v>
      </c>
      <c r="AK27" s="1">
        <f>[1]Results!AN1388</f>
        <v>2.5002643069251151</v>
      </c>
      <c r="AL27" s="1">
        <f>[1]Results!AO1388</f>
        <v>2.6123635524987865</v>
      </c>
    </row>
    <row r="28" spans="1:38" x14ac:dyDescent="0.35">
      <c r="A28" s="3" t="str">
        <f>[1]Results!E1389</f>
        <v>100*(DISPINC_AT_VAL_2/DISPINC_AT_VAL_0-1)</v>
      </c>
      <c r="B28" t="str">
        <f>[1]Results!C1389</f>
        <v>Revenu disponible des ménages</v>
      </c>
      <c r="C28" s="1">
        <f>[1]Results!F1389</f>
        <v>0</v>
      </c>
      <c r="D28" s="1">
        <f>[1]Results!G1389</f>
        <v>0</v>
      </c>
      <c r="E28" s="1">
        <f>[1]Results!H1389</f>
        <v>6.8208971804040175E-8</v>
      </c>
      <c r="F28" s="1">
        <f>[1]Results!I1389</f>
        <v>6.5324168296854168E-8</v>
      </c>
      <c r="G28" s="1">
        <f>[1]Results!J1389</f>
        <v>6.2524296851051986E-8</v>
      </c>
      <c r="H28" s="1">
        <f>[1]Results!K1389</f>
        <v>1.1955156864473793E-7</v>
      </c>
      <c r="I28" s="1">
        <f>[1]Results!L1389</f>
        <v>-0.13250706056748829</v>
      </c>
      <c r="J28" s="1">
        <f>[1]Results!M1389</f>
        <v>-5.4902383287647183E-3</v>
      </c>
      <c r="K28" s="1">
        <f>[1]Results!N1389</f>
        <v>0.34650816618766456</v>
      </c>
      <c r="L28" s="1">
        <f>[1]Results!O1389</f>
        <v>1.0893528246150863</v>
      </c>
      <c r="M28" s="1">
        <f>[1]Results!P1389</f>
        <v>2.4312539688783996</v>
      </c>
      <c r="N28" s="1">
        <f>[1]Results!Q1389</f>
        <v>3.4295388108388503</v>
      </c>
      <c r="O28" s="1">
        <f>[1]Results!R1389</f>
        <v>4.5869607489774644</v>
      </c>
      <c r="P28" s="1">
        <f>[1]Results!S1389</f>
        <v>5.8493845429002933</v>
      </c>
      <c r="Q28" s="1">
        <f>[1]Results!T1389</f>
        <v>7.1861292809114241</v>
      </c>
      <c r="R28" s="1">
        <f>[1]Results!U1389</f>
        <v>8.7098727154037547</v>
      </c>
      <c r="S28" s="1">
        <f>[1]Results!V1389</f>
        <v>10.125264578249315</v>
      </c>
      <c r="T28" s="1">
        <f>[1]Results!W1389</f>
        <v>11.535831122223872</v>
      </c>
      <c r="U28" s="1">
        <f>[1]Results!X1389</f>
        <v>12.9153276092973</v>
      </c>
      <c r="V28" s="1">
        <f>[1]Results!Y1389</f>
        <v>14.219444170817685</v>
      </c>
      <c r="W28" s="1">
        <f>[1]Results!Z1389</f>
        <v>15.436909017292443</v>
      </c>
      <c r="X28" s="1">
        <f>[1]Results!AA1389</f>
        <v>16.440256997491542</v>
      </c>
      <c r="Y28" s="1">
        <f>[1]Results!AB1389</f>
        <v>17.264051565123051</v>
      </c>
      <c r="Z28" s="1">
        <f>[1]Results!AC1389</f>
        <v>17.883658288183589</v>
      </c>
      <c r="AA28" s="1">
        <f>[1]Results!AD1389</f>
        <v>18.283832794649378</v>
      </c>
      <c r="AB28" s="1">
        <f>[1]Results!AE1389</f>
        <v>18.661648414071188</v>
      </c>
      <c r="AC28" s="1">
        <f>[1]Results!AF1389</f>
        <v>18.703612051573558</v>
      </c>
      <c r="AD28" s="1">
        <f>[1]Results!AG1389</f>
        <v>18.654172730335294</v>
      </c>
      <c r="AE28" s="1">
        <f>[1]Results!AH1389</f>
        <v>18.515304052695704</v>
      </c>
      <c r="AF28" s="1">
        <f>[1]Results!AI1389</f>
        <v>18.292311855204034</v>
      </c>
      <c r="AG28" s="1">
        <f>[1]Results!AJ1389</f>
        <v>17.993277480129354</v>
      </c>
      <c r="AH28" s="1">
        <f>[1]Results!AK1389</f>
        <v>17.598915502533586</v>
      </c>
      <c r="AI28" s="1">
        <f>[1]Results!AL1389</f>
        <v>17.155118638494706</v>
      </c>
      <c r="AJ28" s="1">
        <f>[1]Results!AM1389</f>
        <v>16.685034865603864</v>
      </c>
      <c r="AK28" s="1">
        <f>[1]Results!AN1389</f>
        <v>16.212395356246944</v>
      </c>
      <c r="AL28" s="1">
        <f>[1]Results!AO1389</f>
        <v>16.008417494007499</v>
      </c>
    </row>
    <row r="29" spans="1:38" x14ac:dyDescent="0.35">
      <c r="A29" s="3" t="str">
        <f>[1]Results!E1390</f>
        <v>100*(DISPINC_AT_VAL_2/DISPINC_AT_VAL_0-1)-100*(PCH_2/PCH_0-1)</v>
      </c>
      <c r="B29" t="str">
        <f>[1]Results!C1390</f>
        <v>Revenu disponible réel des ménages</v>
      </c>
      <c r="C29" s="1">
        <f>[1]Results!F1390</f>
        <v>0</v>
      </c>
      <c r="D29" s="1">
        <f>[1]Results!G1390</f>
        <v>0</v>
      </c>
      <c r="E29" s="1">
        <f>[1]Results!H1390</f>
        <v>6.8208971804040175E-8</v>
      </c>
      <c r="F29" s="1">
        <f>[1]Results!I1390</f>
        <v>-2.8217717051859381E-8</v>
      </c>
      <c r="G29" s="1">
        <f>[1]Results!J1390</f>
        <v>-2.9148727875849545E-8</v>
      </c>
      <c r="H29" s="1">
        <f>[1]Results!K1390</f>
        <v>2.9298763415397389E-8</v>
      </c>
      <c r="I29" s="1">
        <f>[1]Results!L1390</f>
        <v>-0.1009859119998846</v>
      </c>
      <c r="J29" s="1">
        <f>[1]Results!M1390</f>
        <v>-0.3680967537813995</v>
      </c>
      <c r="K29" s="1">
        <f>[1]Results!N1390</f>
        <v>-0.56828462927576151</v>
      </c>
      <c r="L29" s="1">
        <f>[1]Results!O1390</f>
        <v>-0.62036055228458231</v>
      </c>
      <c r="M29" s="1">
        <f>[1]Results!P1390</f>
        <v>-0.44632660737957686</v>
      </c>
      <c r="N29" s="1">
        <f>[1]Results!Q1390</f>
        <v>-0.14820796869203789</v>
      </c>
      <c r="O29" s="1">
        <f>[1]Results!R1390</f>
        <v>0.35971699095387333</v>
      </c>
      <c r="P29" s="1">
        <f>[1]Results!S1390</f>
        <v>0.97520455073705214</v>
      </c>
      <c r="Q29" s="1">
        <f>[1]Results!T1390</f>
        <v>1.6548937891306847</v>
      </c>
      <c r="R29" s="1">
        <f>[1]Results!U1390</f>
        <v>2.4897267398227951</v>
      </c>
      <c r="S29" s="1">
        <f>[1]Results!V1390</f>
        <v>3.1736169131058691</v>
      </c>
      <c r="T29" s="1">
        <f>[1]Results!W1390</f>
        <v>3.7987777486632845</v>
      </c>
      <c r="U29" s="1">
        <f>[1]Results!X1390</f>
        <v>4.3608486331473841</v>
      </c>
      <c r="V29" s="1">
        <f>[1]Results!Y1390</f>
        <v>4.8549525141713392</v>
      </c>
      <c r="W29" s="1">
        <f>[1]Results!Z1390</f>
        <v>5.2860467211912159</v>
      </c>
      <c r="X29" s="1">
        <f>[1]Results!AA1390</f>
        <v>5.6136987713073943</v>
      </c>
      <c r="Y29" s="1">
        <f>[1]Results!AB1390</f>
        <v>5.8409328325639507</v>
      </c>
      <c r="Z29" s="1">
        <f>[1]Results!AC1390</f>
        <v>5.9640676087726376</v>
      </c>
      <c r="AA29" s="1">
        <f>[1]Results!AD1390</f>
        <v>5.986679130277949</v>
      </c>
      <c r="AB29" s="1">
        <f>[1]Results!AE1390</f>
        <v>6.08052998743225</v>
      </c>
      <c r="AC29" s="1">
        <f>[1]Results!AF1390</f>
        <v>5.9706222895258936</v>
      </c>
      <c r="AD29" s="1">
        <f>[1]Results!AG1390</f>
        <v>5.8268722036097778</v>
      </c>
      <c r="AE29" s="1">
        <f>[1]Results!AH1390</f>
        <v>5.6506642708747954</v>
      </c>
      <c r="AF29" s="1">
        <f>[1]Results!AI1390</f>
        <v>5.4455052225517377</v>
      </c>
      <c r="AG29" s="1">
        <f>[1]Results!AJ1390</f>
        <v>5.2150307818082489</v>
      </c>
      <c r="AH29" s="1">
        <f>[1]Results!AK1390</f>
        <v>4.9416592483942932</v>
      </c>
      <c r="AI29" s="1">
        <f>[1]Results!AL1390</f>
        <v>4.6358683991033285</v>
      </c>
      <c r="AJ29" s="1">
        <f>[1]Results!AM1390</f>
        <v>4.3130020135053719</v>
      </c>
      <c r="AK29" s="1">
        <f>[1]Results!AN1390</f>
        <v>3.9884956983799107</v>
      </c>
      <c r="AL29" s="1">
        <f>[1]Results!AO1390</f>
        <v>3.8749312684120305</v>
      </c>
    </row>
    <row r="30" spans="1:38" x14ac:dyDescent="0.35">
      <c r="A30" s="3" t="str">
        <f>[1]Results!E1391</f>
        <v>100*(DISPINC_AT_VAL_2/DISPINC_AT_VAL_0-1)-100*((F_L_2/F_L_0)-1)</v>
      </c>
      <c r="B30" t="str">
        <f>[1]Results!C1391</f>
        <v>Revenu disponible par emploi en valeur</v>
      </c>
      <c r="C30" s="1">
        <f>[1]Results!F1391</f>
        <v>0</v>
      </c>
      <c r="D30" s="1">
        <f>[1]Results!G1391</f>
        <v>-3.6364689037782227E-8</v>
      </c>
      <c r="E30" s="1">
        <f>[1]Results!H1391</f>
        <v>6.8208971804040175E-8</v>
      </c>
      <c r="F30" s="1">
        <f>[1]Results!I1391</f>
        <v>6.5324168296854168E-8</v>
      </c>
      <c r="G30" s="1">
        <f>[1]Results!J1391</f>
        <v>6.2524296851051986E-8</v>
      </c>
      <c r="H30" s="1">
        <f>[1]Results!K1391</f>
        <v>8.4547857603922694E-8</v>
      </c>
      <c r="I30" s="1">
        <f>[1]Results!L1391</f>
        <v>-1.3348960271697408E-2</v>
      </c>
      <c r="J30" s="1">
        <f>[1]Results!M1391</f>
        <v>0.31403818589345045</v>
      </c>
      <c r="K30" s="1">
        <f>[1]Results!N1391</f>
        <v>0.88917162874303513</v>
      </c>
      <c r="L30" s="1">
        <f>[1]Results!O1391</f>
        <v>1.8011740764278694</v>
      </c>
      <c r="M30" s="1">
        <f>[1]Results!P1391</f>
        <v>3.1686450337261696</v>
      </c>
      <c r="N30" s="1">
        <f>[1]Results!Q1391</f>
        <v>4.0891726185623201</v>
      </c>
      <c r="O30" s="1">
        <f>[1]Results!R1391</f>
        <v>5.0725577264181592</v>
      </c>
      <c r="P30" s="1">
        <f>[1]Results!S1391</f>
        <v>6.0766860742064726</v>
      </c>
      <c r="Q30" s="1">
        <f>[1]Results!T1391</f>
        <v>7.0944661182237967</v>
      </c>
      <c r="R30" s="1">
        <f>[1]Results!U1391</f>
        <v>8.1685789196024103</v>
      </c>
      <c r="S30" s="1">
        <f>[1]Results!V1391</f>
        <v>9.2568273780201586</v>
      </c>
      <c r="T30" s="1">
        <f>[1]Results!W1391</f>
        <v>10.376282754513699</v>
      </c>
      <c r="U30" s="1">
        <f>[1]Results!X1391</f>
        <v>11.511395224935406</v>
      </c>
      <c r="V30" s="1">
        <f>[1]Results!Y1391</f>
        <v>12.630102166979238</v>
      </c>
      <c r="W30" s="1">
        <f>[1]Results!Z1391</f>
        <v>13.729519549453961</v>
      </c>
      <c r="X30" s="1">
        <f>[1]Results!AA1391</f>
        <v>14.690328112145011</v>
      </c>
      <c r="Y30" s="1">
        <f>[1]Results!AB1391</f>
        <v>15.546653340554183</v>
      </c>
      <c r="Z30" s="1">
        <f>[1]Results!AC1391</f>
        <v>16.27018711175112</v>
      </c>
      <c r="AA30" s="1">
        <f>[1]Results!AD1391</f>
        <v>16.839098905880711</v>
      </c>
      <c r="AB30" s="1">
        <f>[1]Results!AE1391</f>
        <v>17.317712872535985</v>
      </c>
      <c r="AC30" s="1">
        <f>[1]Results!AF1391</f>
        <v>17.526989812483926</v>
      </c>
      <c r="AD30" s="1">
        <f>[1]Results!AG1391</f>
        <v>17.611978725449681</v>
      </c>
      <c r="AE30" s="1">
        <f>[1]Results!AH1391</f>
        <v>17.587659960622084</v>
      </c>
      <c r="AF30" s="1">
        <f>[1]Results!AI1391</f>
        <v>17.471087650228952</v>
      </c>
      <c r="AG30" s="1">
        <f>[1]Results!AJ1391</f>
        <v>17.275679478840587</v>
      </c>
      <c r="AH30" s="1">
        <f>[1]Results!AK1391</f>
        <v>16.985340472075162</v>
      </c>
      <c r="AI30" s="1">
        <f>[1]Results!AL1391</f>
        <v>16.644345992570742</v>
      </c>
      <c r="AJ30" s="1">
        <f>[1]Results!AM1391</f>
        <v>16.272157322131385</v>
      </c>
      <c r="AK30" s="1">
        <f>[1]Results!AN1391</f>
        <v>15.888247454144054</v>
      </c>
      <c r="AL30" s="1">
        <f>[1]Results!AO1391</f>
        <v>15.599897696909306</v>
      </c>
    </row>
    <row r="31" spans="1:38" x14ac:dyDescent="0.35">
      <c r="A31" s="3" t="str">
        <f>[1]Results!E1392</f>
        <v>100*(DISPINC_AT_VAL_2/DISPINC_AT_VAL_0-1)-100*((F_L_2/F_L_0)-1)-100*(PCH_2/PCH_0-1)</v>
      </c>
      <c r="B31" t="str">
        <f>[1]Results!C1392</f>
        <v>Revenu disponible réel par emploi</v>
      </c>
      <c r="C31" s="1">
        <f>[1]Results!F1392</f>
        <v>0</v>
      </c>
      <c r="D31" s="1">
        <f>[1]Results!G1392</f>
        <v>-3.6364689037782227E-8</v>
      </c>
      <c r="E31" s="1">
        <f>[1]Results!H1392</f>
        <v>6.8208971804040175E-8</v>
      </c>
      <c r="F31" s="1">
        <f>[1]Results!I1392</f>
        <v>-2.8217717051859381E-8</v>
      </c>
      <c r="G31" s="1">
        <f>[1]Results!J1392</f>
        <v>-2.9148727875849545E-8</v>
      </c>
      <c r="H31" s="1">
        <f>[1]Results!K1392</f>
        <v>-5.7049476254178444E-9</v>
      </c>
      <c r="I31" s="1">
        <f>[1]Results!L1392</f>
        <v>1.8172188295906277E-2</v>
      </c>
      <c r="J31" s="1">
        <f>[1]Results!M1392</f>
        <v>-4.8568329559184331E-2</v>
      </c>
      <c r="K31" s="1">
        <f>[1]Results!N1392</f>
        <v>-2.5621166720390942E-2</v>
      </c>
      <c r="L31" s="1">
        <f>[1]Results!O1392</f>
        <v>9.1460699528200795E-2</v>
      </c>
      <c r="M31" s="1">
        <f>[1]Results!P1392</f>
        <v>0.29106445746819309</v>
      </c>
      <c r="N31" s="1">
        <f>[1]Results!Q1392</f>
        <v>0.51142583903143191</v>
      </c>
      <c r="O31" s="1">
        <f>[1]Results!R1392</f>
        <v>0.84531396839456807</v>
      </c>
      <c r="P31" s="1">
        <f>[1]Results!S1392</f>
        <v>1.2025060820432314</v>
      </c>
      <c r="Q31" s="1">
        <f>[1]Results!T1392</f>
        <v>1.5632306264430573</v>
      </c>
      <c r="R31" s="1">
        <f>[1]Results!U1392</f>
        <v>1.9484329440214507</v>
      </c>
      <c r="S31" s="1">
        <f>[1]Results!V1392</f>
        <v>2.3051797128767131</v>
      </c>
      <c r="T31" s="1">
        <f>[1]Results!W1392</f>
        <v>2.639229380953112</v>
      </c>
      <c r="U31" s="1">
        <f>[1]Results!X1392</f>
        <v>2.9569162487854896</v>
      </c>
      <c r="V31" s="1">
        <f>[1]Results!Y1392</f>
        <v>3.265610510332893</v>
      </c>
      <c r="W31" s="1">
        <f>[1]Results!Z1392</f>
        <v>3.5786572533527341</v>
      </c>
      <c r="X31" s="1">
        <f>[1]Results!AA1392</f>
        <v>3.8637698859608633</v>
      </c>
      <c r="Y31" s="1">
        <f>[1]Results!AB1392</f>
        <v>4.123534607995083</v>
      </c>
      <c r="Z31" s="1">
        <f>[1]Results!AC1392</f>
        <v>4.3505964323401685</v>
      </c>
      <c r="AA31" s="1">
        <f>[1]Results!AD1392</f>
        <v>4.541945241509282</v>
      </c>
      <c r="AB31" s="1">
        <f>[1]Results!AE1392</f>
        <v>4.7365944458970475</v>
      </c>
      <c r="AC31" s="1">
        <f>[1]Results!AF1392</f>
        <v>4.7940000504362619</v>
      </c>
      <c r="AD31" s="1">
        <f>[1]Results!AG1392</f>
        <v>4.7846781987241656</v>
      </c>
      <c r="AE31" s="1">
        <f>[1]Results!AH1392</f>
        <v>4.7230201788011748</v>
      </c>
      <c r="AF31" s="1">
        <f>[1]Results!AI1392</f>
        <v>4.6242810175766564</v>
      </c>
      <c r="AG31" s="1">
        <f>[1]Results!AJ1392</f>
        <v>4.4974327805194818</v>
      </c>
      <c r="AH31" s="1">
        <f>[1]Results!AK1392</f>
        <v>4.3280842179358689</v>
      </c>
      <c r="AI31" s="1">
        <f>[1]Results!AL1392</f>
        <v>4.1250957531793642</v>
      </c>
      <c r="AJ31" s="1">
        <f>[1]Results!AM1392</f>
        <v>3.9001244700328925</v>
      </c>
      <c r="AK31" s="1">
        <f>[1]Results!AN1392</f>
        <v>3.6643477962770206</v>
      </c>
      <c r="AL31" s="1">
        <f>[1]Results!AO1392</f>
        <v>3.4664114713138368</v>
      </c>
    </row>
    <row r="32" spans="1:38" x14ac:dyDescent="0.35">
      <c r="A32" s="3" t="str">
        <f>[1]Results!E1393</f>
        <v>100*(MPS_n_2-MPS_n_0)</v>
      </c>
      <c r="B32" t="str">
        <f>[1]Results!C1393</f>
        <v>Taux d'épargne</v>
      </c>
      <c r="C32" s="1">
        <f>[1]Results!F1393</f>
        <v>0</v>
      </c>
      <c r="D32" s="1">
        <f>[1]Results!G1393</f>
        <v>0</v>
      </c>
      <c r="E32" s="1">
        <f>[1]Results!H1393</f>
        <v>0</v>
      </c>
      <c r="F32" s="1">
        <f>[1]Results!I1393</f>
        <v>0</v>
      </c>
      <c r="G32" s="1">
        <f>[1]Results!J1393</f>
        <v>0</v>
      </c>
      <c r="H32" s="1">
        <f>[1]Results!K1393</f>
        <v>0</v>
      </c>
      <c r="I32" s="1">
        <f>[1]Results!L1393</f>
        <v>0</v>
      </c>
      <c r="J32" s="1">
        <f>[1]Results!M1393</f>
        <v>0</v>
      </c>
      <c r="K32" s="1">
        <f>[1]Results!N1393</f>
        <v>0</v>
      </c>
      <c r="L32" s="1">
        <f>[1]Results!O1393</f>
        <v>0</v>
      </c>
      <c r="M32" s="1">
        <f>[1]Results!P1393</f>
        <v>0</v>
      </c>
      <c r="N32" s="1">
        <f>[1]Results!Q1393</f>
        <v>0</v>
      </c>
      <c r="O32" s="1">
        <f>[1]Results!R1393</f>
        <v>0</v>
      </c>
      <c r="P32" s="1">
        <f>[1]Results!S1393</f>
        <v>0</v>
      </c>
      <c r="Q32" s="1">
        <f>[1]Results!T1393</f>
        <v>0</v>
      </c>
      <c r="R32" s="1">
        <f>[1]Results!U1393</f>
        <v>0</v>
      </c>
      <c r="S32" s="1">
        <f>[1]Results!V1393</f>
        <v>0</v>
      </c>
      <c r="T32" s="1">
        <f>[1]Results!W1393</f>
        <v>0</v>
      </c>
      <c r="U32" s="1">
        <f>[1]Results!X1393</f>
        <v>0</v>
      </c>
      <c r="V32" s="1">
        <f>[1]Results!Y1393</f>
        <v>0</v>
      </c>
      <c r="W32" s="1">
        <f>[1]Results!Z1393</f>
        <v>0</v>
      </c>
      <c r="X32" s="1">
        <f>[1]Results!AA1393</f>
        <v>0</v>
      </c>
      <c r="Y32" s="1">
        <f>[1]Results!AB1393</f>
        <v>0</v>
      </c>
      <c r="Z32" s="1">
        <f>[1]Results!AC1393</f>
        <v>0</v>
      </c>
      <c r="AA32" s="1">
        <f>[1]Results!AD1393</f>
        <v>0</v>
      </c>
      <c r="AB32" s="1">
        <f>[1]Results!AE1393</f>
        <v>0</v>
      </c>
      <c r="AC32" s="1">
        <f>[1]Results!AF1393</f>
        <v>0</v>
      </c>
      <c r="AD32" s="1">
        <f>[1]Results!AG1393</f>
        <v>0</v>
      </c>
      <c r="AE32" s="1">
        <f>[1]Results!AH1393</f>
        <v>0</v>
      </c>
      <c r="AF32" s="1">
        <f>[1]Results!AI1393</f>
        <v>0</v>
      </c>
      <c r="AG32" s="1">
        <f>[1]Results!AJ1393</f>
        <v>0</v>
      </c>
      <c r="AH32" s="1">
        <f>[1]Results!AK1393</f>
        <v>0</v>
      </c>
      <c r="AI32" s="1">
        <f>[1]Results!AL1393</f>
        <v>0</v>
      </c>
      <c r="AJ32" s="1">
        <f>[1]Results!AM1393</f>
        <v>0</v>
      </c>
      <c r="AK32" s="1">
        <f>[1]Results!AN1393</f>
        <v>0</v>
      </c>
      <c r="AL32" s="1">
        <f>[1]Results!AO1393</f>
        <v>0</v>
      </c>
    </row>
    <row r="33" spans="1:38" x14ac:dyDescent="0.35">
      <c r="A33" s="3" t="str">
        <f>[1]Results!E1394</f>
        <v>100*(PCH_2/PCH_0-1)</v>
      </c>
      <c r="B33" t="str">
        <f>[1]Results!C1394</f>
        <v>Prix à la consommation des ménages</v>
      </c>
      <c r="C33" s="1">
        <f>[1]Results!F1394</f>
        <v>0</v>
      </c>
      <c r="D33" s="1">
        <f>[1]Results!G1394</f>
        <v>0</v>
      </c>
      <c r="E33" s="1">
        <f>[1]Results!H1394</f>
        <v>6.8208971804040175E-8</v>
      </c>
      <c r="F33" s="1">
        <f>[1]Results!I1394</f>
        <v>-2.8217717051859381E-8</v>
      </c>
      <c r="G33" s="1">
        <f>[1]Results!J1394</f>
        <v>-2.9148727875849545E-8</v>
      </c>
      <c r="H33" s="1">
        <f>[1]Results!K1394</f>
        <v>2.9298763415397389E-8</v>
      </c>
      <c r="I33" s="1">
        <f>[1]Results!L1394</f>
        <v>-0.1009859119998846</v>
      </c>
      <c r="J33" s="1">
        <f>[1]Results!M1394</f>
        <v>-0.3680967537813995</v>
      </c>
      <c r="K33" s="1">
        <f>[1]Results!N1394</f>
        <v>-0.56828462927576151</v>
      </c>
      <c r="L33" s="1">
        <f>[1]Results!O1394</f>
        <v>-0.62036055228458231</v>
      </c>
      <c r="M33" s="1">
        <f>[1]Results!P1394</f>
        <v>-0.44632660737957686</v>
      </c>
      <c r="N33" s="1">
        <f>[1]Results!Q1394</f>
        <v>-0.14820796869203789</v>
      </c>
      <c r="O33" s="1">
        <f>[1]Results!R1394</f>
        <v>0.35971699095387333</v>
      </c>
      <c r="P33" s="1">
        <f>[1]Results!S1394</f>
        <v>0.97520455073705214</v>
      </c>
      <c r="Q33" s="1">
        <f>[1]Results!T1394</f>
        <v>1.6548937891306847</v>
      </c>
      <c r="R33" s="1">
        <f>[1]Results!U1394</f>
        <v>2.4897267398227951</v>
      </c>
      <c r="S33" s="1">
        <f>[1]Results!V1394</f>
        <v>3.1736169131058691</v>
      </c>
      <c r="T33" s="1">
        <f>[1]Results!W1394</f>
        <v>3.7987777486632845</v>
      </c>
      <c r="U33" s="1">
        <f>[1]Results!X1394</f>
        <v>4.3608486331473841</v>
      </c>
      <c r="V33" s="1">
        <f>[1]Results!Y1394</f>
        <v>4.8549525141713392</v>
      </c>
      <c r="W33" s="1">
        <f>[1]Results!Z1394</f>
        <v>5.2860467211912159</v>
      </c>
      <c r="X33" s="1">
        <f>[1]Results!AA1394</f>
        <v>5.6136987713073943</v>
      </c>
      <c r="Y33" s="1">
        <f>[1]Results!AB1394</f>
        <v>5.8409328325639507</v>
      </c>
      <c r="Z33" s="1">
        <f>[1]Results!AC1394</f>
        <v>5.9640676087726376</v>
      </c>
      <c r="AA33" s="1">
        <f>[1]Results!AD1394</f>
        <v>5.986679130277949</v>
      </c>
      <c r="AB33" s="1">
        <f>[1]Results!AE1394</f>
        <v>6.08052998743225</v>
      </c>
      <c r="AC33" s="1">
        <f>[1]Results!AF1394</f>
        <v>5.9706222895258936</v>
      </c>
      <c r="AD33" s="1">
        <f>[1]Results!AG1394</f>
        <v>5.8268722036097778</v>
      </c>
      <c r="AE33" s="1">
        <f>[1]Results!AH1394</f>
        <v>5.6506642708747954</v>
      </c>
      <c r="AF33" s="1">
        <f>[1]Results!AI1394</f>
        <v>5.4455052225517377</v>
      </c>
      <c r="AG33" s="1">
        <f>[1]Results!AJ1394</f>
        <v>5.2150307818082489</v>
      </c>
      <c r="AH33" s="1">
        <f>[1]Results!AK1394</f>
        <v>4.9416592483942932</v>
      </c>
      <c r="AI33" s="1">
        <f>[1]Results!AL1394</f>
        <v>4.6358683991033285</v>
      </c>
      <c r="AJ33" s="1">
        <f>[1]Results!AM1394</f>
        <v>4.3130020135053719</v>
      </c>
      <c r="AK33" s="1">
        <f>[1]Results!AN1394</f>
        <v>3.9884956983799107</v>
      </c>
      <c r="AL33" s="1">
        <f>[1]Results!AO1394</f>
        <v>3.8749312684120305</v>
      </c>
    </row>
    <row r="34" spans="1:38" x14ac:dyDescent="0.35">
      <c r="A34" s="3" t="str">
        <f>[1]Results!E1395</f>
        <v>100*(PY_2/PY_0-1)</v>
      </c>
      <c r="B34" t="str">
        <f>[1]Results!C1395</f>
        <v>Prix à la production marchande</v>
      </c>
      <c r="C34" s="1">
        <f>[1]Results!F1395</f>
        <v>0</v>
      </c>
      <c r="D34" s="1">
        <f>[1]Results!G1395</f>
        <v>0</v>
      </c>
      <c r="E34" s="1">
        <f>[1]Results!H1395</f>
        <v>0</v>
      </c>
      <c r="F34" s="1">
        <f>[1]Results!I1395</f>
        <v>0</v>
      </c>
      <c r="G34" s="1">
        <f>[1]Results!J1395</f>
        <v>0</v>
      </c>
      <c r="H34" s="1">
        <f>[1]Results!K1395</f>
        <v>8.9778096068471314E-8</v>
      </c>
      <c r="I34" s="1">
        <f>[1]Results!L1395</f>
        <v>-3.9458841421669E-2</v>
      </c>
      <c r="J34" s="1">
        <f>[1]Results!M1395</f>
        <v>0.12706467102006069</v>
      </c>
      <c r="K34" s="1">
        <f>[1]Results!N1395</f>
        <v>0.43729625628039503</v>
      </c>
      <c r="L34" s="1">
        <f>[1]Results!O1395</f>
        <v>0.94025078488730873</v>
      </c>
      <c r="M34" s="1">
        <f>[1]Results!P1395</f>
        <v>1.7526371078087299</v>
      </c>
      <c r="N34" s="1">
        <f>[1]Results!Q1395</f>
        <v>2.4632754734986717</v>
      </c>
      <c r="O34" s="1">
        <f>[1]Results!R1395</f>
        <v>3.1368390411044444</v>
      </c>
      <c r="P34" s="1">
        <f>[1]Results!S1395</f>
        <v>3.8201324758870614</v>
      </c>
      <c r="Q34" s="1">
        <f>[1]Results!T1395</f>
        <v>4.5275031075885597</v>
      </c>
      <c r="R34" s="1">
        <f>[1]Results!U1395</f>
        <v>5.2893273310001376</v>
      </c>
      <c r="S34" s="1">
        <f>[1]Results!V1395</f>
        <v>6.0659819418998007</v>
      </c>
      <c r="T34" s="1">
        <f>[1]Results!W1395</f>
        <v>6.8879982356608416</v>
      </c>
      <c r="U34" s="1">
        <f>[1]Results!X1395</f>
        <v>7.749414648642583</v>
      </c>
      <c r="V34" s="1">
        <f>[1]Results!Y1395</f>
        <v>8.6204718038589423</v>
      </c>
      <c r="W34" s="1">
        <f>[1]Results!Z1395</f>
        <v>9.4712747072263745</v>
      </c>
      <c r="X34" s="1">
        <f>[1]Results!AA1395</f>
        <v>10.235899370185631</v>
      </c>
      <c r="Y34" s="1">
        <f>[1]Results!AB1395</f>
        <v>10.908203901768122</v>
      </c>
      <c r="Z34" s="1">
        <f>[1]Results!AC1395</f>
        <v>11.472030460336713</v>
      </c>
      <c r="AA34" s="1">
        <f>[1]Results!AD1395</f>
        <v>11.909837949630342</v>
      </c>
      <c r="AB34" s="1">
        <f>[1]Results!AE1395</f>
        <v>12.25834898089504</v>
      </c>
      <c r="AC34" s="1">
        <f>[1]Results!AF1395</f>
        <v>12.46840333656689</v>
      </c>
      <c r="AD34" s="1">
        <f>[1]Results!AG1395</f>
        <v>12.595693259088335</v>
      </c>
      <c r="AE34" s="1">
        <f>[1]Results!AH1395</f>
        <v>12.666587496459837</v>
      </c>
      <c r="AF34" s="1">
        <f>[1]Results!AI1395</f>
        <v>12.6867238934109</v>
      </c>
      <c r="AG34" s="1">
        <f>[1]Results!AJ1395</f>
        <v>12.660381828959299</v>
      </c>
      <c r="AH34" s="1">
        <f>[1]Results!AK1395</f>
        <v>12.585755327285074</v>
      </c>
      <c r="AI34" s="1">
        <f>[1]Results!AL1395</f>
        <v>12.486399232260625</v>
      </c>
      <c r="AJ34" s="1">
        <f>[1]Results!AM1395</f>
        <v>12.375501627904772</v>
      </c>
      <c r="AK34" s="1">
        <f>[1]Results!AN1395</f>
        <v>12.26289002124612</v>
      </c>
      <c r="AL34" s="1">
        <f>[1]Results!AO1395</f>
        <v>12.219326949349707</v>
      </c>
    </row>
    <row r="35" spans="1:38" x14ac:dyDescent="0.35">
      <c r="A35" s="3" t="str">
        <f>[1]Results!E1396</f>
        <v>100*(PX_2/PX_0-1)</v>
      </c>
      <c r="B35" t="str">
        <f>[1]Results!C1396</f>
        <v>Prix des exportations</v>
      </c>
      <c r="C35" s="1">
        <f>[1]Results!F1396</f>
        <v>0</v>
      </c>
      <c r="D35" s="1">
        <f>[1]Results!G1396</f>
        <v>0</v>
      </c>
      <c r="E35" s="1">
        <f>[1]Results!H1396</f>
        <v>0</v>
      </c>
      <c r="F35" s="1">
        <f>[1]Results!I1396</f>
        <v>0</v>
      </c>
      <c r="G35" s="1">
        <f>[1]Results!J1396</f>
        <v>9.1431617832427037E-8</v>
      </c>
      <c r="H35" s="1">
        <f>[1]Results!K1396</f>
        <v>0</v>
      </c>
      <c r="I35" s="1">
        <f>[1]Results!L1396</f>
        <v>-4.2940184303563722E-2</v>
      </c>
      <c r="J35" s="1">
        <f>[1]Results!M1396</f>
        <v>0.21212816495441711</v>
      </c>
      <c r="K35" s="1">
        <f>[1]Results!N1396</f>
        <v>0.62015532288197672</v>
      </c>
      <c r="L35" s="1">
        <f>[1]Results!O1396</f>
        <v>1.2313198960608451</v>
      </c>
      <c r="M35" s="1">
        <f>[1]Results!P1396</f>
        <v>2.16113985585622</v>
      </c>
      <c r="N35" s="1">
        <f>[1]Results!Q1396</f>
        <v>2.8783604262202944</v>
      </c>
      <c r="O35" s="1">
        <f>[1]Results!R1396</f>
        <v>3.4664217463088232</v>
      </c>
      <c r="P35" s="1">
        <f>[1]Results!S1396</f>
        <v>4.0055670155950018</v>
      </c>
      <c r="Q35" s="1">
        <f>[1]Results!T1396</f>
        <v>4.5296474195824832</v>
      </c>
      <c r="R35" s="1">
        <f>[1]Results!U1396</f>
        <v>5.0952090876429601</v>
      </c>
      <c r="S35" s="1">
        <f>[1]Results!V1396</f>
        <v>5.6495468716282637</v>
      </c>
      <c r="T35" s="1">
        <f>[1]Results!W1396</f>
        <v>6.2783952803051157</v>
      </c>
      <c r="U35" s="1">
        <f>[1]Results!X1396</f>
        <v>6.9773967982330598</v>
      </c>
      <c r="V35" s="1">
        <f>[1]Results!Y1396</f>
        <v>7.7173616689075075</v>
      </c>
      <c r="W35" s="1">
        <f>[1]Results!Z1396</f>
        <v>8.4578061936030338</v>
      </c>
      <c r="X35" s="1">
        <f>[1]Results!AA1396</f>
        <v>9.1266901523136212</v>
      </c>
      <c r="Y35" s="1">
        <f>[1]Results!AB1396</f>
        <v>9.7206557878259048</v>
      </c>
      <c r="Z35" s="1">
        <f>[1]Results!AC1396</f>
        <v>10.221310724525722</v>
      </c>
      <c r="AA35" s="1">
        <f>[1]Results!AD1396</f>
        <v>10.609891554694894</v>
      </c>
      <c r="AB35" s="1">
        <f>[1]Results!AE1396</f>
        <v>10.928254062691977</v>
      </c>
      <c r="AC35" s="1">
        <f>[1]Results!AF1396</f>
        <v>11.140942667631236</v>
      </c>
      <c r="AD35" s="1">
        <f>[1]Results!AG1396</f>
        <v>11.276448456977018</v>
      </c>
      <c r="AE35" s="1">
        <f>[1]Results!AH1396</f>
        <v>11.366770535617764</v>
      </c>
      <c r="AF35" s="1">
        <f>[1]Results!AI1396</f>
        <v>11.411977067235203</v>
      </c>
      <c r="AG35" s="1">
        <f>[1]Results!AJ1396</f>
        <v>11.413587483900777</v>
      </c>
      <c r="AH35" s="1">
        <f>[1]Results!AK1396</f>
        <v>11.371198124865579</v>
      </c>
      <c r="AI35" s="1">
        <f>[1]Results!AL1396</f>
        <v>11.311360156190187</v>
      </c>
      <c r="AJ35" s="1">
        <f>[1]Results!AM1396</f>
        <v>11.244644830175465</v>
      </c>
      <c r="AK35" s="1">
        <f>[1]Results!AN1396</f>
        <v>11.179246141101483</v>
      </c>
      <c r="AL35" s="1">
        <f>[1]Results!AO1396</f>
        <v>11.191508730328458</v>
      </c>
    </row>
    <row r="36" spans="1:38" x14ac:dyDescent="0.35">
      <c r="A36" s="3" t="str">
        <f>[1]Results!E1397</f>
        <v>100*(PM_2/PM_0-1)</v>
      </c>
      <c r="B36" t="str">
        <f>[1]Results!C1397</f>
        <v>Prix des importations</v>
      </c>
      <c r="C36" s="1">
        <f>[1]Results!F1397</f>
        <v>0</v>
      </c>
      <c r="D36" s="1">
        <f>[1]Results!G1397</f>
        <v>0</v>
      </c>
      <c r="E36" s="1">
        <f>[1]Results!H1397</f>
        <v>0</v>
      </c>
      <c r="F36" s="1">
        <f>[1]Results!I1397</f>
        <v>0</v>
      </c>
      <c r="G36" s="1">
        <f>[1]Results!J1397</f>
        <v>0</v>
      </c>
      <c r="H36" s="1">
        <f>[1]Results!K1397</f>
        <v>0</v>
      </c>
      <c r="I36" s="1">
        <f>[1]Results!L1397</f>
        <v>-5.2505341691100327E-4</v>
      </c>
      <c r="J36" s="1">
        <f>[1]Results!M1397</f>
        <v>0.61917062970391346</v>
      </c>
      <c r="K36" s="1">
        <f>[1]Results!N1397</f>
        <v>1.090241537712977</v>
      </c>
      <c r="L36" s="1">
        <f>[1]Results!O1397</f>
        <v>1.5784644110047985</v>
      </c>
      <c r="M36" s="1">
        <f>[1]Results!P1397</f>
        <v>2.1506645001946323</v>
      </c>
      <c r="N36" s="1">
        <f>[1]Results!Q1397</f>
        <v>2.4707114633352179</v>
      </c>
      <c r="O36" s="1">
        <f>[1]Results!R1397</f>
        <v>2.5337905570125718</v>
      </c>
      <c r="P36" s="1">
        <f>[1]Results!S1397</f>
        <v>2.4548192042870287</v>
      </c>
      <c r="Q36" s="1">
        <f>[1]Results!T1397</f>
        <v>2.2623813220804534</v>
      </c>
      <c r="R36" s="1">
        <f>[1]Results!U1397</f>
        <v>1.9732514189236605</v>
      </c>
      <c r="S36" s="1">
        <f>[1]Results!V1397</f>
        <v>1.7075165164341044</v>
      </c>
      <c r="T36" s="1">
        <f>[1]Results!W1397</f>
        <v>1.6503686627880043</v>
      </c>
      <c r="U36" s="1">
        <f>[1]Results!X1397</f>
        <v>1.6760211938561032</v>
      </c>
      <c r="V36" s="1">
        <f>[1]Results!Y1397</f>
        <v>1.7312141113813295</v>
      </c>
      <c r="W36" s="1">
        <f>[1]Results!Z1397</f>
        <v>1.7749724646720644</v>
      </c>
      <c r="X36" s="1">
        <f>[1]Results!AA1397</f>
        <v>1.8235727508101762</v>
      </c>
      <c r="Y36" s="1">
        <f>[1]Results!AB1397</f>
        <v>1.8945953850316943</v>
      </c>
      <c r="Z36" s="1">
        <f>[1]Results!AC1397</f>
        <v>1.9459696007490868</v>
      </c>
      <c r="AA36" s="1">
        <f>[1]Results!AD1397</f>
        <v>1.9556790418501002</v>
      </c>
      <c r="AB36" s="1">
        <f>[1]Results!AE1397</f>
        <v>1.9230891186925225</v>
      </c>
      <c r="AC36" s="1">
        <f>[1]Results!AF1397</f>
        <v>1.9482155129830314</v>
      </c>
      <c r="AD36" s="1">
        <f>[1]Results!AG1397</f>
        <v>2.0906864142577808</v>
      </c>
      <c r="AE36" s="1">
        <f>[1]Results!AH1397</f>
        <v>2.2545927007953104</v>
      </c>
      <c r="AF36" s="1">
        <f>[1]Results!AI1397</f>
        <v>2.4126797995527749</v>
      </c>
      <c r="AG36" s="1">
        <f>[1]Results!AJ1397</f>
        <v>2.5584883680376258</v>
      </c>
      <c r="AH36" s="1">
        <f>[1]Results!AK1397</f>
        <v>2.7269390550754169</v>
      </c>
      <c r="AI36" s="1">
        <f>[1]Results!AL1397</f>
        <v>2.9435828293442379</v>
      </c>
      <c r="AJ36" s="1">
        <f>[1]Results!AM1397</f>
        <v>3.1783506027683206</v>
      </c>
      <c r="AK36" s="1">
        <f>[1]Results!AN1397</f>
        <v>3.4190720448205925</v>
      </c>
      <c r="AL36" s="1">
        <f>[1]Results!AO1397</f>
        <v>3.6745086378459746</v>
      </c>
    </row>
    <row r="37" spans="1:38" x14ac:dyDescent="0.35">
      <c r="A37" s="3" t="str">
        <f>[1]Results!E1398</f>
        <v>100*(W_2/W_0-1)</v>
      </c>
      <c r="B37" t="str">
        <f>[1]Results!C1398</f>
        <v>Salaire net nominal (hors cotisations employeurs et employés, unitaire)</v>
      </c>
      <c r="C37" s="1">
        <f>[1]Results!F1398</f>
        <v>0</v>
      </c>
      <c r="D37" s="1">
        <f>[1]Results!G1398</f>
        <v>2.3538482274432226E-8</v>
      </c>
      <c r="E37" s="1">
        <f>[1]Results!H1398</f>
        <v>2.2821478040668808E-8</v>
      </c>
      <c r="F37" s="1">
        <f>[1]Results!I1398</f>
        <v>2.2098833873940293E-8</v>
      </c>
      <c r="G37" s="1">
        <f>[1]Results!J1398</f>
        <v>4.2715186943098615E-8</v>
      </c>
      <c r="H37" s="1">
        <f>[1]Results!K1398</f>
        <v>4.1254111238231417E-8</v>
      </c>
      <c r="I37" s="1">
        <f>[1]Results!L1398</f>
        <v>-2.0688509896715779E-2</v>
      </c>
      <c r="J37" s="1">
        <f>[1]Results!M1398</f>
        <v>-7.7874788357512603E-2</v>
      </c>
      <c r="K37" s="1">
        <f>[1]Results!N1398</f>
        <v>-4.5059696601323918E-2</v>
      </c>
      <c r="L37" s="1">
        <f>[1]Results!O1398</f>
        <v>0.13656128611043705</v>
      </c>
      <c r="M37" s="1">
        <f>[1]Results!P1398</f>
        <v>0.5319350237825482</v>
      </c>
      <c r="N37" s="1">
        <f>[1]Results!Q1398</f>
        <v>1.2178756947260228</v>
      </c>
      <c r="O37" s="1">
        <f>[1]Results!R1398</f>
        <v>2.0236550141039977</v>
      </c>
      <c r="P37" s="1">
        <f>[1]Results!S1398</f>
        <v>2.8777324764639234</v>
      </c>
      <c r="Q37" s="1">
        <f>[1]Results!T1398</f>
        <v>3.7549253578260888</v>
      </c>
      <c r="R37" s="1">
        <f>[1]Results!U1398</f>
        <v>4.6772419095252982</v>
      </c>
      <c r="S37" s="1">
        <f>[1]Results!V1398</f>
        <v>5.579390856082056</v>
      </c>
      <c r="T37" s="1">
        <f>[1]Results!W1398</f>
        <v>6.4877671577756146</v>
      </c>
      <c r="U37" s="1">
        <f>[1]Results!X1398</f>
        <v>7.4085621316383632</v>
      </c>
      <c r="V37" s="1">
        <f>[1]Results!Y1398</f>
        <v>8.3402714319555482</v>
      </c>
      <c r="W37" s="1">
        <f>[1]Results!Z1398</f>
        <v>9.2671487146997791</v>
      </c>
      <c r="X37" s="1">
        <f>[1]Results!AA1398</f>
        <v>10.169300828800253</v>
      </c>
      <c r="Y37" s="1">
        <f>[1]Results!AB1398</f>
        <v>11.006720370568157</v>
      </c>
      <c r="Z37" s="1">
        <f>[1]Results!AC1398</f>
        <v>11.753773713623694</v>
      </c>
      <c r="AA37" s="1">
        <f>[1]Results!AD1398</f>
        <v>12.389260333066531</v>
      </c>
      <c r="AB37" s="1">
        <f>[1]Results!AE1398</f>
        <v>12.93727936844531</v>
      </c>
      <c r="AC37" s="1">
        <f>[1]Results!AF1398</f>
        <v>13.341380359703248</v>
      </c>
      <c r="AD37" s="1">
        <f>[1]Results!AG1398</f>
        <v>13.62447396599029</v>
      </c>
      <c r="AE37" s="1">
        <f>[1]Results!AH1398</f>
        <v>13.801072757694644</v>
      </c>
      <c r="AF37" s="1">
        <f>[1]Results!AI1398</f>
        <v>13.884755293180229</v>
      </c>
      <c r="AG37" s="1">
        <f>[1]Results!AJ1398</f>
        <v>13.886573257828093</v>
      </c>
      <c r="AH37" s="1">
        <f>[1]Results!AK1398</f>
        <v>13.816124590043021</v>
      </c>
      <c r="AI37" s="1">
        <f>[1]Results!AL1398</f>
        <v>13.680726027798396</v>
      </c>
      <c r="AJ37" s="1">
        <f>[1]Results!AM1398</f>
        <v>13.496281327538039</v>
      </c>
      <c r="AK37" s="1">
        <f>[1]Results!AN1398</f>
        <v>13.279522893247343</v>
      </c>
      <c r="AL37" s="1">
        <f>[1]Results!AO1398</f>
        <v>13.098932760119553</v>
      </c>
    </row>
    <row r="38" spans="1:38" x14ac:dyDescent="0.35">
      <c r="A38" s="3" t="str">
        <f>[1]Results!E1399</f>
        <v>100*((W_2/PCH_2)/(W_0/PCH_0)-1)</v>
      </c>
      <c r="B38" t="str">
        <f>[1]Results!C1399</f>
        <v>Salaire net réel (hors cotisations employeurs et employés, unitaire)</v>
      </c>
      <c r="C38" s="1">
        <f>[1]Results!F1399</f>
        <v>0</v>
      </c>
      <c r="D38" s="1">
        <f>[1]Results!G1399</f>
        <v>2.3538482274432226E-8</v>
      </c>
      <c r="E38" s="1">
        <f>[1]Results!H1399</f>
        <v>2.2821478040668808E-8</v>
      </c>
      <c r="F38" s="1">
        <f>[1]Results!I1399</f>
        <v>-7.1443062577003502E-8</v>
      </c>
      <c r="G38" s="1">
        <f>[1]Results!J1399</f>
        <v>-4.8957826681572669E-8</v>
      </c>
      <c r="H38" s="1">
        <f>[1]Results!K1399</f>
        <v>-4.8998705093339368E-8</v>
      </c>
      <c r="I38" s="1">
        <f>[1]Results!L1399</f>
        <v>1.083605431968504E-2</v>
      </c>
      <c r="J38" s="1">
        <f>[1]Results!M1399</f>
        <v>-0.43888986058001622</v>
      </c>
      <c r="K38" s="1">
        <f>[1]Results!N1399</f>
        <v>-0.95115142733355196</v>
      </c>
      <c r="L38" s="1">
        <f>[1]Results!O1399</f>
        <v>-1.5467078202842877</v>
      </c>
      <c r="M38" s="1">
        <f>[1]Results!P1399</f>
        <v>-2.280035688375015</v>
      </c>
      <c r="N38" s="1">
        <f>[1]Results!Q1399</f>
        <v>-2.2783572323000656</v>
      </c>
      <c r="O38" s="1">
        <f>[1]Results!R1399</f>
        <v>-2.1142156930058387</v>
      </c>
      <c r="P38" s="1">
        <f>[1]Results!S1399</f>
        <v>-1.9036597147634726</v>
      </c>
      <c r="Q38" s="1">
        <f>[1]Results!T1399</f>
        <v>-1.6832079390305288</v>
      </c>
      <c r="R38" s="1">
        <f>[1]Results!U1399</f>
        <v>-1.4525531403528302</v>
      </c>
      <c r="S38" s="1">
        <f>[1]Results!V1399</f>
        <v>-1.2830628036305081</v>
      </c>
      <c r="T38" s="1">
        <f>[1]Results!W1399</f>
        <v>-1.1595696899684871</v>
      </c>
      <c r="U38" s="1">
        <f>[1]Results!X1399</f>
        <v>-1.0556145221454538</v>
      </c>
      <c r="V38" s="1">
        <f>[1]Results!Y1399</f>
        <v>-0.93651989706711181</v>
      </c>
      <c r="W38" s="1">
        <f>[1]Results!Z1399</f>
        <v>-0.80227568171540309</v>
      </c>
      <c r="X38" s="1">
        <f>[1]Results!AA1399</f>
        <v>-0.59305044558227715</v>
      </c>
      <c r="Y38" s="1">
        <f>[1]Results!AB1399</f>
        <v>-0.37370912493519537</v>
      </c>
      <c r="Z38" s="1">
        <f>[1]Results!AC1399</f>
        <v>-0.14815723036571971</v>
      </c>
      <c r="AA38" s="1">
        <f>[1]Results!AD1399</f>
        <v>8.2020483769684738E-2</v>
      </c>
      <c r="AB38" s="1">
        <f>[1]Results!AE1399</f>
        <v>0.31635939204002206</v>
      </c>
      <c r="AC38" s="1">
        <f>[1]Results!AF1399</f>
        <v>0.53967396672414125</v>
      </c>
      <c r="AD38" s="1">
        <f>[1]Results!AG1399</f>
        <v>0.70654304015360658</v>
      </c>
      <c r="AE38" s="1">
        <f>[1]Results!AH1399</f>
        <v>0.82969562272467989</v>
      </c>
      <c r="AF38" s="1">
        <f>[1]Results!AI1399</f>
        <v>0.91978558498935215</v>
      </c>
      <c r="AG38" s="1">
        <f>[1]Results!AJ1399</f>
        <v>0.98274852815520841</v>
      </c>
      <c r="AH38" s="1">
        <f>[1]Results!AK1399</f>
        <v>1.0286672820164267</v>
      </c>
      <c r="AI38" s="1">
        <f>[1]Results!AL1399</f>
        <v>1.0322462920219433</v>
      </c>
      <c r="AJ38" s="1">
        <f>[1]Results!AM1399</f>
        <v>1.0004699985442844</v>
      </c>
      <c r="AK38" s="1">
        <f>[1]Results!AN1399</f>
        <v>0.94064030799012599</v>
      </c>
      <c r="AL38" s="1">
        <f>[1]Results!AO1399</f>
        <v>0.86097968325158369</v>
      </c>
    </row>
    <row r="39" spans="1:38" x14ac:dyDescent="0.35">
      <c r="A39" s="3" t="str">
        <f>[1]Results!E1400</f>
        <v>100*(C_L_2/C_L_0-1)</v>
      </c>
      <c r="B39" t="str">
        <f>[1]Results!C1400</f>
        <v>Coût du travail nominal (yc. Cotisations employeurs et employés, unitaire)</v>
      </c>
      <c r="C39" s="1">
        <f>[1]Results!F1400</f>
        <v>0</v>
      </c>
      <c r="D39" s="1">
        <f>[1]Results!G1400</f>
        <v>1.8482126940000398E-8</v>
      </c>
      <c r="E39" s="1">
        <f>[1]Results!H1400</f>
        <v>1.7919155048673474E-8</v>
      </c>
      <c r="F39" s="1">
        <f>[1]Results!I1400</f>
        <v>1.7351742265248049E-8</v>
      </c>
      <c r="G39" s="1">
        <f>[1]Results!J1400</f>
        <v>3.3539437893637114E-8</v>
      </c>
      <c r="H39" s="1">
        <f>[1]Results!K1400</f>
        <v>4.8588333356747171E-8</v>
      </c>
      <c r="I39" s="1">
        <f>[1]Results!L1400</f>
        <v>-2.0688510656929893E-2</v>
      </c>
      <c r="J39" s="1">
        <f>[1]Results!M1400</f>
        <v>-7.7874768615959766E-2</v>
      </c>
      <c r="K39" s="1">
        <f>[1]Results!N1400</f>
        <v>-4.5059674133163252E-2</v>
      </c>
      <c r="L39" s="1">
        <f>[1]Results!O1400</f>
        <v>0.13656126487955333</v>
      </c>
      <c r="M39" s="1">
        <f>[1]Results!P1400</f>
        <v>0.53193501500639062</v>
      </c>
      <c r="N39" s="1">
        <f>[1]Results!Q1400</f>
        <v>1.2178757293010989</v>
      </c>
      <c r="O39" s="1">
        <f>[1]Results!R1400</f>
        <v>2.0236550124066888</v>
      </c>
      <c r="P39" s="1">
        <f>[1]Results!S1400</f>
        <v>2.8777324858130005</v>
      </c>
      <c r="Q39" s="1">
        <f>[1]Results!T1400</f>
        <v>3.754925350735494</v>
      </c>
      <c r="R39" s="1">
        <f>[1]Results!U1400</f>
        <v>4.677241889440098</v>
      </c>
      <c r="S39" s="1">
        <f>[1]Results!V1400</f>
        <v>5.5793908651627033</v>
      </c>
      <c r="T39" s="1">
        <f>[1]Results!W1400</f>
        <v>6.4877671585331864</v>
      </c>
      <c r="U39" s="1">
        <f>[1]Results!X1400</f>
        <v>7.408562158819465</v>
      </c>
      <c r="V39" s="1">
        <f>[1]Results!Y1400</f>
        <v>8.3402714508597597</v>
      </c>
      <c r="W39" s="1">
        <f>[1]Results!Z1400</f>
        <v>9.2671486885661292</v>
      </c>
      <c r="X39" s="1">
        <f>[1]Results!AA1400</f>
        <v>10.169300791095459</v>
      </c>
      <c r="Y39" s="1">
        <f>[1]Results!AB1400</f>
        <v>11.006720344772148</v>
      </c>
      <c r="Z39" s="1">
        <f>[1]Results!AC1400</f>
        <v>11.753773737217799</v>
      </c>
      <c r="AA39" s="1">
        <f>[1]Results!AD1400</f>
        <v>12.389260346957176</v>
      </c>
      <c r="AB39" s="1">
        <f>[1]Results!AE1400</f>
        <v>12.937279400069212</v>
      </c>
      <c r="AC39" s="1">
        <f>[1]Results!AF1400</f>
        <v>13.341380332561958</v>
      </c>
      <c r="AD39" s="1">
        <f>[1]Results!AG1400</f>
        <v>13.624474000556596</v>
      </c>
      <c r="AE39" s="1">
        <f>[1]Results!AH1400</f>
        <v>13.801072782073076</v>
      </c>
      <c r="AF39" s="1">
        <f>[1]Results!AI1400</f>
        <v>13.884755294598738</v>
      </c>
      <c r="AG39" s="1">
        <f>[1]Results!AJ1400</f>
        <v>13.886573225600962</v>
      </c>
      <c r="AH39" s="1">
        <f>[1]Results!AK1400</f>
        <v>13.816124549370823</v>
      </c>
      <c r="AI39" s="1">
        <f>[1]Results!AL1400</f>
        <v>13.680726002354771</v>
      </c>
      <c r="AJ39" s="1">
        <f>[1]Results!AM1400</f>
        <v>13.496281301531464</v>
      </c>
      <c r="AK39" s="1">
        <f>[1]Results!AN1400</f>
        <v>13.279522919480291</v>
      </c>
      <c r="AL39" s="1">
        <f>[1]Results!AO1400</f>
        <v>13.09893282963095</v>
      </c>
    </row>
    <row r="40" spans="1:38" x14ac:dyDescent="0.35">
      <c r="A40" s="3" t="str">
        <f>[1]Results!E1401</f>
        <v>100*((C_L_2/PVA_2)/(C_L_0/PVA_0)-1)</v>
      </c>
      <c r="B40" t="str">
        <f>[1]Results!C1401</f>
        <v>Coût réel du travail (yc. Cotisations employeurs et employés, unitaire)</v>
      </c>
      <c r="C40" s="1">
        <f>[1]Results!F1401</f>
        <v>0</v>
      </c>
      <c r="D40" s="1">
        <f>[1]Results!G1401</f>
        <v>1.8482126940000398E-8</v>
      </c>
      <c r="E40" s="1">
        <f>[1]Results!H1401</f>
        <v>-7.8261142011371021E-8</v>
      </c>
      <c r="F40" s="1">
        <f>[1]Results!I1401</f>
        <v>1.7351742265248049E-8</v>
      </c>
      <c r="G40" s="1">
        <f>[1]Results!J1401</f>
        <v>-5.7978755130250192E-8</v>
      </c>
      <c r="H40" s="1">
        <f>[1]Results!K1401</f>
        <v>4.8588355561207663E-8</v>
      </c>
      <c r="I40" s="1">
        <f>[1]Results!L1401</f>
        <v>2.6127225395944365E-2</v>
      </c>
      <c r="J40" s="1">
        <f>[1]Results!M1401</f>
        <v>4.4087848119911399E-2</v>
      </c>
      <c r="K40" s="1">
        <f>[1]Results!N1401</f>
        <v>6.3331604980065848E-3</v>
      </c>
      <c r="L40" s="1">
        <f>[1]Results!O1401</f>
        <v>-8.8702304157917133E-3</v>
      </c>
      <c r="M40" s="1">
        <f>[1]Results!P1401</f>
        <v>-1.1299364765349207E-2</v>
      </c>
      <c r="N40" s="1">
        <f>[1]Results!Q1401</f>
        <v>-0.13867800318367873</v>
      </c>
      <c r="O40" s="1">
        <f>[1]Results!R1401</f>
        <v>-0.13127603254279308</v>
      </c>
      <c r="P40" s="1">
        <f>[1]Results!S1401</f>
        <v>-9.6454017706670836E-2</v>
      </c>
      <c r="Q40" s="1">
        <f>[1]Results!T1401</f>
        <v>-7.5313103791863067E-2</v>
      </c>
      <c r="R40" s="1">
        <f>[1]Results!U1401</f>
        <v>-8.4417360939770258E-2</v>
      </c>
      <c r="S40" s="1">
        <f>[1]Results!V1401</f>
        <v>-8.5092852016155351E-2</v>
      </c>
      <c r="T40" s="1">
        <f>[1]Results!W1401</f>
        <v>-6.8337430411014033E-2</v>
      </c>
      <c r="U40" s="1">
        <f>[1]Results!X1401</f>
        <v>-5.2753552398476788E-2</v>
      </c>
      <c r="V40" s="1">
        <f>[1]Results!Y1401</f>
        <v>-3.2081121646032607E-2</v>
      </c>
      <c r="W40" s="1">
        <f>[1]Results!Z1401</f>
        <v>1.0776375178833675E-2</v>
      </c>
      <c r="X40" s="1">
        <f>[1]Results!AA1401</f>
        <v>7.032736725602895E-2</v>
      </c>
      <c r="Y40" s="1">
        <f>[1]Results!AB1401</f>
        <v>0.17426496217296528</v>
      </c>
      <c r="Z40" s="1">
        <f>[1]Results!AC1401</f>
        <v>0.31189470349644033</v>
      </c>
      <c r="AA40" s="1">
        <f>[1]Results!AD1401</f>
        <v>0.48156354458850359</v>
      </c>
      <c r="AB40" s="1">
        <f>[1]Results!AE1401</f>
        <v>0.66766234737671848</v>
      </c>
      <c r="AC40" s="1">
        <f>[1]Results!AF1401</f>
        <v>0.83473402758362791</v>
      </c>
      <c r="AD40" s="1">
        <f>[1]Results!AG1401</f>
        <v>0.99986404527354633</v>
      </c>
      <c r="AE40" s="1">
        <f>[1]Results!AH1401</f>
        <v>1.1419158523293227</v>
      </c>
      <c r="AF40" s="1">
        <f>[1]Results!AI1401</f>
        <v>1.2672339134707666</v>
      </c>
      <c r="AG40" s="1">
        <f>[1]Results!AJ1401</f>
        <v>1.3807658097238606</v>
      </c>
      <c r="AH40" s="1">
        <f>[1]Results!AK1401</f>
        <v>1.4727927659485829</v>
      </c>
      <c r="AI40" s="1">
        <f>[1]Results!AL1401</f>
        <v>1.5493462104623656</v>
      </c>
      <c r="AJ40" s="1">
        <f>[1]Results!AM1401</f>
        <v>1.6044849840317621</v>
      </c>
      <c r="AK40" s="1">
        <f>[1]Results!AN1401</f>
        <v>1.6391810736072987</v>
      </c>
      <c r="AL40" s="1">
        <f>[1]Results!AO1401</f>
        <v>1.6263889776444884</v>
      </c>
    </row>
    <row r="41" spans="1:38" x14ac:dyDescent="0.35">
      <c r="A41" s="3" t="str">
        <f>[1]Results!E1402</f>
        <v>((F_L_2/F_L_0)-1)*100</v>
      </c>
      <c r="B41" t="str">
        <f>[1]Results!C1402</f>
        <v>Emploi en %</v>
      </c>
      <c r="C41" s="1">
        <f>[1]Results!F1402</f>
        <v>0</v>
      </c>
      <c r="D41" s="1">
        <f>[1]Results!G1402</f>
        <v>3.6364689037782227E-8</v>
      </c>
      <c r="E41" s="1">
        <f>[1]Results!H1402</f>
        <v>0</v>
      </c>
      <c r="F41" s="1">
        <f>[1]Results!I1402</f>
        <v>0</v>
      </c>
      <c r="G41" s="1">
        <f>[1]Results!J1402</f>
        <v>0</v>
      </c>
      <c r="H41" s="1">
        <f>[1]Results!K1402</f>
        <v>3.5003711040815233E-8</v>
      </c>
      <c r="I41" s="1">
        <f>[1]Results!L1402</f>
        <v>-0.11915810029579088</v>
      </c>
      <c r="J41" s="1">
        <f>[1]Results!M1402</f>
        <v>-0.31952842422221517</v>
      </c>
      <c r="K41" s="1">
        <f>[1]Results!N1402</f>
        <v>-0.54266346255537057</v>
      </c>
      <c r="L41" s="1">
        <f>[1]Results!O1402</f>
        <v>-0.71182125181278311</v>
      </c>
      <c r="M41" s="1">
        <f>[1]Results!P1402</f>
        <v>-0.73739106484776995</v>
      </c>
      <c r="N41" s="1">
        <f>[1]Results!Q1402</f>
        <v>-0.6596338077234698</v>
      </c>
      <c r="O41" s="1">
        <f>[1]Results!R1402</f>
        <v>-0.4855969774406943</v>
      </c>
      <c r="P41" s="1">
        <f>[1]Results!S1402</f>
        <v>-0.22730153130617881</v>
      </c>
      <c r="Q41" s="1">
        <f>[1]Results!T1402</f>
        <v>9.166316268762742E-2</v>
      </c>
      <c r="R41" s="1">
        <f>[1]Results!U1402</f>
        <v>0.54129379580134529</v>
      </c>
      <c r="S41" s="1">
        <f>[1]Results!V1402</f>
        <v>0.86843720022915516</v>
      </c>
      <c r="T41" s="1">
        <f>[1]Results!W1402</f>
        <v>1.1595483677101726</v>
      </c>
      <c r="U41" s="1">
        <f>[1]Results!X1402</f>
        <v>1.4039323843618945</v>
      </c>
      <c r="V41" s="1">
        <f>[1]Results!Y1402</f>
        <v>1.5893420038384454</v>
      </c>
      <c r="W41" s="1">
        <f>[1]Results!Z1402</f>
        <v>1.7073894678384827</v>
      </c>
      <c r="X41" s="1">
        <f>[1]Results!AA1402</f>
        <v>1.74992888534653</v>
      </c>
      <c r="Y41" s="1">
        <f>[1]Results!AB1402</f>
        <v>1.7173982245688668</v>
      </c>
      <c r="Z41" s="1">
        <f>[1]Results!AC1402</f>
        <v>1.6134711764324683</v>
      </c>
      <c r="AA41" s="1">
        <f>[1]Results!AD1402</f>
        <v>1.4447338887686678</v>
      </c>
      <c r="AB41" s="1">
        <f>[1]Results!AE1402</f>
        <v>1.3439355415352017</v>
      </c>
      <c r="AC41" s="1">
        <f>[1]Results!AF1402</f>
        <v>1.1766222390896308</v>
      </c>
      <c r="AD41" s="1">
        <f>[1]Results!AG1402</f>
        <v>1.0421940048856104</v>
      </c>
      <c r="AE41" s="1">
        <f>[1]Results!AH1402</f>
        <v>0.92764409207362064</v>
      </c>
      <c r="AF41" s="1">
        <f>[1]Results!AI1402</f>
        <v>0.82122420497507953</v>
      </c>
      <c r="AG41" s="1">
        <f>[1]Results!AJ1402</f>
        <v>0.71759800128876616</v>
      </c>
      <c r="AH41" s="1">
        <f>[1]Results!AK1402</f>
        <v>0.61357503045842421</v>
      </c>
      <c r="AI41" s="1">
        <f>[1]Results!AL1402</f>
        <v>0.51077264592396254</v>
      </c>
      <c r="AJ41" s="1">
        <f>[1]Results!AM1402</f>
        <v>0.41287754347247851</v>
      </c>
      <c r="AK41" s="1">
        <f>[1]Results!AN1402</f>
        <v>0.32414790210288924</v>
      </c>
      <c r="AL41" s="1">
        <f>[1]Results!AO1402</f>
        <v>0.40851979709819464</v>
      </c>
    </row>
    <row r="42" spans="1:38" x14ac:dyDescent="0.35">
      <c r="A42" s="3" t="str">
        <f>[1]Results!E1403</f>
        <v>F_L_2-F_L_0</v>
      </c>
      <c r="B42" t="str">
        <f>[1]Results!C1403</f>
        <v>Emploi en millier</v>
      </c>
      <c r="C42" s="1">
        <f>[1]Results!F1403</f>
        <v>0</v>
      </c>
      <c r="D42" s="1">
        <f>[1]Results!G1403</f>
        <v>9.9999997473787516E-6</v>
      </c>
      <c r="E42" s="1">
        <f>[1]Results!H1403</f>
        <v>0</v>
      </c>
      <c r="F42" s="1">
        <f>[1]Results!I1403</f>
        <v>0</v>
      </c>
      <c r="G42" s="1">
        <f>[1]Results!J1403</f>
        <v>0</v>
      </c>
      <c r="H42" s="1">
        <f>[1]Results!K1403</f>
        <v>9.9999997473787516E-6</v>
      </c>
      <c r="I42" s="1">
        <f>[1]Results!L1403</f>
        <v>-34.496359999997367</v>
      </c>
      <c r="J42" s="1">
        <f>[1]Results!M1403</f>
        <v>-93.795630000000529</v>
      </c>
      <c r="K42" s="1">
        <f>[1]Results!N1403</f>
        <v>-161.55325000000084</v>
      </c>
      <c r="L42" s="1">
        <f>[1]Results!O1403</f>
        <v>-214.80552000000171</v>
      </c>
      <c r="M42" s="1">
        <f>[1]Results!P1403</f>
        <v>-225.24309999999969</v>
      </c>
      <c r="N42" s="1">
        <f>[1]Results!Q1403</f>
        <v>-203.54339000000255</v>
      </c>
      <c r="O42" s="1">
        <f>[1]Results!R1403</f>
        <v>-151.03455000000031</v>
      </c>
      <c r="P42" s="1">
        <f>[1]Results!S1403</f>
        <v>-71.113069999999425</v>
      </c>
      <c r="Q42" s="1">
        <f>[1]Results!T1403</f>
        <v>28.795350000000326</v>
      </c>
      <c r="R42" s="1">
        <f>[1]Results!U1403</f>
        <v>170.51037999999971</v>
      </c>
      <c r="S42" s="1">
        <f>[1]Results!V1403</f>
        <v>274.05852999999843</v>
      </c>
      <c r="T42" s="1">
        <f>[1]Results!W1403</f>
        <v>366.39425000000119</v>
      </c>
      <c r="U42" s="1">
        <f>[1]Results!X1403</f>
        <v>444.09980999999971</v>
      </c>
      <c r="V42" s="1">
        <f>[1]Results!Y1403</f>
        <v>503.35123000000021</v>
      </c>
      <c r="W42" s="1">
        <f>[1]Results!Z1403</f>
        <v>541.5274900000004</v>
      </c>
      <c r="X42" s="1">
        <f>[1]Results!AA1403</f>
        <v>556.10127000000284</v>
      </c>
      <c r="Y42" s="1">
        <f>[1]Results!AB1403</f>
        <v>547.17498999999953</v>
      </c>
      <c r="Z42" s="1">
        <f>[1]Results!AC1403</f>
        <v>515.76915999999983</v>
      </c>
      <c r="AA42" s="1">
        <f>[1]Results!AD1403</f>
        <v>463.72289000000092</v>
      </c>
      <c r="AB42" s="1">
        <f>[1]Results!AE1403</f>
        <v>433.40835999999763</v>
      </c>
      <c r="AC42" s="1">
        <f>[1]Results!AF1403</f>
        <v>381.31921000000148</v>
      </c>
      <c r="AD42" s="1">
        <f>[1]Results!AG1403</f>
        <v>339.45885999999882</v>
      </c>
      <c r="AE42" s="1">
        <f>[1]Results!AH1403</f>
        <v>303.73027000000002</v>
      </c>
      <c r="AF42" s="1">
        <f>[1]Results!AI1403</f>
        <v>270.352429999999</v>
      </c>
      <c r="AG42" s="1">
        <f>[1]Results!AJ1403</f>
        <v>237.56538999999611</v>
      </c>
      <c r="AH42" s="1">
        <f>[1]Results!AK1403</f>
        <v>204.27960000000166</v>
      </c>
      <c r="AI42" s="1">
        <f>[1]Results!AL1403</f>
        <v>171.00089000000298</v>
      </c>
      <c r="AJ42" s="1">
        <f>[1]Results!AM1403</f>
        <v>138.96147000000201</v>
      </c>
      <c r="AK42" s="1">
        <f>[1]Results!AN1403</f>
        <v>109.63251000000309</v>
      </c>
      <c r="AL42" s="1">
        <f>[1]Results!AO1403</f>
        <v>138.76793999999791</v>
      </c>
    </row>
    <row r="43" spans="1:38" x14ac:dyDescent="0.35">
      <c r="A43" s="3" t="str">
        <f>[1]Results!E1404</f>
        <v>100*(UnR_2-UnR_0)</v>
      </c>
      <c r="B43" t="str">
        <f>[1]Results!C1404</f>
        <v>Taux de chômage (en point)</v>
      </c>
      <c r="C43" s="1">
        <f>[1]Results!F1404</f>
        <v>0</v>
      </c>
      <c r="D43" s="1">
        <f>[1]Results!G1404</f>
        <v>-9.9999980518461484E-9</v>
      </c>
      <c r="E43" s="1">
        <f>[1]Results!H1404</f>
        <v>0</v>
      </c>
      <c r="F43" s="1">
        <f>[1]Results!I1404</f>
        <v>-1.000000082740371E-8</v>
      </c>
      <c r="G43" s="1">
        <f>[1]Results!J1404</f>
        <v>-1.000000082740371E-8</v>
      </c>
      <c r="H43" s="1">
        <f>[1]Results!K1404</f>
        <v>-1.000000082740371E-8</v>
      </c>
      <c r="I43" s="1">
        <f>[1]Results!L1404</f>
        <v>8.8972110000000437E-2</v>
      </c>
      <c r="J43" s="1">
        <f>[1]Results!M1404</f>
        <v>0.23361625999999969</v>
      </c>
      <c r="K43" s="1">
        <f>[1]Results!N1404</f>
        <v>0.39013217999999961</v>
      </c>
      <c r="L43" s="1">
        <f>[1]Results!O1404</f>
        <v>0.50289529000000077</v>
      </c>
      <c r="M43" s="1">
        <f>[1]Results!P1404</f>
        <v>0.50669261000000076</v>
      </c>
      <c r="N43" s="1">
        <f>[1]Results!Q1404</f>
        <v>0.43963426999999999</v>
      </c>
      <c r="O43" s="1">
        <f>[1]Results!R1404</f>
        <v>0.30687447000000007</v>
      </c>
      <c r="P43" s="1">
        <f>[1]Results!S1404</f>
        <v>0.1179984600000003</v>
      </c>
      <c r="Q43" s="1">
        <f>[1]Results!T1404</f>
        <v>-0.10874329000000044</v>
      </c>
      <c r="R43" s="1">
        <f>[1]Results!U1404</f>
        <v>-0.4282279299999997</v>
      </c>
      <c r="S43" s="1">
        <f>[1]Results!V1404</f>
        <v>-0.64117684000000041</v>
      </c>
      <c r="T43" s="1">
        <f>[1]Results!W1404</f>
        <v>-0.82808718999999997</v>
      </c>
      <c r="U43" s="1">
        <f>[1]Results!X1404</f>
        <v>-0.98166719000000047</v>
      </c>
      <c r="V43" s="1">
        <f>[1]Results!Y1404</f>
        <v>-1.0938777299999993</v>
      </c>
      <c r="W43" s="1">
        <f>[1]Results!Z1404</f>
        <v>-1.1607081500000005</v>
      </c>
      <c r="X43" s="1">
        <f>[1]Results!AA1404</f>
        <v>-1.1754928399999989</v>
      </c>
      <c r="Y43" s="1">
        <f>[1]Results!AB1404</f>
        <v>-1.1407200699999995</v>
      </c>
      <c r="Z43" s="1">
        <f>[1]Results!AC1404</f>
        <v>-1.0595413999999996</v>
      </c>
      <c r="AA43" s="1">
        <f>[1]Results!AD1404</f>
        <v>-0.93671883000000089</v>
      </c>
      <c r="AB43" s="1">
        <f>[1]Results!AE1404</f>
        <v>-0.87457123999999942</v>
      </c>
      <c r="AC43" s="1">
        <f>[1]Results!AF1404</f>
        <v>-0.75886252999999981</v>
      </c>
      <c r="AD43" s="1">
        <f>[1]Results!AG1404</f>
        <v>-0.6714717200000011</v>
      </c>
      <c r="AE43" s="1">
        <f>[1]Results!AH1404</f>
        <v>-0.59862945000000023</v>
      </c>
      <c r="AF43" s="1">
        <f>[1]Results!AI1404</f>
        <v>-0.53044304000000042</v>
      </c>
      <c r="AG43" s="1">
        <f>[1]Results!AJ1404</f>
        <v>-0.46308203000000048</v>
      </c>
      <c r="AH43" s="1">
        <f>[1]Results!AK1404</f>
        <v>-0.39447570000000071</v>
      </c>
      <c r="AI43" s="1">
        <f>[1]Results!AL1404</f>
        <v>-0.32622391000000084</v>
      </c>
      <c r="AJ43" s="1">
        <f>[1]Results!AM1404</f>
        <v>-0.26126609999999884</v>
      </c>
      <c r="AK43" s="1">
        <f>[1]Results!AN1404</f>
        <v>-0.20278123999999953</v>
      </c>
      <c r="AL43" s="1">
        <f>[1]Results!AO1404</f>
        <v>-0.27894363999999977</v>
      </c>
    </row>
    <row r="44" spans="1:38" x14ac:dyDescent="0.35">
      <c r="A44" s="3" t="str">
        <f>[1]Results!E1405</f>
        <v>100*(Bal_Trade_VAL_2/(GDP_2*PGDP_2)-Bal_Trade_VAL_0/(GDP_0*PGDP_0))</v>
      </c>
      <c r="B44" t="str">
        <f>[1]Results!C1405</f>
        <v>Balance commerciale</v>
      </c>
      <c r="C44" s="1">
        <f>[1]Results!F1405</f>
        <v>-1.3634754783553582E-9</v>
      </c>
      <c r="D44" s="1">
        <f>[1]Results!G1405</f>
        <v>1.1369157785351414E-9</v>
      </c>
      <c r="E44" s="1">
        <f>[1]Results!H1405</f>
        <v>2.8564190834683145E-9</v>
      </c>
      <c r="F44" s="1">
        <f>[1]Results!I1405</f>
        <v>4.8177197474463807E-9</v>
      </c>
      <c r="G44" s="1">
        <f>[1]Results!J1405</f>
        <v>4.8917770875678279E-9</v>
      </c>
      <c r="H44" s="1">
        <f>[1]Results!K1405</f>
        <v>5.7952566356878066E-9</v>
      </c>
      <c r="I44" s="1">
        <f>[1]Results!L1405</f>
        <v>-0.1568937488156435</v>
      </c>
      <c r="J44" s="1">
        <f>[1]Results!M1405</f>
        <v>-0.35385071235819121</v>
      </c>
      <c r="K44" s="1">
        <f>[1]Results!N1405</f>
        <v>-0.43110179178473784</v>
      </c>
      <c r="L44" s="1">
        <f>[1]Results!O1405</f>
        <v>-0.42579517250356869</v>
      </c>
      <c r="M44" s="1">
        <f>[1]Results!P1405</f>
        <v>-0.31689535072846886</v>
      </c>
      <c r="N44" s="1">
        <f>[1]Results!Q1405</f>
        <v>-0.21757477954786331</v>
      </c>
      <c r="O44" s="1">
        <f>[1]Results!R1405</f>
        <v>-0.11665573281722588</v>
      </c>
      <c r="P44" s="1">
        <f>[1]Results!S1405</f>
        <v>-1.7795711385110852E-2</v>
      </c>
      <c r="Q44" s="1">
        <f>[1]Results!T1405</f>
        <v>8.0928445841717267E-2</v>
      </c>
      <c r="R44" s="1">
        <f>[1]Results!U1405</f>
        <v>0.30378199676288076</v>
      </c>
      <c r="S44" s="1">
        <f>[1]Results!V1405</f>
        <v>0.21976244627942496</v>
      </c>
      <c r="T44" s="1">
        <f>[1]Results!W1405</f>
        <v>0.25464638748678992</v>
      </c>
      <c r="U44" s="1">
        <f>[1]Results!X1405</f>
        <v>0.27550554577818603</v>
      </c>
      <c r="V44" s="1">
        <f>[1]Results!Y1405</f>
        <v>0.29259563781783432</v>
      </c>
      <c r="W44" s="1">
        <f>[1]Results!Z1405</f>
        <v>0.30235031146139191</v>
      </c>
      <c r="X44" s="1">
        <f>[1]Results!AA1405</f>
        <v>0.29188887615972797</v>
      </c>
      <c r="Y44" s="1">
        <f>[1]Results!AB1405</f>
        <v>0.25939530627438756</v>
      </c>
      <c r="Z44" s="1">
        <f>[1]Results!AC1405</f>
        <v>0.21241558449606179</v>
      </c>
      <c r="AA44" s="1">
        <f>[1]Results!AD1405</f>
        <v>0.15443497842365511</v>
      </c>
      <c r="AB44" s="1">
        <f>[1]Results!AE1405</f>
        <v>0.23037629727459888</v>
      </c>
      <c r="AC44" s="1">
        <f>[1]Results!AF1405</f>
        <v>0.11427163912739458</v>
      </c>
      <c r="AD44" s="1">
        <f>[1]Results!AG1405</f>
        <v>0.11193952321982004</v>
      </c>
      <c r="AE44" s="1">
        <f>[1]Results!AH1405</f>
        <v>8.3202625446010536E-2</v>
      </c>
      <c r="AF44" s="1">
        <f>[1]Results!AI1405</f>
        <v>4.2500227046027989E-2</v>
      </c>
      <c r="AG44" s="1">
        <f>[1]Results!AJ1405</f>
        <v>-3.3526472833049492E-3</v>
      </c>
      <c r="AH44" s="1">
        <f>[1]Results!AK1405</f>
        <v>-5.5841697897068832E-2</v>
      </c>
      <c r="AI44" s="1">
        <f>[1]Results!AL1405</f>
        <v>-0.11105331118283837</v>
      </c>
      <c r="AJ44" s="1">
        <f>[1]Results!AM1405</f>
        <v>-0.1587751831472195</v>
      </c>
      <c r="AK44" s="1">
        <f>[1]Results!AN1405</f>
        <v>-0.19558881557909039</v>
      </c>
      <c r="AL44" s="1">
        <f>[1]Results!AO1405</f>
        <v>-3.9464013638161599E-2</v>
      </c>
    </row>
    <row r="45" spans="1:38" x14ac:dyDescent="0.35">
      <c r="A45" s="3" t="str">
        <f>[1]Results!E1406</f>
        <v>100*(ENER_BILL_2/(GDP_2*PGDP_2)-ENER_BILL_0/(GDP_0*PGDP_0))</v>
      </c>
      <c r="B45" t="str">
        <f>[1]Results!C1406</f>
        <v>Facture énergétique</v>
      </c>
      <c r="C45" s="1">
        <f>[1]Results!F1406</f>
        <v>2.2724591305922637E-9</v>
      </c>
      <c r="D45" s="1">
        <f>[1]Results!G1406</f>
        <v>8.7455043207285144E-10</v>
      </c>
      <c r="E45" s="1">
        <f>[1]Results!H1406</f>
        <v>0</v>
      </c>
      <c r="F45" s="1">
        <f>[1]Results!I1406</f>
        <v>-8.0295353699355587E-10</v>
      </c>
      <c r="G45" s="1">
        <f>[1]Results!J1406</f>
        <v>-2.3950348648771325E-9</v>
      </c>
      <c r="H45" s="1">
        <f>[1]Results!K1406</f>
        <v>-2.981469411633686E-9</v>
      </c>
      <c r="I45" s="1">
        <f>[1]Results!L1406</f>
        <v>2.8856492878433226E-4</v>
      </c>
      <c r="J45" s="1">
        <f>[1]Results!M1406</f>
        <v>-3.9902655358069888E-2</v>
      </c>
      <c r="K45" s="1">
        <f>[1]Results!N1406</f>
        <v>-0.12557912611467162</v>
      </c>
      <c r="L45" s="1">
        <f>[1]Results!O1406</f>
        <v>-0.23638314075277114</v>
      </c>
      <c r="M45" s="1">
        <f>[1]Results!P1406</f>
        <v>-0.36431554389861109</v>
      </c>
      <c r="N45" s="1">
        <f>[1]Results!Q1406</f>
        <v>-0.48130163596134923</v>
      </c>
      <c r="O45" s="1">
        <f>[1]Results!R1406</f>
        <v>-0.57992551938956549</v>
      </c>
      <c r="P45" s="1">
        <f>[1]Results!S1406</f>
        <v>-0.66715939253198597</v>
      </c>
      <c r="Q45" s="1">
        <f>[1]Results!T1406</f>
        <v>-0.7509213732589276</v>
      </c>
      <c r="R45" s="1">
        <f>[1]Results!U1406</f>
        <v>-0.85569946680191367</v>
      </c>
      <c r="S45" s="1">
        <f>[1]Results!V1406</f>
        <v>-0.91775105097642096</v>
      </c>
      <c r="T45" s="1">
        <f>[1]Results!W1406</f>
        <v>-0.9760752524725167</v>
      </c>
      <c r="U45" s="1">
        <f>[1]Results!X1406</f>
        <v>-1.0253778897593187</v>
      </c>
      <c r="V45" s="1">
        <f>[1]Results!Y1406</f>
        <v>-1.0766203476013176</v>
      </c>
      <c r="W45" s="1">
        <f>[1]Results!Z1406</f>
        <v>-1.1295543668331598</v>
      </c>
      <c r="X45" s="1">
        <f>[1]Results!AA1406</f>
        <v>-1.1817948297627925</v>
      </c>
      <c r="Y45" s="1">
        <f>[1]Results!AB1406</f>
        <v>-1.2292065317417107</v>
      </c>
      <c r="Z45" s="1">
        <f>[1]Results!AC1406</f>
        <v>-1.2738744714185484</v>
      </c>
      <c r="AA45" s="1">
        <f>[1]Results!AD1406</f>
        <v>-1.3180661306112209</v>
      </c>
      <c r="AB45" s="1">
        <f>[1]Results!AE1406</f>
        <v>-1.3811469655270918</v>
      </c>
      <c r="AC45" s="1">
        <f>[1]Results!AF1406</f>
        <v>-1.4139063360796498</v>
      </c>
      <c r="AD45" s="1">
        <f>[1]Results!AG1406</f>
        <v>-1.4371319243490286</v>
      </c>
      <c r="AE45" s="1">
        <f>[1]Results!AH1406</f>
        <v>-1.4558076825448014</v>
      </c>
      <c r="AF45" s="1">
        <f>[1]Results!AI1406</f>
        <v>-1.4720063159390004</v>
      </c>
      <c r="AG45" s="1">
        <f>[1]Results!AJ1406</f>
        <v>-1.4863005960032711</v>
      </c>
      <c r="AH45" s="1">
        <f>[1]Results!AK1406</f>
        <v>-1.4980486441592389</v>
      </c>
      <c r="AI45" s="1">
        <f>[1]Results!AL1406</f>
        <v>-1.5071429823439786</v>
      </c>
      <c r="AJ45" s="1">
        <f>[1]Results!AM1406</f>
        <v>-1.5140427332731223</v>
      </c>
      <c r="AK45" s="1">
        <f>[1]Results!AN1406</f>
        <v>-1.5191809808939492</v>
      </c>
      <c r="AL45" s="1">
        <f>[1]Results!AO1406</f>
        <v>-1.5213649725889435</v>
      </c>
    </row>
    <row r="46" spans="1:38" x14ac:dyDescent="0.35">
      <c r="A46" s="3" t="str">
        <f>[1]Results!E1407</f>
        <v>100*((-Bal_G_prim_VAL_2)/(GDP_2*PGDP_2)-(-Bal_G_prim_VAL_0)/(GDP_0*PGDP_0))</v>
      </c>
      <c r="B46" t="str">
        <f>[1]Results!C1407</f>
        <v>Solde public primaire</v>
      </c>
      <c r="C46" s="1">
        <f>[1]Results!F1407</f>
        <v>1.3634756518277058E-9</v>
      </c>
      <c r="D46" s="1">
        <f>[1]Results!G1407</f>
        <v>1.3118260817901461E-9</v>
      </c>
      <c r="E46" s="1">
        <f>[1]Results!H1407</f>
        <v>-4.6206779721891245E-10</v>
      </c>
      <c r="F46" s="1">
        <f>[1]Results!I1407</f>
        <v>-2.5293028197044543E-9</v>
      </c>
      <c r="G46" s="1">
        <f>[1]Results!J1407</f>
        <v>-5.1476410807549389E-9</v>
      </c>
      <c r="H46" s="1">
        <f>[1]Results!K1407</f>
        <v>-8.3157614474971275E-9</v>
      </c>
      <c r="I46" s="1">
        <f>[1]Results!L1407</f>
        <v>7.2116330963099481E-2</v>
      </c>
      <c r="J46" s="1">
        <f>[1]Results!M1407</f>
        <v>0.25370755024070601</v>
      </c>
      <c r="K46" s="1">
        <f>[1]Results!N1407</f>
        <v>0.44248385243151506</v>
      </c>
      <c r="L46" s="1">
        <f>[1]Results!O1407</f>
        <v>0.59307685234438257</v>
      </c>
      <c r="M46" s="1">
        <f>[1]Results!P1407</f>
        <v>0.66248927758885412</v>
      </c>
      <c r="N46" s="1">
        <f>[1]Results!Q1407</f>
        <v>0.55561666771788554</v>
      </c>
      <c r="O46" s="1">
        <f>[1]Results!R1407</f>
        <v>0.38397415211997643</v>
      </c>
      <c r="P46" s="1">
        <f>[1]Results!S1407</f>
        <v>0.17373036720866181</v>
      </c>
      <c r="Q46" s="1">
        <f>[1]Results!T1407</f>
        <v>-5.8446444875986936E-2</v>
      </c>
      <c r="R46" s="1">
        <f>[1]Results!U1407</f>
        <v>-0.35957383685170163</v>
      </c>
      <c r="S46" s="1">
        <f>[1]Results!V1407</f>
        <v>-0.56997772992666496</v>
      </c>
      <c r="T46" s="1">
        <f>[1]Results!W1407</f>
        <v>-0.75935247305315212</v>
      </c>
      <c r="U46" s="1">
        <f>[1]Results!X1407</f>
        <v>-0.92713062473010965</v>
      </c>
      <c r="V46" s="1">
        <f>[1]Results!Y1407</f>
        <v>-1.0721464712601381</v>
      </c>
      <c r="W46" s="1">
        <f>[1]Results!Z1407</f>
        <v>-1.1818039595711218</v>
      </c>
      <c r="X46" s="1">
        <f>[1]Results!AA1407</f>
        <v>-1.2580128170567473</v>
      </c>
      <c r="Y46" s="1">
        <f>[1]Results!AB1407</f>
        <v>-1.2869946031228727</v>
      </c>
      <c r="Z46" s="1">
        <f>[1]Results!AC1407</f>
        <v>-1.2691364425531628</v>
      </c>
      <c r="AA46" s="1">
        <f>[1]Results!AD1407</f>
        <v>-1.2076360406901743</v>
      </c>
      <c r="AB46" s="1">
        <f>[1]Results!AE1407</f>
        <v>-1.1790449824283276</v>
      </c>
      <c r="AC46" s="1">
        <f>[1]Results!AF1407</f>
        <v>-1.096656333068692</v>
      </c>
      <c r="AD46" s="1">
        <f>[1]Results!AG1407</f>
        <v>-1.0161991270687196</v>
      </c>
      <c r="AE46" s="1">
        <f>[1]Results!AH1407</f>
        <v>-0.93532548166959528</v>
      </c>
      <c r="AF46" s="1">
        <f>[1]Results!AI1407</f>
        <v>-0.85063949626996016</v>
      </c>
      <c r="AG46" s="1">
        <f>[1]Results!AJ1407</f>
        <v>-0.76139955538456072</v>
      </c>
      <c r="AH46" s="1">
        <f>[1]Results!AK1407</f>
        <v>-0.66774597309233052</v>
      </c>
      <c r="AI46" s="1">
        <f>[1]Results!AL1407</f>
        <v>-0.56750705702719584</v>
      </c>
      <c r="AJ46" s="1">
        <f>[1]Results!AM1407</f>
        <v>-0.46469968156917368</v>
      </c>
      <c r="AK46" s="1">
        <f>[1]Results!AN1407</f>
        <v>-0.36389203004407733</v>
      </c>
      <c r="AL46" s="1">
        <f>[1]Results!AO1407</f>
        <v>-0.35453078983703618</v>
      </c>
    </row>
    <row r="47" spans="1:38" x14ac:dyDescent="0.35">
      <c r="A47" s="3" t="str">
        <f>[1]Results!E1408</f>
        <v>100*((-Bal_G_tot_VAL_2)/(GDP_2*PGDP_2)-(-Bal_G_tot_VAL_0)/(GDP_0*PGDP_0))</v>
      </c>
      <c r="B47" t="str">
        <f>[1]Results!C1408</f>
        <v xml:space="preserve">Solde public </v>
      </c>
      <c r="C47" s="1">
        <f>[1]Results!F1408</f>
        <v>1.8179673044738109E-9</v>
      </c>
      <c r="D47" s="1">
        <f>[1]Results!G1408</f>
        <v>8.3082308394155646E-9</v>
      </c>
      <c r="E47" s="1">
        <f>[1]Results!H1408</f>
        <v>8.4012328344096332E-9</v>
      </c>
      <c r="F47" s="1">
        <f>[1]Results!I1408</f>
        <v>8.0295325943779972E-9</v>
      </c>
      <c r="G47" s="1">
        <f>[1]Results!J1408</f>
        <v>6.3038149353267237E-9</v>
      </c>
      <c r="H47" s="1">
        <f>[1]Results!K1408</f>
        <v>2.3397035177341596E-9</v>
      </c>
      <c r="I47" s="1">
        <f>[1]Results!L1408</f>
        <v>7.6448031657512253E-2</v>
      </c>
      <c r="J47" s="1">
        <f>[1]Results!M1408</f>
        <v>0.24807434010500964</v>
      </c>
      <c r="K47" s="1">
        <f>[1]Results!N1408</f>
        <v>0.59186265684132122</v>
      </c>
      <c r="L47" s="1">
        <f>[1]Results!O1408</f>
        <v>0.86140052922908972</v>
      </c>
      <c r="M47" s="1">
        <f>[1]Results!P1408</f>
        <v>1.0451661627608344</v>
      </c>
      <c r="N47" s="1">
        <f>[1]Results!Q1408</f>
        <v>1.081420035013247</v>
      </c>
      <c r="O47" s="1">
        <f>[1]Results!R1408</f>
        <v>0.823384274911932</v>
      </c>
      <c r="P47" s="1">
        <f>[1]Results!S1408</f>
        <v>0.53680051826943476</v>
      </c>
      <c r="Q47" s="1">
        <f>[1]Results!T1408</f>
        <v>0.24221541150664105</v>
      </c>
      <c r="R47" s="1">
        <f>[1]Results!U1408</f>
        <v>-0.1168886495074295</v>
      </c>
      <c r="S47" s="1">
        <f>[1]Results!V1408</f>
        <v>-0.37963008732560322</v>
      </c>
      <c r="T47" s="1">
        <f>[1]Results!W1408</f>
        <v>-0.62149622361925072</v>
      </c>
      <c r="U47" s="1">
        <f>[1]Results!X1408</f>
        <v>-0.84295098137130986</v>
      </c>
      <c r="V47" s="1">
        <f>[1]Results!Y1408</f>
        <v>-1.0454086137145304</v>
      </c>
      <c r="W47" s="1">
        <f>[1]Results!Z1408</f>
        <v>-1.2148222582394188</v>
      </c>
      <c r="X47" s="1">
        <f>[1]Results!AA1408</f>
        <v>-1.3492958547592719</v>
      </c>
      <c r="Y47" s="1">
        <f>[1]Results!AB1408</f>
        <v>-1.427253494809251</v>
      </c>
      <c r="Z47" s="1">
        <f>[1]Results!AC1408</f>
        <v>-1.4480402118840323</v>
      </c>
      <c r="AA47" s="1">
        <f>[1]Results!AD1408</f>
        <v>-1.4126818996837334</v>
      </c>
      <c r="AB47" s="1">
        <f>[1]Results!AE1408</f>
        <v>-1.3945971686351171</v>
      </c>
      <c r="AC47" s="1">
        <f>[1]Results!AF1408</f>
        <v>-1.3172160033893681</v>
      </c>
      <c r="AD47" s="1">
        <f>[1]Results!AG1408</f>
        <v>-1.2248347664825285</v>
      </c>
      <c r="AE47" s="1">
        <f>[1]Results!AH1408</f>
        <v>-1.1348613377001284</v>
      </c>
      <c r="AF47" s="1">
        <f>[1]Results!AI1408</f>
        <v>-1.0415470262215552</v>
      </c>
      <c r="AG47" s="1">
        <f>[1]Results!AJ1408</f>
        <v>-0.9423383463138022</v>
      </c>
      <c r="AH47" s="1">
        <f>[1]Results!AK1408</f>
        <v>-0.83707404838123389</v>
      </c>
      <c r="AI47" s="1">
        <f>[1]Results!AL1408</f>
        <v>-0.72083210378741935</v>
      </c>
      <c r="AJ47" s="1">
        <f>[1]Results!AM1408</f>
        <v>-0.60908364951370586</v>
      </c>
      <c r="AK47" s="1">
        <f>[1]Results!AN1408</f>
        <v>-0.50407684303343803</v>
      </c>
      <c r="AL47" s="1">
        <f>[1]Results!AO1408</f>
        <v>-0.48843865404028519</v>
      </c>
    </row>
    <row r="48" spans="1:38" x14ac:dyDescent="0.35">
      <c r="A48" s="3" t="str">
        <f>[1]Results!E1409</f>
        <v>(DEBT_G_VAL_2/(PGDP_2*GDP_2)-DEBT_G_VAL_0/(PGDP_0*GDP_0))*100</v>
      </c>
      <c r="B48" t="str">
        <f>[1]Results!C1409</f>
        <v>Dette publique</v>
      </c>
      <c r="C48" s="1">
        <f>[1]Results!F1409</f>
        <v>0</v>
      </c>
      <c r="D48" s="1">
        <f>[1]Results!G1409</f>
        <v>0</v>
      </c>
      <c r="E48" s="1">
        <f>[1]Results!H1409</f>
        <v>4.2006176315112498E-8</v>
      </c>
      <c r="F48" s="1">
        <f>[1]Results!I1409</f>
        <v>4.0147674074120232E-8</v>
      </c>
      <c r="G48" s="1">
        <f>[1]Results!J1409</f>
        <v>-4.2310543957313484E-8</v>
      </c>
      <c r="H48" s="1">
        <f>[1]Results!K1409</f>
        <v>-3.9142777907841264E-8</v>
      </c>
      <c r="I48" s="1">
        <f>[1]Results!L1409</f>
        <v>0.28849902815403228</v>
      </c>
      <c r="J48" s="1">
        <f>[1]Results!M1409</f>
        <v>0.57026733416901676</v>
      </c>
      <c r="K48" s="1">
        <f>[1]Results!N1409</f>
        <v>0.99791233752811737</v>
      </c>
      <c r="L48" s="1">
        <f>[1]Results!O1409</f>
        <v>1.4427502416234472</v>
      </c>
      <c r="M48" s="1">
        <f>[1]Results!P1409</f>
        <v>1.7325524689855265</v>
      </c>
      <c r="N48" s="1">
        <f>[1]Results!Q1409</f>
        <v>2.2197616314376778</v>
      </c>
      <c r="O48" s="1">
        <f>[1]Results!R1409</f>
        <v>2.4365325455253881</v>
      </c>
      <c r="P48" s="1">
        <f>[1]Results!S1409</f>
        <v>2.3783394043127961</v>
      </c>
      <c r="Q48" s="1">
        <f>[1]Results!T1409</f>
        <v>2.0727293273390512</v>
      </c>
      <c r="R48" s="1">
        <f>[1]Results!U1409</f>
        <v>1.4076478171317464</v>
      </c>
      <c r="S48" s="1">
        <f>[1]Results!V1409</f>
        <v>0.70445543827745427</v>
      </c>
      <c r="T48" s="1">
        <f>[1]Results!W1409</f>
        <v>-0.17012305657727878</v>
      </c>
      <c r="U48" s="1">
        <f>[1]Results!X1409</f>
        <v>-1.1558447695568519</v>
      </c>
      <c r="V48" s="1">
        <f>[1]Results!Y1409</f>
        <v>-2.2384181228060949</v>
      </c>
      <c r="W48" s="1">
        <f>[1]Results!Z1409</f>
        <v>-3.3947204999673235</v>
      </c>
      <c r="X48" s="1">
        <f>[1]Results!AA1409</f>
        <v>-4.6074283673190193</v>
      </c>
      <c r="Y48" s="1">
        <f>[1]Results!AB1409</f>
        <v>-5.8404153303962758</v>
      </c>
      <c r="Z48" s="1">
        <f>[1]Results!AC1409</f>
        <v>-7.0578698577294459</v>
      </c>
      <c r="AA48" s="1">
        <f>[1]Results!AD1409</f>
        <v>-8.2255969422349366</v>
      </c>
      <c r="AB48" s="1">
        <f>[1]Results!AE1409</f>
        <v>-9.2831725195737018</v>
      </c>
      <c r="AC48" s="1">
        <f>[1]Results!AF1409</f>
        <v>-10.368683798033784</v>
      </c>
      <c r="AD48" s="1">
        <f>[1]Results!AG1409</f>
        <v>-11.294433263524283</v>
      </c>
      <c r="AE48" s="1">
        <f>[1]Results!AH1409</f>
        <v>-12.13160007335623</v>
      </c>
      <c r="AF48" s="1">
        <f>[1]Results!AI1409</f>
        <v>-12.878011649913446</v>
      </c>
      <c r="AG48" s="1">
        <f>[1]Results!AJ1409</f>
        <v>-13.531128607581778</v>
      </c>
      <c r="AH48" s="1">
        <f>[1]Results!AK1409</f>
        <v>-14.100079839838831</v>
      </c>
      <c r="AI48" s="1">
        <f>[1]Results!AL1409</f>
        <v>-14.563447104106908</v>
      </c>
      <c r="AJ48" s="1">
        <f>[1]Results!AM1409</f>
        <v>-14.918134016020701</v>
      </c>
      <c r="AK48" s="1">
        <f>[1]Results!AN1409</f>
        <v>-15.164995546137128</v>
      </c>
      <c r="AL48" s="1">
        <f>[1]Results!AO1409</f>
        <v>-15.016846852240418</v>
      </c>
    </row>
    <row r="49" spans="1:38" x14ac:dyDescent="0.35">
      <c r="A49" s="3" t="str">
        <f>[1]Results!E1410</f>
        <v>GDP_2</v>
      </c>
      <c r="B49" t="str">
        <f>[1]Results!C1410</f>
        <v>PIB</v>
      </c>
      <c r="C49" s="1">
        <f>[1]Results!F1410</f>
        <v>2196993.054</v>
      </c>
      <c r="D49" s="1">
        <f>[1]Results!G1410</f>
        <v>2237148.7790000001</v>
      </c>
      <c r="E49" s="1">
        <f>[1]Results!H1410</f>
        <v>2279651.8339999998</v>
      </c>
      <c r="F49" s="1">
        <f>[1]Results!I1410</f>
        <v>2325108.0159999998</v>
      </c>
      <c r="G49" s="1">
        <f>[1]Results!J1410</f>
        <v>2375911.7880000002</v>
      </c>
      <c r="H49" s="1">
        <f>[1]Results!K1410</f>
        <v>2434872.9700000002</v>
      </c>
      <c r="I49" s="1">
        <f>[1]Results!L1410</f>
        <v>2489962.108</v>
      </c>
      <c r="J49" s="1">
        <f>[1]Results!M1410</f>
        <v>2544897.0890000002</v>
      </c>
      <c r="K49" s="1">
        <f>[1]Results!N1410</f>
        <v>2601591.9819999998</v>
      </c>
      <c r="L49" s="1">
        <f>[1]Results!O1410</f>
        <v>2659801.0389999999</v>
      </c>
      <c r="M49" s="1">
        <f>[1]Results!P1410</f>
        <v>2719524.1889999998</v>
      </c>
      <c r="N49" s="1">
        <f>[1]Results!Q1410</f>
        <v>2778190.943</v>
      </c>
      <c r="O49" s="1">
        <f>[1]Results!R1410</f>
        <v>2836539.077</v>
      </c>
      <c r="P49" s="1">
        <f>[1]Results!S1410</f>
        <v>2894262.4309999999</v>
      </c>
      <c r="Q49" s="1">
        <f>[1]Results!T1410</f>
        <v>2951034.2779999999</v>
      </c>
      <c r="R49" s="1">
        <f>[1]Results!U1410</f>
        <v>3012976.5</v>
      </c>
      <c r="S49" s="1">
        <f>[1]Results!V1410</f>
        <v>3062124.273</v>
      </c>
      <c r="T49" s="1">
        <f>[1]Results!W1410</f>
        <v>3115175.5920000002</v>
      </c>
      <c r="U49" s="1">
        <f>[1]Results!X1410</f>
        <v>3167309.5219999999</v>
      </c>
      <c r="V49" s="1">
        <f>[1]Results!Y1410</f>
        <v>3219110.9219999998</v>
      </c>
      <c r="W49" s="1">
        <f>[1]Results!Z1410</f>
        <v>3270525.5090000001</v>
      </c>
      <c r="X49" s="1">
        <f>[1]Results!AA1410</f>
        <v>3322472.46</v>
      </c>
      <c r="Y49" s="1">
        <f>[1]Results!AB1410</f>
        <v>3375233.6809999999</v>
      </c>
      <c r="Z49" s="1">
        <f>[1]Results!AC1410</f>
        <v>3429068.1009999998</v>
      </c>
      <c r="AA49" s="1">
        <f>[1]Results!AD1410</f>
        <v>3484248.95</v>
      </c>
      <c r="AB49" s="1">
        <f>[1]Results!AE1410</f>
        <v>3548647.7760000001</v>
      </c>
      <c r="AC49" s="1">
        <f>[1]Results!AF1410</f>
        <v>3606742.4029999999</v>
      </c>
      <c r="AD49" s="1">
        <f>[1]Results!AG1410</f>
        <v>3673310.2519999999</v>
      </c>
      <c r="AE49" s="1">
        <f>[1]Results!AH1410</f>
        <v>3741798.852</v>
      </c>
      <c r="AF49" s="1">
        <f>[1]Results!AI1410</f>
        <v>3812403.0890000002</v>
      </c>
      <c r="AG49" s="1">
        <f>[1]Results!AJ1410</f>
        <v>3885015.51</v>
      </c>
      <c r="AH49" s="1">
        <f>[1]Results!AK1410</f>
        <v>3959241.6680000001</v>
      </c>
      <c r="AI49" s="1">
        <f>[1]Results!AL1410</f>
        <v>4034749.6290000002</v>
      </c>
      <c r="AJ49" s="1">
        <f>[1]Results!AM1410</f>
        <v>4111245.4350000001</v>
      </c>
      <c r="AK49" s="1">
        <f>[1]Results!AN1410</f>
        <v>4188433.2069999999</v>
      </c>
      <c r="AL49" s="1">
        <f>[1]Results!AO1410</f>
        <v>4279708.9220000003</v>
      </c>
    </row>
    <row r="50" spans="1:38" x14ac:dyDescent="0.35">
      <c r="A50" s="3" t="str">
        <f>[1]Results!E1411</f>
        <v>(GDPter_2/GDPbis_2-1)*100</v>
      </c>
      <c r="B50" t="str">
        <f>[1]Results!C1411</f>
        <v>Ecart PIB</v>
      </c>
      <c r="C50" s="1">
        <f>[1]Results!F1411</f>
        <v>0</v>
      </c>
      <c r="D50" s="1">
        <f>[1]Results!G1411</f>
        <v>0</v>
      </c>
      <c r="E50" s="1">
        <f>[1]Results!H1411</f>
        <v>0</v>
      </c>
      <c r="F50" s="1">
        <f>[1]Results!I1411</f>
        <v>0</v>
      </c>
      <c r="G50" s="1">
        <f>[1]Results!J1411</f>
        <v>0</v>
      </c>
      <c r="H50" s="1">
        <f>[1]Results!K1411</f>
        <v>0</v>
      </c>
      <c r="I50" s="1">
        <f>[1]Results!L1411</f>
        <v>0</v>
      </c>
      <c r="J50" s="1">
        <f>[1]Results!M1411</f>
        <v>0</v>
      </c>
      <c r="K50" s="1">
        <f>[1]Results!N1411</f>
        <v>0</v>
      </c>
      <c r="L50" s="1">
        <f>[1]Results!O1411</f>
        <v>3.7596792346050734E-8</v>
      </c>
      <c r="M50" s="1">
        <f>[1]Results!P1411</f>
        <v>0</v>
      </c>
      <c r="N50" s="1">
        <f>[1]Results!Q1411</f>
        <v>-3.5994651703674663E-8</v>
      </c>
      <c r="O50" s="1">
        <f>[1]Results!R1411</f>
        <v>0</v>
      </c>
      <c r="P50" s="1">
        <f>[1]Results!S1411</f>
        <v>-3.4551106420366295E-8</v>
      </c>
      <c r="Q50" s="1">
        <f>[1]Results!T1411</f>
        <v>-3.388642699775346E-8</v>
      </c>
      <c r="R50" s="1">
        <f>[1]Results!U1411</f>
        <v>-3.3189773152031421E-8</v>
      </c>
      <c r="S50" s="1">
        <f>[1]Results!V1411</f>
        <v>0</v>
      </c>
      <c r="T50" s="1">
        <f>[1]Results!W1411</f>
        <v>0</v>
      </c>
      <c r="U50" s="1">
        <f>[1]Results!X1411</f>
        <v>0</v>
      </c>
      <c r="V50" s="1">
        <f>[1]Results!Y1411</f>
        <v>0</v>
      </c>
      <c r="W50" s="1">
        <f>[1]Results!Z1411</f>
        <v>0</v>
      </c>
      <c r="X50" s="1">
        <f>[1]Results!AA1411</f>
        <v>0</v>
      </c>
      <c r="Y50" s="1">
        <f>[1]Results!AB1411</f>
        <v>0</v>
      </c>
      <c r="Z50" s="1">
        <f>[1]Results!AC1411</f>
        <v>0</v>
      </c>
      <c r="AA50" s="1">
        <f>[1]Results!AD1411</f>
        <v>-2.8700597454189847E-8</v>
      </c>
      <c r="AB50" s="1">
        <f>[1]Results!AE1411</f>
        <v>-2.8179747424417201E-8</v>
      </c>
      <c r="AC50" s="1">
        <f>[1]Results!AF1411</f>
        <v>0</v>
      </c>
      <c r="AD50" s="1">
        <f>[1]Results!AG1411</f>
        <v>0</v>
      </c>
      <c r="AE50" s="1">
        <f>[1]Results!AH1411</f>
        <v>0</v>
      </c>
      <c r="AF50" s="1">
        <f>[1]Results!AI1411</f>
        <v>0</v>
      </c>
      <c r="AG50" s="1">
        <f>[1]Results!AJ1411</f>
        <v>0</v>
      </c>
      <c r="AH50" s="1">
        <f>[1]Results!AK1411</f>
        <v>-2.5257362867847633E-8</v>
      </c>
      <c r="AI50" s="1">
        <f>[1]Results!AL1411</f>
        <v>0</v>
      </c>
      <c r="AJ50" s="1">
        <f>[1]Results!AM1411</f>
        <v>0</v>
      </c>
      <c r="AK50" s="1">
        <f>[1]Results!AN1411</f>
        <v>0</v>
      </c>
      <c r="AL50" s="1">
        <f>[1]Results!AO1411</f>
        <v>0</v>
      </c>
    </row>
    <row r="51" spans="1:38" x14ac:dyDescent="0.35">
      <c r="A51" s="3" t="str">
        <f>[1]Results!E1412</f>
        <v>SPEND_G_VAL_2</v>
      </c>
      <c r="B51" t="str">
        <f>[1]Results!C1412</f>
        <v>Dépenses publiques</v>
      </c>
      <c r="C51" s="1">
        <f>[1]Results!F1412</f>
        <v>1178059.233</v>
      </c>
      <c r="D51" s="1">
        <f>[1]Results!G1412</f>
        <v>1216570.19</v>
      </c>
      <c r="E51" s="1">
        <f>[1]Results!H1412</f>
        <v>1254343.416</v>
      </c>
      <c r="F51" s="1">
        <f>[1]Results!I1412</f>
        <v>1299490.1040000001</v>
      </c>
      <c r="G51" s="1">
        <f>[1]Results!J1412</f>
        <v>1344268.926</v>
      </c>
      <c r="H51" s="1">
        <f>[1]Results!K1412</f>
        <v>1379003.4450000001</v>
      </c>
      <c r="I51" s="1">
        <f>[1]Results!L1412</f>
        <v>1411152.56</v>
      </c>
      <c r="J51" s="1">
        <f>[1]Results!M1412</f>
        <v>1454836.0160000001</v>
      </c>
      <c r="K51" s="1">
        <f>[1]Results!N1412</f>
        <v>1505951.058</v>
      </c>
      <c r="L51" s="1">
        <f>[1]Results!O1412</f>
        <v>1560036.855</v>
      </c>
      <c r="M51" s="1">
        <f>[1]Results!P1412</f>
        <v>1620268.702</v>
      </c>
      <c r="N51" s="1">
        <f>[1]Results!Q1412</f>
        <v>1677132.9620000001</v>
      </c>
      <c r="O51" s="1">
        <f>[1]Results!R1412</f>
        <v>1724377.068</v>
      </c>
      <c r="P51" s="1">
        <f>[1]Results!S1412</f>
        <v>1769518.277</v>
      </c>
      <c r="Q51" s="1">
        <f>[1]Results!T1412</f>
        <v>1812639.4369999999</v>
      </c>
      <c r="R51" s="1">
        <f>[1]Results!U1412</f>
        <v>1853346.9029999999</v>
      </c>
      <c r="S51" s="1">
        <f>[1]Results!V1412</f>
        <v>1892504.639</v>
      </c>
      <c r="T51" s="1">
        <f>[1]Results!W1412</f>
        <v>1929982.307</v>
      </c>
      <c r="U51" s="1">
        <f>[1]Results!X1412</f>
        <v>1965684.7960000001</v>
      </c>
      <c r="V51" s="1">
        <f>[1]Results!Y1412</f>
        <v>1999388.8049999999</v>
      </c>
      <c r="W51" s="1">
        <f>[1]Results!Z1412</f>
        <v>2029752.3859999999</v>
      </c>
      <c r="X51" s="1">
        <f>[1]Results!AA1412</f>
        <v>2059371.399</v>
      </c>
      <c r="Y51" s="1">
        <f>[1]Results!AB1412</f>
        <v>2087430.6470000001</v>
      </c>
      <c r="Z51" s="1">
        <f>[1]Results!AC1412</f>
        <v>2113983.2370000002</v>
      </c>
      <c r="AA51" s="1">
        <f>[1]Results!AD1412</f>
        <v>2139222.6740000001</v>
      </c>
      <c r="AB51" s="1">
        <f>[1]Results!AE1412</f>
        <v>2158650.14</v>
      </c>
      <c r="AC51" s="1">
        <f>[1]Results!AF1412</f>
        <v>2179585.2289999998</v>
      </c>
      <c r="AD51" s="1">
        <f>[1]Results!AG1412</f>
        <v>2200667.3640000001</v>
      </c>
      <c r="AE51" s="1">
        <f>[1]Results!AH1412</f>
        <v>2220941.1869999999</v>
      </c>
      <c r="AF51" s="1">
        <f>[1]Results!AI1412</f>
        <v>2240558.8289999999</v>
      </c>
      <c r="AG51" s="1">
        <f>[1]Results!AJ1412</f>
        <v>2259752.0040000002</v>
      </c>
      <c r="AH51" s="1">
        <f>[1]Results!AK1412</f>
        <v>2278554.253</v>
      </c>
      <c r="AI51" s="1">
        <f>[1]Results!AL1412</f>
        <v>2297613.3969999999</v>
      </c>
      <c r="AJ51" s="1">
        <f>[1]Results!AM1412</f>
        <v>2316156.9750000001</v>
      </c>
      <c r="AK51" s="1">
        <f>[1]Results!AN1412</f>
        <v>2334375.8810000001</v>
      </c>
      <c r="AL51" s="1">
        <f>[1]Results!AO1412</f>
        <v>2351937.75</v>
      </c>
    </row>
    <row r="52" spans="1:38" x14ac:dyDescent="0.35">
      <c r="A52" s="3" t="str">
        <f>[1]Results!E1413</f>
        <v>INC_G_VAL_2</v>
      </c>
      <c r="B52" t="str">
        <f>[1]Results!C1413</f>
        <v>Recettes publiques</v>
      </c>
      <c r="C52" s="1">
        <f>[1]Results!F1413</f>
        <v>1010830.99</v>
      </c>
      <c r="D52" s="1">
        <f>[1]Results!G1413</f>
        <v>1046666.798</v>
      </c>
      <c r="E52" s="1">
        <f>[1]Results!H1413</f>
        <v>1089393.267</v>
      </c>
      <c r="F52" s="1">
        <f>[1]Results!I1413</f>
        <v>1138816.0449999999</v>
      </c>
      <c r="G52" s="1">
        <f>[1]Results!J1413</f>
        <v>1191640.477</v>
      </c>
      <c r="H52" s="1">
        <f>[1]Results!K1413</f>
        <v>1245408.497</v>
      </c>
      <c r="I52" s="1">
        <f>[1]Results!L1413</f>
        <v>1303837.3759999999</v>
      </c>
      <c r="J52" s="1">
        <f>[1]Results!M1413</f>
        <v>1366121.4350000001</v>
      </c>
      <c r="K52" s="1">
        <f>[1]Results!N1413</f>
        <v>1434002.4350000001</v>
      </c>
      <c r="L52" s="1">
        <f>[1]Results!O1413</f>
        <v>1508949.3060000001</v>
      </c>
      <c r="M52" s="1">
        <f>[1]Results!P1413</f>
        <v>1592703.429</v>
      </c>
      <c r="N52" s="1">
        <f>[1]Results!Q1413</f>
        <v>1679598.0859999999</v>
      </c>
      <c r="O52" s="1">
        <f>[1]Results!R1413</f>
        <v>1767779.9450000001</v>
      </c>
      <c r="P52" s="1">
        <f>[1]Results!S1413</f>
        <v>1855625.912</v>
      </c>
      <c r="Q52" s="1">
        <f>[1]Results!T1413</f>
        <v>1941928.621</v>
      </c>
      <c r="R52" s="1">
        <f>[1]Results!U1413</f>
        <v>2029129.0449999999</v>
      </c>
      <c r="S52" s="1">
        <f>[1]Results!V1413</f>
        <v>2109506.8769999999</v>
      </c>
      <c r="T52" s="1">
        <f>[1]Results!W1413</f>
        <v>2187415.3480000002</v>
      </c>
      <c r="U52" s="1">
        <f>[1]Results!X1413</f>
        <v>2262700.128</v>
      </c>
      <c r="V52" s="1">
        <f>[1]Results!Y1413</f>
        <v>2335543.4049999998</v>
      </c>
      <c r="W52" s="1">
        <f>[1]Results!Z1413</f>
        <v>2405454.6970000002</v>
      </c>
      <c r="X52" s="1">
        <f>[1]Results!AA1413</f>
        <v>2472767.8870000001</v>
      </c>
      <c r="Y52" s="1">
        <f>[1]Results!AB1413</f>
        <v>2537467.2570000002</v>
      </c>
      <c r="Z52" s="1">
        <f>[1]Results!AC1413</f>
        <v>2600050.44</v>
      </c>
      <c r="AA52" s="1">
        <f>[1]Results!AD1413</f>
        <v>2661208.5980000002</v>
      </c>
      <c r="AB52" s="1">
        <f>[1]Results!AE1413</f>
        <v>2726392.1030000001</v>
      </c>
      <c r="AC52" s="1">
        <f>[1]Results!AF1413</f>
        <v>2789143.3029999998</v>
      </c>
      <c r="AD52" s="1">
        <f>[1]Results!AG1413</f>
        <v>2855802.62</v>
      </c>
      <c r="AE52" s="1">
        <f>[1]Results!AH1413</f>
        <v>2927008.9879999999</v>
      </c>
      <c r="AF52" s="1">
        <f>[1]Results!AI1413</f>
        <v>3003527.4530000002</v>
      </c>
      <c r="AG52" s="1">
        <f>[1]Results!AJ1413</f>
        <v>3085813.5780000002</v>
      </c>
      <c r="AH52" s="1">
        <f>[1]Results!AK1413</f>
        <v>3173867.1749999998</v>
      </c>
      <c r="AI52" s="1">
        <f>[1]Results!AL1413</f>
        <v>3267883.5350000001</v>
      </c>
      <c r="AJ52" s="1">
        <f>[1]Results!AM1413</f>
        <v>3367924.284</v>
      </c>
      <c r="AK52" s="1">
        <f>[1]Results!AN1413</f>
        <v>3473917.32</v>
      </c>
      <c r="AL52" s="1">
        <f>[1]Results!AO1413</f>
        <v>3595115.8220000002</v>
      </c>
    </row>
    <row r="53" spans="1:38" x14ac:dyDescent="0.35">
      <c r="A53" s="3" t="str">
        <f>[1]Results!E1414</f>
        <v>Bal_G_tot_VAL_2</v>
      </c>
      <c r="B53" t="str">
        <f>[1]Results!C1414</f>
        <v>Solde public</v>
      </c>
      <c r="C53" s="1">
        <f>[1]Results!F1414</f>
        <v>-65251.174950000001</v>
      </c>
      <c r="D53" s="1">
        <f>[1]Results!G1414</f>
        <v>-64663.766380000001</v>
      </c>
      <c r="E53" s="1">
        <f>[1]Results!H1414</f>
        <v>-56477.334080000001</v>
      </c>
      <c r="F53" s="1">
        <f>[1]Results!I1414</f>
        <v>-49377.377809999998</v>
      </c>
      <c r="G53" s="1">
        <f>[1]Results!J1414</f>
        <v>-38862.89819</v>
      </c>
      <c r="H53" s="1">
        <f>[1]Results!K1414</f>
        <v>-17886.252499999999</v>
      </c>
      <c r="I53" s="1">
        <f>[1]Results!L1414</f>
        <v>9287.8242620000001</v>
      </c>
      <c r="J53" s="1">
        <f>[1]Results!M1414</f>
        <v>27424.035479999999</v>
      </c>
      <c r="K53" s="1">
        <f>[1]Results!N1414</f>
        <v>42818.792130000002</v>
      </c>
      <c r="L53" s="1">
        <f>[1]Results!O1414</f>
        <v>61538.926310000003</v>
      </c>
      <c r="M53" s="1">
        <f>[1]Results!P1414</f>
        <v>81984.256760000004</v>
      </c>
      <c r="N53" s="1">
        <f>[1]Results!Q1414</f>
        <v>107915.4406</v>
      </c>
      <c r="O53" s="1">
        <f>[1]Results!R1414</f>
        <v>143457.4209</v>
      </c>
      <c r="P53" s="1">
        <f>[1]Results!S1414</f>
        <v>178989.3082</v>
      </c>
      <c r="Q53" s="1">
        <f>[1]Results!T1414</f>
        <v>213221.3921</v>
      </c>
      <c r="R53" s="1">
        <f>[1]Results!U1414</f>
        <v>249053.28</v>
      </c>
      <c r="S53" s="1">
        <f>[1]Results!V1414</f>
        <v>277820.71179999999</v>
      </c>
      <c r="T53" s="1">
        <f>[1]Results!W1414</f>
        <v>304360.47970000003</v>
      </c>
      <c r="U53" s="1">
        <f>[1]Results!X1414</f>
        <v>328724.74660000001</v>
      </c>
      <c r="V53" s="1">
        <f>[1]Results!Y1414</f>
        <v>351427.77750000003</v>
      </c>
      <c r="W53" s="1">
        <f>[1]Results!Z1414</f>
        <v>373404.09970000002</v>
      </c>
      <c r="X53" s="1">
        <f>[1]Results!AA1414</f>
        <v>392428.07140000002</v>
      </c>
      <c r="Y53" s="1">
        <f>[1]Results!AB1414</f>
        <v>409446.79019999999</v>
      </c>
      <c r="Z53" s="1">
        <f>[1]Results!AC1414</f>
        <v>425005.04340000002</v>
      </c>
      <c r="AA53" s="1">
        <f>[1]Results!AD1414</f>
        <v>439673.5123</v>
      </c>
      <c r="AB53" s="1">
        <f>[1]Results!AE1414</f>
        <v>463445.87560000003</v>
      </c>
      <c r="AC53" s="1">
        <f>[1]Results!AF1414</f>
        <v>482089.69329999998</v>
      </c>
      <c r="AD53" s="1">
        <f>[1]Results!AG1414</f>
        <v>503562.39049999998</v>
      </c>
      <c r="AE53" s="1">
        <f>[1]Results!AH1414</f>
        <v>529316.81519999995</v>
      </c>
      <c r="AF53" s="1">
        <f>[1]Results!AI1414</f>
        <v>559751.79729999998</v>
      </c>
      <c r="AG53" s="1">
        <f>[1]Results!AJ1414</f>
        <v>594857.15800000005</v>
      </c>
      <c r="AH53" s="1">
        <f>[1]Results!AK1414</f>
        <v>634365.64720000001</v>
      </c>
      <c r="AI53" s="1">
        <f>[1]Results!AL1414</f>
        <v>677604.58140000002</v>
      </c>
      <c r="AJ53" s="1">
        <f>[1]Results!AM1414</f>
        <v>725221.52390000003</v>
      </c>
      <c r="AK53" s="1">
        <f>[1]Results!AN1414</f>
        <v>776734.57739999995</v>
      </c>
      <c r="AL53" s="1">
        <f>[1]Results!AO1414</f>
        <v>841534.48149999999</v>
      </c>
    </row>
    <row r="54" spans="1:38" x14ac:dyDescent="0.35">
      <c r="A54" s="3" t="str">
        <f>[1]Results!E1415</f>
        <v>DEBT_G_VAL_2</v>
      </c>
      <c r="B54" t="str">
        <f>[1]Results!C1415</f>
        <v>Dette publique</v>
      </c>
      <c r="C54" s="1">
        <f>[1]Results!F1415</f>
        <v>2104792.5279999999</v>
      </c>
      <c r="D54" s="1">
        <f>[1]Results!G1415</f>
        <v>2169456.2949999999</v>
      </c>
      <c r="E54" s="1">
        <f>[1]Results!H1415</f>
        <v>2225933.6290000002</v>
      </c>
      <c r="F54" s="1">
        <f>[1]Results!I1415</f>
        <v>2275311.0070000002</v>
      </c>
      <c r="G54" s="1">
        <f>[1]Results!J1415</f>
        <v>2314173.9049999998</v>
      </c>
      <c r="H54" s="1">
        <f>[1]Results!K1415</f>
        <v>2332060.1570000001</v>
      </c>
      <c r="I54" s="1">
        <f>[1]Results!L1415</f>
        <v>2322772.3330000001</v>
      </c>
      <c r="J54" s="1">
        <f>[1]Results!M1415</f>
        <v>2295348.298</v>
      </c>
      <c r="K54" s="1">
        <f>[1]Results!N1415</f>
        <v>2252529.5049999999</v>
      </c>
      <c r="L54" s="1">
        <f>[1]Results!O1415</f>
        <v>2190990.5789999999</v>
      </c>
      <c r="M54" s="1">
        <f>[1]Results!P1415</f>
        <v>2109006.3220000002</v>
      </c>
      <c r="N54" s="1">
        <f>[1]Results!Q1415</f>
        <v>2001090.882</v>
      </c>
      <c r="O54" s="1">
        <f>[1]Results!R1415</f>
        <v>1857633.4609999999</v>
      </c>
      <c r="P54" s="1">
        <f>[1]Results!S1415</f>
        <v>1678644.1529999999</v>
      </c>
      <c r="Q54" s="1">
        <f>[1]Results!T1415</f>
        <v>1465422.7609999999</v>
      </c>
      <c r="R54" s="1">
        <f>[1]Results!U1415</f>
        <v>1216369.4809999999</v>
      </c>
      <c r="S54" s="1">
        <f>[1]Results!V1415</f>
        <v>938548.76879999996</v>
      </c>
      <c r="T54" s="1">
        <f>[1]Results!W1415</f>
        <v>634188.28910000005</v>
      </c>
      <c r="U54" s="1">
        <f>[1]Results!X1415</f>
        <v>305463.54249999998</v>
      </c>
      <c r="V54" s="1">
        <f>[1]Results!Y1415</f>
        <v>-45964.23504</v>
      </c>
      <c r="W54" s="1">
        <f>[1]Results!Z1415</f>
        <v>-419368.33470000001</v>
      </c>
      <c r="X54" s="1">
        <f>[1]Results!AA1415</f>
        <v>-811796.40610000002</v>
      </c>
      <c r="Y54" s="1">
        <f>[1]Results!AB1415</f>
        <v>-1221243.196</v>
      </c>
      <c r="Z54" s="1">
        <f>[1]Results!AC1415</f>
        <v>-1646248.24</v>
      </c>
      <c r="AA54" s="1">
        <f>[1]Results!AD1415</f>
        <v>-2085921.7520000001</v>
      </c>
      <c r="AB54" s="1">
        <f>[1]Results!AE1415</f>
        <v>-2549367.628</v>
      </c>
      <c r="AC54" s="1">
        <f>[1]Results!AF1415</f>
        <v>-3031457.321</v>
      </c>
      <c r="AD54" s="1">
        <f>[1]Results!AG1415</f>
        <v>-3535019.7110000001</v>
      </c>
      <c r="AE54" s="1">
        <f>[1]Results!AH1415</f>
        <v>-4064336.5269999998</v>
      </c>
      <c r="AF54" s="1">
        <f>[1]Results!AI1415</f>
        <v>-4624088.324</v>
      </c>
      <c r="AG54" s="1">
        <f>[1]Results!AJ1415</f>
        <v>-5218945.4819999998</v>
      </c>
      <c r="AH54" s="1">
        <f>[1]Results!AK1415</f>
        <v>-5853311.1289999997</v>
      </c>
      <c r="AI54" s="1">
        <f>[1]Results!AL1415</f>
        <v>-6530915.71</v>
      </c>
      <c r="AJ54" s="1">
        <f>[1]Results!AM1415</f>
        <v>-7256137.2340000002</v>
      </c>
      <c r="AK54" s="1">
        <f>[1]Results!AN1415</f>
        <v>-8032871.8119999999</v>
      </c>
      <c r="AL54" s="1">
        <f>[1]Results!AO1415</f>
        <v>-8874406.2929999996</v>
      </c>
    </row>
    <row r="55" spans="1:38" x14ac:dyDescent="0.35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</row>
    <row r="56" spans="1:38" x14ac:dyDescent="0.35">
      <c r="A56" s="9" t="s">
        <v>3</v>
      </c>
      <c r="B56" t="s">
        <v>4</v>
      </c>
      <c r="C56" s="1">
        <f>[1]Results!F1789</f>
        <v>1.0018723169999999</v>
      </c>
      <c r="D56" s="1">
        <f>[1]Results!G1789</f>
        <v>1.0205996500000001</v>
      </c>
      <c r="E56" s="1">
        <f>[1]Results!H1789</f>
        <v>1.0433486599999999</v>
      </c>
      <c r="F56" s="1">
        <f>[1]Results!I1789</f>
        <v>1.0690396630000001</v>
      </c>
      <c r="G56" s="1">
        <f>[1]Results!J1789</f>
        <v>1.0908336169999999</v>
      </c>
      <c r="H56" s="1">
        <f>[1]Results!K1789</f>
        <v>1.107998933</v>
      </c>
      <c r="I56" s="1">
        <f>[1]Results!L1789</f>
        <v>1.1303807640000001</v>
      </c>
      <c r="J56" s="1">
        <f>[1]Results!M1789</f>
        <v>1.1537216850000001</v>
      </c>
      <c r="K56" s="1">
        <f>[1]Results!N1789</f>
        <v>1.1783443259999999</v>
      </c>
      <c r="L56" s="1">
        <f>[1]Results!O1789</f>
        <v>1.2038991610000001</v>
      </c>
      <c r="M56" s="1">
        <f>[1]Results!P1789</f>
        <v>1.2296332999999999</v>
      </c>
      <c r="N56" s="1">
        <f>[1]Results!Q1789</f>
        <v>1.255271705</v>
      </c>
      <c r="O56" s="1">
        <f>[1]Results!R1789</f>
        <v>1.280026587</v>
      </c>
      <c r="P56" s="1">
        <f>[1]Results!S1789</f>
        <v>1.3034155919999999</v>
      </c>
      <c r="Q56" s="1">
        <f>[1]Results!T1789</f>
        <v>1.325166938</v>
      </c>
      <c r="R56" s="1">
        <f>[1]Results!U1789</f>
        <v>1.3451364859999999</v>
      </c>
      <c r="S56" s="1">
        <f>[1]Results!V1789</f>
        <v>1.36320387</v>
      </c>
      <c r="T56" s="1">
        <f>[1]Results!W1789</f>
        <v>1.3793197079999999</v>
      </c>
      <c r="U56" s="1">
        <f>[1]Results!X1789</f>
        <v>1.3936061369999999</v>
      </c>
      <c r="V56" s="1">
        <f>[1]Results!Y1789</f>
        <v>1.4062944559999999</v>
      </c>
      <c r="W56" s="1">
        <f>[1]Results!Z1789</f>
        <v>1.4177685579999999</v>
      </c>
      <c r="X56" s="1">
        <f>[1]Results!AA1789</f>
        <v>1.4283207069999999</v>
      </c>
      <c r="Y56" s="1">
        <f>[1]Results!AB1789</f>
        <v>1.4383202070000001</v>
      </c>
      <c r="Z56" s="1">
        <f>[1]Results!AC1789</f>
        <v>1.448188085</v>
      </c>
      <c r="AA56" s="1">
        <f>[1]Results!AD1789</f>
        <v>1.458424916</v>
      </c>
      <c r="AB56" s="1">
        <f>[1]Results!AE1789</f>
        <v>1.469721091</v>
      </c>
      <c r="AC56" s="1">
        <f>[1]Results!AF1789</f>
        <v>1.482202252</v>
      </c>
      <c r="AD56" s="1">
        <f>[1]Results!AG1789</f>
        <v>1.496117742</v>
      </c>
      <c r="AE56" s="1">
        <f>[1]Results!AH1789</f>
        <v>1.511709199</v>
      </c>
      <c r="AF56" s="1">
        <f>[1]Results!AI1789</f>
        <v>1.529089412</v>
      </c>
      <c r="AG56" s="1">
        <f>[1]Results!AJ1789</f>
        <v>1.5483504480000001</v>
      </c>
      <c r="AH56" s="1">
        <f>[1]Results!AK1789</f>
        <v>1.569527084</v>
      </c>
      <c r="AI56" s="1">
        <f>[1]Results!AL1789</f>
        <v>1.5925938310000001</v>
      </c>
      <c r="AJ56" s="1">
        <f>[1]Results!AM1789</f>
        <v>1.6174665989999999</v>
      </c>
      <c r="AK56" s="1">
        <f>[1]Results!AN1789</f>
        <v>1.64400412</v>
      </c>
      <c r="AL56" s="1">
        <f>[1]Results!AO1789</f>
        <v>1.6720148539999999</v>
      </c>
    </row>
    <row r="57" spans="1:38" x14ac:dyDescent="0.35">
      <c r="A57" s="9"/>
      <c r="B57" t="s">
        <v>6</v>
      </c>
      <c r="C57" s="1">
        <f>[1]Results!F1760</f>
        <v>1.0018723169999999</v>
      </c>
      <c r="D57" s="1">
        <f>[1]Results!G1760</f>
        <v>1.0205996500000001</v>
      </c>
      <c r="E57" s="1">
        <f>[1]Results!H1760</f>
        <v>1.0433486599999999</v>
      </c>
      <c r="F57" s="1">
        <f>[1]Results!I1760</f>
        <v>1.0690396639999999</v>
      </c>
      <c r="G57" s="1">
        <f>[1]Results!J1760</f>
        <v>1.090833618</v>
      </c>
      <c r="H57" s="1">
        <f>[1]Results!K1760</f>
        <v>1.107998934</v>
      </c>
      <c r="I57" s="1">
        <f>[1]Results!L1760</f>
        <v>1.130024455</v>
      </c>
      <c r="J57" s="1">
        <f>[1]Results!M1760</f>
        <v>1.1579051549999999</v>
      </c>
      <c r="K57" s="1">
        <f>[1]Results!N1760</f>
        <v>1.1891237349999999</v>
      </c>
      <c r="L57" s="1">
        <f>[1]Results!O1760</f>
        <v>1.224482386</v>
      </c>
      <c r="M57" s="1">
        <f>[1]Results!P1760</f>
        <v>1.265016989</v>
      </c>
      <c r="N57" s="1">
        <f>[1]Results!Q1760</f>
        <v>1.300182148</v>
      </c>
      <c r="O57" s="1">
        <f>[1]Results!R1760</f>
        <v>1.3341364309999999</v>
      </c>
      <c r="P57" s="1">
        <f>[1]Results!S1760</f>
        <v>1.3669464140000001</v>
      </c>
      <c r="Q57" s="1">
        <f>[1]Results!T1760</f>
        <v>1.398465042</v>
      </c>
      <c r="R57" s="1">
        <f>[1]Results!U1760</f>
        <v>1.4288059390000001</v>
      </c>
      <c r="S57" s="1">
        <f>[1]Results!V1760</f>
        <v>1.4579690000000001</v>
      </c>
      <c r="T57" s="1">
        <f>[1]Results!W1760</f>
        <v>1.4860384099999999</v>
      </c>
      <c r="U57" s="1">
        <f>[1]Results!X1760</f>
        <v>1.512821881</v>
      </c>
      <c r="V57" s="1">
        <f>[1]Results!Y1760</f>
        <v>1.537986783</v>
      </c>
      <c r="W57" s="1">
        <f>[1]Results!Z1760</f>
        <v>1.561684292</v>
      </c>
      <c r="X57" s="1">
        <f>[1]Results!AA1760</f>
        <v>1.58295868</v>
      </c>
      <c r="Y57" s="1">
        <f>[1]Results!AB1760</f>
        <v>1.602621232</v>
      </c>
      <c r="Z57" s="1">
        <f>[1]Results!AC1760</f>
        <v>1.620806177</v>
      </c>
      <c r="AA57" s="1">
        <f>[1]Results!AD1760</f>
        <v>1.6377696690000001</v>
      </c>
      <c r="AB57" s="1">
        <f>[1]Results!AE1760</f>
        <v>1.6546284419999999</v>
      </c>
      <c r="AC57" s="1">
        <f>[1]Results!AF1760</f>
        <v>1.6709309130000001</v>
      </c>
      <c r="AD57" s="1">
        <f>[1]Results!AG1760</f>
        <v>1.6880292610000001</v>
      </c>
      <c r="AE57" s="1">
        <f>[1]Results!AH1760</f>
        <v>1.706185142</v>
      </c>
      <c r="AF57" s="1">
        <f>[1]Results!AI1760</f>
        <v>1.725528572</v>
      </c>
      <c r="AG57" s="1">
        <f>[1]Results!AJ1760</f>
        <v>1.746202488</v>
      </c>
      <c r="AH57" s="1">
        <f>[1]Results!AK1760</f>
        <v>1.7681861489999999</v>
      </c>
      <c r="AI57" s="1">
        <f>[1]Results!AL1760</f>
        <v>1.7919746379999999</v>
      </c>
      <c r="AJ57" s="1">
        <f>[1]Results!AM1760</f>
        <v>1.8175800980000001</v>
      </c>
      <c r="AK57" s="1">
        <f>[1]Results!AN1760</f>
        <v>1.844965534</v>
      </c>
      <c r="AL57" s="1">
        <f>[1]Results!AO1760</f>
        <v>1.874888546</v>
      </c>
    </row>
    <row r="58" spans="1:38" x14ac:dyDescent="0.35"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</row>
    <row r="59" spans="1:38" x14ac:dyDescent="0.35">
      <c r="A59" s="9" t="s">
        <v>1</v>
      </c>
      <c r="B59" t="str">
        <f>B56</f>
        <v>Baseline</v>
      </c>
      <c r="D59" s="1" t="e">
        <f>(D56/#REF!-1)*100</f>
        <v>#REF!</v>
      </c>
      <c r="E59" s="1">
        <f t="shared" ref="E59:AL59" si="0">(E56/D56-1)*100</f>
        <v>2.2289846954189896</v>
      </c>
      <c r="F59" s="1">
        <f t="shared" si="0"/>
        <v>2.4623602813655943</v>
      </c>
      <c r="G59" s="1">
        <f t="shared" si="0"/>
        <v>2.0386478401409835</v>
      </c>
      <c r="H59" s="1">
        <f t="shared" si="0"/>
        <v>1.5735961683329691</v>
      </c>
      <c r="I59" s="1">
        <f t="shared" si="0"/>
        <v>2.0200227936501225</v>
      </c>
      <c r="J59" s="1">
        <f t="shared" si="0"/>
        <v>2.0648724521288742</v>
      </c>
      <c r="K59" s="1">
        <f t="shared" si="0"/>
        <v>2.1341924417412672</v>
      </c>
      <c r="L59" s="1">
        <f t="shared" si="0"/>
        <v>2.1687069251437263</v>
      </c>
      <c r="M59" s="1">
        <f t="shared" si="0"/>
        <v>2.1375659883859477</v>
      </c>
      <c r="N59" s="1">
        <f t="shared" si="0"/>
        <v>2.0850447853030696</v>
      </c>
      <c r="O59" s="1">
        <f t="shared" si="0"/>
        <v>1.9720736077612822</v>
      </c>
      <c r="P59" s="1">
        <f t="shared" si="0"/>
        <v>1.8272280620996062</v>
      </c>
      <c r="Q59" s="1">
        <f t="shared" si="0"/>
        <v>1.668795903125897</v>
      </c>
      <c r="R59" s="1">
        <f t="shared" si="0"/>
        <v>1.5069458365856159</v>
      </c>
      <c r="S59" s="1">
        <f t="shared" si="0"/>
        <v>1.3431636259995106</v>
      </c>
      <c r="T59" s="1">
        <f t="shared" si="0"/>
        <v>1.1822030698900532</v>
      </c>
      <c r="U59" s="1">
        <f t="shared" si="0"/>
        <v>1.0357590714566989</v>
      </c>
      <c r="V59" s="1">
        <f t="shared" si="0"/>
        <v>0.9104666421255958</v>
      </c>
      <c r="W59" s="1">
        <f t="shared" si="0"/>
        <v>0.81591034872143808</v>
      </c>
      <c r="X59" s="1">
        <f t="shared" si="0"/>
        <v>0.74427867231627864</v>
      </c>
      <c r="Y59" s="1">
        <f t="shared" si="0"/>
        <v>0.70008786899147246</v>
      </c>
      <c r="Z59" s="1">
        <f t="shared" si="0"/>
        <v>0.68606962149144746</v>
      </c>
      <c r="AA59" s="1">
        <f t="shared" si="0"/>
        <v>0.70687164920295587</v>
      </c>
      <c r="AB59" s="1">
        <f t="shared" si="0"/>
        <v>0.77454621599457596</v>
      </c>
      <c r="AC59" s="1">
        <f t="shared" si="0"/>
        <v>0.8492196972901711</v>
      </c>
      <c r="AD59" s="1">
        <f t="shared" si="0"/>
        <v>0.93883881104777078</v>
      </c>
      <c r="AE59" s="1">
        <f t="shared" si="0"/>
        <v>1.0421276723286077</v>
      </c>
      <c r="AF59" s="1">
        <f t="shared" si="0"/>
        <v>1.1497061082579307</v>
      </c>
      <c r="AG59" s="1">
        <f t="shared" si="0"/>
        <v>1.2596409241240725</v>
      </c>
      <c r="AH59" s="1">
        <f t="shared" si="0"/>
        <v>1.3676901135239561</v>
      </c>
      <c r="AI59" s="1">
        <f t="shared" si="0"/>
        <v>1.4696622463636455</v>
      </c>
      <c r="AJ59" s="1">
        <f t="shared" si="0"/>
        <v>1.5617772413687003</v>
      </c>
      <c r="AK59" s="1">
        <f t="shared" si="0"/>
        <v>1.6406843279735739</v>
      </c>
      <c r="AL59" s="1">
        <f t="shared" si="0"/>
        <v>1.7038116668466774</v>
      </c>
    </row>
    <row r="60" spans="1:38" x14ac:dyDescent="0.35">
      <c r="A60" s="9"/>
      <c r="B60" t="str">
        <f>B57</f>
        <v>NZ50</v>
      </c>
      <c r="D60" s="1">
        <f t="shared" ref="D60:AL60" si="1">(D57/C57-1)*100</f>
        <v>1.8692335023366313</v>
      </c>
      <c r="E60" s="1">
        <f t="shared" si="1"/>
        <v>2.2289846954189896</v>
      </c>
      <c r="F60" s="1">
        <f t="shared" si="1"/>
        <v>2.4623603772108149</v>
      </c>
      <c r="G60" s="1">
        <f t="shared" si="1"/>
        <v>2.0386478382339979</v>
      </c>
      <c r="H60" s="1">
        <f t="shared" si="1"/>
        <v>1.5735961668904119</v>
      </c>
      <c r="I60" s="1">
        <f t="shared" si="1"/>
        <v>1.9878648186497205</v>
      </c>
      <c r="J60" s="1">
        <f t="shared" si="1"/>
        <v>2.4672651885219388</v>
      </c>
      <c r="K60" s="1">
        <f t="shared" si="1"/>
        <v>2.6961258325169046</v>
      </c>
      <c r="L60" s="1">
        <f t="shared" si="1"/>
        <v>2.9735047715619078</v>
      </c>
      <c r="M60" s="1">
        <f t="shared" si="1"/>
        <v>3.3103459440044558</v>
      </c>
      <c r="N60" s="1">
        <f t="shared" si="1"/>
        <v>2.7798171333491828</v>
      </c>
      <c r="O60" s="1">
        <f t="shared" si="1"/>
        <v>2.6115020154852786</v>
      </c>
      <c r="P60" s="1">
        <f t="shared" si="1"/>
        <v>2.4592674510362844</v>
      </c>
      <c r="Q60" s="1">
        <f t="shared" si="1"/>
        <v>2.3057690979830792</v>
      </c>
      <c r="R60" s="1">
        <f t="shared" si="1"/>
        <v>2.1695856591887663</v>
      </c>
      <c r="S60" s="1">
        <f t="shared" si="1"/>
        <v>2.0410792119474719</v>
      </c>
      <c r="T60" s="1">
        <f t="shared" si="1"/>
        <v>1.9252405229466474</v>
      </c>
      <c r="U60" s="1">
        <f t="shared" si="1"/>
        <v>1.8023404253729947</v>
      </c>
      <c r="V60" s="1">
        <f t="shared" si="1"/>
        <v>1.6634411701769825</v>
      </c>
      <c r="W60" s="1">
        <f t="shared" si="1"/>
        <v>1.5408135662762668</v>
      </c>
      <c r="X60" s="1">
        <f t="shared" si="1"/>
        <v>1.3622720103532826</v>
      </c>
      <c r="Y60" s="1">
        <f t="shared" si="1"/>
        <v>1.2421393083993815</v>
      </c>
      <c r="Z60" s="1">
        <f t="shared" si="1"/>
        <v>1.1347001173387605</v>
      </c>
      <c r="AA60" s="1">
        <f t="shared" si="1"/>
        <v>1.0466083015181038</v>
      </c>
      <c r="AB60" s="1">
        <f t="shared" si="1"/>
        <v>1.0293738685668519</v>
      </c>
      <c r="AC60" s="1">
        <f t="shared" si="1"/>
        <v>0.98526476314493294</v>
      </c>
      <c r="AD60" s="1">
        <f t="shared" si="1"/>
        <v>1.023282762140143</v>
      </c>
      <c r="AE60" s="1">
        <f t="shared" si="1"/>
        <v>1.0755667226552967</v>
      </c>
      <c r="AF60" s="1">
        <f t="shared" si="1"/>
        <v>1.1337239742531979</v>
      </c>
      <c r="AG60" s="1">
        <f t="shared" si="1"/>
        <v>1.1981207576318154</v>
      </c>
      <c r="AH60" s="1">
        <f t="shared" si="1"/>
        <v>1.2589411108432591</v>
      </c>
      <c r="AI60" s="1">
        <f t="shared" si="1"/>
        <v>1.3453611212514982</v>
      </c>
      <c r="AJ60" s="1">
        <f t="shared" si="1"/>
        <v>1.4288963391009935</v>
      </c>
      <c r="AK60" s="1">
        <f t="shared" si="1"/>
        <v>1.5066976156997924</v>
      </c>
      <c r="AL60" s="1">
        <f t="shared" si="1"/>
        <v>1.6218737666673366</v>
      </c>
    </row>
    <row r="61" spans="1:38" x14ac:dyDescent="0.35">
      <c r="A61" s="7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1:38" x14ac:dyDescent="0.35">
      <c r="A62" s="9" t="s">
        <v>2</v>
      </c>
      <c r="B62" t="str">
        <f>B59</f>
        <v>Baseline</v>
      </c>
      <c r="C62" s="6">
        <f>[1]Results!F911+[1]Results!F1283</f>
        <v>468.65993980000002</v>
      </c>
      <c r="D62" s="6">
        <f>[1]Results!G911+[1]Results!G1283</f>
        <v>471.39937600000002</v>
      </c>
      <c r="E62" s="6">
        <f>[1]Results!H911+[1]Results!H1283</f>
        <v>472.97158469999999</v>
      </c>
      <c r="F62" s="6">
        <f>[1]Results!I911+[1]Results!I1283</f>
        <v>474.60169020000001</v>
      </c>
      <c r="G62" s="6">
        <f>[1]Results!J911+[1]Results!J1283</f>
        <v>479.47990039999996</v>
      </c>
      <c r="H62" s="6">
        <f>[1]Results!K911+[1]Results!K1283</f>
        <v>488.1867105</v>
      </c>
      <c r="I62" s="6">
        <f>[1]Results!L911+[1]Results!L1283</f>
        <v>497.35010119999998</v>
      </c>
      <c r="J62" s="6">
        <f>[1]Results!M911+[1]Results!M1283</f>
        <v>507.82124199999998</v>
      </c>
      <c r="K62" s="6">
        <f>[1]Results!N911+[1]Results!N1283</f>
        <v>519.10277380000002</v>
      </c>
      <c r="L62" s="6">
        <f>[1]Results!O911+[1]Results!O1283</f>
        <v>530.52489709999998</v>
      </c>
      <c r="M62" s="6">
        <f>[1]Results!P911+[1]Results!P1283</f>
        <v>541.43650539999999</v>
      </c>
      <c r="N62" s="6">
        <f>[1]Results!Q911+[1]Results!Q1283</f>
        <v>552.61339770000006</v>
      </c>
      <c r="O62" s="6">
        <f>[1]Results!R911+[1]Results!R1283</f>
        <v>562.99850459999993</v>
      </c>
      <c r="P62" s="6">
        <f>[1]Results!S911+[1]Results!S1283</f>
        <v>572.69615820000001</v>
      </c>
      <c r="Q62" s="6">
        <f>[1]Results!T911+[1]Results!T1283</f>
        <v>581.86507789999996</v>
      </c>
      <c r="R62" s="6">
        <f>[1]Results!U911+[1]Results!U1283</f>
        <v>590.70210050000003</v>
      </c>
      <c r="S62" s="6">
        <f>[1]Results!V911+[1]Results!V1283</f>
        <v>599.41465649999998</v>
      </c>
      <c r="T62" s="6">
        <f>[1]Results!W911+[1]Results!W1283</f>
        <v>608.27389679999999</v>
      </c>
      <c r="U62" s="6">
        <f>[1]Results!X911+[1]Results!X1283</f>
        <v>617.41549680000003</v>
      </c>
      <c r="V62" s="6">
        <f>[1]Results!Y911+[1]Results!Y1283</f>
        <v>626.97131409999997</v>
      </c>
      <c r="W62" s="6">
        <f>[1]Results!Z911+[1]Results!Z1283</f>
        <v>636.99977049999995</v>
      </c>
      <c r="X62" s="6">
        <f>[1]Results!AA911+[1]Results!AA1283</f>
        <v>647.74714949999998</v>
      </c>
      <c r="Y62" s="6">
        <f>[1]Results!AB911+[1]Results!AB1283</f>
        <v>659.33931959999995</v>
      </c>
      <c r="Z62" s="6">
        <f>[1]Results!AC911+[1]Results!AC1283</f>
        <v>671.90150970000002</v>
      </c>
      <c r="AA62" s="6">
        <f>[1]Results!AD911+[1]Results!AD1283</f>
        <v>685.55993720000004</v>
      </c>
      <c r="AB62" s="6">
        <f>[1]Results!AE911+[1]Results!AE1283</f>
        <v>700.22609710000006</v>
      </c>
      <c r="AC62" s="6">
        <f>[1]Results!AF911+[1]Results!AF1283</f>
        <v>712.34820339999999</v>
      </c>
      <c r="AD62" s="6">
        <f>[1]Results!AG911+[1]Results!AG1283</f>
        <v>724.08490140000004</v>
      </c>
      <c r="AE62" s="6">
        <f>[1]Results!AH911+[1]Results!AH1283</f>
        <v>736.39144390000001</v>
      </c>
      <c r="AF62" s="6">
        <f>[1]Results!AI911+[1]Results!AI1283</f>
        <v>749.49489189999997</v>
      </c>
      <c r="AG62" s="6">
        <f>[1]Results!AJ911+[1]Results!AJ1283</f>
        <v>763.34339699999998</v>
      </c>
      <c r="AH62" s="6">
        <f>[1]Results!AK911+[1]Results!AK1283</f>
        <v>777.80001090000007</v>
      </c>
      <c r="AI62" s="6">
        <f>[1]Results!AL911+[1]Results!AL1283</f>
        <v>792.70996820000005</v>
      </c>
      <c r="AJ62" s="6">
        <f>[1]Results!AM911+[1]Results!AM1283</f>
        <v>807.91488070000003</v>
      </c>
      <c r="AK62" s="6">
        <f>[1]Results!AN911+[1]Results!AN1283</f>
        <v>823.26047369999992</v>
      </c>
      <c r="AL62" s="6">
        <f>[1]Results!AO911+[1]Results!AO1283</f>
        <v>838.59522589999995</v>
      </c>
    </row>
    <row r="63" spans="1:38" x14ac:dyDescent="0.35">
      <c r="A63" s="9"/>
      <c r="B63" t="str">
        <f>B60</f>
        <v>NZ50</v>
      </c>
      <c r="C63" s="6">
        <f>[1]Results!F857+[1]Results!F485</f>
        <v>468.65996269999999</v>
      </c>
      <c r="D63" s="6">
        <f>[1]Results!G857+[1]Results!G485</f>
        <v>471.39939870000001</v>
      </c>
      <c r="E63" s="6">
        <f>[1]Results!H857+[1]Results!H485</f>
        <v>472.97160700000001</v>
      </c>
      <c r="F63" s="6">
        <f>[1]Results!I857+[1]Results!I485</f>
        <v>474.60171199999996</v>
      </c>
      <c r="G63" s="6">
        <f>[1]Results!J857+[1]Results!J485</f>
        <v>479.4799223</v>
      </c>
      <c r="H63" s="6">
        <f>[1]Results!K857+[1]Results!K485</f>
        <v>488.18673279999996</v>
      </c>
      <c r="I63" s="6">
        <f>[1]Results!L857+[1]Results!L485</f>
        <v>496.06646190000004</v>
      </c>
      <c r="J63" s="6">
        <f>[1]Results!M857+[1]Results!M485</f>
        <v>503.13263699999999</v>
      </c>
      <c r="K63" s="6">
        <f>[1]Results!N857+[1]Results!N485</f>
        <v>508.69753129999998</v>
      </c>
      <c r="L63" s="6">
        <f>[1]Results!O857+[1]Results!O485</f>
        <v>512.76258440000004</v>
      </c>
      <c r="M63" s="6">
        <f>[1]Results!P857+[1]Results!P485</f>
        <v>513.87388329999999</v>
      </c>
      <c r="N63" s="6">
        <f>[1]Results!Q857+[1]Results!Q485</f>
        <v>517.76074800000004</v>
      </c>
      <c r="O63" s="6">
        <f>[1]Results!R857+[1]Results!R485</f>
        <v>522.93518440000003</v>
      </c>
      <c r="P63" s="6">
        <f>[1]Results!S857+[1]Results!S485</f>
        <v>528.95318380000003</v>
      </c>
      <c r="Q63" s="6">
        <f>[1]Results!T857+[1]Results!T485</f>
        <v>535.46029060000001</v>
      </c>
      <c r="R63" s="6">
        <f>[1]Results!U857+[1]Results!U485</f>
        <v>543.03313600000001</v>
      </c>
      <c r="S63" s="6">
        <f>[1]Results!V857+[1]Results!V485</f>
        <v>546.52361699999994</v>
      </c>
      <c r="T63" s="6">
        <f>[1]Results!W857+[1]Results!W485</f>
        <v>549.76963039999998</v>
      </c>
      <c r="U63" s="6">
        <f>[1]Results!X857+[1]Results!X485</f>
        <v>551.45381370000007</v>
      </c>
      <c r="V63" s="6">
        <f>[1]Results!Y857+[1]Results!Y485</f>
        <v>549.51388710000003</v>
      </c>
      <c r="W63" s="6">
        <f>[1]Results!Z857+[1]Results!Z485</f>
        <v>546.54080269999997</v>
      </c>
      <c r="X63" s="6">
        <f>[1]Results!AA857+[1]Results!AA485</f>
        <v>543.03630700000008</v>
      </c>
      <c r="Y63" s="6">
        <f>[1]Results!AB857+[1]Results!AB485</f>
        <v>539.17700179999997</v>
      </c>
      <c r="Z63" s="6">
        <f>[1]Results!AC857+[1]Results!AC485</f>
        <v>535.18008210999994</v>
      </c>
      <c r="AA63" s="6">
        <f>[1]Results!AD857+[1]Results!AD485</f>
        <v>531.31996880999998</v>
      </c>
      <c r="AB63" s="6">
        <f>[1]Results!AE857+[1]Results!AE485</f>
        <v>528.73549637999997</v>
      </c>
      <c r="AC63" s="6">
        <f>[1]Results!AF857+[1]Results!AF485</f>
        <v>524.47886905999997</v>
      </c>
      <c r="AD63" s="6">
        <f>[1]Results!AG857+[1]Results!AG485</f>
        <v>520.62565517999997</v>
      </c>
      <c r="AE63" s="6">
        <f>[1]Results!AH857+[1]Results!AH485</f>
        <v>517.65168985000003</v>
      </c>
      <c r="AF63" s="6">
        <f>[1]Results!AI857+[1]Results!AI485</f>
        <v>515.67552028</v>
      </c>
      <c r="AG63" s="6">
        <f>[1]Results!AJ857+[1]Results!AJ485</f>
        <v>514.65639767999994</v>
      </c>
      <c r="AH63" s="6">
        <f>[1]Results!AK857+[1]Results!AK485</f>
        <v>514.58441112000003</v>
      </c>
      <c r="AI63" s="6">
        <f>[1]Results!AL857+[1]Results!AL485</f>
        <v>515.36014174000002</v>
      </c>
      <c r="AJ63" s="6">
        <f>[1]Results!AM857+[1]Results!AM485</f>
        <v>516.88324964000003</v>
      </c>
      <c r="AK63" s="6">
        <f>[1]Results!AN857+[1]Results!AN485</f>
        <v>519.06377965000001</v>
      </c>
      <c r="AL63" s="6">
        <f>[1]Results!AO857+[1]Results!AO485</f>
        <v>522.66406460999997</v>
      </c>
    </row>
    <row r="65" spans="1:38" x14ac:dyDescent="0.35">
      <c r="B65" t="s">
        <v>15</v>
      </c>
      <c r="C65" s="6">
        <f>[1]Results!F1551</f>
        <v>1966005.5719999999</v>
      </c>
      <c r="D65" s="6">
        <f>[1]Results!G1551</f>
        <v>2002403.781</v>
      </c>
      <c r="E65" s="6">
        <f>[1]Results!H1551</f>
        <v>2040828.6629999999</v>
      </c>
      <c r="F65" s="6">
        <f>[1]Results!I1551</f>
        <v>2081939.2819999999</v>
      </c>
      <c r="G65" s="6">
        <f>[1]Results!J1551</f>
        <v>2127470.0070000002</v>
      </c>
      <c r="H65" s="6">
        <f>[1]Results!K1551</f>
        <v>2179614.889</v>
      </c>
      <c r="I65" s="6">
        <f>[1]Results!L1551</f>
        <v>2233122.0869999998</v>
      </c>
      <c r="J65" s="6">
        <f>[1]Results!M1551</f>
        <v>2288161.219</v>
      </c>
      <c r="K65" s="6">
        <f>[1]Results!N1551</f>
        <v>2344651.4010000001</v>
      </c>
      <c r="L65" s="6">
        <f>[1]Results!O1551</f>
        <v>2400322.1060000001</v>
      </c>
      <c r="M65" s="6">
        <f>[1]Results!P1551</f>
        <v>2452862.0550000002</v>
      </c>
      <c r="N65" s="6">
        <f>[1]Results!Q1551</f>
        <v>2501913.2069999999</v>
      </c>
      <c r="O65" s="6">
        <f>[1]Results!R1551</f>
        <v>2547640.6710000001</v>
      </c>
      <c r="P65" s="6">
        <f>[1]Results!S1551</f>
        <v>2590508.3169999998</v>
      </c>
      <c r="Q65" s="6">
        <f>[1]Results!T1551</f>
        <v>2631212.9589999998</v>
      </c>
      <c r="R65" s="6">
        <f>[1]Results!U1551</f>
        <v>2670577.3879999998</v>
      </c>
      <c r="S65" s="6">
        <f>[1]Results!V1551</f>
        <v>2709352.284</v>
      </c>
      <c r="T65" s="6">
        <f>[1]Results!W1551</f>
        <v>2748275.2089999998</v>
      </c>
      <c r="U65" s="6">
        <f>[1]Results!X1551</f>
        <v>2788031.3139999998</v>
      </c>
      <c r="V65" s="6">
        <f>[1]Results!Y1551</f>
        <v>2829150.645</v>
      </c>
      <c r="W65" s="6">
        <f>[1]Results!Z1551</f>
        <v>2871720.9810000001</v>
      </c>
      <c r="X65" s="6">
        <f>[1]Results!AA1551</f>
        <v>2916570.193</v>
      </c>
      <c r="Y65" s="6">
        <f>[1]Results!AB1551</f>
        <v>2963947.3369999998</v>
      </c>
      <c r="Z65" s="6">
        <f>[1]Results!AC1551</f>
        <v>3014065.2039999999</v>
      </c>
      <c r="AA65" s="6">
        <f>[1]Results!AD1551</f>
        <v>3067034.5380000002</v>
      </c>
      <c r="AB65" s="6">
        <f>[1]Results!AE1551</f>
        <v>3121943.59</v>
      </c>
      <c r="AC65" s="6">
        <f>[1]Results!AF1551</f>
        <v>3180205.8160000001</v>
      </c>
      <c r="AD65" s="6">
        <f>[1]Results!AG1551</f>
        <v>3241129.36</v>
      </c>
      <c r="AE65" s="6">
        <f>[1]Results!AH1551</f>
        <v>3304594.4640000002</v>
      </c>
      <c r="AF65" s="6">
        <f>[1]Results!AI1551</f>
        <v>3370456.9419999998</v>
      </c>
      <c r="AG65" s="6">
        <f>[1]Results!AJ1551</f>
        <v>3438426.4210000001</v>
      </c>
      <c r="AH65" s="6">
        <f>[1]Results!AK1551</f>
        <v>3508138.2340000002</v>
      </c>
      <c r="AI65" s="6">
        <f>[1]Results!AL1551</f>
        <v>3579199.1519999998</v>
      </c>
      <c r="AJ65" s="6">
        <f>[1]Results!AM1551</f>
        <v>3651193.051</v>
      </c>
      <c r="AK65" s="6">
        <f>[1]Results!AN1551</f>
        <v>3723690.4109999998</v>
      </c>
      <c r="AL65" s="6">
        <f>[1]Results!AO1551</f>
        <v>3796251.8139999998</v>
      </c>
    </row>
    <row r="66" spans="1:38" x14ac:dyDescent="0.35">
      <c r="A66" t="s">
        <v>13</v>
      </c>
      <c r="B66" t="s">
        <v>7</v>
      </c>
      <c r="C66" s="6">
        <f>[1]Results!F1552</f>
        <v>36094.496930000001</v>
      </c>
      <c r="D66" s="6">
        <f>[1]Results!G1552</f>
        <v>36615.237090000002</v>
      </c>
      <c r="E66" s="6">
        <f>[1]Results!H1552</f>
        <v>37201.561809999999</v>
      </c>
      <c r="F66" s="6">
        <f>[1]Results!I1552</f>
        <v>37866.921820000003</v>
      </c>
      <c r="G66" s="6">
        <f>[1]Results!J1552</f>
        <v>38652.580499999996</v>
      </c>
      <c r="H66" s="6">
        <f>[1]Results!K1552</f>
        <v>39577.497159999999</v>
      </c>
      <c r="I66" s="6">
        <f>[1]Results!L1552</f>
        <v>40578.275130000002</v>
      </c>
      <c r="J66" s="6">
        <f>[1]Results!M1552</f>
        <v>41627.887280000003</v>
      </c>
      <c r="K66" s="6">
        <f>[1]Results!N1552</f>
        <v>42715.381150000001</v>
      </c>
      <c r="L66" s="6">
        <f>[1]Results!O1552</f>
        <v>43782.476860000002</v>
      </c>
      <c r="M66" s="6">
        <f>[1]Results!P1552</f>
        <v>44776.697209999998</v>
      </c>
      <c r="N66" s="6">
        <f>[1]Results!Q1552</f>
        <v>45684.501810000002</v>
      </c>
      <c r="O66" s="6">
        <f>[1]Results!R1552</f>
        <v>46513.991470000001</v>
      </c>
      <c r="P66" s="6">
        <f>[1]Results!S1552</f>
        <v>47278.570110000001</v>
      </c>
      <c r="Q66" s="6">
        <f>[1]Results!T1552</f>
        <v>47994.758750000001</v>
      </c>
      <c r="R66" s="6">
        <f>[1]Results!U1552</f>
        <v>48681.64935</v>
      </c>
      <c r="S66" s="6">
        <f>[1]Results!V1552</f>
        <v>49373.826529999998</v>
      </c>
      <c r="T66" s="6">
        <f>[1]Results!W1552</f>
        <v>50073.764770000002</v>
      </c>
      <c r="U66" s="6">
        <f>[1]Results!X1552</f>
        <v>50795.029499999997</v>
      </c>
      <c r="V66" s="6">
        <f>[1]Results!Y1552</f>
        <v>51549.358919999999</v>
      </c>
      <c r="W66" s="6">
        <f>[1]Results!Z1552</f>
        <v>52337.402690000003</v>
      </c>
      <c r="X66" s="6">
        <f>[1]Results!AA1552</f>
        <v>53181.898150000001</v>
      </c>
      <c r="Y66" s="6">
        <f>[1]Results!AB1552</f>
        <v>54088.506509999999</v>
      </c>
      <c r="Z66" s="6">
        <f>[1]Results!AC1552</f>
        <v>55063.185140000001</v>
      </c>
      <c r="AA66" s="6">
        <f>[1]Results!AD1552</f>
        <v>56110.28615</v>
      </c>
      <c r="AB66" s="6">
        <f>[1]Results!AE1552</f>
        <v>57207.095710000001</v>
      </c>
      <c r="AC66" s="6">
        <f>[1]Results!AF1552</f>
        <v>58246.828459999997</v>
      </c>
      <c r="AD66" s="6">
        <f>[1]Results!AG1552</f>
        <v>59314.95033</v>
      </c>
      <c r="AE66" s="6">
        <f>[1]Results!AH1552</f>
        <v>60440.566590000002</v>
      </c>
      <c r="AF66" s="6">
        <f>[1]Results!AI1552</f>
        <v>61627.270799999998</v>
      </c>
      <c r="AG66" s="6">
        <f>[1]Results!AJ1552</f>
        <v>62868.35828</v>
      </c>
      <c r="AH66" s="6">
        <f>[1]Results!AK1552</f>
        <v>64154.170389999999</v>
      </c>
      <c r="AI66" s="6">
        <f>[1]Results!AL1552</f>
        <v>65474.509039999997</v>
      </c>
      <c r="AJ66" s="6">
        <f>[1]Results!AM1552</f>
        <v>66818.943469999998</v>
      </c>
      <c r="AK66" s="6">
        <f>[1]Results!AN1552</f>
        <v>68176.995219999997</v>
      </c>
      <c r="AL66" s="6">
        <f>[1]Results!AO1552</f>
        <v>69538.165340000007</v>
      </c>
    </row>
    <row r="67" spans="1:38" x14ac:dyDescent="0.35">
      <c r="B67" t="s">
        <v>8</v>
      </c>
      <c r="C67" s="6">
        <f>[1]Results!F1555</f>
        <v>331641.99930000002</v>
      </c>
      <c r="D67" s="6">
        <f>[1]Results!G1555</f>
        <v>339855.08880000003</v>
      </c>
      <c r="E67" s="6">
        <f>[1]Results!H1555</f>
        <v>348106.91629999998</v>
      </c>
      <c r="F67" s="6">
        <f>[1]Results!I1555</f>
        <v>356682.55300000001</v>
      </c>
      <c r="G67" s="6">
        <f>[1]Results!J1555</f>
        <v>366017.79019999999</v>
      </c>
      <c r="H67" s="6">
        <f>[1]Results!K1555</f>
        <v>376612.58149999997</v>
      </c>
      <c r="I67" s="6">
        <f>[1]Results!L1555</f>
        <v>387625.90470000001</v>
      </c>
      <c r="J67" s="6">
        <f>[1]Results!M1555</f>
        <v>399071.3615</v>
      </c>
      <c r="K67" s="6">
        <f>[1]Results!N1555</f>
        <v>410941.23749999999</v>
      </c>
      <c r="L67" s="6">
        <f>[1]Results!O1555</f>
        <v>422588.91409999999</v>
      </c>
      <c r="M67" s="6">
        <f>[1]Results!P1555</f>
        <v>433413.10960000003</v>
      </c>
      <c r="N67" s="6">
        <f>[1]Results!Q1555</f>
        <v>443550.6974</v>
      </c>
      <c r="O67" s="6">
        <f>[1]Results!R1555</f>
        <v>453136.67979999998</v>
      </c>
      <c r="P67" s="6">
        <f>[1]Results!S1555</f>
        <v>462345.45140000002</v>
      </c>
      <c r="Q67" s="6">
        <f>[1]Results!T1555</f>
        <v>471373.89069999999</v>
      </c>
      <c r="R67" s="6">
        <f>[1]Results!U1555</f>
        <v>480418.70970000001</v>
      </c>
      <c r="S67" s="6">
        <f>[1]Results!V1555</f>
        <v>489639.5013</v>
      </c>
      <c r="T67" s="6">
        <f>[1]Results!W1555</f>
        <v>499170.30369999999</v>
      </c>
      <c r="U67" s="6">
        <f>[1]Results!X1555</f>
        <v>509133.27149999997</v>
      </c>
      <c r="V67" s="6">
        <f>[1]Results!Y1555</f>
        <v>519613.71429999999</v>
      </c>
      <c r="W67" s="6">
        <f>[1]Results!Z1555</f>
        <v>530630.48899999994</v>
      </c>
      <c r="X67" s="6">
        <f>[1]Results!AA1555</f>
        <v>542301.75190000003</v>
      </c>
      <c r="Y67" s="6">
        <f>[1]Results!AB1555</f>
        <v>554673.89159999997</v>
      </c>
      <c r="Z67" s="6">
        <f>[1]Results!AC1555</f>
        <v>567783.66899999999</v>
      </c>
      <c r="AA67" s="6">
        <f>[1]Results!AD1555</f>
        <v>581646.25280000002</v>
      </c>
      <c r="AB67" s="6">
        <f>[1]Results!AE1555</f>
        <v>596129.17290000001</v>
      </c>
      <c r="AC67" s="6">
        <f>[1]Results!AF1555</f>
        <v>610802.52960000001</v>
      </c>
      <c r="AD67" s="6">
        <f>[1]Results!AG1555</f>
        <v>625744.0834</v>
      </c>
      <c r="AE67" s="6">
        <f>[1]Results!AH1555</f>
        <v>641048.88049999997</v>
      </c>
      <c r="AF67" s="6">
        <f>[1]Results!AI1555</f>
        <v>656707.93469999998</v>
      </c>
      <c r="AG67" s="6">
        <f>[1]Results!AJ1555</f>
        <v>672651.96470000001</v>
      </c>
      <c r="AH67" s="6">
        <f>[1]Results!AK1555</f>
        <v>688796.60279999999</v>
      </c>
      <c r="AI67" s="6">
        <f>[1]Results!AL1555</f>
        <v>705057.4094</v>
      </c>
      <c r="AJ67" s="6">
        <f>[1]Results!AM1555</f>
        <v>721349.10759999999</v>
      </c>
      <c r="AK67" s="6">
        <f>[1]Results!AN1555</f>
        <v>737586.97169999999</v>
      </c>
      <c r="AL67" s="6">
        <f>[1]Results!AO1555</f>
        <v>753686.554</v>
      </c>
    </row>
    <row r="68" spans="1:38" x14ac:dyDescent="0.35">
      <c r="B68" t="s">
        <v>9</v>
      </c>
      <c r="C68" s="6">
        <f>[1]Results!F1567</f>
        <v>48471.471210000003</v>
      </c>
      <c r="D68" s="6">
        <f>[1]Results!G1567</f>
        <v>49515.247589999999</v>
      </c>
      <c r="E68" s="6">
        <f>[1]Results!H1567</f>
        <v>50532.569969999997</v>
      </c>
      <c r="F68" s="6">
        <f>[1]Results!I1567</f>
        <v>51570.04322</v>
      </c>
      <c r="G68" s="6">
        <f>[1]Results!J1567</f>
        <v>52722.100229999996</v>
      </c>
      <c r="H68" s="6">
        <f>[1]Results!K1567</f>
        <v>54074.71097</v>
      </c>
      <c r="I68" s="6">
        <f>[1]Results!L1567</f>
        <v>55471.255740000001</v>
      </c>
      <c r="J68" s="6">
        <f>[1]Results!M1567</f>
        <v>56911.178540000001</v>
      </c>
      <c r="K68" s="6">
        <f>[1]Results!N1567</f>
        <v>58390.567340000001</v>
      </c>
      <c r="L68" s="6">
        <f>[1]Results!O1567</f>
        <v>59820.414779999999</v>
      </c>
      <c r="M68" s="6">
        <f>[1]Results!P1567</f>
        <v>61117.265070000001</v>
      </c>
      <c r="N68" s="6">
        <f>[1]Results!Q1567</f>
        <v>62291.218990000001</v>
      </c>
      <c r="O68" s="6">
        <f>[1]Results!R1567</f>
        <v>63357.585400000004</v>
      </c>
      <c r="P68" s="6">
        <f>[1]Results!S1567</f>
        <v>64336.975270000003</v>
      </c>
      <c r="Q68" s="6">
        <f>[1]Results!T1567</f>
        <v>65255.285969999997</v>
      </c>
      <c r="R68" s="6">
        <f>[1]Results!U1567</f>
        <v>66140.684689999995</v>
      </c>
      <c r="S68" s="6">
        <f>[1]Results!V1567</f>
        <v>67017.033379999993</v>
      </c>
      <c r="T68" s="6">
        <f>[1]Results!W1567</f>
        <v>67905.82548</v>
      </c>
      <c r="U68" s="6">
        <f>[1]Results!X1567</f>
        <v>68827.159239999994</v>
      </c>
      <c r="V68" s="6">
        <f>[1]Results!Y1567</f>
        <v>69796.157300000006</v>
      </c>
      <c r="W68" s="6">
        <f>[1]Results!Z1567</f>
        <v>70817.284239999994</v>
      </c>
      <c r="X68" s="6">
        <f>[1]Results!AA1567</f>
        <v>71912.72193</v>
      </c>
      <c r="Y68" s="6">
        <f>[1]Results!AB1567</f>
        <v>73090.213969999997</v>
      </c>
      <c r="Z68" s="6">
        <f>[1]Results!AC1567</f>
        <v>74356.101939999993</v>
      </c>
      <c r="AA68" s="6">
        <f>[1]Results!AD1567</f>
        <v>75713.812409999999</v>
      </c>
      <c r="AB68" s="6">
        <f>[1]Results!AE1567</f>
        <v>77142.477610000002</v>
      </c>
      <c r="AC68" s="6">
        <f>[1]Results!AF1567</f>
        <v>78638.533089999997</v>
      </c>
      <c r="AD68" s="6">
        <f>[1]Results!AG1567</f>
        <v>80213.324269999997</v>
      </c>
      <c r="AE68" s="6">
        <f>[1]Results!AH1567</f>
        <v>81873.150999999998</v>
      </c>
      <c r="AF68" s="6">
        <f>[1]Results!AI1567</f>
        <v>83611.826560000001</v>
      </c>
      <c r="AG68" s="6">
        <f>[1]Results!AJ1567</f>
        <v>85416.501999999993</v>
      </c>
      <c r="AH68" s="6">
        <f>[1]Results!AK1567</f>
        <v>87273.062720000002</v>
      </c>
      <c r="AI68" s="6">
        <f>[1]Results!AL1567</f>
        <v>89167.735539999994</v>
      </c>
      <c r="AJ68" s="6">
        <f>[1]Results!AM1567</f>
        <v>91086.813710000002</v>
      </c>
      <c r="AK68" s="6">
        <f>[1]Results!AN1567</f>
        <v>93016.765620000006</v>
      </c>
      <c r="AL68" s="6">
        <f>[1]Results!AO1567</f>
        <v>94944.217709999997</v>
      </c>
    </row>
    <row r="69" spans="1:38" x14ac:dyDescent="0.35">
      <c r="B69" t="s">
        <v>10</v>
      </c>
      <c r="C69" s="6">
        <f>[1]Results!F1572</f>
        <v>1511280.4539999999</v>
      </c>
      <c r="D69" s="6">
        <f>[1]Results!G1572</f>
        <v>1537557.719</v>
      </c>
      <c r="E69" s="6">
        <f>[1]Results!H1572</f>
        <v>1565951.0379999999</v>
      </c>
      <c r="F69" s="6">
        <f>[1]Results!I1572</f>
        <v>1596507.7890000001</v>
      </c>
      <c r="G69" s="6">
        <f>[1]Results!J1572</f>
        <v>1630360.827</v>
      </c>
      <c r="H69" s="6">
        <f>[1]Results!K1572</f>
        <v>1669086.061</v>
      </c>
      <c r="I69" s="6">
        <f>[1]Results!L1572</f>
        <v>1709145.47</v>
      </c>
      <c r="J69" s="6">
        <f>[1]Results!M1572</f>
        <v>1750367.4010000001</v>
      </c>
      <c r="K69" s="6">
        <f>[1]Results!N1572</f>
        <v>1792608.6259999999</v>
      </c>
      <c r="L69" s="6">
        <f>[1]Results!O1572</f>
        <v>1834427.307</v>
      </c>
      <c r="M69" s="6">
        <f>[1]Results!P1572</f>
        <v>1874296.6880000001</v>
      </c>
      <c r="N69" s="6">
        <f>[1]Results!Q1572</f>
        <v>1911485.8540000001</v>
      </c>
      <c r="O69" s="6">
        <f>[1]Results!R1572</f>
        <v>1946163.6950000001</v>
      </c>
      <c r="P69" s="6">
        <f>[1]Results!S1572</f>
        <v>1978645.882</v>
      </c>
      <c r="Q69" s="6">
        <f>[1]Results!T1572</f>
        <v>2009393.503</v>
      </c>
      <c r="R69" s="6">
        <f>[1]Results!U1572</f>
        <v>2038975.9110000001</v>
      </c>
      <c r="S69" s="6">
        <f>[1]Results!V1572</f>
        <v>2067971.483</v>
      </c>
      <c r="T69" s="6">
        <f>[1]Results!W1572</f>
        <v>2096924.32</v>
      </c>
      <c r="U69" s="6">
        <f>[1]Results!X1572</f>
        <v>2126342.7949999999</v>
      </c>
      <c r="V69" s="6">
        <f>[1]Results!Y1572</f>
        <v>2156638.943</v>
      </c>
      <c r="W69" s="6">
        <f>[1]Results!Z1572</f>
        <v>2187887.5499999998</v>
      </c>
      <c r="X69" s="6">
        <f>[1]Results!AA1572</f>
        <v>2220754.6370000001</v>
      </c>
      <c r="Y69" s="6">
        <f>[1]Results!AB1572</f>
        <v>2255454.1869999999</v>
      </c>
      <c r="Z69" s="6">
        <f>[1]Results!AC1572</f>
        <v>2292180.9</v>
      </c>
      <c r="AA69" s="6">
        <f>[1]Results!AD1572</f>
        <v>2331061.503</v>
      </c>
      <c r="AB69" s="6">
        <f>[1]Results!AE1572</f>
        <v>2371424.4130000002</v>
      </c>
      <c r="AC69" s="6">
        <f>[1]Results!AF1572</f>
        <v>2412927.804</v>
      </c>
      <c r="AD69" s="6">
        <f>[1]Results!AG1572</f>
        <v>2455964.2239999999</v>
      </c>
      <c r="AE69" s="6">
        <f>[1]Results!AH1572</f>
        <v>2500844.1159999999</v>
      </c>
      <c r="AF69" s="6">
        <f>[1]Results!AI1572</f>
        <v>2547608.781</v>
      </c>
      <c r="AG69" s="6">
        <f>[1]Results!AJ1572</f>
        <v>2596098.264</v>
      </c>
      <c r="AH69" s="6">
        <f>[1]Results!AK1572</f>
        <v>2646059.7170000002</v>
      </c>
      <c r="AI69" s="6">
        <f>[1]Results!AL1572</f>
        <v>2697203.7220000001</v>
      </c>
      <c r="AJ69" s="6">
        <f>[1]Results!AM1572</f>
        <v>2749219.34</v>
      </c>
      <c r="AK69" s="6">
        <f>[1]Results!AN1572</f>
        <v>2801783.1690000002</v>
      </c>
      <c r="AL69" s="6">
        <f>[1]Results!AO1572</f>
        <v>2854563.2319999998</v>
      </c>
    </row>
    <row r="70" spans="1:38" x14ac:dyDescent="0.35">
      <c r="B70" t="s">
        <v>12</v>
      </c>
      <c r="C70" s="6">
        <f>[1]Results!F1575</f>
        <v>-2033.6744040000001</v>
      </c>
      <c r="D70" s="6">
        <f>[1]Results!G1575</f>
        <v>-2054.0189930000001</v>
      </c>
      <c r="E70" s="6">
        <f>[1]Results!H1575</f>
        <v>-2073.9526219999998</v>
      </c>
      <c r="F70" s="6">
        <f>[1]Results!I1575</f>
        <v>-2062.54718</v>
      </c>
      <c r="G70" s="6">
        <f>[1]Results!J1575</f>
        <v>-2036.4762229999999</v>
      </c>
      <c r="H70" s="6">
        <f>[1]Results!K1575</f>
        <v>-2025.302432</v>
      </c>
      <c r="I70" s="6">
        <f>[1]Results!L1575</f>
        <v>-2003.7508399999999</v>
      </c>
      <c r="J70" s="6">
        <f>[1]Results!M1575</f>
        <v>-2001.923683</v>
      </c>
      <c r="K70" s="6">
        <f>[1]Results!N1575</f>
        <v>-2008.391519</v>
      </c>
      <c r="L70" s="6">
        <f>[1]Results!O1575</f>
        <v>-2020.441032</v>
      </c>
      <c r="M70" s="6">
        <f>[1]Results!P1575</f>
        <v>-2033.88617</v>
      </c>
      <c r="N70" s="6">
        <f>[1]Results!Q1575</f>
        <v>-2058.1565220000002</v>
      </c>
      <c r="O70" s="6">
        <f>[1]Results!R1575</f>
        <v>-2080.197013</v>
      </c>
      <c r="P70" s="6">
        <f>[1]Results!S1575</f>
        <v>-2097.9242530000001</v>
      </c>
      <c r="Q70" s="6">
        <f>[1]Results!T1575</f>
        <v>-2111.8314489999998</v>
      </c>
      <c r="R70" s="6">
        <f>[1]Results!U1575</f>
        <v>-2122.7370689999998</v>
      </c>
      <c r="S70" s="6">
        <f>[1]Results!V1575</f>
        <v>-2131.9745600000001</v>
      </c>
      <c r="T70" s="6">
        <f>[1]Results!W1575</f>
        <v>-2138.8666469999998</v>
      </c>
      <c r="U70" s="6">
        <f>[1]Results!X1575</f>
        <v>-2145.6011950000002</v>
      </c>
      <c r="V70" s="6">
        <f>[1]Results!Y1575</f>
        <v>-2152.8230130000002</v>
      </c>
      <c r="W70" s="6">
        <f>[1]Results!Z1575</f>
        <v>-2160.942235</v>
      </c>
      <c r="X70" s="6">
        <f>[1]Results!AA1575</f>
        <v>-2169.4820070000001</v>
      </c>
      <c r="Y70" s="6">
        <f>[1]Results!AB1575</f>
        <v>-2178.9469490000001</v>
      </c>
      <c r="Z70" s="6">
        <f>[1]Results!AC1575</f>
        <v>-2189.4681230000001</v>
      </c>
      <c r="AA70" s="6">
        <f>[1]Results!AD1575</f>
        <v>-2201.031876</v>
      </c>
      <c r="AB70" s="6">
        <f>[1]Results!AE1575</f>
        <v>-2214.1343489999999</v>
      </c>
      <c r="AC70" s="6">
        <f>[1]Results!AF1575</f>
        <v>-2248.9401979999998</v>
      </c>
      <c r="AD70" s="6">
        <f>[1]Results!AG1575</f>
        <v>-2283.4711499999999</v>
      </c>
      <c r="AE70" s="6">
        <f>[1]Results!AH1575</f>
        <v>-2317.3930770000002</v>
      </c>
      <c r="AF70" s="6">
        <f>[1]Results!AI1575</f>
        <v>-2352.978627</v>
      </c>
      <c r="AG70" s="6">
        <f>[1]Results!AJ1575</f>
        <v>-2391.0626710000001</v>
      </c>
      <c r="AH70" s="6">
        <f>[1]Results!AK1575</f>
        <v>-2431.475383</v>
      </c>
      <c r="AI70" s="6">
        <f>[1]Results!AL1575</f>
        <v>-2473.7109540000001</v>
      </c>
      <c r="AJ70" s="6">
        <f>[1]Results!AM1575</f>
        <v>-2517.2590009999999</v>
      </c>
      <c r="AK70" s="6">
        <f>[1]Results!AN1575</f>
        <v>-2561.6373239999998</v>
      </c>
      <c r="AL70" s="6">
        <f>[1]Results!AO1575</f>
        <v>-2606.4044509999999</v>
      </c>
    </row>
    <row r="71" spans="1:38" x14ac:dyDescent="0.35">
      <c r="B71" t="s">
        <v>11</v>
      </c>
      <c r="C71" s="6">
        <f>[1]Results!F1580</f>
        <v>40550.824460000003</v>
      </c>
      <c r="D71" s="6">
        <f>[1]Results!G1580</f>
        <v>40914.507420000002</v>
      </c>
      <c r="E71" s="6">
        <f>[1]Results!H1580</f>
        <v>41110.529710000003</v>
      </c>
      <c r="F71" s="6">
        <f>[1]Results!I1580</f>
        <v>41374.5219</v>
      </c>
      <c r="G71" s="6">
        <f>[1]Results!J1580</f>
        <v>41753.185599999997</v>
      </c>
      <c r="H71" s="6">
        <f>[1]Results!K1580</f>
        <v>42289.34072</v>
      </c>
      <c r="I71" s="6">
        <f>[1]Results!L1580</f>
        <v>42304.932119999998</v>
      </c>
      <c r="J71" s="6">
        <f>[1]Results!M1580</f>
        <v>42185.315139999999</v>
      </c>
      <c r="K71" s="6">
        <f>[1]Results!N1580</f>
        <v>42003.9807</v>
      </c>
      <c r="L71" s="6">
        <f>[1]Results!O1580</f>
        <v>41723.434070000003</v>
      </c>
      <c r="M71" s="6">
        <f>[1]Results!P1580</f>
        <v>41292.181759999999</v>
      </c>
      <c r="N71" s="6">
        <f>[1]Results!Q1580</f>
        <v>40959.091310000003</v>
      </c>
      <c r="O71" s="6">
        <f>[1]Results!R1580</f>
        <v>40548.9156</v>
      </c>
      <c r="P71" s="6">
        <f>[1]Results!S1580</f>
        <v>39999.362059999999</v>
      </c>
      <c r="Q71" s="6">
        <f>[1]Results!T1580</f>
        <v>39307.351719999999</v>
      </c>
      <c r="R71" s="6">
        <f>[1]Results!U1580</f>
        <v>38483.170389999999</v>
      </c>
      <c r="S71" s="6">
        <f>[1]Results!V1580</f>
        <v>37482.414320000003</v>
      </c>
      <c r="T71" s="6">
        <f>[1]Results!W1580</f>
        <v>36339.86161</v>
      </c>
      <c r="U71" s="6">
        <f>[1]Results!X1580</f>
        <v>35078.660680000001</v>
      </c>
      <c r="V71" s="6">
        <f>[1]Results!Y1580</f>
        <v>33705.294600000001</v>
      </c>
      <c r="W71" s="6">
        <f>[1]Results!Z1580</f>
        <v>32209.19687</v>
      </c>
      <c r="X71" s="6">
        <f>[1]Results!AA1580</f>
        <v>30588.665560000001</v>
      </c>
      <c r="Y71" s="6">
        <f>[1]Results!AB1580</f>
        <v>28819.485649999999</v>
      </c>
      <c r="Z71" s="6">
        <f>[1]Results!AC1580</f>
        <v>26870.815739999998</v>
      </c>
      <c r="AA71" s="6">
        <f>[1]Results!AD1580</f>
        <v>24703.71573</v>
      </c>
      <c r="AB71" s="6">
        <f>[1]Results!AE1580</f>
        <v>22254.564979999999</v>
      </c>
      <c r="AC71" s="6">
        <f>[1]Results!AF1580</f>
        <v>21839.060440000001</v>
      </c>
      <c r="AD71" s="6">
        <f>[1]Results!AG1580</f>
        <v>22176.24957</v>
      </c>
      <c r="AE71" s="6">
        <f>[1]Results!AH1580</f>
        <v>22705.142879999999</v>
      </c>
      <c r="AF71" s="6">
        <f>[1]Results!AI1580</f>
        <v>23254.107609999999</v>
      </c>
      <c r="AG71" s="6">
        <f>[1]Results!AJ1580</f>
        <v>23782.395120000001</v>
      </c>
      <c r="AH71" s="6">
        <f>[1]Results!AK1580</f>
        <v>24286.156579999999</v>
      </c>
      <c r="AI71" s="6">
        <f>[1]Results!AL1580</f>
        <v>24769.487420000001</v>
      </c>
      <c r="AJ71" s="6">
        <f>[1]Results!AM1580</f>
        <v>25236.105739999999</v>
      </c>
      <c r="AK71" s="6">
        <f>[1]Results!AN1580</f>
        <v>25688.147270000001</v>
      </c>
      <c r="AL71" s="6">
        <f>[1]Results!AO1580</f>
        <v>26126.048869999999</v>
      </c>
    </row>
    <row r="73" spans="1:38" x14ac:dyDescent="0.35">
      <c r="B73" t="s">
        <v>15</v>
      </c>
      <c r="C73" s="6">
        <f>[1]Results!F1512</f>
        <v>1966005.571</v>
      </c>
      <c r="D73" s="6">
        <f>[1]Results!G1512</f>
        <v>2002403.781</v>
      </c>
      <c r="E73" s="6">
        <f>[1]Results!H1512</f>
        <v>2040828.6629999999</v>
      </c>
      <c r="F73" s="6">
        <f>[1]Results!I1512</f>
        <v>2081939.2819999999</v>
      </c>
      <c r="G73" s="6">
        <f>[1]Results!J1512</f>
        <v>2127470.0070000002</v>
      </c>
      <c r="H73" s="6">
        <f>[1]Results!K1512</f>
        <v>2179614.889</v>
      </c>
      <c r="I73" s="6">
        <f>[1]Results!L1512</f>
        <v>2228074.7710000002</v>
      </c>
      <c r="J73" s="6">
        <f>[1]Results!M1512</f>
        <v>2276656.2230000002</v>
      </c>
      <c r="K73" s="6">
        <f>[1]Results!N1512</f>
        <v>2326936.1639999999</v>
      </c>
      <c r="L73" s="6">
        <f>[1]Results!O1512</f>
        <v>2378506.2910000002</v>
      </c>
      <c r="M73" s="6">
        <f>[1]Results!P1512</f>
        <v>2431235.3149999999</v>
      </c>
      <c r="N73" s="6">
        <f>[1]Results!Q1512</f>
        <v>2482762.594</v>
      </c>
      <c r="O73" s="6">
        <f>[1]Results!R1512</f>
        <v>2533761.8620000002</v>
      </c>
      <c r="P73" s="6">
        <f>[1]Results!S1512</f>
        <v>2584084.11</v>
      </c>
      <c r="Q73" s="6">
        <f>[1]Results!T1512</f>
        <v>2633542.696</v>
      </c>
      <c r="R73" s="6">
        <f>[1]Results!U1512</f>
        <v>2687882.969</v>
      </c>
      <c r="S73" s="6">
        <f>[1]Results!V1512</f>
        <v>2730360.5669999998</v>
      </c>
      <c r="T73" s="6">
        <f>[1]Results!W1512</f>
        <v>2776896.2289999998</v>
      </c>
      <c r="U73" s="6">
        <f>[1]Results!X1512</f>
        <v>2822767.6910000001</v>
      </c>
      <c r="V73" s="6">
        <f>[1]Results!Y1512</f>
        <v>2868416.0290000001</v>
      </c>
      <c r="W73" s="6">
        <f>[1]Results!Z1512</f>
        <v>2913868.58</v>
      </c>
      <c r="X73" s="6">
        <f>[1]Results!AA1512</f>
        <v>2959879.5430000001</v>
      </c>
      <c r="Y73" s="6">
        <f>[1]Results!AB1512</f>
        <v>3006696.2650000001</v>
      </c>
      <c r="Z73" s="6">
        <f>[1]Results!AC1512</f>
        <v>3054528.0449999999</v>
      </c>
      <c r="AA73" s="6">
        <f>[1]Results!AD1512</f>
        <v>3103593.9040000001</v>
      </c>
      <c r="AB73" s="6">
        <f>[1]Results!AE1512</f>
        <v>3161250.82</v>
      </c>
      <c r="AC73" s="6">
        <f>[1]Results!AF1512</f>
        <v>3213356.2859999998</v>
      </c>
      <c r="AD73" s="6">
        <f>[1]Results!AG1512</f>
        <v>3273653.5580000002</v>
      </c>
      <c r="AE73" s="6">
        <f>[1]Results!AH1512</f>
        <v>3335650.7680000002</v>
      </c>
      <c r="AF73" s="6">
        <f>[1]Results!AI1512</f>
        <v>3399480.165</v>
      </c>
      <c r="AG73" s="6">
        <f>[1]Results!AJ1512</f>
        <v>3465023.4130000002</v>
      </c>
      <c r="AH73" s="6">
        <f>[1]Results!AK1512</f>
        <v>3531937.3739999998</v>
      </c>
      <c r="AI73" s="6">
        <f>[1]Results!AL1512</f>
        <v>3599942.4929999998</v>
      </c>
      <c r="AJ73" s="6">
        <f>[1]Results!AM1512</f>
        <v>3668784.9679999999</v>
      </c>
      <c r="AK73" s="6">
        <f>[1]Results!AN1512</f>
        <v>3738205.4180000001</v>
      </c>
      <c r="AL73" s="6">
        <f>[1]Results!AO1512</f>
        <v>3820699.7340000002</v>
      </c>
    </row>
    <row r="74" spans="1:38" x14ac:dyDescent="0.35">
      <c r="A74" t="s">
        <v>14</v>
      </c>
      <c r="B74" t="s">
        <v>7</v>
      </c>
      <c r="C74" s="6">
        <f>[1]Results!F1513</f>
        <v>36094.496930000001</v>
      </c>
      <c r="D74" s="6">
        <f>[1]Results!G1513</f>
        <v>36615.237090000002</v>
      </c>
      <c r="E74" s="6">
        <f>[1]Results!H1513</f>
        <v>37201.561809999999</v>
      </c>
      <c r="F74" s="6">
        <f>[1]Results!I1513</f>
        <v>37866.921820000003</v>
      </c>
      <c r="G74" s="6">
        <f>[1]Results!J1513</f>
        <v>38652.58051</v>
      </c>
      <c r="H74" s="6">
        <f>[1]Results!K1513</f>
        <v>39577.497159999999</v>
      </c>
      <c r="I74" s="6">
        <f>[1]Results!L1513</f>
        <v>40320.246950000001</v>
      </c>
      <c r="J74" s="6">
        <f>[1]Results!M1513</f>
        <v>41086.380749999997</v>
      </c>
      <c r="K74" s="6">
        <f>[1]Results!N1513</f>
        <v>41871.185160000001</v>
      </c>
      <c r="L74" s="6">
        <f>[1]Results!O1513</f>
        <v>42682.835180000002</v>
      </c>
      <c r="M74" s="6">
        <f>[1]Results!P1513</f>
        <v>43537.199480000003</v>
      </c>
      <c r="N74" s="6">
        <f>[1]Results!Q1513</f>
        <v>44391.127979999997</v>
      </c>
      <c r="O74" s="6">
        <f>[1]Results!R1513</f>
        <v>45250.644379999998</v>
      </c>
      <c r="P74" s="6">
        <f>[1]Results!S1513</f>
        <v>46108.337509999998</v>
      </c>
      <c r="Q74" s="6">
        <f>[1]Results!T1513</f>
        <v>46954.419650000003</v>
      </c>
      <c r="R74" s="6">
        <f>[1]Results!U1513</f>
        <v>47823.818650000001</v>
      </c>
      <c r="S74" s="6">
        <f>[1]Results!V1513</f>
        <v>48647.884180000001</v>
      </c>
      <c r="T74" s="6">
        <f>[1]Results!W1513</f>
        <v>49463.739320000001</v>
      </c>
      <c r="U74" s="6">
        <f>[1]Results!X1513</f>
        <v>50266.417540000002</v>
      </c>
      <c r="V74" s="6">
        <f>[1]Results!Y1513</f>
        <v>51058.444320000002</v>
      </c>
      <c r="W74" s="6">
        <f>[1]Results!Z1513</f>
        <v>51838.072719999996</v>
      </c>
      <c r="X74" s="6">
        <f>[1]Results!AA1513</f>
        <v>52622.067309999999</v>
      </c>
      <c r="Y74" s="6">
        <f>[1]Results!AB1513</f>
        <v>53417.645759999999</v>
      </c>
      <c r="Z74" s="6">
        <f>[1]Results!AC1513</f>
        <v>54231.314489999997</v>
      </c>
      <c r="AA74" s="6">
        <f>[1]Results!AD1513</f>
        <v>55069.461869999999</v>
      </c>
      <c r="AB74" s="6">
        <f>[1]Results!AE1513</f>
        <v>55976.631240000002</v>
      </c>
      <c r="AC74" s="6">
        <f>[1]Results!AF1513</f>
        <v>56890.415090000002</v>
      </c>
      <c r="AD74" s="6">
        <f>[1]Results!AG1513</f>
        <v>57796.54492</v>
      </c>
      <c r="AE74" s="6">
        <f>[1]Results!AH1513</f>
        <v>58732.94644</v>
      </c>
      <c r="AF74" s="6">
        <f>[1]Results!AI1513</f>
        <v>59709.095209999999</v>
      </c>
      <c r="AG74" s="6">
        <f>[1]Results!AJ1513</f>
        <v>60724.064019999998</v>
      </c>
      <c r="AH74" s="6">
        <f>[1]Results!AK1513</f>
        <v>61769.710319999998</v>
      </c>
      <c r="AI74" s="6">
        <f>[1]Results!AL1513</f>
        <v>62841.273739999997</v>
      </c>
      <c r="AJ74" s="6">
        <f>[1]Results!AM1513</f>
        <v>63933.700599999996</v>
      </c>
      <c r="AK74" s="6">
        <f>[1]Results!AN1513</f>
        <v>65042.218439999997</v>
      </c>
      <c r="AL74" s="6">
        <f>[1]Results!AO1513</f>
        <v>66235.187359999996</v>
      </c>
    </row>
    <row r="75" spans="1:38" x14ac:dyDescent="0.35">
      <c r="B75" t="s">
        <v>8</v>
      </c>
      <c r="C75" s="6">
        <f>[1]Results!F1516</f>
        <v>331641.99930000002</v>
      </c>
      <c r="D75" s="6">
        <f>[1]Results!G1516</f>
        <v>339855.08880000003</v>
      </c>
      <c r="E75" s="6">
        <f>[1]Results!H1516</f>
        <v>348106.91629999998</v>
      </c>
      <c r="F75" s="6">
        <f>[1]Results!I1516</f>
        <v>356682.55310000002</v>
      </c>
      <c r="G75" s="6">
        <f>[1]Results!J1516</f>
        <v>366017.79019999999</v>
      </c>
      <c r="H75" s="6">
        <f>[1]Results!K1516</f>
        <v>376612.58159999998</v>
      </c>
      <c r="I75" s="6">
        <f>[1]Results!L1516</f>
        <v>386177.49969999999</v>
      </c>
      <c r="J75" s="6">
        <f>[1]Results!M1516</f>
        <v>395950.21120000002</v>
      </c>
      <c r="K75" s="6">
        <f>[1]Results!N1516</f>
        <v>406317.90010000003</v>
      </c>
      <c r="L75" s="6">
        <f>[1]Results!O1516</f>
        <v>416915.48019999999</v>
      </c>
      <c r="M75" s="6">
        <f>[1]Results!P1516</f>
        <v>427521.29800000001</v>
      </c>
      <c r="N75" s="6">
        <f>[1]Results!Q1516</f>
        <v>437983.87190000003</v>
      </c>
      <c r="O75" s="6">
        <f>[1]Results!R1516</f>
        <v>448391.87689999997</v>
      </c>
      <c r="P75" s="6">
        <f>[1]Results!S1516</f>
        <v>458778.33130000002</v>
      </c>
      <c r="Q75" s="6">
        <f>[1]Results!T1516</f>
        <v>469183.79609999998</v>
      </c>
      <c r="R75" s="6">
        <f>[1]Results!U1516</f>
        <v>481876.29139999999</v>
      </c>
      <c r="S75" s="6">
        <f>[1]Results!V1516</f>
        <v>490006.29979999998</v>
      </c>
      <c r="T75" s="6">
        <f>[1]Results!W1516</f>
        <v>500851.28</v>
      </c>
      <c r="U75" s="6">
        <f>[1]Results!X1516</f>
        <v>511657.03279999999</v>
      </c>
      <c r="V75" s="6">
        <f>[1]Results!Y1516</f>
        <v>522683.54680000001</v>
      </c>
      <c r="W75" s="6">
        <f>[1]Results!Z1516</f>
        <v>533965.7537</v>
      </c>
      <c r="X75" s="6">
        <f>[1]Results!AA1516</f>
        <v>545675.67429999996</v>
      </c>
      <c r="Y75" s="6">
        <f>[1]Results!AB1516</f>
        <v>557825.8567</v>
      </c>
      <c r="Z75" s="6">
        <f>[1]Results!AC1516</f>
        <v>570449.86250000005</v>
      </c>
      <c r="AA75" s="6">
        <f>[1]Results!AD1516</f>
        <v>583595.18370000005</v>
      </c>
      <c r="AB75" s="6">
        <f>[1]Results!AE1516</f>
        <v>600430.86880000005</v>
      </c>
      <c r="AC75" s="6">
        <f>[1]Results!AF1516</f>
        <v>612456.13879999996</v>
      </c>
      <c r="AD75" s="6">
        <f>[1]Results!AG1516</f>
        <v>628247.34349999996</v>
      </c>
      <c r="AE75" s="6">
        <f>[1]Results!AH1516</f>
        <v>643952.98840000003</v>
      </c>
      <c r="AF75" s="6">
        <f>[1]Results!AI1516</f>
        <v>659889.58389999997</v>
      </c>
      <c r="AG75" s="6">
        <f>[1]Results!AJ1516</f>
        <v>676052.30359999998</v>
      </c>
      <c r="AH75" s="6">
        <f>[1]Results!AK1516</f>
        <v>692375.39399999997</v>
      </c>
      <c r="AI75" s="6">
        <f>[1]Results!AL1516</f>
        <v>708767.14199999999</v>
      </c>
      <c r="AJ75" s="6">
        <f>[1]Results!AM1516</f>
        <v>725154.81140000001</v>
      </c>
      <c r="AK75" s="6">
        <f>[1]Results!AN1516</f>
        <v>741463.85</v>
      </c>
      <c r="AL75" s="6">
        <f>[1]Results!AO1516</f>
        <v>763039.95510000002</v>
      </c>
    </row>
    <row r="76" spans="1:38" x14ac:dyDescent="0.35">
      <c r="B76" t="s">
        <v>9</v>
      </c>
      <c r="C76" s="6">
        <f>[1]Results!F1528</f>
        <v>48471.471210000003</v>
      </c>
      <c r="D76" s="6">
        <f>[1]Results!G1528</f>
        <v>49515.247600000002</v>
      </c>
      <c r="E76" s="6">
        <f>[1]Results!H1528</f>
        <v>50532.569969999997</v>
      </c>
      <c r="F76" s="6">
        <f>[1]Results!I1528</f>
        <v>51570.043230000003</v>
      </c>
      <c r="G76" s="6">
        <f>[1]Results!J1528</f>
        <v>52722.10024</v>
      </c>
      <c r="H76" s="6">
        <f>[1]Results!K1528</f>
        <v>54074.71097</v>
      </c>
      <c r="I76" s="6">
        <f>[1]Results!L1528</f>
        <v>55332.918870000001</v>
      </c>
      <c r="J76" s="6">
        <f>[1]Results!M1528</f>
        <v>56557.021659999999</v>
      </c>
      <c r="K76" s="6">
        <f>[1]Results!N1528</f>
        <v>57834.493540000003</v>
      </c>
      <c r="L76" s="6">
        <f>[1]Results!O1528</f>
        <v>59051.103909999998</v>
      </c>
      <c r="M76" s="6">
        <f>[1]Results!P1528</f>
        <v>60128.935089999999</v>
      </c>
      <c r="N76" s="6">
        <f>[1]Results!Q1528</f>
        <v>61149.259279999998</v>
      </c>
      <c r="O76" s="6">
        <f>[1]Results!R1528</f>
        <v>62154.979789999998</v>
      </c>
      <c r="P76" s="6">
        <f>[1]Results!S1528</f>
        <v>63145.365299999998</v>
      </c>
      <c r="Q76" s="6">
        <f>[1]Results!T1528</f>
        <v>64116.566400000003</v>
      </c>
      <c r="R76" s="6">
        <f>[1]Results!U1528</f>
        <v>65180.616269999999</v>
      </c>
      <c r="S76" s="6">
        <f>[1]Results!V1528</f>
        <v>66028.841190000006</v>
      </c>
      <c r="T76" s="6">
        <f>[1]Results!W1528</f>
        <v>66916.457269999999</v>
      </c>
      <c r="U76" s="6">
        <f>[1]Results!X1528</f>
        <v>67797.733420000004</v>
      </c>
      <c r="V76" s="6">
        <f>[1]Results!Y1528</f>
        <v>68686.183139999994</v>
      </c>
      <c r="W76" s="6">
        <f>[1]Results!Z1528</f>
        <v>69586.28658</v>
      </c>
      <c r="X76" s="6">
        <f>[1]Results!AA1528</f>
        <v>70540.227870000002</v>
      </c>
      <c r="Y76" s="6">
        <f>[1]Results!AB1528</f>
        <v>71551.580260000002</v>
      </c>
      <c r="Z76" s="6">
        <f>[1]Results!AC1528</f>
        <v>72624.890350000001</v>
      </c>
      <c r="AA76" s="6">
        <f>[1]Results!AD1528</f>
        <v>73767.409230000005</v>
      </c>
      <c r="AB76" s="6">
        <f>[1]Results!AE1528</f>
        <v>75124.590219999998</v>
      </c>
      <c r="AC76" s="6">
        <f>[1]Results!AF1528</f>
        <v>76390.04247</v>
      </c>
      <c r="AD76" s="6">
        <f>[1]Results!AG1528</f>
        <v>77842.930300000007</v>
      </c>
      <c r="AE76" s="6">
        <f>[1]Results!AH1528</f>
        <v>79405.785780000006</v>
      </c>
      <c r="AF76" s="6">
        <f>[1]Results!AI1528</f>
        <v>81063.427330000006</v>
      </c>
      <c r="AG76" s="6">
        <f>[1]Results!AJ1528</f>
        <v>82804.232090000005</v>
      </c>
      <c r="AH76" s="6">
        <f>[1]Results!AK1528</f>
        <v>84618.598740000001</v>
      </c>
      <c r="AI76" s="6">
        <f>[1]Results!AL1528</f>
        <v>86491.598840000006</v>
      </c>
      <c r="AJ76" s="6">
        <f>[1]Results!AM1528</f>
        <v>88411.362890000004</v>
      </c>
      <c r="AK76" s="6">
        <f>[1]Results!AN1528</f>
        <v>90363.746660000004</v>
      </c>
      <c r="AL76" s="6">
        <f>[1]Results!AO1528</f>
        <v>92639.712849999996</v>
      </c>
    </row>
    <row r="77" spans="1:38" x14ac:dyDescent="0.35">
      <c r="B77" t="s">
        <v>10</v>
      </c>
      <c r="C77" s="6">
        <f>[1]Results!F1533</f>
        <v>1511280.4539999999</v>
      </c>
      <c r="D77" s="6">
        <f>[1]Results!G1533</f>
        <v>1537557.719</v>
      </c>
      <c r="E77" s="6">
        <f>[1]Results!H1533</f>
        <v>1565951.0379999999</v>
      </c>
      <c r="F77" s="6">
        <f>[1]Results!I1533</f>
        <v>1596507.7890000001</v>
      </c>
      <c r="G77" s="6">
        <f>[1]Results!J1533</f>
        <v>1630360.827</v>
      </c>
      <c r="H77" s="6">
        <f>[1]Results!K1533</f>
        <v>1669086.061</v>
      </c>
      <c r="I77" s="6">
        <f>[1]Results!L1533</f>
        <v>1706031.682</v>
      </c>
      <c r="J77" s="6">
        <f>[1]Results!M1533</f>
        <v>1743037.382</v>
      </c>
      <c r="K77" s="6">
        <f>[1]Results!N1533</f>
        <v>1781149.328</v>
      </c>
      <c r="L77" s="6">
        <f>[1]Results!O1533</f>
        <v>1820485.513</v>
      </c>
      <c r="M77" s="6">
        <f>[1]Results!P1533</f>
        <v>1861216.2350000001</v>
      </c>
      <c r="N77" s="6">
        <f>[1]Results!Q1533</f>
        <v>1900942.5519999999</v>
      </c>
      <c r="O77" s="6">
        <f>[1]Results!R1533</f>
        <v>1940244.665</v>
      </c>
      <c r="P77" s="6">
        <f>[1]Results!S1533</f>
        <v>1978988.3459999999</v>
      </c>
      <c r="Q77" s="6">
        <f>[1]Results!T1533</f>
        <v>2016977.27</v>
      </c>
      <c r="R77" s="6">
        <f>[1]Results!U1533</f>
        <v>2057123.6029999999</v>
      </c>
      <c r="S77" s="6">
        <f>[1]Results!V1533</f>
        <v>2091231.692</v>
      </c>
      <c r="T77" s="6">
        <f>[1]Results!W1533</f>
        <v>2126265.7089999998</v>
      </c>
      <c r="U77" s="6">
        <f>[1]Results!X1533</f>
        <v>2160829.3760000002</v>
      </c>
      <c r="V77" s="6">
        <f>[1]Results!Y1533</f>
        <v>2195109.4980000001</v>
      </c>
      <c r="W77" s="6">
        <f>[1]Results!Z1533</f>
        <v>2229108.5970000001</v>
      </c>
      <c r="X77" s="6">
        <f>[1]Results!AA1533</f>
        <v>2263328.1660000002</v>
      </c>
      <c r="Y77" s="6">
        <f>[1]Results!AB1533</f>
        <v>2298005.8250000002</v>
      </c>
      <c r="Z77" s="6">
        <f>[1]Results!AC1533</f>
        <v>2333345.1850000001</v>
      </c>
      <c r="AA77" s="6">
        <f>[1]Results!AD1533</f>
        <v>2369552.3569999998</v>
      </c>
      <c r="AB77" s="6">
        <f>[1]Results!AE1533</f>
        <v>2410364.9530000002</v>
      </c>
      <c r="AC77" s="6">
        <f>[1]Results!AF1533</f>
        <v>2449014.7880000002</v>
      </c>
      <c r="AD77" s="6">
        <f>[1]Results!AG1533</f>
        <v>2491144.909</v>
      </c>
      <c r="AE77" s="6">
        <f>[1]Results!AH1533</f>
        <v>2534780.6779999998</v>
      </c>
      <c r="AF77" s="6">
        <f>[1]Results!AI1533</f>
        <v>2579930.7009999999</v>
      </c>
      <c r="AG77" s="6">
        <f>[1]Results!AJ1533</f>
        <v>2626533.8199999998</v>
      </c>
      <c r="AH77" s="6">
        <f>[1]Results!AK1533</f>
        <v>2674325.2769999998</v>
      </c>
      <c r="AI77" s="6">
        <f>[1]Results!AL1533</f>
        <v>2723116.4819999998</v>
      </c>
      <c r="AJ77" s="6">
        <f>[1]Results!AM1533</f>
        <v>2772728.4810000001</v>
      </c>
      <c r="AK77" s="6">
        <f>[1]Results!AN1533</f>
        <v>2822982.2450000001</v>
      </c>
      <c r="AL77" s="6">
        <f>[1]Results!AO1533</f>
        <v>2880587.8849999998</v>
      </c>
    </row>
    <row r="78" spans="1:38" x14ac:dyDescent="0.35">
      <c r="B78" t="s">
        <v>12</v>
      </c>
      <c r="C78" s="6">
        <f>[1]Results!F1537</f>
        <v>-2124.5391890000001</v>
      </c>
      <c r="D78" s="6">
        <f>[1]Results!G1537</f>
        <v>-2147.0412289999999</v>
      </c>
      <c r="E78" s="6">
        <f>[1]Results!H1537</f>
        <v>-2166.7305150000002</v>
      </c>
      <c r="F78" s="6">
        <f>[1]Results!I1537</f>
        <v>-2156.9128289999999</v>
      </c>
      <c r="G78" s="6">
        <f>[1]Results!J1537</f>
        <v>-2140.075124</v>
      </c>
      <c r="H78" s="6">
        <f>[1]Results!K1537</f>
        <v>-2139.8458919999998</v>
      </c>
      <c r="I78" s="6">
        <f>[1]Results!L1537</f>
        <v>-2139.0040600000002</v>
      </c>
      <c r="J78" s="6">
        <f>[1]Results!M1537</f>
        <v>-2159.1004240000002</v>
      </c>
      <c r="K78" s="6">
        <f>[1]Results!N1537</f>
        <v>-2185.4295510000002</v>
      </c>
      <c r="L78" s="6">
        <f>[1]Results!O1537</f>
        <v>-2217.9799990000001</v>
      </c>
      <c r="M78" s="6">
        <f>[1]Results!P1537</f>
        <v>-2258.6475679999999</v>
      </c>
      <c r="N78" s="6">
        <f>[1]Results!Q1537</f>
        <v>-2296.5146589999999</v>
      </c>
      <c r="O78" s="6">
        <f>[1]Results!R1537</f>
        <v>-2352.2927690000001</v>
      </c>
      <c r="P78" s="6">
        <f>[1]Results!S1537</f>
        <v>-2428.494197</v>
      </c>
      <c r="Q78" s="6">
        <f>[1]Results!T1537</f>
        <v>-2526.4289210000002</v>
      </c>
      <c r="R78" s="6">
        <f>[1]Results!U1537</f>
        <v>-2650.1286490000002</v>
      </c>
      <c r="S78" s="6">
        <f>[1]Results!V1537</f>
        <v>-2811.715271</v>
      </c>
      <c r="T78" s="6">
        <f>[1]Results!W1537</f>
        <v>-2957.8626589999999</v>
      </c>
      <c r="U78" s="6">
        <f>[1]Results!X1537</f>
        <v>-3086.6046249999999</v>
      </c>
      <c r="V78" s="6">
        <f>[1]Results!Y1537</f>
        <v>-3184.200503</v>
      </c>
      <c r="W78" s="6">
        <f>[1]Results!Z1537</f>
        <v>-3221.812809</v>
      </c>
      <c r="X78" s="6">
        <f>[1]Results!AA1537</f>
        <v>-3237.3605809999999</v>
      </c>
      <c r="Y78" s="6">
        <f>[1]Results!AB1537</f>
        <v>-3234.1816349999999</v>
      </c>
      <c r="Z78" s="6">
        <f>[1]Results!AC1537</f>
        <v>-3213.9957989999998</v>
      </c>
      <c r="AA78" s="6">
        <f>[1]Results!AD1537</f>
        <v>-3179.3751569999999</v>
      </c>
      <c r="AB78" s="6">
        <f>[1]Results!AE1537</f>
        <v>-3132.691112</v>
      </c>
      <c r="AC78" s="6">
        <f>[1]Results!AF1537</f>
        <v>-3080.9296680000002</v>
      </c>
      <c r="AD78" s="6">
        <f>[1]Results!AG1537</f>
        <v>-3027.5480889999999</v>
      </c>
      <c r="AE78" s="6">
        <f>[1]Results!AH1537</f>
        <v>-2969.8597960000002</v>
      </c>
      <c r="AF78" s="6">
        <f>[1]Results!AI1537</f>
        <v>-2909.5339469999999</v>
      </c>
      <c r="AG78" s="6">
        <f>[1]Results!AJ1537</f>
        <v>-2847.7278209999999</v>
      </c>
      <c r="AH78" s="6">
        <f>[1]Results!AK1537</f>
        <v>-2786.332531</v>
      </c>
      <c r="AI78" s="6">
        <f>[1]Results!AL1537</f>
        <v>-2726.3279600000001</v>
      </c>
      <c r="AJ78" s="6">
        <f>[1]Results!AM1537</f>
        <v>-2668.613229</v>
      </c>
      <c r="AK78" s="6">
        <f>[1]Results!AN1537</f>
        <v>-2614.0000580000001</v>
      </c>
      <c r="AL78" s="6">
        <f>[1]Results!AO1537</f>
        <v>-2562.72003</v>
      </c>
    </row>
    <row r="79" spans="1:38" x14ac:dyDescent="0.35">
      <c r="B79" t="s">
        <v>11</v>
      </c>
      <c r="C79" s="6">
        <f>[1]Results!F1541</f>
        <v>40550.824460000003</v>
      </c>
      <c r="D79" s="6">
        <f>[1]Results!G1541</f>
        <v>40914.507400000002</v>
      </c>
      <c r="E79" s="6">
        <f>[1]Results!H1541</f>
        <v>41110.52968</v>
      </c>
      <c r="F79" s="6">
        <f>[1]Results!I1541</f>
        <v>41374.521849999997</v>
      </c>
      <c r="G79" s="6">
        <f>[1]Results!J1541</f>
        <v>41753.185530000002</v>
      </c>
      <c r="H79" s="6">
        <f>[1]Results!K1541</f>
        <v>42289.340640000002</v>
      </c>
      <c r="I79" s="6">
        <f>[1]Results!L1541</f>
        <v>42219.76801</v>
      </c>
      <c r="J79" s="6">
        <f>[1]Results!M1541</f>
        <v>42034.354330000002</v>
      </c>
      <c r="K79" s="6">
        <f>[1]Results!N1541</f>
        <v>41779.780100000004</v>
      </c>
      <c r="L79" s="6">
        <f>[1]Results!O1541</f>
        <v>41401.399640000003</v>
      </c>
      <c r="M79" s="6">
        <f>[1]Results!P1541</f>
        <v>40852.383150000001</v>
      </c>
      <c r="N79" s="6">
        <f>[1]Results!Q1541</f>
        <v>40310.89071</v>
      </c>
      <c r="O79" s="6">
        <f>[1]Results!R1541</f>
        <v>39745.70594</v>
      </c>
      <c r="P79" s="6">
        <f>[1]Results!S1541</f>
        <v>39118.422440000002</v>
      </c>
      <c r="Q79" s="6">
        <f>[1]Results!T1541</f>
        <v>38412.899830000002</v>
      </c>
      <c r="R79" s="6">
        <f>[1]Results!U1541</f>
        <v>38047.590479999999</v>
      </c>
      <c r="S79" s="6">
        <f>[1]Results!V1541</f>
        <v>36650.765200000002</v>
      </c>
      <c r="T79" s="6">
        <f>[1]Results!W1541</f>
        <v>35607.771659999999</v>
      </c>
      <c r="U79" s="6">
        <f>[1]Results!X1541</f>
        <v>34412.64314</v>
      </c>
      <c r="V79" s="6">
        <f>[1]Results!Y1541</f>
        <v>33081.813670000003</v>
      </c>
      <c r="W79" s="6">
        <f>[1]Results!Z1541</f>
        <v>31607.136920000001</v>
      </c>
      <c r="X79" s="6">
        <f>[1]Results!AA1541</f>
        <v>29990.749510000001</v>
      </c>
      <c r="Y79" s="6">
        <f>[1]Results!AB1541</f>
        <v>28219.95664</v>
      </c>
      <c r="Z79" s="6">
        <f>[1]Results!AC1541</f>
        <v>26263.099719999998</v>
      </c>
      <c r="AA79" s="6">
        <f>[1]Results!AD1541</f>
        <v>24080.878430000001</v>
      </c>
      <c r="AB79" s="6">
        <f>[1]Results!AE1541</f>
        <v>21930.707780000001</v>
      </c>
      <c r="AC79" s="6">
        <f>[1]Results!AF1541</f>
        <v>21374.375019999999</v>
      </c>
      <c r="AD79" s="6">
        <f>[1]Results!AG1541</f>
        <v>21654.04723</v>
      </c>
      <c r="AE79" s="6">
        <f>[1]Results!AH1541</f>
        <v>22129.41836</v>
      </c>
      <c r="AF79" s="6">
        <f>[1]Results!AI1541</f>
        <v>22608.971710000002</v>
      </c>
      <c r="AG79" s="6">
        <f>[1]Results!AJ1541</f>
        <v>23047.858929999999</v>
      </c>
      <c r="AH79" s="6">
        <f>[1]Results!AK1541</f>
        <v>23444.58165</v>
      </c>
      <c r="AI79" s="6">
        <f>[1]Results!AL1541</f>
        <v>23811.338479999999</v>
      </c>
      <c r="AJ79" s="6">
        <f>[1]Results!AM1541</f>
        <v>24153.562150000002</v>
      </c>
      <c r="AK79" s="6">
        <f>[1]Results!AN1541</f>
        <v>24474.64933</v>
      </c>
      <c r="AL79" s="6">
        <f>[1]Results!AO1541</f>
        <v>24842.691449999998</v>
      </c>
    </row>
    <row r="81" spans="2:38" x14ac:dyDescent="0.35">
      <c r="B81" t="s">
        <v>16</v>
      </c>
      <c r="C81" s="8" t="s">
        <v>17</v>
      </c>
      <c r="D81" s="8" t="s">
        <v>18</v>
      </c>
      <c r="E81" s="8" t="s">
        <v>19</v>
      </c>
    </row>
    <row r="82" spans="2:38" x14ac:dyDescent="0.35">
      <c r="B82" t="s">
        <v>7</v>
      </c>
      <c r="C82" s="6">
        <f t="shared" ref="C82:C87" si="2">(R74-R66)/R73*100</f>
        <v>-3.1914734007900125E-2</v>
      </c>
      <c r="D82" s="6">
        <f t="shared" ref="D82:D87" si="3">(AB74-AB66)/AB73*100</f>
        <v>-3.8923342058634847E-2</v>
      </c>
      <c r="E82" s="6">
        <f t="shared" ref="E82:E87" si="4">(AL74-AL66)/AL73*100</f>
        <v>-8.6449556624593166E-2</v>
      </c>
      <c r="Q82" s="5"/>
      <c r="U82" s="5"/>
      <c r="V82" s="5"/>
      <c r="Y82" s="5"/>
      <c r="Z82" s="5"/>
      <c r="AA82" s="5"/>
    </row>
    <row r="83" spans="2:38" x14ac:dyDescent="0.35">
      <c r="B83" t="s">
        <v>8</v>
      </c>
      <c r="C83" s="6">
        <f t="shared" si="2"/>
        <v>3.047815379753203</v>
      </c>
      <c r="D83" s="6">
        <f t="shared" si="3"/>
        <v>7.6848066857694839</v>
      </c>
      <c r="E83" s="6">
        <f t="shared" si="4"/>
        <v>14.121498666807753</v>
      </c>
      <c r="Q83" s="5"/>
      <c r="U83" s="5"/>
      <c r="V83" s="5"/>
      <c r="Y83" s="5"/>
      <c r="Z83" s="5"/>
      <c r="AA83" s="5"/>
    </row>
    <row r="84" spans="2:38" x14ac:dyDescent="0.35">
      <c r="B84" t="s">
        <v>9</v>
      </c>
      <c r="C84" s="6">
        <f t="shared" si="2"/>
        <v>-0.1992354546455688</v>
      </c>
      <c r="D84" s="6">
        <f t="shared" si="3"/>
        <v>-0.33607322588741684</v>
      </c>
      <c r="E84" s="6">
        <f t="shared" si="4"/>
        <v>-0.302016276421329</v>
      </c>
      <c r="Q84" s="5"/>
      <c r="U84" s="5"/>
      <c r="V84" s="5"/>
      <c r="Y84" s="5"/>
      <c r="Z84" s="5"/>
      <c r="AA84" s="5"/>
    </row>
    <row r="85" spans="2:38" x14ac:dyDescent="0.35">
      <c r="B85" t="s">
        <v>10</v>
      </c>
      <c r="C85" s="6">
        <f t="shared" si="2"/>
        <v>27.842160811775656</v>
      </c>
      <c r="D85" s="6">
        <f t="shared" si="3"/>
        <v>51.834612190181531</v>
      </c>
      <c r="E85" s="6">
        <f t="shared" si="4"/>
        <v>28.092329087999683</v>
      </c>
      <c r="Q85" s="5"/>
      <c r="U85" s="5"/>
      <c r="V85" s="5"/>
      <c r="Y85" s="5"/>
      <c r="Z85" s="5"/>
      <c r="AA85" s="5"/>
    </row>
    <row r="86" spans="2:38" x14ac:dyDescent="0.35">
      <c r="B86" t="s">
        <v>12</v>
      </c>
      <c r="C86" s="6">
        <f t="shared" si="2"/>
        <v>-2.563733065095751E-2</v>
      </c>
      <c r="D86" s="6">
        <f t="shared" si="3"/>
        <v>-3.8108617612313912E-2</v>
      </c>
      <c r="E86" s="6">
        <f t="shared" si="4"/>
        <v>1.5165106132493482E-3</v>
      </c>
      <c r="Q86" s="5"/>
      <c r="U86" s="5"/>
      <c r="V86" s="5"/>
      <c r="Y86" s="5"/>
      <c r="Z86" s="5"/>
      <c r="AA86" s="5"/>
    </row>
    <row r="87" spans="2:38" x14ac:dyDescent="0.35">
      <c r="B87" t="s">
        <v>11</v>
      </c>
      <c r="C87" s="6">
        <f t="shared" si="2"/>
        <v>16.436179812039018</v>
      </c>
      <c r="D87" s="6">
        <f t="shared" si="3"/>
        <v>10.337987002913888</v>
      </c>
      <c r="E87" s="6">
        <f t="shared" si="4"/>
        <v>50.077940819778135</v>
      </c>
      <c r="Q87" s="5"/>
      <c r="U87" s="5"/>
      <c r="V87" s="5"/>
      <c r="Y87" s="5"/>
      <c r="Z87" s="5"/>
      <c r="AA87" s="5"/>
    </row>
    <row r="88" spans="2:38" x14ac:dyDescent="0.35"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</row>
    <row r="89" spans="2:38" x14ac:dyDescent="0.35">
      <c r="B89" t="s">
        <v>16</v>
      </c>
      <c r="C89" s="8" t="s">
        <v>17</v>
      </c>
      <c r="D89" s="8" t="s">
        <v>18</v>
      </c>
      <c r="E89" s="8" t="s">
        <v>19</v>
      </c>
    </row>
    <row r="90" spans="2:38" x14ac:dyDescent="0.35">
      <c r="B90" t="s">
        <v>7</v>
      </c>
      <c r="C90" s="4">
        <f t="shared" ref="C90:C95" si="5">R74/R66-1</f>
        <v>-1.7621233287158478E-2</v>
      </c>
      <c r="D90" s="4">
        <f t="shared" ref="D90:D95" si="6">AB74/AB66-1</f>
        <v>-2.1508948404540429E-2</v>
      </c>
      <c r="E90" s="4">
        <f t="shared" ref="E90:E95" si="7">AL74/AL66-1</f>
        <v>-4.74987794666486E-2</v>
      </c>
    </row>
    <row r="91" spans="2:38" x14ac:dyDescent="0.35">
      <c r="B91" t="s">
        <v>8</v>
      </c>
      <c r="C91" s="4">
        <f t="shared" si="5"/>
        <v>3.0339819631715059E-3</v>
      </c>
      <c r="D91" s="4">
        <f t="shared" si="6"/>
        <v>7.2160466146515834E-3</v>
      </c>
      <c r="E91" s="4">
        <f t="shared" si="7"/>
        <v>1.2410200301914864E-2</v>
      </c>
    </row>
    <row r="92" spans="2:38" x14ac:dyDescent="0.35">
      <c r="B92" t="s">
        <v>9</v>
      </c>
      <c r="C92" s="4">
        <f t="shared" si="5"/>
        <v>-1.451555006573968E-2</v>
      </c>
      <c r="D92" s="4">
        <f t="shared" si="6"/>
        <v>-2.6157928193615954E-2</v>
      </c>
      <c r="E92" s="4">
        <f t="shared" si="7"/>
        <v>-2.4272198092557207E-2</v>
      </c>
    </row>
    <row r="93" spans="2:38" x14ac:dyDescent="0.35">
      <c r="B93" t="s">
        <v>10</v>
      </c>
      <c r="C93" s="4">
        <f t="shared" si="5"/>
        <v>8.9003954887820758E-3</v>
      </c>
      <c r="D93" s="4">
        <f t="shared" si="6"/>
        <v>1.6420738433209348E-2</v>
      </c>
      <c r="E93" s="4">
        <f t="shared" si="7"/>
        <v>9.1168598783379906E-3</v>
      </c>
    </row>
    <row r="94" spans="2:38" x14ac:dyDescent="0.35">
      <c r="B94" t="s">
        <v>12</v>
      </c>
      <c r="C94" s="4">
        <f t="shared" si="5"/>
        <v>0.24844884828267944</v>
      </c>
      <c r="D94" s="4">
        <f t="shared" si="6"/>
        <v>0.41486044576060199</v>
      </c>
      <c r="E94" s="4">
        <f t="shared" si="7"/>
        <v>-1.6760415285217767E-2</v>
      </c>
    </row>
    <row r="95" spans="2:38" x14ac:dyDescent="0.35">
      <c r="B95" t="s">
        <v>11</v>
      </c>
      <c r="C95" s="4">
        <f t="shared" si="5"/>
        <v>-1.1318711675407767E-2</v>
      </c>
      <c r="D95" s="4">
        <f t="shared" si="6"/>
        <v>-1.4552394094921484E-2</v>
      </c>
      <c r="E95" s="4">
        <f t="shared" si="7"/>
        <v>-4.9121756848340525E-2</v>
      </c>
    </row>
    <row r="97" spans="2:38" x14ac:dyDescent="0.35">
      <c r="B97" t="s">
        <v>26</v>
      </c>
      <c r="C97" s="2">
        <v>42005</v>
      </c>
      <c r="D97" s="2">
        <v>42370</v>
      </c>
      <c r="E97" s="2">
        <v>42736</v>
      </c>
      <c r="F97" s="2">
        <v>43101</v>
      </c>
      <c r="G97" s="2">
        <v>43466</v>
      </c>
      <c r="H97" s="2">
        <v>43831</v>
      </c>
      <c r="I97" s="2">
        <v>44197</v>
      </c>
      <c r="J97" s="2">
        <v>44562</v>
      </c>
      <c r="K97" s="2">
        <v>44927</v>
      </c>
      <c r="L97" s="2">
        <v>45292</v>
      </c>
      <c r="M97" s="2">
        <v>45658</v>
      </c>
      <c r="N97" s="2">
        <v>46023</v>
      </c>
      <c r="O97" s="2">
        <v>46388</v>
      </c>
      <c r="P97" s="2">
        <v>46753</v>
      </c>
      <c r="Q97" s="2">
        <v>47119</v>
      </c>
      <c r="R97" s="2">
        <v>47484</v>
      </c>
      <c r="S97" s="2">
        <v>47849</v>
      </c>
      <c r="T97" s="2">
        <v>48214</v>
      </c>
      <c r="U97" s="2">
        <v>48580</v>
      </c>
      <c r="V97" s="2">
        <v>48945</v>
      </c>
      <c r="W97" s="2">
        <v>49310</v>
      </c>
      <c r="X97" s="2">
        <v>49675</v>
      </c>
      <c r="Y97" s="2">
        <v>50041</v>
      </c>
      <c r="Z97" s="2">
        <v>50406</v>
      </c>
      <c r="AA97" s="2">
        <v>50771</v>
      </c>
      <c r="AB97" s="2">
        <v>51136</v>
      </c>
      <c r="AC97" s="2">
        <v>51502</v>
      </c>
      <c r="AD97" s="2">
        <v>51867</v>
      </c>
      <c r="AE97" s="2">
        <v>52232</v>
      </c>
      <c r="AF97" s="2">
        <v>52597</v>
      </c>
      <c r="AG97" s="2">
        <v>52963</v>
      </c>
      <c r="AH97" s="2">
        <v>53328</v>
      </c>
      <c r="AI97" s="2">
        <v>53693</v>
      </c>
      <c r="AJ97" s="2">
        <v>54058</v>
      </c>
      <c r="AK97" s="2">
        <v>54424</v>
      </c>
      <c r="AL97" s="2">
        <v>54789</v>
      </c>
    </row>
    <row r="98" spans="2:38" x14ac:dyDescent="0.35">
      <c r="B98" t="s">
        <v>7</v>
      </c>
      <c r="C98" s="6">
        <f>[1]Production!B5+[1]Production!B7</f>
        <v>88276.222208000007</v>
      </c>
      <c r="D98" s="6">
        <f>[1]Production!C5+[1]Production!C7</f>
        <v>89617.457905999996</v>
      </c>
      <c r="E98" s="6">
        <f>[1]Production!D5+[1]Production!D7</f>
        <v>91143.654884999996</v>
      </c>
      <c r="F98" s="6">
        <f>[1]Production!E5+[1]Production!E7</f>
        <v>92851.488531999988</v>
      </c>
      <c r="G98" s="6">
        <f>[1]Production!F5+[1]Production!F7</f>
        <v>94854.319923000003</v>
      </c>
      <c r="H98" s="6">
        <f>[1]Production!G5+[1]Production!G7</f>
        <v>97260.232927000005</v>
      </c>
      <c r="I98" s="6">
        <f>[1]Production!H5+[1]Production!H7</f>
        <v>99869.93215600001</v>
      </c>
      <c r="J98" s="6">
        <f>[1]Production!I5+[1]Production!I7</f>
        <v>102615.166876</v>
      </c>
      <c r="K98" s="6">
        <f>[1]Production!J5+[1]Production!J7</f>
        <v>105461.41452600001</v>
      </c>
      <c r="L98" s="6">
        <f>[1]Production!K5+[1]Production!K7</f>
        <v>108269.087546</v>
      </c>
      <c r="M98" s="6">
        <f>[1]Production!L5+[1]Production!L7</f>
        <v>110893.852879</v>
      </c>
      <c r="N98" s="6">
        <f>[1]Production!M5+[1]Production!M7</f>
        <v>113284.843733</v>
      </c>
      <c r="O98" s="6">
        <f>[1]Production!N5+[1]Production!N7</f>
        <v>115450.56217799999</v>
      </c>
      <c r="P98" s="6">
        <f>[1]Production!O5+[1]Production!O7</f>
        <v>117420.08001600001</v>
      </c>
      <c r="Q98" s="6">
        <f>[1]Production!P5+[1]Production!P7</f>
        <v>119235.248549</v>
      </c>
      <c r="R98" s="6">
        <f>[1]Production!Q5+[1]Production!Q7</f>
        <v>120946.61264400001</v>
      </c>
      <c r="S98" s="6">
        <f>[1]Production!R5+[1]Production!R7</f>
        <v>122623.28422</v>
      </c>
      <c r="T98" s="6">
        <f>[1]Production!S5+[1]Production!S7</f>
        <v>124294.58688</v>
      </c>
      <c r="U98" s="6">
        <f>[1]Production!T5+[1]Production!T7</f>
        <v>126000.853726</v>
      </c>
      <c r="V98" s="6">
        <f>[1]Production!U5+[1]Production!U7</f>
        <v>127776.297571</v>
      </c>
      <c r="W98" s="6">
        <f>[1]Production!V5+[1]Production!V7</f>
        <v>129629.87224899999</v>
      </c>
      <c r="X98" s="6">
        <f>[1]Production!W5+[1]Production!W7</f>
        <v>131613.373873</v>
      </c>
      <c r="Y98" s="6">
        <f>[1]Production!X5+[1]Production!X7</f>
        <v>133746.693791</v>
      </c>
      <c r="Z98" s="6">
        <f>[1]Production!Y5+[1]Production!Y7</f>
        <v>136046.073573</v>
      </c>
      <c r="AA98" s="6">
        <f>[1]Production!Z5+[1]Production!Z7</f>
        <v>138522.77516799999</v>
      </c>
      <c r="AB98" s="6">
        <f>[1]Production!AA5+[1]Production!AA7</f>
        <v>141129.53096100001</v>
      </c>
      <c r="AC98" s="6">
        <f>[1]Production!AB5+[1]Production!AB7</f>
        <v>143750.68391199998</v>
      </c>
      <c r="AD98" s="6">
        <f>[1]Production!AC5+[1]Production!AC7</f>
        <v>146491.96325</v>
      </c>
      <c r="AE98" s="6">
        <f>[1]Production!AD5+[1]Production!AD7</f>
        <v>149394.428984</v>
      </c>
      <c r="AF98" s="6">
        <f>[1]Production!AE5+[1]Production!AE7</f>
        <v>152460.30965100002</v>
      </c>
      <c r="AG98" s="6">
        <f>[1]Production!AF5+[1]Production!AF7</f>
        <v>155671.83217199999</v>
      </c>
      <c r="AH98" s="6">
        <f>[1]Production!AG5+[1]Production!AG7</f>
        <v>159003.900995</v>
      </c>
      <c r="AI98" s="6">
        <f>[1]Production!AH5+[1]Production!AH7</f>
        <v>162429.456687</v>
      </c>
      <c r="AJ98" s="6">
        <f>[1]Production!AI5+[1]Production!AI7</f>
        <v>165920.54410200001</v>
      </c>
      <c r="AK98" s="6">
        <f>[1]Production!AJ5+[1]Production!AJ7</f>
        <v>169448.83416699999</v>
      </c>
      <c r="AL98" s="6">
        <f>[1]Production!AK5+[1]Production!AK7</f>
        <v>172985.80486800001</v>
      </c>
    </row>
    <row r="99" spans="2:38" x14ac:dyDescent="0.35">
      <c r="B99" t="s">
        <v>8</v>
      </c>
      <c r="C99" s="6">
        <f>[1]Production!B9+[1]Production!B11+[1]Production!B13+[1]Production!B15+[1]Production!B17+[1]Production!B19+[1]Production!B21+[1]Production!B23+[1]Production!B25+[1]Production!B27+[1]Production!B41</f>
        <v>978842.12848100008</v>
      </c>
      <c r="D99" s="6">
        <f>[1]Production!C9+[1]Production!C11+[1]Production!C13+[1]Production!C15+[1]Production!C17+[1]Production!C19+[1]Production!C21+[1]Production!C23+[1]Production!C25+[1]Production!C27+[1]Production!C41</f>
        <v>1001201.9700110001</v>
      </c>
      <c r="E99" s="6">
        <f>[1]Production!D9+[1]Production!D11+[1]Production!D13+[1]Production!D15+[1]Production!D17+[1]Production!D19+[1]Production!D21+[1]Production!D23+[1]Production!D25+[1]Production!D27+[1]Production!D41</f>
        <v>1025190.7062290001</v>
      </c>
      <c r="F99" s="6">
        <f>[1]Production!E9+[1]Production!E11+[1]Production!E13+[1]Production!E15+[1]Production!E17+[1]Production!E19+[1]Production!E21+[1]Production!E23+[1]Production!E25+[1]Production!E27+[1]Production!E41</f>
        <v>1050131.1766039999</v>
      </c>
      <c r="G99" s="6">
        <f>[1]Production!F9+[1]Production!F11+[1]Production!F13+[1]Production!F15+[1]Production!F17+[1]Production!F19+[1]Production!F21+[1]Production!F23+[1]Production!F25+[1]Production!F27+[1]Production!F41</f>
        <v>1077450.3555530002</v>
      </c>
      <c r="H99" s="6">
        <f>[1]Production!G9+[1]Production!G11+[1]Production!G13+[1]Production!G15+[1]Production!G17+[1]Production!G19+[1]Production!G21+[1]Production!G23+[1]Production!G25+[1]Production!G27+[1]Production!G41</f>
        <v>1108881.0794129998</v>
      </c>
      <c r="I99" s="6">
        <f>[1]Production!H9+[1]Production!H11+[1]Production!H13+[1]Production!H15+[1]Production!H17+[1]Production!H19+[1]Production!H21+[1]Production!H23+[1]Production!H25+[1]Production!H27+[1]Production!H41</f>
        <v>1141848.115036</v>
      </c>
      <c r="J99" s="6">
        <f>[1]Production!I9+[1]Production!I11+[1]Production!I13+[1]Production!I15+[1]Production!I17+[1]Production!I19+[1]Production!I21+[1]Production!I23+[1]Production!I25+[1]Production!I27+[1]Production!I41</f>
        <v>1176127.8604299999</v>
      </c>
      <c r="K99" s="6">
        <f>[1]Production!J9+[1]Production!J11+[1]Production!J13+[1]Production!J15+[1]Production!J17+[1]Production!J19+[1]Production!J21+[1]Production!J23+[1]Production!J25+[1]Production!J27+[1]Production!J41</f>
        <v>1211625.6919849999</v>
      </c>
      <c r="L99" s="6">
        <f>[1]Production!K9+[1]Production!K11+[1]Production!K13+[1]Production!K15+[1]Production!K17+[1]Production!K19+[1]Production!K21+[1]Production!K23+[1]Production!K25+[1]Production!K27+[1]Production!K41</f>
        <v>1246578.1918529999</v>
      </c>
      <c r="M99" s="6">
        <f>[1]Production!L9+[1]Production!L11+[1]Production!L13+[1]Production!L15+[1]Production!L17+[1]Production!L19+[1]Production!L21+[1]Production!L23+[1]Production!L25+[1]Production!L27+[1]Production!L41</f>
        <v>1279035.9954619999</v>
      </c>
      <c r="N99" s="6">
        <f>[1]Production!M9+[1]Production!M11+[1]Production!M13+[1]Production!M15+[1]Production!M17+[1]Production!M19+[1]Production!M21+[1]Production!M23+[1]Production!M25+[1]Production!M27+[1]Production!M41</f>
        <v>1309022.1597660002</v>
      </c>
      <c r="O99" s="6">
        <f>[1]Production!N9+[1]Production!N11+[1]Production!N13+[1]Production!N15+[1]Production!N17+[1]Production!N19+[1]Production!N21+[1]Production!N23+[1]Production!N25+[1]Production!N27+[1]Production!N41</f>
        <v>1336910.9281809998</v>
      </c>
      <c r="P99" s="6">
        <f>[1]Production!O9+[1]Production!O11+[1]Production!O13+[1]Production!O15+[1]Production!O17+[1]Production!O19+[1]Production!O21+[1]Production!O23+[1]Production!O25+[1]Production!O27+[1]Production!O41</f>
        <v>1363265.1093369999</v>
      </c>
      <c r="Q99" s="6">
        <f>[1]Production!P9+[1]Production!P11+[1]Production!P13+[1]Production!P15+[1]Production!P17+[1]Production!P19+[1]Production!P21+[1]Production!P23+[1]Production!P25+[1]Production!P27+[1]Production!P41</f>
        <v>1388742.556233</v>
      </c>
      <c r="R99" s="6">
        <f>[1]Production!Q9+[1]Production!Q11+[1]Production!Q13+[1]Production!Q15+[1]Production!Q17+[1]Production!Q19+[1]Production!Q21+[1]Production!Q23+[1]Production!Q25+[1]Production!Q27+[1]Production!Q41</f>
        <v>1414012.352806</v>
      </c>
      <c r="S99" s="6">
        <f>[1]Production!R9+[1]Production!R11+[1]Production!R13+[1]Production!R15+[1]Production!R17+[1]Production!R19+[1]Production!R21+[1]Production!R23+[1]Production!R25+[1]Production!R27+[1]Production!R41</f>
        <v>1439627.093438</v>
      </c>
      <c r="T99" s="6">
        <f>[1]Production!S9+[1]Production!S11+[1]Production!S13+[1]Production!S15+[1]Production!S17+[1]Production!S19+[1]Production!S21+[1]Production!S23+[1]Production!S25+[1]Production!S27+[1]Production!S41</f>
        <v>1466045.5842269999</v>
      </c>
      <c r="U99" s="6">
        <f>[1]Production!T9+[1]Production!T11+[1]Production!T13+[1]Production!T15+[1]Production!T17+[1]Production!T19+[1]Production!T21+[1]Production!T23+[1]Production!T25+[1]Production!T27+[1]Production!T41</f>
        <v>1493675.7574110001</v>
      </c>
      <c r="V99" s="6">
        <f>[1]Production!U9+[1]Production!U11+[1]Production!U13+[1]Production!U15+[1]Production!U17+[1]Production!U19+[1]Production!U21+[1]Production!U23+[1]Production!U25+[1]Production!U27+[1]Production!U41</f>
        <v>1522816.7683329999</v>
      </c>
      <c r="W99" s="6">
        <f>[1]Production!V9+[1]Production!V11+[1]Production!V13+[1]Production!V15+[1]Production!V17+[1]Production!V19+[1]Production!V21+[1]Production!V23+[1]Production!V25+[1]Production!V27+[1]Production!V41</f>
        <v>1553579.167567</v>
      </c>
      <c r="X99" s="6">
        <f>[1]Production!W9+[1]Production!W11+[1]Production!W13+[1]Production!W15+[1]Production!W17+[1]Production!W19+[1]Production!W21+[1]Production!W23+[1]Production!W25+[1]Production!W27+[1]Production!W41</f>
        <v>1586294.1549259999</v>
      </c>
      <c r="Y99" s="6">
        <f>[1]Production!X9+[1]Production!X11+[1]Production!X13+[1]Production!X15+[1]Production!X17+[1]Production!X19+[1]Production!X21+[1]Production!X23+[1]Production!X25+[1]Production!X27+[1]Production!X41</f>
        <v>1621134.6634869999</v>
      </c>
      <c r="Z99" s="6">
        <f>[1]Production!Y9+[1]Production!Y11+[1]Production!Y13+[1]Production!Y15+[1]Production!Y17+[1]Production!Y19+[1]Production!Y21+[1]Production!Y23+[1]Production!Y25+[1]Production!Y27+[1]Production!Y41</f>
        <v>1658225.266722</v>
      </c>
      <c r="AA99" s="6">
        <f>[1]Production!Z9+[1]Production!Z11+[1]Production!Z13+[1]Production!Z15+[1]Production!Z17+[1]Production!Z19+[1]Production!Z21+[1]Production!Z23+[1]Production!Z25+[1]Production!Z27+[1]Production!Z41</f>
        <v>1697626.9935650004</v>
      </c>
      <c r="AB99" s="6">
        <f>[1]Production!AA9+[1]Production!AA11+[1]Production!AA13+[1]Production!AA15+[1]Production!AA17+[1]Production!AA19+[1]Production!AA21+[1]Production!AA23+[1]Production!AA25+[1]Production!AA27+[1]Production!AA41</f>
        <v>1739020.3763080004</v>
      </c>
      <c r="AC99" s="6">
        <f>[1]Production!AB9+[1]Production!AB11+[1]Production!AB13+[1]Production!AB15+[1]Production!AB17+[1]Production!AB19+[1]Production!AB21+[1]Production!AB23+[1]Production!AB25+[1]Production!AB27+[1]Production!AB41</f>
        <v>1781434.7374030002</v>
      </c>
      <c r="AD99" s="6">
        <f>[1]Production!AC9+[1]Production!AC11+[1]Production!AC13+[1]Production!AC15+[1]Production!AC17+[1]Production!AC19+[1]Production!AC21+[1]Production!AC23+[1]Production!AC25+[1]Production!AC27+[1]Production!AC41</f>
        <v>1824921.033177</v>
      </c>
      <c r="AE99" s="6">
        <f>[1]Production!AD9+[1]Production!AD11+[1]Production!AD13+[1]Production!AD15+[1]Production!AD17+[1]Production!AD19+[1]Production!AD21+[1]Production!AD23+[1]Production!AD25+[1]Production!AD27+[1]Production!AD41</f>
        <v>1869691.5173219997</v>
      </c>
      <c r="AF99" s="6">
        <f>[1]Production!AE9+[1]Production!AE11+[1]Production!AE13+[1]Production!AE15+[1]Production!AE17+[1]Production!AE19+[1]Production!AE21+[1]Production!AE23+[1]Production!AE25+[1]Production!AE27+[1]Production!AE41</f>
        <v>1915716.8686139998</v>
      </c>
      <c r="AG99" s="6">
        <f>[1]Production!AF9+[1]Production!AF11+[1]Production!AF13+[1]Production!AF15+[1]Production!AF17+[1]Production!AF19+[1]Production!AF21+[1]Production!AF23+[1]Production!AF25+[1]Production!AF27+[1]Production!AF41</f>
        <v>1962775.2000130001</v>
      </c>
      <c r="AH99" s="6">
        <f>[1]Production!AG9+[1]Production!AG11+[1]Production!AG13+[1]Production!AG15+[1]Production!AG17+[1]Production!AG19+[1]Production!AG21+[1]Production!AG23+[1]Production!AG25+[1]Production!AG27+[1]Production!AG41</f>
        <v>2010577.4398610003</v>
      </c>
      <c r="AI99" s="6">
        <f>[1]Production!AH9+[1]Production!AH11+[1]Production!AH13+[1]Production!AH15+[1]Production!AH17+[1]Production!AH19+[1]Production!AH21+[1]Production!AH23+[1]Production!AH25+[1]Production!AH27+[1]Production!AH41</f>
        <v>2058829.233302</v>
      </c>
      <c r="AJ99" s="6">
        <f>[1]Production!AI9+[1]Production!AI11+[1]Production!AI13+[1]Production!AI15+[1]Production!AI17+[1]Production!AI19+[1]Production!AI21+[1]Production!AI23+[1]Production!AI25+[1]Production!AI27+[1]Production!AI41</f>
        <v>2107239.3692080001</v>
      </c>
      <c r="AK99" s="6">
        <f>[1]Production!AJ9+[1]Production!AJ11+[1]Production!AJ13+[1]Production!AJ15+[1]Production!AJ17+[1]Production!AJ19+[1]Production!AJ21+[1]Production!AJ23+[1]Production!AJ25+[1]Production!AJ27+[1]Production!AJ41</f>
        <v>2155523.3975490001</v>
      </c>
      <c r="AL99" s="6">
        <f>[1]Production!AK9+[1]Production!AK11+[1]Production!AK13+[1]Production!AK15+[1]Production!AK17+[1]Production!AK19+[1]Production!AK21+[1]Production!AK23+[1]Production!AK25+[1]Production!AK27+[1]Production!AK41</f>
        <v>2203402.0984529997</v>
      </c>
    </row>
    <row r="100" spans="2:38" x14ac:dyDescent="0.35">
      <c r="B100" t="s">
        <v>9</v>
      </c>
      <c r="C100" s="6">
        <f>[1]Production!B29+[1]Production!B31+[1]Production!B33+[1]Production!B35</f>
        <v>120915.714574</v>
      </c>
      <c r="D100" s="6">
        <f>[1]Production!C29+[1]Production!C31+[1]Production!C33+[1]Production!C35</f>
        <v>123524.275479</v>
      </c>
      <c r="E100" s="6">
        <f>[1]Production!D29+[1]Production!D31+[1]Production!D33+[1]Production!D35</f>
        <v>126233.18714600001</v>
      </c>
      <c r="F100" s="6">
        <f>[1]Production!E29+[1]Production!E31+[1]Production!E33+[1]Production!E35</f>
        <v>128963.52400400001</v>
      </c>
      <c r="G100" s="6">
        <f>[1]Production!F29+[1]Production!F31+[1]Production!F33+[1]Production!F35</f>
        <v>131922.62489099998</v>
      </c>
      <c r="H100" s="6">
        <f>[1]Production!G29+[1]Production!G31+[1]Production!G33+[1]Production!G35</f>
        <v>135375.924577</v>
      </c>
      <c r="I100" s="6">
        <f>[1]Production!H29+[1]Production!H31+[1]Production!H33+[1]Production!H35</f>
        <v>139001.36070000002</v>
      </c>
      <c r="J100" s="6">
        <f>[1]Production!I29+[1]Production!I31+[1]Production!I33+[1]Production!I35</f>
        <v>142752.54137399999</v>
      </c>
      <c r="K100" s="6">
        <f>[1]Production!J29+[1]Production!J31+[1]Production!J33+[1]Production!J35</f>
        <v>146607.99891299999</v>
      </c>
      <c r="L100" s="6">
        <f>[1]Production!K29+[1]Production!K31+[1]Production!K33+[1]Production!K35</f>
        <v>150343.04568899999</v>
      </c>
      <c r="M100" s="6">
        <f>[1]Production!L29+[1]Production!L31+[1]Production!L33+[1]Production!L35</f>
        <v>153715.91863299999</v>
      </c>
      <c r="N100" s="6">
        <f>[1]Production!M29+[1]Production!M31+[1]Production!M33+[1]Production!M35</f>
        <v>156732.02373799999</v>
      </c>
      <c r="O100" s="6">
        <f>[1]Production!N29+[1]Production!N31+[1]Production!N33+[1]Production!N35</f>
        <v>159436.53740999999</v>
      </c>
      <c r="P100" s="6">
        <f>[1]Production!O29+[1]Production!O31+[1]Production!O33+[1]Production!O35</f>
        <v>161893.91493299999</v>
      </c>
      <c r="Q100" s="6">
        <f>[1]Production!P29+[1]Production!P31+[1]Production!P33+[1]Production!P35</f>
        <v>164182.40226100001</v>
      </c>
      <c r="R100" s="6">
        <f>[1]Production!Q29+[1]Production!Q31+[1]Production!Q33+[1]Production!Q35</f>
        <v>166384.66006699999</v>
      </c>
      <c r="S100" s="6">
        <f>[1]Production!R29+[1]Production!R31+[1]Production!R33+[1]Production!R35</f>
        <v>168569.561086</v>
      </c>
      <c r="T100" s="6">
        <f>[1]Production!S29+[1]Production!S31+[1]Production!S33+[1]Production!S35</f>
        <v>170796.11681100001</v>
      </c>
      <c r="U100" s="6">
        <f>[1]Production!T29+[1]Production!T31+[1]Production!T33+[1]Production!T35</f>
        <v>173117.82019499998</v>
      </c>
      <c r="V100" s="6">
        <f>[1]Production!U29+[1]Production!U31+[1]Production!U33+[1]Production!U35</f>
        <v>175575.086194</v>
      </c>
      <c r="W100" s="6">
        <f>[1]Production!V29+[1]Production!V31+[1]Production!V33+[1]Production!V35</f>
        <v>178184.22670399997</v>
      </c>
      <c r="X100" s="6">
        <f>[1]Production!W29+[1]Production!W31+[1]Production!W33+[1]Production!W35</f>
        <v>180993.663677</v>
      </c>
      <c r="Y100" s="6">
        <f>[1]Production!X29+[1]Production!X31+[1]Production!X33+[1]Production!X35</f>
        <v>184026.003123</v>
      </c>
      <c r="Z100" s="6">
        <f>[1]Production!Y29+[1]Production!Y31+[1]Production!Y33+[1]Production!Y35</f>
        <v>187297.57479499999</v>
      </c>
      <c r="AA100" s="6">
        <f>[1]Production!Z29+[1]Production!Z31+[1]Production!Z33+[1]Production!Z35</f>
        <v>190817.06696</v>
      </c>
      <c r="AB100" s="6">
        <f>[1]Production!AA29+[1]Production!AA31+[1]Production!AA33+[1]Production!AA35</f>
        <v>194543.15466</v>
      </c>
      <c r="AC100" s="6">
        <f>[1]Production!AB29+[1]Production!AB31+[1]Production!AB33+[1]Production!AB35</f>
        <v>198462.42839000002</v>
      </c>
      <c r="AD100" s="6">
        <f>[1]Production!AC29+[1]Production!AC31+[1]Production!AC33+[1]Production!AC35</f>
        <v>202596.08371000001</v>
      </c>
      <c r="AE100" s="6">
        <f>[1]Production!AD29+[1]Production!AD31+[1]Production!AD33+[1]Production!AD35</f>
        <v>206958.07655999999</v>
      </c>
      <c r="AF100" s="6">
        <f>[1]Production!AE29+[1]Production!AE31+[1]Production!AE33+[1]Production!AE35</f>
        <v>211531.54240999999</v>
      </c>
      <c r="AG100" s="6">
        <f>[1]Production!AF29+[1]Production!AF31+[1]Production!AF33+[1]Production!AF35</f>
        <v>216280.15632999997</v>
      </c>
      <c r="AH100" s="6">
        <f>[1]Production!AG29+[1]Production!AG31+[1]Production!AG33+[1]Production!AG35</f>
        <v>221163.01115999999</v>
      </c>
      <c r="AI100" s="6">
        <f>[1]Production!AH29+[1]Production!AH31+[1]Production!AH33+[1]Production!AH35</f>
        <v>226140.65152000001</v>
      </c>
      <c r="AJ100" s="6">
        <f>[1]Production!AI29+[1]Production!AI31+[1]Production!AI33+[1]Production!AI35</f>
        <v>231175.03500999999</v>
      </c>
      <c r="AK100" s="6">
        <f>[1]Production!AJ29+[1]Production!AJ31+[1]Production!AJ33+[1]Production!AJ35</f>
        <v>236229.48897999999</v>
      </c>
      <c r="AL100" s="6">
        <f>[1]Production!AK29+[1]Production!AK31+[1]Production!AK33+[1]Production!AK35</f>
        <v>241268.41723999998</v>
      </c>
    </row>
    <row r="101" spans="2:38" x14ac:dyDescent="0.35">
      <c r="B101" t="s">
        <v>10</v>
      </c>
      <c r="C101" s="6">
        <f>[1]Production!B37+[1]Production!B39</f>
        <v>2556674.8605999998</v>
      </c>
      <c r="D101" s="6">
        <f>[1]Production!C37+[1]Production!C39</f>
        <v>2600723.9534999998</v>
      </c>
      <c r="E101" s="6">
        <f>[1]Production!D37+[1]Production!D39</f>
        <v>2649147.2763</v>
      </c>
      <c r="F101" s="6">
        <f>[1]Production!E37+[1]Production!E39</f>
        <v>2701435.1086999997</v>
      </c>
      <c r="G101" s="6">
        <f>[1]Production!F37+[1]Production!F39</f>
        <v>2759604.122</v>
      </c>
      <c r="H101" s="6">
        <f>[1]Production!G37+[1]Production!G39</f>
        <v>2826434.1467000004</v>
      </c>
      <c r="I101" s="6">
        <f>[1]Production!H37+[1]Production!H39</f>
        <v>2896090.4293999998</v>
      </c>
      <c r="J101" s="6">
        <f>[1]Production!I37+[1]Production!I39</f>
        <v>2967911.4839000003</v>
      </c>
      <c r="K101" s="6">
        <f>[1]Production!J37+[1]Production!J39</f>
        <v>3041552.3196999999</v>
      </c>
      <c r="L101" s="6">
        <f>[1]Production!K37+[1]Production!K39</f>
        <v>3114559.3028000002</v>
      </c>
      <c r="M101" s="6">
        <f>[1]Production!L37+[1]Production!L39</f>
        <v>3184186.4219</v>
      </c>
      <c r="N101" s="6">
        <f>[1]Production!M37+[1]Production!M39</f>
        <v>3248998.3421</v>
      </c>
      <c r="O101" s="6">
        <f>[1]Production!N37+[1]Production!N39</f>
        <v>3309173.7694000001</v>
      </c>
      <c r="P101" s="6">
        <f>[1]Production!O37+[1]Production!O39</f>
        <v>3365268.1431999998</v>
      </c>
      <c r="Q101" s="6">
        <f>[1]Production!P37+[1]Production!P39</f>
        <v>3418117.2903000005</v>
      </c>
      <c r="R101" s="6">
        <f>[1]Production!Q37+[1]Production!Q39</f>
        <v>3468755.6640999997</v>
      </c>
      <c r="S101" s="6">
        <f>[1]Production!R37+[1]Production!R39</f>
        <v>3518237.6617999999</v>
      </c>
      <c r="T101" s="6">
        <f>[1]Production!S37+[1]Production!S39</f>
        <v>3567558.0335999997</v>
      </c>
      <c r="U101" s="6">
        <f>[1]Production!T37+[1]Production!T39</f>
        <v>3617644.6389000001</v>
      </c>
      <c r="V101" s="6">
        <f>[1]Production!U37+[1]Production!U39</f>
        <v>3669256.7905999999</v>
      </c>
      <c r="W101" s="6">
        <f>[1]Production!V37+[1]Production!V39</f>
        <v>3722579.4885</v>
      </c>
      <c r="X101" s="6">
        <f>[1]Production!W37+[1]Production!W39</f>
        <v>3778735.2856000001</v>
      </c>
      <c r="Y101" s="6">
        <f>[1]Production!X37+[1]Production!X39</f>
        <v>3838157.1136999996</v>
      </c>
      <c r="Z101" s="6">
        <f>[1]Production!Y37+[1]Production!Y39</f>
        <v>3901201.1765999999</v>
      </c>
      <c r="AA101" s="6">
        <f>[1]Production!Z37+[1]Production!Z39</f>
        <v>3968101.8732000003</v>
      </c>
      <c r="AB101" s="6">
        <f>[1]Production!AA37+[1]Production!AA39</f>
        <v>4037761.5728000002</v>
      </c>
      <c r="AC101" s="6">
        <f>[1]Production!AB37+[1]Production!AB39</f>
        <v>4109551.0929</v>
      </c>
      <c r="AD101" s="6">
        <f>[1]Production!AC37+[1]Production!AC39</f>
        <v>4184066.8421</v>
      </c>
      <c r="AE101" s="6">
        <f>[1]Production!AD37+[1]Production!AD39</f>
        <v>4261854.4539999999</v>
      </c>
      <c r="AF101" s="6">
        <f>[1]Production!AE37+[1]Production!AE39</f>
        <v>4343009.3903999999</v>
      </c>
      <c r="AG101" s="6">
        <f>[1]Production!AF37+[1]Production!AF39</f>
        <v>4427257.3485000003</v>
      </c>
      <c r="AH101" s="6">
        <f>[1]Production!AG37+[1]Production!AG39</f>
        <v>4514141.3657999998</v>
      </c>
      <c r="AI101" s="6">
        <f>[1]Production!AH37+[1]Production!AH39</f>
        <v>4603131.7664000001</v>
      </c>
      <c r="AJ101" s="6">
        <f>[1]Production!AI37+[1]Production!AI39</f>
        <v>4693660.7980000004</v>
      </c>
      <c r="AK101" s="6">
        <f>[1]Production!AJ37+[1]Production!AJ39</f>
        <v>4785140.4229999995</v>
      </c>
      <c r="AL101" s="6">
        <f>[1]Production!AK37+[1]Production!AK39</f>
        <v>4876969.6033999994</v>
      </c>
    </row>
    <row r="102" spans="2:38" x14ac:dyDescent="0.35">
      <c r="B102" t="s">
        <v>12</v>
      </c>
      <c r="C102" s="6">
        <f>[1]Production!B43+[1]Production!B47+[1]Production!B45+[1]Production!B49</f>
        <v>40255.908653700004</v>
      </c>
      <c r="D102" s="6">
        <f>[1]Production!C43+[1]Production!C47+[1]Production!C45+[1]Production!C49</f>
        <v>40663.665113700008</v>
      </c>
      <c r="E102" s="6">
        <f>[1]Production!D43+[1]Production!D47+[1]Production!D45+[1]Production!D49</f>
        <v>40987.557130599998</v>
      </c>
      <c r="F102" s="6">
        <f>[1]Production!E43+[1]Production!E47+[1]Production!E45+[1]Production!E49</f>
        <v>41188.971650400003</v>
      </c>
      <c r="G102" s="6">
        <f>[1]Production!F43+[1]Production!F47+[1]Production!F45+[1]Production!F49</f>
        <v>41517.755675</v>
      </c>
      <c r="H102" s="6">
        <f>[1]Production!G43+[1]Production!G47+[1]Production!G45+[1]Production!G49</f>
        <v>42254.363523700005</v>
      </c>
      <c r="I102" s="6">
        <f>[1]Production!H43+[1]Production!H47+[1]Production!H45+[1]Production!H49</f>
        <v>43132.401506499999</v>
      </c>
      <c r="J102" s="6">
        <f>[1]Production!I43+[1]Production!I47+[1]Production!I45+[1]Production!I49</f>
        <v>44072.9688885</v>
      </c>
      <c r="K102" s="6">
        <f>[1]Production!J43+[1]Production!J47+[1]Production!J45+[1]Production!J49</f>
        <v>45054.6124795</v>
      </c>
      <c r="L102" s="6">
        <f>[1]Production!K43+[1]Production!K47+[1]Production!K45+[1]Production!K49</f>
        <v>46028.084439500009</v>
      </c>
      <c r="M102" s="6">
        <f>[1]Production!L43+[1]Production!L47+[1]Production!L45+[1]Production!L49</f>
        <v>46940.894962399994</v>
      </c>
      <c r="N102" s="6">
        <f>[1]Production!M43+[1]Production!M47+[1]Production!M45+[1]Production!M49</f>
        <v>47767.041118599998</v>
      </c>
      <c r="O102" s="6">
        <f>[1]Production!N43+[1]Production!N47+[1]Production!N45+[1]Production!N49</f>
        <v>48520.003161700006</v>
      </c>
      <c r="P102" s="6">
        <f>[1]Production!O43+[1]Production!O47+[1]Production!O45+[1]Production!O49</f>
        <v>49214.598624500002</v>
      </c>
      <c r="Q102" s="6">
        <f>[1]Production!P43+[1]Production!P47+[1]Production!P45+[1]Production!P49</f>
        <v>49866.245859899995</v>
      </c>
      <c r="R102" s="6">
        <f>[1]Production!Q43+[1]Production!Q47+[1]Production!Q45+[1]Production!Q49</f>
        <v>50491.7859121</v>
      </c>
      <c r="S102" s="6">
        <f>[1]Production!R43+[1]Production!R47+[1]Production!R45+[1]Production!R49</f>
        <v>51094.5381997</v>
      </c>
      <c r="T102" s="6">
        <f>[1]Production!S43+[1]Production!S47+[1]Production!S45+[1]Production!S49</f>
        <v>51702.590038800001</v>
      </c>
      <c r="U102" s="6">
        <f>[1]Production!T43+[1]Production!T47+[1]Production!T45+[1]Production!T49</f>
        <v>52327.748570299998</v>
      </c>
      <c r="V102" s="6">
        <f>[1]Production!U43+[1]Production!U47+[1]Production!U45+[1]Production!U49</f>
        <v>52979.3525974</v>
      </c>
      <c r="W102" s="6">
        <f>[1]Production!V43+[1]Production!V47+[1]Production!V45+[1]Production!V49</f>
        <v>53663.240368100007</v>
      </c>
      <c r="X102" s="6">
        <f>[1]Production!W43+[1]Production!W47+[1]Production!W45+[1]Production!W49</f>
        <v>54392.231565999995</v>
      </c>
      <c r="Y102" s="6">
        <f>[1]Production!X43+[1]Production!X47+[1]Production!X45+[1]Production!X49</f>
        <v>55174.714803700001</v>
      </c>
      <c r="Z102" s="6">
        <f>[1]Production!Y43+[1]Production!Y47+[1]Production!Y45+[1]Production!Y49</f>
        <v>56018.179071200007</v>
      </c>
      <c r="AA102" s="6">
        <f>[1]Production!Z43+[1]Production!Z47+[1]Production!Z45+[1]Production!Z49</f>
        <v>56929.5379216</v>
      </c>
      <c r="AB102" s="6">
        <f>[1]Production!AA43+[1]Production!AA47+[1]Production!AA45+[1]Production!AA49</f>
        <v>57906.507793600002</v>
      </c>
      <c r="AC102" s="6">
        <f>[1]Production!AB43+[1]Production!AB47+[1]Production!AB45+[1]Production!AB49</f>
        <v>58825.4194938</v>
      </c>
      <c r="AD102" s="6">
        <f>[1]Production!AC43+[1]Production!AC47+[1]Production!AC45+[1]Production!AC49</f>
        <v>59758.089302200002</v>
      </c>
      <c r="AE102" s="6">
        <f>[1]Production!AD43+[1]Production!AD47+[1]Production!AD45+[1]Production!AD49</f>
        <v>60741.09574940001</v>
      </c>
      <c r="AF102" s="6">
        <f>[1]Production!AE43+[1]Production!AE47+[1]Production!AE45+[1]Production!AE49</f>
        <v>61780.724014199994</v>
      </c>
      <c r="AG102" s="6">
        <f>[1]Production!AF43+[1]Production!AF47+[1]Production!AF45+[1]Production!AF49</f>
        <v>62870.607083499999</v>
      </c>
      <c r="AH102" s="6">
        <f>[1]Production!AG43+[1]Production!AG47+[1]Production!AG45+[1]Production!AG49</f>
        <v>64000.729313399992</v>
      </c>
      <c r="AI102" s="6">
        <f>[1]Production!AH43+[1]Production!AH47+[1]Production!AH45+[1]Production!AH49</f>
        <v>65160.643438200001</v>
      </c>
      <c r="AJ102" s="6">
        <f>[1]Production!AI43+[1]Production!AI47+[1]Production!AI45+[1]Production!AI49</f>
        <v>66339.983650499984</v>
      </c>
      <c r="AK102" s="6">
        <f>[1]Production!AJ43+[1]Production!AJ47+[1]Production!AJ45+[1]Production!AJ49</f>
        <v>67528.607181900006</v>
      </c>
      <c r="AL102" s="6">
        <f>[1]Production!AK43+[1]Production!AK47+[1]Production!AK45+[1]Production!AK49</f>
        <v>68716.462243300004</v>
      </c>
    </row>
    <row r="103" spans="2:38" x14ac:dyDescent="0.35">
      <c r="B103" t="s">
        <v>11</v>
      </c>
      <c r="C103" s="6">
        <f>[1]Production!B51+[1]Production!B53+[1]Production!B55+[1]Production!B57+[1]Production!B59+[1]Production!B61+[1]Production!B63+[1]Production!B65+[1]Production!B67</f>
        <v>67748.591032600001</v>
      </c>
      <c r="D103" s="6">
        <f>[1]Production!C51+[1]Production!C53+[1]Production!C55+[1]Production!C57+[1]Production!C59+[1]Production!C61+[1]Production!C63+[1]Production!C65+[1]Production!C67</f>
        <v>68366.016783800005</v>
      </c>
      <c r="E103" s="6">
        <f>[1]Production!D51+[1]Production!D53+[1]Production!D55+[1]Production!D57+[1]Production!D59+[1]Production!D61+[1]Production!D63+[1]Production!D65+[1]Production!D67</f>
        <v>68715.968662700005</v>
      </c>
      <c r="F103" s="6">
        <f>[1]Production!E51+[1]Production!E53+[1]Production!E55+[1]Production!E57+[1]Production!E59+[1]Production!E61+[1]Production!E63+[1]Production!E65+[1]Production!E67</f>
        <v>69146.0622936</v>
      </c>
      <c r="G103" s="6">
        <f>[1]Production!F51+[1]Production!F53+[1]Production!F55+[1]Production!F57+[1]Production!F59+[1]Production!F61+[1]Production!F63+[1]Production!F65+[1]Production!F67</f>
        <v>69763.838542900005</v>
      </c>
      <c r="H103" s="6">
        <f>[1]Production!G51+[1]Production!G53+[1]Production!G55+[1]Production!G57+[1]Production!G59+[1]Production!G61+[1]Production!G63+[1]Production!G65+[1]Production!G67</f>
        <v>70645.068895100005</v>
      </c>
      <c r="I103" s="6">
        <f>[1]Production!H51+[1]Production!H53+[1]Production!H55+[1]Production!H57+[1]Production!H59+[1]Production!H61+[1]Production!H63+[1]Production!H65+[1]Production!H67</f>
        <v>73742.10723780001</v>
      </c>
      <c r="J103" s="6">
        <f>[1]Production!I51+[1]Production!I53+[1]Production!I55+[1]Production!I57+[1]Production!I59+[1]Production!I61+[1]Production!I63+[1]Production!I65+[1]Production!I67</f>
        <v>77553.1841212</v>
      </c>
      <c r="K103" s="6">
        <f>[1]Production!J51+[1]Production!J53+[1]Production!J55+[1]Production!J57+[1]Production!J59+[1]Production!J61+[1]Production!J63+[1]Production!J65+[1]Production!J67</f>
        <v>81799.116441499995</v>
      </c>
      <c r="L103" s="6">
        <f>[1]Production!K51+[1]Production!K53+[1]Production!K55+[1]Production!K57+[1]Production!K59+[1]Production!K61+[1]Production!K63+[1]Production!K65+[1]Production!K67</f>
        <v>86362.574520300011</v>
      </c>
      <c r="M103" s="6">
        <f>[1]Production!L51+[1]Production!L53+[1]Production!L55+[1]Production!L57+[1]Production!L59+[1]Production!L61+[1]Production!L63+[1]Production!L65+[1]Production!L67</f>
        <v>91169.207378399995</v>
      </c>
      <c r="N103" s="6">
        <f>[1]Production!M51+[1]Production!M53+[1]Production!M55+[1]Production!M57+[1]Production!M59+[1]Production!M61+[1]Production!M63+[1]Production!M65+[1]Production!M67</f>
        <v>95079.201713399991</v>
      </c>
      <c r="O103" s="6">
        <f>[1]Production!N51+[1]Production!N53+[1]Production!N55+[1]Production!N57+[1]Production!N59+[1]Production!N61+[1]Production!N63+[1]Production!N65+[1]Production!N67</f>
        <v>98891.667618899999</v>
      </c>
      <c r="P103" s="6">
        <f>[1]Production!O51+[1]Production!O53+[1]Production!O55+[1]Production!O57+[1]Production!O59+[1]Production!O61+[1]Production!O63+[1]Production!O65+[1]Production!O67</f>
        <v>102806.58452479998</v>
      </c>
      <c r="Q103" s="6">
        <f>[1]Production!P51+[1]Production!P53+[1]Production!P55+[1]Production!P57+[1]Production!P59+[1]Production!P61+[1]Production!P63+[1]Production!P65+[1]Production!P67</f>
        <v>106900.70157190002</v>
      </c>
      <c r="R103" s="6">
        <f>[1]Production!Q51+[1]Production!Q53+[1]Production!Q55+[1]Production!Q57+[1]Production!Q59+[1]Production!Q61+[1]Production!Q63+[1]Production!Q65+[1]Production!Q67</f>
        <v>111234.37071400002</v>
      </c>
      <c r="S103" s="6">
        <f>[1]Production!R51+[1]Production!R53+[1]Production!R55+[1]Production!R57+[1]Production!R59+[1]Production!R61+[1]Production!R63+[1]Production!R65+[1]Production!R67</f>
        <v>116071.7479173</v>
      </c>
      <c r="T103" s="6">
        <f>[1]Production!S51+[1]Production!S53+[1]Production!S55+[1]Production!S57+[1]Production!S59+[1]Production!S61+[1]Production!S63+[1]Production!S65+[1]Production!S67</f>
        <v>121284.50971449999</v>
      </c>
      <c r="U103" s="6">
        <f>[1]Production!T51+[1]Production!T53+[1]Production!T55+[1]Production!T57+[1]Production!T59+[1]Production!T61+[1]Production!T63+[1]Production!T65+[1]Production!T67</f>
        <v>126919.67205367</v>
      </c>
      <c r="V103" s="6">
        <f>[1]Production!U51+[1]Production!U53+[1]Production!U55+[1]Production!U57+[1]Production!U59+[1]Production!U61+[1]Production!U63+[1]Production!U65+[1]Production!U67</f>
        <v>133068.45981408999</v>
      </c>
      <c r="W103" s="6">
        <f>[1]Production!V51+[1]Production!V53+[1]Production!V55+[1]Production!V57+[1]Production!V59+[1]Production!V61+[1]Production!V63+[1]Production!V65+[1]Production!V67</f>
        <v>139824.18698642001</v>
      </c>
      <c r="X103" s="6">
        <f>[1]Production!W51+[1]Production!W53+[1]Production!W55+[1]Production!W57+[1]Production!W59+[1]Production!W61+[1]Production!W63+[1]Production!W65+[1]Production!W67</f>
        <v>147341.37482579998</v>
      </c>
      <c r="Y103" s="6">
        <f>[1]Production!X51+[1]Production!X53+[1]Production!X55+[1]Production!X57+[1]Production!X59+[1]Production!X61+[1]Production!X63+[1]Production!X65+[1]Production!X67</f>
        <v>155764.57762504002</v>
      </c>
      <c r="Z103" s="6">
        <f>[1]Production!Y51+[1]Production!Y53+[1]Production!Y55+[1]Production!Y57+[1]Production!Y59+[1]Production!Y61+[1]Production!Y63+[1]Production!Y65+[1]Production!Y67</f>
        <v>165258.84814568702</v>
      </c>
      <c r="AA103" s="6">
        <f>[1]Production!Z51+[1]Production!Z53+[1]Production!Z55+[1]Production!Z57+[1]Production!Z59+[1]Production!Z61+[1]Production!Z63+[1]Production!Z65+[1]Production!Z67</f>
        <v>176015.56013996</v>
      </c>
      <c r="AB103" s="6">
        <f>[1]Production!AA51+[1]Production!AA53+[1]Production!AA55+[1]Production!AA57+[1]Production!AA59+[1]Production!AA61+[1]Production!AA63+[1]Production!AA65+[1]Production!AA67</f>
        <v>188196.840038172</v>
      </c>
      <c r="AC103" s="6">
        <f>[1]Production!AB51+[1]Production!AB53+[1]Production!AB55+[1]Production!AB57+[1]Production!AB59+[1]Production!AB61+[1]Production!AB63+[1]Production!AB65+[1]Production!AB67</f>
        <v>192959.36199200799</v>
      </c>
      <c r="AD103" s="6">
        <f>[1]Production!AC51+[1]Production!AC53+[1]Production!AC55+[1]Production!AC57+[1]Production!AC59+[1]Production!AC61+[1]Production!AC63+[1]Production!AC65+[1]Production!AC67</f>
        <v>195847.230595361</v>
      </c>
      <c r="AE103" s="6">
        <f>[1]Production!AD51+[1]Production!AD53+[1]Production!AD55+[1]Production!AD57+[1]Production!AD59+[1]Production!AD61+[1]Production!AD63+[1]Production!AD65+[1]Production!AD67</f>
        <v>198591.14350736199</v>
      </c>
      <c r="AF103" s="6">
        <f>[1]Production!AE51+[1]Production!AE53+[1]Production!AE55+[1]Production!AE57+[1]Production!AE59+[1]Production!AE61+[1]Production!AE63+[1]Production!AE65+[1]Production!AE67</f>
        <v>201611.30601251099</v>
      </c>
      <c r="AG103" s="6">
        <f>[1]Production!AF51+[1]Production!AF53+[1]Production!AF55+[1]Production!AF57+[1]Production!AF59+[1]Production!AF61+[1]Production!AF63+[1]Production!AF65+[1]Production!AF67</f>
        <v>204937.02623123801</v>
      </c>
      <c r="AH103" s="6">
        <f>[1]Production!AG51+[1]Production!AG53+[1]Production!AG55+[1]Production!AG57+[1]Production!AG59+[1]Production!AG61+[1]Production!AG63+[1]Production!AG65+[1]Production!AG67</f>
        <v>208499.551581412</v>
      </c>
      <c r="AI103" s="6">
        <f>[1]Production!AH51+[1]Production!AH53+[1]Production!AH55+[1]Production!AH57+[1]Production!AH59+[1]Production!AH61+[1]Production!AH63+[1]Production!AH65+[1]Production!AH67</f>
        <v>212218.33619298902</v>
      </c>
      <c r="AJ103" s="6">
        <f>[1]Production!AI51+[1]Production!AI53+[1]Production!AI55+[1]Production!AI57+[1]Production!AI59+[1]Production!AI61+[1]Production!AI63+[1]Production!AI65+[1]Production!AI67</f>
        <v>216020.57276989101</v>
      </c>
      <c r="AK103" s="6">
        <f>[1]Production!AJ51+[1]Production!AJ53+[1]Production!AJ55+[1]Production!AJ57+[1]Production!AJ59+[1]Production!AJ61+[1]Production!AJ63+[1]Production!AJ65+[1]Production!AJ67</f>
        <v>219845.37919542898</v>
      </c>
      <c r="AL103" s="6">
        <f>[1]Production!AK51+[1]Production!AK53+[1]Production!AK55+[1]Production!AK57+[1]Production!AK59+[1]Production!AK61+[1]Production!AK63+[1]Production!AK65+[1]Production!AK67</f>
        <v>223641.42114594599</v>
      </c>
    </row>
    <row r="105" spans="2:38" x14ac:dyDescent="0.35">
      <c r="B105" t="s">
        <v>26</v>
      </c>
      <c r="C105" s="2">
        <v>42005</v>
      </c>
      <c r="D105" s="2">
        <v>42370</v>
      </c>
      <c r="E105" s="2">
        <v>42736</v>
      </c>
      <c r="F105" s="2">
        <v>43101</v>
      </c>
      <c r="G105" s="2">
        <v>43466</v>
      </c>
      <c r="H105" s="2">
        <v>43831</v>
      </c>
      <c r="I105" s="2">
        <v>44197</v>
      </c>
      <c r="J105" s="2">
        <v>44562</v>
      </c>
      <c r="K105" s="2">
        <v>44927</v>
      </c>
      <c r="L105" s="2">
        <v>45292</v>
      </c>
      <c r="M105" s="2">
        <v>45658</v>
      </c>
      <c r="N105" s="2">
        <v>46023</v>
      </c>
      <c r="O105" s="2">
        <v>46388</v>
      </c>
      <c r="P105" s="2">
        <v>46753</v>
      </c>
      <c r="Q105" s="2">
        <v>47119</v>
      </c>
      <c r="R105" s="2">
        <v>47484</v>
      </c>
      <c r="S105" s="2">
        <v>47849</v>
      </c>
      <c r="T105" s="2">
        <v>48214</v>
      </c>
      <c r="U105" s="2">
        <v>48580</v>
      </c>
      <c r="V105" s="2">
        <v>48945</v>
      </c>
      <c r="W105" s="2">
        <v>49310</v>
      </c>
      <c r="X105" s="2">
        <v>49675</v>
      </c>
      <c r="Y105" s="2">
        <v>50041</v>
      </c>
      <c r="Z105" s="2">
        <v>50406</v>
      </c>
      <c r="AA105" s="2">
        <v>50771</v>
      </c>
      <c r="AB105" s="2">
        <v>51136</v>
      </c>
      <c r="AC105" s="2">
        <v>51502</v>
      </c>
      <c r="AD105" s="2">
        <v>51867</v>
      </c>
      <c r="AE105" s="2">
        <v>52232</v>
      </c>
      <c r="AF105" s="2">
        <v>52597</v>
      </c>
      <c r="AG105" s="2">
        <v>52963</v>
      </c>
      <c r="AH105" s="2">
        <v>53328</v>
      </c>
      <c r="AI105" s="2">
        <v>53693</v>
      </c>
      <c r="AJ105" s="2">
        <v>54058</v>
      </c>
      <c r="AK105" s="2">
        <v>54424</v>
      </c>
      <c r="AL105" s="2">
        <v>54789</v>
      </c>
    </row>
    <row r="106" spans="2:38" x14ac:dyDescent="0.35">
      <c r="B106" t="s">
        <v>7</v>
      </c>
      <c r="C106" s="6">
        <f>[1]Production!B4+[1]Production!B6</f>
        <v>88276.222217999995</v>
      </c>
      <c r="D106" s="6">
        <f>[1]Production!C4+[1]Production!C6</f>
        <v>89617.457905999996</v>
      </c>
      <c r="E106" s="6">
        <f>[1]Production!D4+[1]Production!D6</f>
        <v>91143.654884999996</v>
      </c>
      <c r="F106" s="6">
        <f>[1]Production!E4+[1]Production!E6</f>
        <v>92851.488540999999</v>
      </c>
      <c r="G106" s="6">
        <f>[1]Production!F4+[1]Production!F6</f>
        <v>94854.319933000006</v>
      </c>
      <c r="H106" s="6">
        <f>[1]Production!G4+[1]Production!G6</f>
        <v>97260.232937000008</v>
      </c>
      <c r="I106" s="6">
        <f>[1]Production!H4+[1]Production!H6</f>
        <v>99302.852425999998</v>
      </c>
      <c r="J106" s="6">
        <f>[1]Production!I4+[1]Production!I6</f>
        <v>101346.346783</v>
      </c>
      <c r="K106" s="6">
        <f>[1]Production!J4+[1]Production!J6</f>
        <v>103407.551077</v>
      </c>
      <c r="L106" s="6">
        <f>[1]Production!K4+[1]Production!K6</f>
        <v>105498.72468500001</v>
      </c>
      <c r="M106" s="6">
        <f>[1]Production!L4+[1]Production!L6</f>
        <v>107641.75038100001</v>
      </c>
      <c r="N106" s="6">
        <f>[1]Production!M4+[1]Production!M6</f>
        <v>109766.421638</v>
      </c>
      <c r="O106" s="6">
        <f>[1]Production!N4+[1]Production!N6</f>
        <v>111900.519636</v>
      </c>
      <c r="P106" s="6">
        <f>[1]Production!O4+[1]Production!O6</f>
        <v>114035.560312</v>
      </c>
      <c r="Q106" s="6">
        <f>[1]Production!P4+[1]Production!P6</f>
        <v>116146.741604</v>
      </c>
      <c r="R106" s="6">
        <f>[1]Production!Q4+[1]Production!Q6</f>
        <v>118295.930502</v>
      </c>
      <c r="S106" s="6">
        <f>[1]Production!R4+[1]Production!R6</f>
        <v>120316.533469</v>
      </c>
      <c r="T106" s="6">
        <f>[1]Production!S4+[1]Production!S6</f>
        <v>122271.37619700001</v>
      </c>
      <c r="U106" s="6">
        <f>[1]Production!T4+[1]Production!T6</f>
        <v>124162.780268</v>
      </c>
      <c r="V106" s="6">
        <f>[1]Production!U4+[1]Production!U6</f>
        <v>126005.243674</v>
      </c>
      <c r="W106" s="6">
        <f>[1]Production!V4+[1]Production!V6</f>
        <v>127800.56586800001</v>
      </c>
      <c r="X106" s="6">
        <f>[1]Production!W4+[1]Production!W6</f>
        <v>129592.69441499999</v>
      </c>
      <c r="Y106" s="6">
        <f>[1]Production!X4+[1]Production!X6</f>
        <v>131406.764303</v>
      </c>
      <c r="Z106" s="6">
        <f>[1]Production!Y4+[1]Production!Y6</f>
        <v>133261.58208699999</v>
      </c>
      <c r="AA106" s="6">
        <f>[1]Production!Z4+[1]Production!Z6</f>
        <v>135173.43419100001</v>
      </c>
      <c r="AB106" s="6">
        <f>[1]Production!AA4+[1]Production!AA6</f>
        <v>137225.35943700001</v>
      </c>
      <c r="AC106" s="6">
        <f>[1]Production!AB4+[1]Production!AB6</f>
        <v>139466.566483</v>
      </c>
      <c r="AD106" s="6">
        <f>[1]Production!AC4+[1]Production!AC6</f>
        <v>141784.66359700001</v>
      </c>
      <c r="AE106" s="6">
        <f>[1]Production!AD4+[1]Production!AD6</f>
        <v>144209.773113</v>
      </c>
      <c r="AF106" s="6">
        <f>[1]Production!AE4+[1]Production!AE6</f>
        <v>146752.24472700001</v>
      </c>
      <c r="AG106" s="6">
        <f>[1]Production!AF4+[1]Production!AF6</f>
        <v>149407.670136</v>
      </c>
      <c r="AH106" s="6">
        <f>[1]Production!AG4+[1]Production!AG6</f>
        <v>152158.28851699998</v>
      </c>
      <c r="AI106" s="6">
        <f>[1]Production!AH4+[1]Production!AH6</f>
        <v>154990.82467</v>
      </c>
      <c r="AJ106" s="6">
        <f>[1]Production!AI4+[1]Production!AI6</f>
        <v>157890.40376300001</v>
      </c>
      <c r="AK106" s="6">
        <f>[1]Production!AJ4+[1]Production!AJ6</f>
        <v>160841.996637</v>
      </c>
      <c r="AL106" s="6">
        <f>[1]Production!AK4+[1]Production!AK6</f>
        <v>163989.209405</v>
      </c>
    </row>
    <row r="107" spans="2:38" x14ac:dyDescent="0.35">
      <c r="B107" t="s">
        <v>8</v>
      </c>
      <c r="C107" s="6">
        <f>[1]Production!B8+[1]Production!B10+[1]Production!B12+[1]Production!B14+[1]Production!B16+[1]Production!B18+[1]Production!B20+[1]Production!B22+[1]Production!B24+[1]Production!B26+[1]Production!B40</f>
        <v>978842.1284830001</v>
      </c>
      <c r="D107" s="6">
        <f>[1]Production!C8+[1]Production!C10+[1]Production!C12+[1]Production!C14+[1]Production!C16+[1]Production!C18+[1]Production!C20+[1]Production!C22+[1]Production!C24+[1]Production!C26+[1]Production!C40</f>
        <v>1001201.970112</v>
      </c>
      <c r="E107" s="6">
        <f>[1]Production!D8+[1]Production!D10+[1]Production!D12+[1]Production!D14+[1]Production!D16+[1]Production!D18+[1]Production!D20+[1]Production!D22+[1]Production!D24+[1]Production!D26+[1]Production!D40</f>
        <v>1025190.7062209999</v>
      </c>
      <c r="F107" s="6">
        <f>[1]Production!E8+[1]Production!E10+[1]Production!E12+[1]Production!E14+[1]Production!E16+[1]Production!E18+[1]Production!E20+[1]Production!E22+[1]Production!E24+[1]Production!E26+[1]Production!E40</f>
        <v>1050131.1765739999</v>
      </c>
      <c r="G107" s="6">
        <f>[1]Production!F8+[1]Production!F10+[1]Production!F12+[1]Production!F14+[1]Production!F16+[1]Production!F18+[1]Production!F20+[1]Production!F22+[1]Production!F24+[1]Production!F26+[1]Production!F40</f>
        <v>1077450.3557130003</v>
      </c>
      <c r="H107" s="6">
        <f>[1]Production!G8+[1]Production!G10+[1]Production!G12+[1]Production!G14+[1]Production!G16+[1]Production!G18+[1]Production!G20+[1]Production!G22+[1]Production!G24+[1]Production!G26+[1]Production!G40</f>
        <v>1108881.079323</v>
      </c>
      <c r="I107" s="6">
        <f>[1]Production!H8+[1]Production!H10+[1]Production!H12+[1]Production!H14+[1]Production!H16+[1]Production!H18+[1]Production!H20+[1]Production!H22+[1]Production!H24+[1]Production!H26+[1]Production!H40</f>
        <v>1138015.0290640001</v>
      </c>
      <c r="J107" s="6">
        <f>[1]Production!I8+[1]Production!I10+[1]Production!I12+[1]Production!I14+[1]Production!I16+[1]Production!I18+[1]Production!I20+[1]Production!I22+[1]Production!I24+[1]Production!I26+[1]Production!I40</f>
        <v>1166988.0260970001</v>
      </c>
      <c r="K107" s="6">
        <f>[1]Production!J8+[1]Production!J10+[1]Production!J12+[1]Production!J14+[1]Production!J16+[1]Production!J18+[1]Production!J20+[1]Production!J22+[1]Production!J24+[1]Production!J26+[1]Production!J40</f>
        <v>1197107.5679949999</v>
      </c>
      <c r="L107" s="6">
        <f>[1]Production!K8+[1]Production!K10+[1]Production!K12+[1]Production!K14+[1]Production!K16+[1]Production!K18+[1]Production!K20+[1]Production!K22+[1]Production!K24+[1]Production!K26+[1]Production!K40</f>
        <v>1227504.2072010001</v>
      </c>
      <c r="M107" s="6">
        <f>[1]Production!L8+[1]Production!L10+[1]Production!L12+[1]Production!L14+[1]Production!L16+[1]Production!L18+[1]Production!L20+[1]Production!L22+[1]Production!L24+[1]Production!L26+[1]Production!L40</f>
        <v>1257274.9891639999</v>
      </c>
      <c r="N107" s="6">
        <f>[1]Production!M8+[1]Production!M10+[1]Production!M12+[1]Production!M14+[1]Production!M16+[1]Production!M18+[1]Production!M20+[1]Production!M22+[1]Production!M24+[1]Production!M26+[1]Production!M40</f>
        <v>1286619.980281</v>
      </c>
      <c r="O107" s="6">
        <f>[1]Production!N8+[1]Production!N10+[1]Production!N12+[1]Production!N14+[1]Production!N16+[1]Production!N18+[1]Production!N20+[1]Production!N22+[1]Production!N24+[1]Production!N26+[1]Production!N40</f>
        <v>1315785.7776609999</v>
      </c>
      <c r="P107" s="6">
        <f>[1]Production!O8+[1]Production!O10+[1]Production!O12+[1]Production!O14+[1]Production!O16+[1]Production!O18+[1]Production!O20+[1]Production!O22+[1]Production!O24+[1]Production!O26+[1]Production!O40</f>
        <v>1344843.7453719999</v>
      </c>
      <c r="Q107" s="6">
        <f>[1]Production!P8+[1]Production!P10+[1]Production!P12+[1]Production!P14+[1]Production!P16+[1]Production!P18+[1]Production!P20+[1]Production!P22+[1]Production!P24+[1]Production!P26+[1]Production!P40</f>
        <v>1373883.5178340001</v>
      </c>
      <c r="R107" s="6">
        <f>[1]Production!Q8+[1]Production!Q10+[1]Production!Q12+[1]Production!Q14+[1]Production!Q16+[1]Production!Q18+[1]Production!Q20+[1]Production!Q22+[1]Production!Q24+[1]Production!Q26+[1]Production!Q40</f>
        <v>1409272.0442380004</v>
      </c>
      <c r="S107" s="6">
        <f>[1]Production!R8+[1]Production!R10+[1]Production!R12+[1]Production!R14+[1]Production!R16+[1]Production!R18+[1]Production!R20+[1]Production!R22+[1]Production!R24+[1]Production!R26+[1]Production!R40</f>
        <v>1432844.8664919997</v>
      </c>
      <c r="T107" s="6">
        <f>[1]Production!S8+[1]Production!S10+[1]Production!S12+[1]Production!S14+[1]Production!S16+[1]Production!S18+[1]Production!S20+[1]Production!S22+[1]Production!S24+[1]Production!S26+[1]Production!S40</f>
        <v>1461843.9453179999</v>
      </c>
      <c r="U107" s="6">
        <f>[1]Production!T8+[1]Production!T10+[1]Production!T12+[1]Production!T14+[1]Production!T16+[1]Production!T18+[1]Production!T20+[1]Production!T22+[1]Production!T24+[1]Production!T26+[1]Production!T40</f>
        <v>1491434.6126560003</v>
      </c>
      <c r="V107" s="6">
        <f>[1]Production!U8+[1]Production!U10+[1]Production!U12+[1]Production!U14+[1]Production!U16+[1]Production!U18+[1]Production!U20+[1]Production!U22+[1]Production!U24+[1]Production!U26+[1]Production!U40</f>
        <v>1521674.6055339999</v>
      </c>
      <c r="W107" s="6">
        <f>[1]Production!V8+[1]Production!V10+[1]Production!V12+[1]Production!V14+[1]Production!V16+[1]Production!V18+[1]Production!V20+[1]Production!V22+[1]Production!V24+[1]Production!V26+[1]Production!V40</f>
        <v>1552596.1262350001</v>
      </c>
      <c r="X107" s="6">
        <f>[1]Production!W8+[1]Production!W10+[1]Production!W12+[1]Production!W14+[1]Production!W16+[1]Production!W18+[1]Production!W20+[1]Production!W22+[1]Production!W24+[1]Production!W26+[1]Production!W40</f>
        <v>1584731.7764870001</v>
      </c>
      <c r="Y107" s="6">
        <f>[1]Production!X8+[1]Production!X10+[1]Production!X12+[1]Production!X14+[1]Production!X16+[1]Production!X18+[1]Production!X20+[1]Production!X22+[1]Production!X24+[1]Production!X26+[1]Production!X40</f>
        <v>1618186.3911870001</v>
      </c>
      <c r="Z107" s="6">
        <f>[1]Production!Y8+[1]Production!Y10+[1]Production!Y12+[1]Production!Y14+[1]Production!Y16+[1]Production!Y18+[1]Production!Y20+[1]Production!Y22+[1]Production!Y24+[1]Production!Y26+[1]Production!Y40</f>
        <v>1653043.6137860001</v>
      </c>
      <c r="AA107" s="6">
        <f>[1]Production!Z8+[1]Production!Z10+[1]Production!Z12+[1]Production!Z14+[1]Production!Z16+[1]Production!Z18+[1]Production!Z20+[1]Production!Z22+[1]Production!Z24+[1]Production!Z26+[1]Production!Z40</f>
        <v>1689421.3610449999</v>
      </c>
      <c r="AB107" s="6">
        <f>[1]Production!AA8+[1]Production!AA10+[1]Production!AA12+[1]Production!AA14+[1]Production!AA16+[1]Production!AA18+[1]Production!AA20+[1]Production!AA22+[1]Production!AA24+[1]Production!AA26+[1]Production!AA40</f>
        <v>1736267.874141</v>
      </c>
      <c r="AC107" s="6">
        <f>[1]Production!AB8+[1]Production!AB10+[1]Production!AB12+[1]Production!AB14+[1]Production!AB16+[1]Production!AB18+[1]Production!AB20+[1]Production!AB22+[1]Production!AB24+[1]Production!AB26+[1]Production!AB40</f>
        <v>1771084.524919</v>
      </c>
      <c r="AD107" s="6">
        <f>[1]Production!AC8+[1]Production!AC10+[1]Production!AC12+[1]Production!AC14+[1]Production!AC16+[1]Production!AC18+[1]Production!AC20+[1]Production!AC22+[1]Production!AC24+[1]Production!AC26+[1]Production!AC40</f>
        <v>1814513.3638929999</v>
      </c>
      <c r="AE107" s="6">
        <f>[1]Production!AD8+[1]Production!AD10+[1]Production!AD12+[1]Production!AD14+[1]Production!AD16+[1]Production!AD18+[1]Production!AD20+[1]Production!AD22+[1]Production!AD24+[1]Production!AD26+[1]Production!AD40</f>
        <v>1859185.584794</v>
      </c>
      <c r="AF107" s="6">
        <f>[1]Production!AE8+[1]Production!AE10+[1]Production!AE12+[1]Production!AE14+[1]Production!AE16+[1]Production!AE18+[1]Production!AE20+[1]Production!AE22+[1]Production!AE24+[1]Production!AE26+[1]Production!AE40</f>
        <v>1904820.0888830002</v>
      </c>
      <c r="AG107" s="6">
        <f>[1]Production!AF8+[1]Production!AF10+[1]Production!AF12+[1]Production!AF14+[1]Production!AF16+[1]Production!AF18+[1]Production!AF20+[1]Production!AF22+[1]Production!AF24+[1]Production!AF26+[1]Production!AF40</f>
        <v>1951194.6405810004</v>
      </c>
      <c r="AH107" s="6">
        <f>[1]Production!AG8+[1]Production!AG10+[1]Production!AG12+[1]Production!AG14+[1]Production!AG16+[1]Production!AG18+[1]Production!AG20+[1]Production!AG22+[1]Production!AG24+[1]Production!AG26+[1]Production!AG40</f>
        <v>1998101.390842</v>
      </c>
      <c r="AI107" s="6">
        <f>[1]Production!AH8+[1]Production!AH10+[1]Production!AH12+[1]Production!AH14+[1]Production!AH16+[1]Production!AH18+[1]Production!AH20+[1]Production!AH22+[1]Production!AH24+[1]Production!AH26+[1]Production!AH40</f>
        <v>2045267.3843869998</v>
      </c>
      <c r="AJ107" s="6">
        <f>[1]Production!AI8+[1]Production!AI10+[1]Production!AI12+[1]Production!AI14+[1]Production!AI16+[1]Production!AI18+[1]Production!AI20+[1]Production!AI22+[1]Production!AI24+[1]Production!AI26+[1]Production!AI40</f>
        <v>2092462.7068439999</v>
      </c>
      <c r="AK107" s="6">
        <f>[1]Production!AJ8+[1]Production!AJ10+[1]Production!AJ12+[1]Production!AJ14+[1]Production!AJ16+[1]Production!AJ18+[1]Production!AJ20+[1]Production!AJ22+[1]Production!AJ24+[1]Production!AJ26+[1]Production!AJ40</f>
        <v>2139460.3863720004</v>
      </c>
      <c r="AL107" s="6">
        <f>[1]Production!AK8+[1]Production!AK10+[1]Production!AK12+[1]Production!AK14+[1]Production!AK16+[1]Production!AK18+[1]Production!AK20+[1]Production!AK22+[1]Production!AK24+[1]Production!AK26+[1]Production!AK40</f>
        <v>2201448.1220009997</v>
      </c>
    </row>
    <row r="108" spans="2:38" x14ac:dyDescent="0.35">
      <c r="B108" t="s">
        <v>9</v>
      </c>
      <c r="C108" s="6">
        <f>[1]Production!B28+[1]Production!B30+[1]Production!B32+[1]Production!B34</f>
        <v>120915.714574</v>
      </c>
      <c r="D108" s="6">
        <f>[1]Production!C28+[1]Production!C30+[1]Production!C32+[1]Production!C34</f>
        <v>123524.275479</v>
      </c>
      <c r="E108" s="6">
        <f>[1]Production!D28+[1]Production!D30+[1]Production!D32+[1]Production!D34</f>
        <v>126233.18715699998</v>
      </c>
      <c r="F108" s="6">
        <f>[1]Production!E28+[1]Production!E30+[1]Production!E32+[1]Production!E34</f>
        <v>128963.523994</v>
      </c>
      <c r="G108" s="6">
        <f>[1]Production!F28+[1]Production!F30+[1]Production!F32+[1]Production!F34</f>
        <v>131922.624912</v>
      </c>
      <c r="H108" s="6">
        <f>[1]Production!G28+[1]Production!G30+[1]Production!G32+[1]Production!G34</f>
        <v>135375.92457800001</v>
      </c>
      <c r="I108" s="6">
        <f>[1]Production!H28+[1]Production!H30+[1]Production!H32+[1]Production!H34</f>
        <v>138678.13256599999</v>
      </c>
      <c r="J108" s="6">
        <f>[1]Production!I28+[1]Production!I30+[1]Production!I32+[1]Production!I34</f>
        <v>141874.34856700001</v>
      </c>
      <c r="K108" s="6">
        <f>[1]Production!J28+[1]Production!J30+[1]Production!J32+[1]Production!J34</f>
        <v>145187.57890200001</v>
      </c>
      <c r="L108" s="6">
        <f>[1]Production!K28+[1]Production!K30+[1]Production!K32+[1]Production!K34</f>
        <v>148347.319892</v>
      </c>
      <c r="M108" s="6">
        <f>[1]Production!L28+[1]Production!L30+[1]Production!L32+[1]Production!L34</f>
        <v>151096.931736</v>
      </c>
      <c r="N108" s="6">
        <f>[1]Production!M28+[1]Production!M30+[1]Production!M32+[1]Production!M34</f>
        <v>153632.64599600001</v>
      </c>
      <c r="O108" s="6">
        <f>[1]Production!N28+[1]Production!N30+[1]Production!N32+[1]Production!N34</f>
        <v>156083.84295399999</v>
      </c>
      <c r="P108" s="6">
        <f>[1]Production!O28+[1]Production!O30+[1]Production!O32+[1]Production!O34</f>
        <v>158479.25370599999</v>
      </c>
      <c r="Q108" s="6">
        <f>[1]Production!P28+[1]Production!P30+[1]Production!P32+[1]Production!P34</f>
        <v>160825.89507100001</v>
      </c>
      <c r="R108" s="6">
        <f>[1]Production!Q28+[1]Production!Q30+[1]Production!Q32+[1]Production!Q34</f>
        <v>163266.64726100001</v>
      </c>
      <c r="S108" s="6">
        <f>[1]Production!R28+[1]Production!R30+[1]Production!R32+[1]Production!R34</f>
        <v>165467.42924500001</v>
      </c>
      <c r="T108" s="6">
        <f>[1]Production!S28+[1]Production!S30+[1]Production!S32+[1]Production!S34</f>
        <v>167652.67034000001</v>
      </c>
      <c r="U108" s="6">
        <f>[1]Production!T28+[1]Production!T30+[1]Production!T32+[1]Production!T34</f>
        <v>169817.009853</v>
      </c>
      <c r="V108" s="6">
        <f>[1]Production!U28+[1]Production!U30+[1]Production!U32+[1]Production!U34</f>
        <v>171999.999041</v>
      </c>
      <c r="W108" s="6">
        <f>[1]Production!V28+[1]Production!V30+[1]Production!V32+[1]Production!V34</f>
        <v>174218.81233099999</v>
      </c>
      <c r="X108" s="6">
        <f>[1]Production!W28+[1]Production!W30+[1]Production!W32+[1]Production!W34</f>
        <v>176577.840715</v>
      </c>
      <c r="Y108" s="6">
        <f>[1]Production!X28+[1]Production!X30+[1]Production!X32+[1]Production!X34</f>
        <v>179098.07520100003</v>
      </c>
      <c r="Z108" s="6">
        <f>[1]Production!Y28+[1]Production!Y30+[1]Production!Y32+[1]Production!Y34</f>
        <v>181792.35731200001</v>
      </c>
      <c r="AA108" s="6">
        <f>[1]Production!Z28+[1]Production!Z30+[1]Production!Z32+[1]Production!Z34</f>
        <v>184678.99341999998</v>
      </c>
      <c r="AB108" s="6">
        <f>[1]Production!AA28+[1]Production!AA30+[1]Production!AA32+[1]Production!AA34</f>
        <v>187934.47555</v>
      </c>
      <c r="AC108" s="6">
        <f>[1]Production!AB28+[1]Production!AB30+[1]Production!AB32+[1]Production!AB34</f>
        <v>191332.37221</v>
      </c>
      <c r="AD108" s="6">
        <f>[1]Production!AC28+[1]Production!AC30+[1]Production!AC32+[1]Production!AC34</f>
        <v>195077.22961000004</v>
      </c>
      <c r="AE108" s="6">
        <f>[1]Production!AD28+[1]Production!AD30+[1]Production!AD32+[1]Production!AD34</f>
        <v>199118.68945999999</v>
      </c>
      <c r="AF108" s="6">
        <f>[1]Production!AE28+[1]Production!AE30+[1]Production!AE32+[1]Production!AE34</f>
        <v>203426.83405</v>
      </c>
      <c r="AG108" s="6">
        <f>[1]Production!AF28+[1]Production!AF30+[1]Production!AF32+[1]Production!AF34</f>
        <v>207967.91970999999</v>
      </c>
      <c r="AH108" s="6">
        <f>[1]Production!AG28+[1]Production!AG30+[1]Production!AG32+[1]Production!AG34</f>
        <v>212715.44310999999</v>
      </c>
      <c r="AI108" s="6">
        <f>[1]Production!AH28+[1]Production!AH30+[1]Production!AH32+[1]Production!AH34</f>
        <v>217630.07159000001</v>
      </c>
      <c r="AJ108" s="6">
        <f>[1]Production!AI28+[1]Production!AI30+[1]Production!AI32+[1]Production!AI34</f>
        <v>222678.81135999999</v>
      </c>
      <c r="AK108" s="6">
        <f>[1]Production!AJ28+[1]Production!AJ30+[1]Production!AJ32+[1]Production!AJ34</f>
        <v>227823.52039999998</v>
      </c>
      <c r="AL108" s="6">
        <f>[1]Production!AK28+[1]Production!AK30+[1]Production!AK32+[1]Production!AK34</f>
        <v>233510.76597000004</v>
      </c>
    </row>
    <row r="109" spans="2:38" x14ac:dyDescent="0.35">
      <c r="B109" t="s">
        <v>10</v>
      </c>
      <c r="C109" s="6">
        <f>[1]Production!B36+[1]Production!B38</f>
        <v>2556674.8605999998</v>
      </c>
      <c r="D109" s="6">
        <f>[1]Production!C36+[1]Production!C38</f>
        <v>2600723.9534999998</v>
      </c>
      <c r="E109" s="6">
        <f>[1]Production!D36+[1]Production!D38</f>
        <v>2649147.2763</v>
      </c>
      <c r="F109" s="6">
        <f>[1]Production!E36+[1]Production!E38</f>
        <v>2701435.1086999997</v>
      </c>
      <c r="G109" s="6">
        <f>[1]Production!F36+[1]Production!F38</f>
        <v>2759604.122</v>
      </c>
      <c r="H109" s="6">
        <f>[1]Production!G36+[1]Production!G38</f>
        <v>2826434.1467000004</v>
      </c>
      <c r="I109" s="6">
        <f>[1]Production!H36+[1]Production!H38</f>
        <v>2890871.5669999998</v>
      </c>
      <c r="J109" s="6">
        <f>[1]Production!I36+[1]Production!I38</f>
        <v>2955137.5038999999</v>
      </c>
      <c r="K109" s="6">
        <f>[1]Production!J36+[1]Production!J38</f>
        <v>3020986.8574999999</v>
      </c>
      <c r="L109" s="6">
        <f>[1]Production!K36+[1]Production!K38</f>
        <v>3088700.8527000002</v>
      </c>
      <c r="M109" s="6">
        <f>[1]Production!L36+[1]Production!L38</f>
        <v>3158543.2601999999</v>
      </c>
      <c r="N109" s="6">
        <f>[1]Production!M36+[1]Production!M38</f>
        <v>3226893.1422999999</v>
      </c>
      <c r="O109" s="6">
        <f>[1]Production!N36+[1]Production!N38</f>
        <v>3294485.6679000002</v>
      </c>
      <c r="P109" s="6">
        <f>[1]Production!O36+[1]Production!O38</f>
        <v>3361121.1997000002</v>
      </c>
      <c r="Q109" s="6">
        <f>[1]Production!P36+[1]Production!P38</f>
        <v>3426451.7489999998</v>
      </c>
      <c r="R109" s="6">
        <f>[1]Production!Q36+[1]Production!Q38</f>
        <v>3495280.1478000004</v>
      </c>
      <c r="S109" s="6">
        <f>[1]Production!R36+[1]Production!R38</f>
        <v>3554303.7478</v>
      </c>
      <c r="T109" s="6">
        <f>[1]Production!S36+[1]Production!S38</f>
        <v>3614166.8117999998</v>
      </c>
      <c r="U109" s="6">
        <f>[1]Production!T36+[1]Production!T38</f>
        <v>3673248.4693</v>
      </c>
      <c r="V109" s="6">
        <f>[1]Production!U36+[1]Production!U38</f>
        <v>3731816.7275</v>
      </c>
      <c r="W109" s="6">
        <f>[1]Production!V36+[1]Production!V38</f>
        <v>3789888.1287999996</v>
      </c>
      <c r="X109" s="6">
        <f>[1]Production!W36+[1]Production!W38</f>
        <v>3848329.6834000004</v>
      </c>
      <c r="Y109" s="6">
        <f>[1]Production!X36+[1]Production!X38</f>
        <v>3907596.8530999999</v>
      </c>
      <c r="Z109" s="6">
        <f>[1]Production!Y36+[1]Production!Y38</f>
        <v>3968053.6069999998</v>
      </c>
      <c r="AA109" s="6">
        <f>[1]Production!Z36+[1]Production!Z38</f>
        <v>4030056.9336999999</v>
      </c>
      <c r="AB109" s="6">
        <f>[1]Production!AA36+[1]Production!AA38</f>
        <v>4099836.5127000003</v>
      </c>
      <c r="AC109" s="6">
        <f>[1]Production!AB36+[1]Production!AB38</f>
        <v>4166696.1616000002</v>
      </c>
      <c r="AD109" s="6">
        <f>[1]Production!AC36+[1]Production!AC38</f>
        <v>4239196.5751999998</v>
      </c>
      <c r="AE109" s="6">
        <f>[1]Production!AD36+[1]Production!AD38</f>
        <v>4314575.5266000004</v>
      </c>
      <c r="AF109" s="6">
        <f>[1]Production!AE36+[1]Production!AE38</f>
        <v>4392661.2363</v>
      </c>
      <c r="AG109" s="6">
        <f>[1]Production!AF36+[1]Production!AF38</f>
        <v>4473291.2126000002</v>
      </c>
      <c r="AH109" s="6">
        <f>[1]Production!AG36+[1]Production!AG38</f>
        <v>4556005.2873</v>
      </c>
      <c r="AI109" s="6">
        <f>[1]Production!AH36+[1]Production!AH38</f>
        <v>4640448.0762</v>
      </c>
      <c r="AJ109" s="6">
        <f>[1]Production!AI36+[1]Production!AI38</f>
        <v>4726286.3053000001</v>
      </c>
      <c r="AK109" s="6">
        <f>[1]Production!AJ36+[1]Production!AJ38</f>
        <v>4813192.1461999994</v>
      </c>
      <c r="AL109" s="6">
        <f>[1]Production!AK36+[1]Production!AK38</f>
        <v>4912314.2012999998</v>
      </c>
    </row>
    <row r="110" spans="2:38" x14ac:dyDescent="0.35">
      <c r="B110" t="s">
        <v>12</v>
      </c>
      <c r="C110" s="6">
        <f>[1]Production!B42+[1]Production!B46+[1]Production!B44+[1]Production!B48</f>
        <v>40255.908652300001</v>
      </c>
      <c r="D110" s="6">
        <f>[1]Production!C42+[1]Production!C46+[1]Production!C44+[1]Production!C48</f>
        <v>40663.665109600006</v>
      </c>
      <c r="E110" s="6">
        <f>[1]Production!D42+[1]Production!D46+[1]Production!D44+[1]Production!D48</f>
        <v>40987.557124999992</v>
      </c>
      <c r="F110" s="6">
        <f>[1]Production!E42+[1]Production!E46+[1]Production!E44+[1]Production!E48</f>
        <v>41188.971641899996</v>
      </c>
      <c r="G110" s="6">
        <f>[1]Production!F42+[1]Production!F46+[1]Production!F44+[1]Production!F48</f>
        <v>41517.7556549</v>
      </c>
      <c r="H110" s="6">
        <f>[1]Production!G42+[1]Production!G46+[1]Production!G44+[1]Production!G48</f>
        <v>42254.363499500003</v>
      </c>
      <c r="I110" s="6">
        <f>[1]Production!H42+[1]Production!H46+[1]Production!H44+[1]Production!H48</f>
        <v>43070.6619288</v>
      </c>
      <c r="J110" s="6">
        <f>[1]Production!I42+[1]Production!I46+[1]Production!I44+[1]Production!I48</f>
        <v>43860.477270100004</v>
      </c>
      <c r="K110" s="6">
        <f>[1]Production!J42+[1]Production!J46+[1]Production!J44+[1]Production!J48</f>
        <v>44623.063947899995</v>
      </c>
      <c r="L110" s="6">
        <f>[1]Production!K42+[1]Production!K46+[1]Production!K44+[1]Production!K48</f>
        <v>45334.285965199997</v>
      </c>
      <c r="M110" s="6">
        <f>[1]Production!L42+[1]Production!L46+[1]Production!L44+[1]Production!L48</f>
        <v>45957.542798499991</v>
      </c>
      <c r="N110" s="6">
        <f>[1]Production!M42+[1]Production!M46+[1]Production!M44+[1]Production!M48</f>
        <v>46668.877497599999</v>
      </c>
      <c r="O110" s="6">
        <f>[1]Production!N42+[1]Production!N46+[1]Production!N44+[1]Production!N48</f>
        <v>47471.389367800002</v>
      </c>
      <c r="P110" s="6">
        <f>[1]Production!O42+[1]Production!O46+[1]Production!O44+[1]Production!O48</f>
        <v>48340.183426999989</v>
      </c>
      <c r="Q110" s="6">
        <f>[1]Production!P42+[1]Production!P46+[1]Production!P44+[1]Production!P48</f>
        <v>49248.034174299995</v>
      </c>
      <c r="R110" s="6">
        <f>[1]Production!Q42+[1]Production!Q46+[1]Production!Q44+[1]Production!Q48</f>
        <v>50209.377387100001</v>
      </c>
      <c r="S110" s="6">
        <f>[1]Production!R42+[1]Production!R46+[1]Production!R44+[1]Production!R48</f>
        <v>51055.546622399997</v>
      </c>
      <c r="T110" s="6">
        <f>[1]Production!S42+[1]Production!S46+[1]Production!S44+[1]Production!S48</f>
        <v>51877.837442999997</v>
      </c>
      <c r="U110" s="6">
        <f>[1]Production!T42+[1]Production!T46+[1]Production!T44+[1]Production!T48</f>
        <v>52743.276691299994</v>
      </c>
      <c r="V110" s="6">
        <f>[1]Production!U42+[1]Production!U46+[1]Production!U44+[1]Production!U48</f>
        <v>53838.914657100002</v>
      </c>
      <c r="W110" s="6">
        <f>[1]Production!V42+[1]Production!V46+[1]Production!V44+[1]Production!V48</f>
        <v>54971.889705700007</v>
      </c>
      <c r="X110" s="6">
        <f>[1]Production!W42+[1]Production!W46+[1]Production!W44+[1]Production!W48</f>
        <v>56163.791493799996</v>
      </c>
      <c r="Y110" s="6">
        <f>[1]Production!X42+[1]Production!X46+[1]Production!X44+[1]Production!X48</f>
        <v>57434.750468499995</v>
      </c>
      <c r="Z110" s="6">
        <f>[1]Production!Y42+[1]Production!Y46+[1]Production!Y44+[1]Production!Y48</f>
        <v>58801.689946999999</v>
      </c>
      <c r="AA110" s="6">
        <f>[1]Production!Z42+[1]Production!Z46+[1]Production!Z44+[1]Production!Z48</f>
        <v>60279.177252100002</v>
      </c>
      <c r="AB110" s="6">
        <f>[1]Production!AA42+[1]Production!AA46+[1]Production!AA44+[1]Production!AA48</f>
        <v>61922.015623600004</v>
      </c>
      <c r="AC110" s="6">
        <f>[1]Production!AB42+[1]Production!AB46+[1]Production!AB44+[1]Production!AB48</f>
        <v>63692.222947599992</v>
      </c>
      <c r="AD110" s="6">
        <f>[1]Production!AC42+[1]Production!AC46+[1]Production!AC44+[1]Production!AC48</f>
        <v>65576.389792400005</v>
      </c>
      <c r="AE110" s="6">
        <f>[1]Production!AD42+[1]Production!AD46+[1]Production!AD44+[1]Production!AD48</f>
        <v>67593.231454100009</v>
      </c>
      <c r="AF110" s="6">
        <f>[1]Production!AE42+[1]Production!AE46+[1]Production!AE44+[1]Production!AE48</f>
        <v>69735.792089900002</v>
      </c>
      <c r="AG110" s="6">
        <f>[1]Production!AF42+[1]Production!AF46+[1]Production!AF44+[1]Production!AF48</f>
        <v>71985.675093900005</v>
      </c>
      <c r="AH110" s="6">
        <f>[1]Production!AG42+[1]Production!AG46+[1]Production!AG44+[1]Production!AG48</f>
        <v>74329.825470199998</v>
      </c>
      <c r="AI110" s="6">
        <f>[1]Production!AH42+[1]Production!AH46+[1]Production!AH44+[1]Production!AH48</f>
        <v>76746.126249499997</v>
      </c>
      <c r="AJ110" s="6">
        <f>[1]Production!AI42+[1]Production!AI46+[1]Production!AI44+[1]Production!AI48</f>
        <v>79207.763095000002</v>
      </c>
      <c r="AK110" s="6">
        <f>[1]Production!AJ42+[1]Production!AJ46+[1]Production!AJ44+[1]Production!AJ48</f>
        <v>81686.359169899995</v>
      </c>
      <c r="AL110" s="6">
        <f>[1]Production!AK42+[1]Production!AK46+[1]Production!AK44+[1]Production!AK48</f>
        <v>84218.191957499992</v>
      </c>
    </row>
    <row r="111" spans="2:38" x14ac:dyDescent="0.35">
      <c r="B111" t="s">
        <v>11</v>
      </c>
      <c r="C111" s="6">
        <f>[1]Production!B50+[1]Production!B52+[1]Production!B54+[1]Production!B56+[1]Production!B58+[1]Production!B60+[1]Production!B62+[1]Production!B64+[1]Production!B66</f>
        <v>67748.591028299998</v>
      </c>
      <c r="D111" s="6">
        <f>[1]Production!C50+[1]Production!C52+[1]Production!C54+[1]Production!C56+[1]Production!C58+[1]Production!C60+[1]Production!C62+[1]Production!C64+[1]Production!C66</f>
        <v>68366.016752099997</v>
      </c>
      <c r="E111" s="6">
        <f>[1]Production!D50+[1]Production!D52+[1]Production!D54+[1]Production!D56+[1]Production!D58+[1]Production!D60+[1]Production!D62+[1]Production!D64+[1]Production!D66</f>
        <v>68715.968612299985</v>
      </c>
      <c r="F111" s="6">
        <f>[1]Production!E50+[1]Production!E52+[1]Production!E54+[1]Production!E56+[1]Production!E58+[1]Production!E60+[1]Production!E62+[1]Production!E64+[1]Production!E66</f>
        <v>69146.062212599994</v>
      </c>
      <c r="G111" s="6">
        <f>[1]Production!F50+[1]Production!F52+[1]Production!F54+[1]Production!F56+[1]Production!F58+[1]Production!F60+[1]Production!F62+[1]Production!F64+[1]Production!F66</f>
        <v>69763.838432999997</v>
      </c>
      <c r="H111" s="6">
        <f>[1]Production!G50+[1]Production!G52+[1]Production!G54+[1]Production!G56+[1]Production!G58+[1]Production!G60+[1]Production!G62+[1]Production!G64+[1]Production!G66</f>
        <v>70645.068758799986</v>
      </c>
      <c r="I111" s="6">
        <f>[1]Production!H50+[1]Production!H52+[1]Production!H54+[1]Production!H56+[1]Production!H58+[1]Production!H60+[1]Production!H62+[1]Production!H64+[1]Production!H66</f>
        <v>73601.802086700001</v>
      </c>
      <c r="J111" s="6">
        <f>[1]Production!I50+[1]Production!I52+[1]Production!I54+[1]Production!I56+[1]Production!I58+[1]Production!I60+[1]Production!I62+[1]Production!I64+[1]Production!I66</f>
        <v>77281.345438200005</v>
      </c>
      <c r="K111" s="6">
        <f>[1]Production!J50+[1]Production!J52+[1]Production!J54+[1]Production!J56+[1]Production!J58+[1]Production!J60+[1]Production!J62+[1]Production!J64+[1]Production!J66</f>
        <v>81367.700506399997</v>
      </c>
      <c r="L111" s="6">
        <f>[1]Production!K50+[1]Production!K52+[1]Production!K54+[1]Production!K56+[1]Production!K58+[1]Production!K60+[1]Production!K62+[1]Production!K64+[1]Production!K66</f>
        <v>85707.208905499996</v>
      </c>
      <c r="M111" s="6">
        <f>[1]Production!L50+[1]Production!L52+[1]Production!L54+[1]Production!L56+[1]Production!L58+[1]Production!L60+[1]Production!L62+[1]Production!L64+[1]Production!L66</f>
        <v>90225.556278100004</v>
      </c>
      <c r="N111" s="6">
        <f>[1]Production!M50+[1]Production!M52+[1]Production!M54+[1]Production!M56+[1]Production!M58+[1]Production!M60+[1]Production!M62+[1]Production!M64+[1]Production!M66</f>
        <v>93631.670541600004</v>
      </c>
      <c r="O111" s="6">
        <f>[1]Production!N50+[1]Production!N52+[1]Production!N54+[1]Production!N56+[1]Production!N58+[1]Production!N60+[1]Production!N62+[1]Production!N64+[1]Production!N66</f>
        <v>96981.163670399997</v>
      </c>
      <c r="P111" s="6">
        <f>[1]Production!O50+[1]Production!O52+[1]Production!O54+[1]Production!O56+[1]Production!O58+[1]Production!O60+[1]Production!O62+[1]Production!O64+[1]Production!O66</f>
        <v>100563.29835590001</v>
      </c>
      <c r="Q111" s="6">
        <f>[1]Production!P50+[1]Production!P52+[1]Production!P54+[1]Production!P56+[1]Production!P58+[1]Production!P60+[1]Production!P62+[1]Production!P64+[1]Production!P66</f>
        <v>104459.01918160002</v>
      </c>
      <c r="R111" s="6">
        <f>[1]Production!Q50+[1]Production!Q52+[1]Production!Q54+[1]Production!Q56+[1]Production!Q58+[1]Production!Q60+[1]Production!Q62+[1]Production!Q64+[1]Production!Q66</f>
        <v>109802.26601399998</v>
      </c>
      <c r="S111" s="6">
        <f>[1]Production!R50+[1]Production!R52+[1]Production!R54+[1]Production!R56+[1]Production!R58+[1]Production!R60+[1]Production!R62+[1]Production!R64+[1]Production!R66</f>
        <v>113652.45805069999</v>
      </c>
      <c r="T111" s="6">
        <f>[1]Production!S50+[1]Production!S52+[1]Production!S54+[1]Production!S56+[1]Production!S58+[1]Production!S60+[1]Production!S62+[1]Production!S64+[1]Production!S66</f>
        <v>118804.50584660002</v>
      </c>
      <c r="U111" s="6">
        <f>[1]Production!T50+[1]Production!T52+[1]Production!T54+[1]Production!T56+[1]Production!T58+[1]Production!T60+[1]Production!T62+[1]Production!T64+[1]Production!T66</f>
        <v>124436.17692229</v>
      </c>
      <c r="V111" s="6">
        <f>[1]Production!U50+[1]Production!U52+[1]Production!U54+[1]Production!U56+[1]Production!U58+[1]Production!U60+[1]Production!U62+[1]Production!U64+[1]Production!U66</f>
        <v>130547.51990702</v>
      </c>
      <c r="W111" s="6">
        <f>[1]Production!V50+[1]Production!V52+[1]Production!V54+[1]Production!V56+[1]Production!V58+[1]Production!V60+[1]Production!V62+[1]Production!V64+[1]Production!V66</f>
        <v>137192.71783797001</v>
      </c>
      <c r="X111" s="6">
        <f>[1]Production!W50+[1]Production!W52+[1]Production!W54+[1]Production!W56+[1]Production!W58+[1]Production!W60+[1]Production!W62+[1]Production!W64+[1]Production!W66</f>
        <v>144503.97873023001</v>
      </c>
      <c r="Y111" s="6">
        <f>[1]Production!X50+[1]Production!X52+[1]Production!X54+[1]Production!X56+[1]Production!X58+[1]Production!X60+[1]Production!X62+[1]Production!X64+[1]Production!X66</f>
        <v>152641.78313650002</v>
      </c>
      <c r="Z111" s="6">
        <f>[1]Production!Y50+[1]Production!Y52+[1]Production!Y54+[1]Production!Y56+[1]Production!Y58+[1]Production!Y60+[1]Production!Y62+[1]Production!Y64+[1]Production!Y66</f>
        <v>161753.53954683099</v>
      </c>
      <c r="AA111" s="6">
        <f>[1]Production!Z50+[1]Production!Z52+[1]Production!Z54+[1]Production!Z56+[1]Production!Z58+[1]Production!Z60+[1]Production!Z62+[1]Production!Z64+[1]Production!Z66</f>
        <v>171996.26016646301</v>
      </c>
      <c r="AB111" s="6">
        <f>[1]Production!AA50+[1]Production!AA52+[1]Production!AA54+[1]Production!AA56+[1]Production!AA58+[1]Production!AA60+[1]Production!AA62+[1]Production!AA64+[1]Production!AA66</f>
        <v>185290.96987548398</v>
      </c>
      <c r="AC111" s="6">
        <f>[1]Production!AB50+[1]Production!AB52+[1]Production!AB54+[1]Production!AB56+[1]Production!AB58+[1]Production!AB60+[1]Production!AB62+[1]Production!AB64+[1]Production!AB66</f>
        <v>189987.24381094798</v>
      </c>
      <c r="AD111" s="6">
        <f>[1]Production!AC50+[1]Production!AC52+[1]Production!AC54+[1]Production!AC56+[1]Production!AC58+[1]Production!AC60+[1]Production!AC62+[1]Production!AC64+[1]Production!AC66</f>
        <v>192722.93008327699</v>
      </c>
      <c r="AE111" s="6">
        <f>[1]Production!AD50+[1]Production!AD52+[1]Production!AD54+[1]Production!AD56+[1]Production!AD58+[1]Production!AD60+[1]Production!AD62+[1]Production!AD64+[1]Production!AD66</f>
        <v>195227.230520724</v>
      </c>
      <c r="AF111" s="6">
        <f>[1]Production!AE50+[1]Production!AE52+[1]Production!AE54+[1]Production!AE56+[1]Production!AE58+[1]Production!AE60+[1]Production!AE62+[1]Production!AE64+[1]Production!AE66</f>
        <v>197868.15903223201</v>
      </c>
      <c r="AG111" s="6">
        <f>[1]Production!AF50+[1]Production!AF52+[1]Production!AF54+[1]Production!AF56+[1]Production!AF58+[1]Production!AF60+[1]Production!AF62+[1]Production!AF64+[1]Production!AF66</f>
        <v>200636.402932128</v>
      </c>
      <c r="AH111" s="6">
        <f>[1]Production!AG50+[1]Production!AG52+[1]Production!AG54+[1]Production!AG56+[1]Production!AG58+[1]Production!AG60+[1]Production!AG62+[1]Production!AG64+[1]Production!AG66</f>
        <v>203453.22191658299</v>
      </c>
      <c r="AI111" s="6">
        <f>[1]Production!AH50+[1]Production!AH52+[1]Production!AH54+[1]Production!AH56+[1]Production!AH58+[1]Production!AH60+[1]Production!AH62+[1]Production!AH64+[1]Production!AH66</f>
        <v>206279.27428684497</v>
      </c>
      <c r="AJ111" s="6">
        <f>[1]Production!AI50+[1]Production!AI52+[1]Production!AI54+[1]Production!AI56+[1]Production!AI58+[1]Production!AI60+[1]Production!AI62+[1]Production!AI64+[1]Production!AI66</f>
        <v>209075.72301790697</v>
      </c>
      <c r="AK111" s="6">
        <f>[1]Production!AJ50+[1]Production!AJ52+[1]Production!AJ54+[1]Production!AJ56+[1]Production!AJ58+[1]Production!AJ60+[1]Production!AJ62+[1]Production!AJ64+[1]Production!AJ66</f>
        <v>211811.35369844301</v>
      </c>
      <c r="AL111" s="6">
        <f>[1]Production!AK50+[1]Production!AK52+[1]Production!AK54+[1]Production!AK56+[1]Production!AK58+[1]Production!AK60+[1]Production!AK62+[1]Production!AK64+[1]Production!AK66</f>
        <v>214828.13891883698</v>
      </c>
    </row>
    <row r="113" spans="2:5" x14ac:dyDescent="0.35">
      <c r="B113" t="s">
        <v>16</v>
      </c>
      <c r="C113" s="8" t="s">
        <v>17</v>
      </c>
      <c r="D113" s="8" t="s">
        <v>18</v>
      </c>
      <c r="E113" s="8" t="s">
        <v>19</v>
      </c>
    </row>
    <row r="114" spans="2:5" x14ac:dyDescent="0.35">
      <c r="B114" t="s">
        <v>7</v>
      </c>
      <c r="C114" s="6">
        <f t="shared" ref="C114:C119" si="8">(R106-R98)/R105*100</f>
        <v>-5.5822637983320806</v>
      </c>
      <c r="D114" s="6">
        <f t="shared" ref="D114:D119" si="9">(AB106-AB98)/AB105*100</f>
        <v>-7.6348786060700977</v>
      </c>
      <c r="E114" s="6">
        <f t="shared" ref="E114:E119" si="10">(AL106-AL98)/AL105*100</f>
        <v>-16.420441079413763</v>
      </c>
    </row>
    <row r="115" spans="2:5" x14ac:dyDescent="0.35">
      <c r="B115" t="s">
        <v>8</v>
      </c>
      <c r="C115" s="6">
        <f t="shared" si="8"/>
        <v>-4.0071611490637764</v>
      </c>
      <c r="D115" s="6">
        <f t="shared" si="9"/>
        <v>-2.0058261667473394</v>
      </c>
      <c r="E115" s="6">
        <f t="shared" si="10"/>
        <v>-1.191527454208458</v>
      </c>
    </row>
    <row r="116" spans="2:5" x14ac:dyDescent="0.35">
      <c r="B116" t="s">
        <v>9</v>
      </c>
      <c r="C116" s="6">
        <f t="shared" si="8"/>
        <v>-0.22124988704263324</v>
      </c>
      <c r="D116" s="6">
        <f t="shared" si="9"/>
        <v>-0.38062554795984871</v>
      </c>
      <c r="E116" s="6">
        <f t="shared" si="10"/>
        <v>-0.35238855698987132</v>
      </c>
    </row>
    <row r="117" spans="2:5" x14ac:dyDescent="0.35">
      <c r="B117" t="s">
        <v>10</v>
      </c>
      <c r="C117" s="6">
        <f t="shared" si="8"/>
        <v>16.246112812985206</v>
      </c>
      <c r="D117" s="6">
        <f t="shared" si="9"/>
        <v>33.030097175270576</v>
      </c>
      <c r="E117" s="6">
        <f t="shared" si="10"/>
        <v>15.136174879637561</v>
      </c>
    </row>
    <row r="118" spans="2:5" x14ac:dyDescent="0.35">
      <c r="B118" t="s">
        <v>12</v>
      </c>
      <c r="C118" s="6">
        <f t="shared" si="8"/>
        <v>-8.0797107258413197E-3</v>
      </c>
      <c r="D118" s="6">
        <f t="shared" si="9"/>
        <v>9.7943120843019607E-2</v>
      </c>
      <c r="E118" s="6">
        <f t="shared" si="10"/>
        <v>0.31556877428763808</v>
      </c>
    </row>
    <row r="119" spans="2:5" x14ac:dyDescent="0.35">
      <c r="B119" t="s">
        <v>11</v>
      </c>
      <c r="C119" s="6">
        <f t="shared" si="8"/>
        <v>-2.8522654024544467</v>
      </c>
      <c r="D119" s="6">
        <f t="shared" si="9"/>
        <v>-4.6927900092136579</v>
      </c>
      <c r="E119" s="6">
        <f t="shared" si="10"/>
        <v>-10.464820037405412</v>
      </c>
    </row>
    <row r="120" spans="2:5" x14ac:dyDescent="0.35">
      <c r="C120" s="5"/>
      <c r="D120" s="5"/>
      <c r="E120" s="5"/>
    </row>
    <row r="121" spans="2:5" x14ac:dyDescent="0.35">
      <c r="B121" t="s">
        <v>16</v>
      </c>
      <c r="C121" s="8" t="s">
        <v>17</v>
      </c>
      <c r="D121" s="8" t="s">
        <v>18</v>
      </c>
      <c r="E121" s="8" t="s">
        <v>19</v>
      </c>
    </row>
    <row r="122" spans="2:5" x14ac:dyDescent="0.35">
      <c r="B122" t="s">
        <v>7</v>
      </c>
      <c r="C122" s="4">
        <f t="shared" ref="C122:C127" si="11">R106/R98-1</f>
        <v>-2.1916133772197033E-2</v>
      </c>
      <c r="D122" s="4">
        <f t="shared" ref="D122:D127" si="12">AB106/AB98-1</f>
        <v>-2.7663746187032157E-2</v>
      </c>
      <c r="E122" s="4">
        <f t="shared" ref="E122:E127" si="13">AL106/AL98-1</f>
        <v>-5.200770936011212E-2</v>
      </c>
    </row>
    <row r="123" spans="2:5" x14ac:dyDescent="0.35">
      <c r="B123" t="s">
        <v>8</v>
      </c>
      <c r="C123" s="4">
        <f t="shared" si="11"/>
        <v>-3.3523812989276758E-3</v>
      </c>
      <c r="D123" s="4">
        <f t="shared" si="12"/>
        <v>-1.5827889106417858E-3</v>
      </c>
      <c r="E123" s="4">
        <f t="shared" si="13"/>
        <v>-8.8679975995842319E-4</v>
      </c>
    </row>
    <row r="124" spans="2:5" x14ac:dyDescent="0.35">
      <c r="B124" t="s">
        <v>9</v>
      </c>
      <c r="C124" s="4">
        <f t="shared" si="11"/>
        <v>-1.8739785294776712E-2</v>
      </c>
      <c r="D124" s="4">
        <f t="shared" si="12"/>
        <v>-3.3970247483391947E-2</v>
      </c>
      <c r="E124" s="4">
        <f t="shared" si="13"/>
        <v>-3.2153612804957765E-2</v>
      </c>
    </row>
    <row r="125" spans="2:5" x14ac:dyDescent="0.35">
      <c r="B125" t="s">
        <v>10</v>
      </c>
      <c r="C125" s="4">
        <f t="shared" si="11"/>
        <v>7.646685517379348E-3</v>
      </c>
      <c r="D125" s="4">
        <f t="shared" si="12"/>
        <v>1.5373602126030006E-2</v>
      </c>
      <c r="E125" s="4">
        <f t="shared" si="13"/>
        <v>7.247245887150866E-3</v>
      </c>
    </row>
    <row r="126" spans="2:5" x14ac:dyDescent="0.35">
      <c r="B126" t="s">
        <v>12</v>
      </c>
      <c r="C126" s="4">
        <f t="shared" si="11"/>
        <v>-5.5931577760318651E-3</v>
      </c>
      <c r="D126" s="4">
        <f t="shared" si="12"/>
        <v>6.9344672697458254E-2</v>
      </c>
      <c r="E126" s="4">
        <f t="shared" si="13"/>
        <v>0.22558975255905933</v>
      </c>
    </row>
    <row r="127" spans="2:5" x14ac:dyDescent="0.35">
      <c r="B127" t="s">
        <v>11</v>
      </c>
      <c r="C127" s="4">
        <f t="shared" si="11"/>
        <v>-1.2874659970722457E-2</v>
      </c>
      <c r="D127" s="4">
        <f t="shared" si="12"/>
        <v>-1.5440589555587803E-2</v>
      </c>
      <c r="E127" s="4">
        <f t="shared" si="13"/>
        <v>-3.9408094359038914E-2</v>
      </c>
    </row>
  </sheetData>
  <mergeCells count="3">
    <mergeCell ref="A56:A57"/>
    <mergeCell ref="A62:A63"/>
    <mergeCell ref="A59:A6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Graphiques</vt:lpstr>
      </vt:variant>
      <vt:variant>
        <vt:i4>7</vt:i4>
      </vt:variant>
    </vt:vector>
  </HeadingPairs>
  <TitlesOfParts>
    <vt:vector size="8" baseType="lpstr">
      <vt:lpstr>Données</vt:lpstr>
      <vt:lpstr>Gr Macro</vt:lpstr>
      <vt:lpstr>Gr inflation</vt:lpstr>
      <vt:lpstr>Gr émissions</vt:lpstr>
      <vt:lpstr>Gr VA secteurs (% dev)</vt:lpstr>
      <vt:lpstr>Gr VA secteurs (% share)</vt:lpstr>
      <vt:lpstr>Gr Y secteurs (% dev)</vt:lpstr>
      <vt:lpstr>Gr Y secteurs (% share)</vt:lpstr>
    </vt:vector>
  </TitlesOfParts>
  <Company>ADEME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JACQUETIN Florian</dc:creator>
  <cp:lastModifiedBy>JACQUETIN Florian</cp:lastModifiedBy>
  <dcterms:created xsi:type="dcterms:W3CDTF">2021-11-04T11:19:34Z</dcterms:created>
  <dcterms:modified xsi:type="dcterms:W3CDTF">2021-12-01T11:33:47Z</dcterms:modified>
</cp:coreProperties>
</file>