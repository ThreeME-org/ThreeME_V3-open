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Gr secteurs (% VA)" sheetId="12" r:id="rId5"/>
    <sheet name="Gr secteurs (%)" sheetId="13" r:id="rId6"/>
  </sheets>
  <externalReferences>
    <externalReference r:id="rId7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79" i="2" l="1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D95" i="2" l="1"/>
  <c r="C94" i="2"/>
  <c r="C93" i="2"/>
  <c r="C92" i="2"/>
  <c r="D91" i="2"/>
  <c r="C91" i="2"/>
  <c r="C90" i="2"/>
  <c r="B60" i="2"/>
  <c r="B63" i="2" s="1"/>
  <c r="B59" i="2"/>
  <c r="B62" i="2" s="1"/>
  <c r="E59" i="2"/>
  <c r="F59" i="2"/>
  <c r="N59" i="2"/>
  <c r="U59" i="2"/>
  <c r="V59" i="2"/>
  <c r="AD59" i="2"/>
  <c r="AK59" i="2"/>
  <c r="AL59" i="2"/>
  <c r="K60" i="2"/>
  <c r="R60" i="2"/>
  <c r="S60" i="2"/>
  <c r="AA60" i="2"/>
  <c r="AH60" i="2"/>
  <c r="AI60" i="2"/>
  <c r="C87" i="2" l="1"/>
  <c r="D93" i="2"/>
  <c r="E95" i="2"/>
  <c r="C95" i="2"/>
  <c r="D94" i="2"/>
  <c r="D92" i="2"/>
  <c r="D90" i="2"/>
  <c r="E90" i="2"/>
  <c r="E93" i="2"/>
  <c r="E91" i="2"/>
  <c r="E94" i="2"/>
  <c r="C86" i="2"/>
  <c r="D82" i="2"/>
  <c r="E84" i="2"/>
  <c r="E83" i="2"/>
  <c r="E92" i="2"/>
  <c r="D86" i="2"/>
  <c r="D83" i="2"/>
  <c r="C82" i="2"/>
  <c r="D84" i="2"/>
  <c r="E86" i="2"/>
  <c r="C85" i="2"/>
  <c r="D87" i="2"/>
  <c r="E85" i="2"/>
  <c r="C83" i="2"/>
  <c r="D85" i="2"/>
  <c r="E87" i="2"/>
  <c r="E82" i="2"/>
  <c r="C84" i="2"/>
  <c r="AL60" i="2"/>
  <c r="AD60" i="2"/>
  <c r="V60" i="2"/>
  <c r="N60" i="2"/>
  <c r="F60" i="2"/>
  <c r="AG59" i="2"/>
  <c r="Y59" i="2"/>
  <c r="Q59" i="2"/>
  <c r="I59" i="2"/>
  <c r="AF60" i="2"/>
  <c r="X60" i="2"/>
  <c r="P60" i="2"/>
  <c r="H60" i="2"/>
  <c r="AI59" i="2"/>
  <c r="AA59" i="2"/>
  <c r="S59" i="2"/>
  <c r="K59" i="2"/>
  <c r="AK60" i="2"/>
  <c r="X59" i="2"/>
  <c r="AE60" i="2"/>
  <c r="W60" i="2"/>
  <c r="O60" i="2"/>
  <c r="G60" i="2"/>
  <c r="AH59" i="2"/>
  <c r="Z59" i="2"/>
  <c r="R59" i="2"/>
  <c r="J59" i="2"/>
  <c r="AB60" i="2"/>
  <c r="T60" i="2"/>
  <c r="L60" i="2"/>
  <c r="D60" i="2"/>
  <c r="AE59" i="2"/>
  <c r="O59" i="2"/>
  <c r="G59" i="2"/>
  <c r="Y60" i="2"/>
  <c r="I60" i="2"/>
  <c r="AB59" i="2"/>
  <c r="L59" i="2"/>
  <c r="H59" i="2"/>
  <c r="P59" i="2"/>
  <c r="AF59" i="2"/>
  <c r="E60" i="2"/>
  <c r="M60" i="2"/>
  <c r="U60" i="2"/>
  <c r="AC60" i="2"/>
  <c r="AG60" i="2"/>
  <c r="D59" i="2"/>
  <c r="T59" i="2"/>
  <c r="AJ59" i="2"/>
  <c r="Q60" i="2"/>
  <c r="M59" i="2"/>
  <c r="AC59" i="2"/>
  <c r="J60" i="2"/>
  <c r="Z60" i="2"/>
  <c r="W59" i="2"/>
  <c r="AJ60" i="2"/>
</calcChain>
</file>

<file path=xl/sharedStrings.xml><?xml version="1.0" encoding="utf-8"?>
<sst xmlns="http://schemas.openxmlformats.org/spreadsheetml/2006/main" count="44" uniqueCount="20">
  <si>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</si>
  <si>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</si>
  <si>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</si>
  <si>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</si>
  <si>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</si>
  <si>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</si>
  <si>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</si>
  <si>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</si>
  <si>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</si>
  <si>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</si>
  <si>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</si>
  <si>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</si>
  <si>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</si>
  <si>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Valeur ajoutée sectorielle baseline</t>
  </si>
  <si>
    <t>Valeur ajoutée sectorielle shock</t>
  </si>
  <si>
    <t>VA</t>
  </si>
  <si>
    <t>Année</t>
  </si>
  <si>
    <t>2030</t>
  </si>
  <si>
    <t>2040</t>
  </si>
  <si>
    <t>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</si>
</sst>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applyAlignment="1"/>
    <xf numFmtId="0" fontId="0" fillId="0" borderId="0" xfId="0" quotePrefix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chartsheet" Target="chartsheets/sheet2.xml"/><Relationship Id="rId7" Type="http://schemas.openxmlformats.org/officeDocument/2006/relationships/externalLink" Target="externalLinks/externalLink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alcChain" Target="calcChain.xml"/><Relationship Id="rId5" Type="http://schemas.openxmlformats.org/officeDocument/2006/relationships/chartsheet" Target="chartsheets/sheet4.xml"/><Relationship Id="rId10" Type="http://schemas.openxmlformats.org/officeDocument/2006/relationships/sharedStrings" Target="sharedStrings.xml"/><Relationship Id="rId4" Type="http://schemas.openxmlformats.org/officeDocument/2006/relationships/chartsheet" Target="chart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Impact macroéconomique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Données!$B$6</c:f>
              <c:strCache>
                <c:ptCount val="1"/>
                <c:pt idx="0">
                  <c:v>Consommation des ménages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Données!$C$6:$AL$6</c:f>
              <c:numCache>
                <c:formatCode>#\ ##0.0</c:formatCode>
                <c:ptCount val="36"/>
                <c:pt idx="0">
                  <c:v>0</c:v>
                </c:pt>
                <c:pt idx="1">
                  <c:v>-4.4746796159249835E-8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-5.0484433733654605E-2</c:v>
                </c:pt>
                <c:pt idx="7">
                  <c:v>-0.23897608108033266</c:v>
                </c:pt>
                <c:pt idx="8">
                  <c:v>-0.50676335633709335</c:v>
                </c:pt>
                <c:pt idx="9">
                  <c:v>-0.79656403687873989</c:v>
                </c:pt>
                <c:pt idx="10">
                  <c:v>-1.0621513546100829</c:v>
                </c:pt>
                <c:pt idx="11">
                  <c:v>-1.1953748280409715</c:v>
                </c:pt>
                <c:pt idx="12">
                  <c:v>-1.1498366166739282</c:v>
                </c:pt>
                <c:pt idx="13">
                  <c:v>-0.97084133537776829</c:v>
                </c:pt>
                <c:pt idx="14">
                  <c:v>-0.7124850593230756</c:v>
                </c:pt>
                <c:pt idx="15">
                  <c:v>-0.40943489419532136</c:v>
                </c:pt>
                <c:pt idx="16">
                  <c:v>-0.10164128249214599</c:v>
                </c:pt>
                <c:pt idx="17">
                  <c:v>0.18358286599594445</c:v>
                </c:pt>
                <c:pt idx="18">
                  <c:v>0.43721771127796805</c:v>
                </c:pt>
                <c:pt idx="19">
                  <c:v>0.65808328055915166</c:v>
                </c:pt>
                <c:pt idx="20">
                  <c:v>0.84661124765792639</c:v>
                </c:pt>
                <c:pt idx="21">
                  <c:v>1.004006197305348</c:v>
                </c:pt>
                <c:pt idx="22">
                  <c:v>1.1240798465099775</c:v>
                </c:pt>
                <c:pt idx="23">
                  <c:v>1.1996672640735939</c:v>
                </c:pt>
                <c:pt idx="24">
                  <c:v>1.2270389645862545</c:v>
                </c:pt>
                <c:pt idx="25">
                  <c:v>1.2233772019412337</c:v>
                </c:pt>
                <c:pt idx="26">
                  <c:v>1.1801292413682651</c:v>
                </c:pt>
                <c:pt idx="27">
                  <c:v>1.1070696475056439</c:v>
                </c:pt>
                <c:pt idx="28">
                  <c:v>1.0090001805690305</c:v>
                </c:pt>
                <c:pt idx="29">
                  <c:v>0.88932733156104893</c:v>
                </c:pt>
                <c:pt idx="30">
                  <c:v>0.75136273386635211</c:v>
                </c:pt>
                <c:pt idx="31">
                  <c:v>0.5970639393581616</c:v>
                </c:pt>
                <c:pt idx="32">
                  <c:v>0.42875220593488023</c:v>
                </c:pt>
                <c:pt idx="33">
                  <c:v>0.25180316172432343</c:v>
                </c:pt>
                <c:pt idx="34">
                  <c:v>7.3180134516068335E-2</c:v>
                </c:pt>
                <c:pt idx="35">
                  <c:v>-5.2152946233655455E-2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4"/>
          <c:order val="4"/>
          <c:tx>
            <c:strRef>
              <c:f>Données!$B$8</c:f>
              <c:strCache>
                <c:ptCount val="1"/>
                <c:pt idx="0">
                  <c:v>Dépenses publiques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Données!$C$8:$AL$8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DF-4FA2-B0C9-EB7B6F86A366}"/>
            </c:ext>
          </c:extLst>
        </c:ser>
        <c:ser>
          <c:idx val="5"/>
          <c:order val="5"/>
          <c:tx>
            <c:strRef>
              <c:f>Données!$B$9</c:f>
              <c:strCache>
                <c:ptCount val="1"/>
                <c:pt idx="0">
                  <c:v>Investissement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Données!$C$9:$AL$9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-4.394533537763968E-9</c:v>
                </c:pt>
                <c:pt idx="3">
                  <c:v>-4.312588438963675E-9</c:v>
                </c:pt>
                <c:pt idx="4">
                  <c:v>-4.2234974829542177E-9</c:v>
                </c:pt>
                <c:pt idx="5">
                  <c:v>-8.2465433683043987E-9</c:v>
                </c:pt>
                <c:pt idx="6">
                  <c:v>-3.7494796878281E-2</c:v>
                </c:pt>
                <c:pt idx="7">
                  <c:v>-0.12596485599997009</c:v>
                </c:pt>
                <c:pt idx="8">
                  <c:v>-0.24941997004595168</c:v>
                </c:pt>
                <c:pt idx="9">
                  <c:v>-0.39565698545344052</c:v>
                </c:pt>
                <c:pt idx="10">
                  <c:v>-0.55396778160349747</c:v>
                </c:pt>
                <c:pt idx="11">
                  <c:v>-0.68648980386899383</c:v>
                </c:pt>
                <c:pt idx="12">
                  <c:v>-0.77781738852418181</c:v>
                </c:pt>
                <c:pt idx="13">
                  <c:v>-0.82829697349332243</c:v>
                </c:pt>
                <c:pt idx="14">
                  <c:v>-0.84655375861297666</c:v>
                </c:pt>
                <c:pt idx="15">
                  <c:v>-0.83294444014863289</c:v>
                </c:pt>
                <c:pt idx="16">
                  <c:v>-0.81853331834018606</c:v>
                </c:pt>
                <c:pt idx="17">
                  <c:v>-0.79807432258304567</c:v>
                </c:pt>
                <c:pt idx="18">
                  <c:v>-0.78084844776038631</c:v>
                </c:pt>
                <c:pt idx="19">
                  <c:v>-0.77030062741948924</c:v>
                </c:pt>
                <c:pt idx="20">
                  <c:v>-0.76730458362946441</c:v>
                </c:pt>
                <c:pt idx="21">
                  <c:v>-0.7671145199615772</c:v>
                </c:pt>
                <c:pt idx="22">
                  <c:v>-0.76926836091950157</c:v>
                </c:pt>
                <c:pt idx="23">
                  <c:v>-0.7743216080559554</c:v>
                </c:pt>
                <c:pt idx="24">
                  <c:v>-0.78277631273451276</c:v>
                </c:pt>
                <c:pt idx="25">
                  <c:v>-0.7663227469342655</c:v>
                </c:pt>
                <c:pt idx="26">
                  <c:v>-0.77199096831070713</c:v>
                </c:pt>
                <c:pt idx="27">
                  <c:v>-0.75898286570832729</c:v>
                </c:pt>
                <c:pt idx="28">
                  <c:v>-0.73833752357967009</c:v>
                </c:pt>
                <c:pt idx="29">
                  <c:v>-0.71622773309601795</c:v>
                </c:pt>
                <c:pt idx="30">
                  <c:v>-0.69536008377713887</c:v>
                </c:pt>
                <c:pt idx="31">
                  <c:v>-0.67604969244222202</c:v>
                </c:pt>
                <c:pt idx="32">
                  <c:v>-0.659431486886632</c:v>
                </c:pt>
                <c:pt idx="33">
                  <c:v>-0.64575097978339935</c:v>
                </c:pt>
                <c:pt idx="34">
                  <c:v>-0.63479553084361884</c:v>
                </c:pt>
                <c:pt idx="35">
                  <c:v>-0.54500095403238735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6"/>
          <c:order val="6"/>
          <c:tx>
            <c:strRef>
              <c:f>Données!$B$10</c:f>
              <c:strCache>
                <c:ptCount val="1"/>
                <c:pt idx="0">
                  <c:v>Variations de stocks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Données!$C$10:$AL$10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DF-4FA2-B0C9-EB7B6F86A366}"/>
            </c:ext>
          </c:extLst>
        </c:ser>
        <c:ser>
          <c:idx val="7"/>
          <c:order val="7"/>
          <c:tx>
            <c:strRef>
              <c:f>Données!$B$11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Données!$C$11:$AL$11</c:f>
              <c:numCache>
                <c:formatCode>#\ ##0.0</c:formatCode>
                <c:ptCount val="36"/>
                <c:pt idx="0">
                  <c:v>-4.5536098496398781E-9</c:v>
                </c:pt>
                <c:pt idx="1">
                  <c:v>-4.4746775322397698E-9</c:v>
                </c:pt>
                <c:pt idx="2">
                  <c:v>-8.7890619596178201E-9</c:v>
                </c:pt>
                <c:pt idx="3">
                  <c:v>-8.62517687792735E-9</c:v>
                </c:pt>
                <c:pt idx="4">
                  <c:v>-8.4469949659084355E-9</c:v>
                </c:pt>
                <c:pt idx="5">
                  <c:v>-1.6493086736608797E-8</c:v>
                </c:pt>
                <c:pt idx="6">
                  <c:v>-0.20477070562181032</c:v>
                </c:pt>
                <c:pt idx="7">
                  <c:v>-0.34027816736650618</c:v>
                </c:pt>
                <c:pt idx="8">
                  <c:v>-0.42591899078309226</c:v>
                </c:pt>
                <c:pt idx="9">
                  <c:v>-0.46682690880526989</c:v>
                </c:pt>
                <c:pt idx="10">
                  <c:v>-0.45269800290890794</c:v>
                </c:pt>
                <c:pt idx="11">
                  <c:v>-0.47438259454065546</c:v>
                </c:pt>
                <c:pt idx="12">
                  <c:v>-0.53840198173407616</c:v>
                </c:pt>
                <c:pt idx="13">
                  <c:v>-0.63285653429836641</c:v>
                </c:pt>
                <c:pt idx="14">
                  <c:v>-0.75081602811221682</c:v>
                </c:pt>
                <c:pt idx="15">
                  <c:v>-0.87308554866568644</c:v>
                </c:pt>
                <c:pt idx="16">
                  <c:v>-0.99719846761473796</c:v>
                </c:pt>
                <c:pt idx="17">
                  <c:v>-1.1058286473366703</c:v>
                </c:pt>
                <c:pt idx="18">
                  <c:v>-1.2271906475957646</c:v>
                </c:pt>
                <c:pt idx="19">
                  <c:v>-1.359074699996075</c:v>
                </c:pt>
                <c:pt idx="20">
                  <c:v>-1.5058355141552131</c:v>
                </c:pt>
                <c:pt idx="21">
                  <c:v>-1.6632584735805624</c:v>
                </c:pt>
                <c:pt idx="22">
                  <c:v>-1.8253980056471444</c:v>
                </c:pt>
                <c:pt idx="23">
                  <c:v>-1.9878200310887832</c:v>
                </c:pt>
                <c:pt idx="24">
                  <c:v>-2.1462921238613655</c:v>
                </c:pt>
                <c:pt idx="25">
                  <c:v>-2.2514973603994268</c:v>
                </c:pt>
                <c:pt idx="26">
                  <c:v>-2.3659606539733433</c:v>
                </c:pt>
                <c:pt idx="27">
                  <c:v>-2.4096846677703692</c:v>
                </c:pt>
                <c:pt idx="28">
                  <c:v>-2.4559235581035708</c:v>
                </c:pt>
                <c:pt idx="29">
                  <c:v>-2.4973571964789127</c:v>
                </c:pt>
                <c:pt idx="30">
                  <c:v>-2.5298510051032661</c:v>
                </c:pt>
                <c:pt idx="31">
                  <c:v>-2.5486908774652148</c:v>
                </c:pt>
                <c:pt idx="32">
                  <c:v>-2.5503534137928661</c:v>
                </c:pt>
                <c:pt idx="33">
                  <c:v>-2.5350347549704511</c:v>
                </c:pt>
                <c:pt idx="34">
                  <c:v>-2.5052375535459426</c:v>
                </c:pt>
                <c:pt idx="35">
                  <c:v>-2.3356649483306464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Données!$B$5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Données!$C$5:$AL$5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-5.9995319823258342E-8</c:v>
                      </c:pt>
                      <c:pt idx="4">
                        <c:v>-5.865450347641854E-8</c:v>
                      </c:pt>
                      <c:pt idx="5">
                        <c:v>0</c:v>
                      </c:pt>
                      <c:pt idx="6">
                        <c:v>-0.36664480837030888</c:v>
                      </c:pt>
                      <c:pt idx="7">
                        <c:v>-0.85380862195784113</c:v>
                      </c:pt>
                      <c:pt idx="8">
                        <c:v>-1.4044287566593594</c:v>
                      </c:pt>
                      <c:pt idx="9">
                        <c:v>-1.9461383652269792</c:v>
                      </c:pt>
                      <c:pt idx="10">
                        <c:v>-2.4013511843612112</c:v>
                      </c:pt>
                      <c:pt idx="11">
                        <c:v>-2.7272643832760846</c:v>
                      </c:pt>
                      <c:pt idx="12">
                        <c:v>-2.8633532132812611</c:v>
                      </c:pt>
                      <c:pt idx="13">
                        <c:v>-2.8446374537453578</c:v>
                      </c:pt>
                      <c:pt idx="14">
                        <c:v>-2.7317225913569554</c:v>
                      </c:pt>
                      <c:pt idx="15">
                        <c:v>-2.5377169829016943</c:v>
                      </c:pt>
                      <c:pt idx="16">
                        <c:v>-2.3426405613947821</c:v>
                      </c:pt>
                      <c:pt idx="17">
                        <c:v>-2.144723043968122</c:v>
                      </c:pt>
                      <c:pt idx="18">
                        <c:v>-2.0020535414274176</c:v>
                      </c:pt>
                      <c:pt idx="19">
                        <c:v>-1.9196425779329451</c:v>
                      </c:pt>
                      <c:pt idx="20">
                        <c:v>-1.8999342789003837</c:v>
                      </c:pt>
                      <c:pt idx="21">
                        <c:v>-1.9304551316566387</c:v>
                      </c:pt>
                      <c:pt idx="22">
                        <c:v>-2.0099263743940665</c:v>
                      </c:pt>
                      <c:pt idx="23">
                        <c:v>-2.1411981497415411</c:v>
                      </c:pt>
                      <c:pt idx="24">
                        <c:v>-2.323456261509127</c:v>
                      </c:pt>
                      <c:pt idx="25">
                        <c:v>-2.4403656605814894</c:v>
                      </c:pt>
                      <c:pt idx="26">
                        <c:v>-2.6383682123967023</c:v>
                      </c:pt>
                      <c:pt idx="27">
                        <c:v>-2.7568760463372421</c:v>
                      </c:pt>
                      <c:pt idx="28">
                        <c:v>-2.8979902595239748</c:v>
                      </c:pt>
                      <c:pt idx="29">
                        <c:v>-3.0551903792727764</c:v>
                      </c:pt>
                      <c:pt idx="30">
                        <c:v>-3.222532848042936</c:v>
                      </c:pt>
                      <c:pt idx="31">
                        <c:v>-3.3922943314521947</c:v>
                      </c:pt>
                      <c:pt idx="32">
                        <c:v>-3.558889047734981</c:v>
                      </c:pt>
                      <c:pt idx="33">
                        <c:v>-3.717051340452171</c:v>
                      </c:pt>
                      <c:pt idx="34">
                        <c:v>-3.8621289222077859</c:v>
                      </c:pt>
                      <c:pt idx="35">
                        <c:v>-3.6795602213914536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Données!$B$7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Données!$C$7:$AL$7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4.3945284218538507E-10</c:v>
                      </c:pt>
                      <c:pt idx="3">
                        <c:v>1.2937762806634289E-9</c:v>
                      </c:pt>
                      <c:pt idx="4">
                        <c:v>1.6893988702617383E-9</c:v>
                      </c:pt>
                      <c:pt idx="5">
                        <c:v>2.0616358420760997E-9</c:v>
                      </c:pt>
                      <c:pt idx="6">
                        <c:v>-6.1681372105185286E-3</c:v>
                      </c:pt>
                      <c:pt idx="7">
                        <c:v>-4.7759458563797062E-2</c:v>
                      </c:pt>
                      <c:pt idx="8">
                        <c:v>-0.10046645528485521</c:v>
                      </c:pt>
                      <c:pt idx="9">
                        <c:v>-0.15417557531405127</c:v>
                      </c:pt>
                      <c:pt idx="10">
                        <c:v>-0.2120763949247215</c:v>
                      </c:pt>
                      <c:pt idx="11">
                        <c:v>-0.18549971425017789</c:v>
                      </c:pt>
                      <c:pt idx="12">
                        <c:v>-0.12366219067783642</c:v>
                      </c:pt>
                      <c:pt idx="13">
                        <c:v>-6.199902753984373E-2</c:v>
                      </c:pt>
                      <c:pt idx="14">
                        <c:v>-1.3572742062027156E-2</c:v>
                      </c:pt>
                      <c:pt idx="15">
                        <c:v>2.0834468771803234E-2</c:v>
                      </c:pt>
                      <c:pt idx="16">
                        <c:v>3.5299911958034322E-2</c:v>
                      </c:pt>
                      <c:pt idx="17">
                        <c:v>3.3928929542388186E-2</c:v>
                      </c:pt>
                      <c:pt idx="18">
                        <c:v>2.3009631270974912E-2</c:v>
                      </c:pt>
                      <c:pt idx="19">
                        <c:v>9.5404982184033055E-3</c:v>
                      </c:pt>
                      <c:pt idx="20">
                        <c:v>-4.6823187694187982E-3</c:v>
                      </c:pt>
                      <c:pt idx="21">
                        <c:v>-1.0108478961064401E-2</c:v>
                      </c:pt>
                      <c:pt idx="22">
                        <c:v>-1.3854670077656931E-2</c:v>
                      </c:pt>
                      <c:pt idx="23">
                        <c:v>-1.9105441758463512E-2</c:v>
                      </c:pt>
                      <c:pt idx="24">
                        <c:v>-2.6317652736300341E-2</c:v>
                      </c:pt>
                      <c:pt idx="25">
                        <c:v>-3.3554206486806064E-2</c:v>
                      </c:pt>
                      <c:pt idx="26">
                        <c:v>-3.6919754209475707E-2</c:v>
                      </c:pt>
                      <c:pt idx="27">
                        <c:v>-3.9184831668374373E-2</c:v>
                      </c:pt>
                      <c:pt idx="28">
                        <c:v>-4.1528601720105189E-2</c:v>
                      </c:pt>
                      <c:pt idx="29">
                        <c:v>-4.3980741129015802E-2</c:v>
                      </c:pt>
                      <c:pt idx="30">
                        <c:v>-4.6410793910893471E-2</c:v>
                      </c:pt>
                      <c:pt idx="31">
                        <c:v>-4.7165933072596582E-2</c:v>
                      </c:pt>
                      <c:pt idx="32">
                        <c:v>-4.8150242952886696E-2</c:v>
                      </c:pt>
                      <c:pt idx="33">
                        <c:v>-4.9785113190898234E-2</c:v>
                      </c:pt>
                      <c:pt idx="34">
                        <c:v>-5.1812017413547996E-2</c:v>
                      </c:pt>
                      <c:pt idx="35">
                        <c:v>-4.9702425405816243E-2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Données!$B$4</c:f>
              <c:strCache>
                <c:ptCount val="1"/>
                <c:pt idx="0">
                  <c:v>PIB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Données!$C$4:$AL$4</c:f>
              <c:numCache>
                <c:formatCode>#\ ##0.0</c:formatCode>
                <c:ptCount val="36"/>
                <c:pt idx="0">
                  <c:v>0</c:v>
                </c:pt>
                <c:pt idx="1">
                  <c:v>-4.4746806260320682E-8</c:v>
                </c:pt>
                <c:pt idx="2">
                  <c:v>0</c:v>
                </c:pt>
                <c:pt idx="3">
                  <c:v>-4.3125891746598199E-8</c:v>
                </c:pt>
                <c:pt idx="4">
                  <c:v>0</c:v>
                </c:pt>
                <c:pt idx="5">
                  <c:v>-4.123271724054689E-8</c:v>
                </c:pt>
                <c:pt idx="6">
                  <c:v>-0.2927499764784014</c:v>
                </c:pt>
                <c:pt idx="7">
                  <c:v>-0.70521911622830613</c:v>
                </c:pt>
                <c:pt idx="8">
                  <c:v>-1.1821023171661449</c:v>
                </c:pt>
                <c:pt idx="9">
                  <c:v>-1.6590479386212942</c:v>
                </c:pt>
                <c:pt idx="10">
                  <c:v>-2.0688171464432803</c:v>
                </c:pt>
                <c:pt idx="11">
                  <c:v>-2.3562472336253526</c:v>
                </c:pt>
                <c:pt idx="12">
                  <c:v>-2.4660560362381734</c:v>
                </c:pt>
                <c:pt idx="13">
                  <c:v>-2.431994860482678</c:v>
                </c:pt>
                <c:pt idx="14">
                  <c:v>-2.3098548324147594</c:v>
                </c:pt>
                <c:pt idx="15">
                  <c:v>-2.1154648863673242</c:v>
                </c:pt>
                <c:pt idx="16">
                  <c:v>-1.917373081684759</c:v>
                </c:pt>
                <c:pt idx="17">
                  <c:v>-1.720320103923767</c:v>
                </c:pt>
                <c:pt idx="18">
                  <c:v>-1.5708213647812386</c:v>
                </c:pt>
                <c:pt idx="19">
                  <c:v>-1.4712920753836123</c:v>
                </c:pt>
                <c:pt idx="20">
                  <c:v>-1.4265288032801471</c:v>
                </c:pt>
                <c:pt idx="21">
                  <c:v>-1.4263668116144324</c:v>
                </c:pt>
                <c:pt idx="22">
                  <c:v>-1.4705865442713684</c:v>
                </c:pt>
                <c:pt idx="23">
                  <c:v>-1.5624744078178376</c:v>
                </c:pt>
                <c:pt idx="24">
                  <c:v>-1.7020294924915524</c:v>
                </c:pt>
                <c:pt idx="25">
                  <c:v>-1.7944429082674462</c:v>
                </c:pt>
                <c:pt idx="26">
                  <c:v>-1.9578223696232411</c:v>
                </c:pt>
                <c:pt idx="27">
                  <c:v>-2.061597899827794</c:v>
                </c:pt>
                <c:pt idx="28">
                  <c:v>-2.1852609092698261</c:v>
                </c:pt>
                <c:pt idx="29">
                  <c:v>-2.3242576033461027</c:v>
                </c:pt>
                <c:pt idx="30">
                  <c:v>-2.4738483419441626</c:v>
                </c:pt>
                <c:pt idx="31">
                  <c:v>-2.627676645924093</c:v>
                </c:pt>
                <c:pt idx="32">
                  <c:v>-2.7810327198636631</c:v>
                </c:pt>
                <c:pt idx="33">
                  <c:v>-2.9289825730295149</c:v>
                </c:pt>
                <c:pt idx="34">
                  <c:v>-3.0668529015785984</c:v>
                </c:pt>
                <c:pt idx="35">
                  <c:v>-2.9328188485966744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000"/>
              <a:t>Inflation</a:t>
            </a:r>
          </a:p>
        </c:rich>
      </c:tx>
      <c:layout>
        <c:manualLayout>
          <c:xMode val="edge"/>
          <c:yMode val="edge"/>
          <c:x val="0.44514160240616385"/>
          <c:y val="3.772455267690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74127524830379787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Données!$B$59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Données!$C$59:$AL$59</c:f>
              <c:numCache>
                <c:formatCode>#\ ##0.0</c:formatCode>
                <c:ptCount val="36"/>
                <c:pt idx="1">
                  <c:v>0</c:v>
                </c:pt>
                <c:pt idx="2">
                  <c:v>2.3559069895370044</c:v>
                </c:pt>
                <c:pt idx="3">
                  <c:v>2.6259026973041388</c:v>
                </c:pt>
                <c:pt idx="4">
                  <c:v>2.1534918860197649</c:v>
                </c:pt>
                <c:pt idx="5">
                  <c:v>1.6503535903516164</c:v>
                </c:pt>
                <c:pt idx="6">
                  <c:v>2.06770032972865</c:v>
                </c:pt>
                <c:pt idx="7">
                  <c:v>2.0954452734150086</c:v>
                </c:pt>
                <c:pt idx="8">
                  <c:v>2.1537908382866178</c:v>
                </c:pt>
                <c:pt idx="9">
                  <c:v>2.1805815584968524</c:v>
                </c:pt>
                <c:pt idx="10">
                  <c:v>2.1435436944966524</c:v>
                </c:pt>
                <c:pt idx="11">
                  <c:v>2.0877571991424704</c:v>
                </c:pt>
                <c:pt idx="12">
                  <c:v>1.9710219582703692</c:v>
                </c:pt>
                <c:pt idx="13">
                  <c:v>1.8230128881647545</c:v>
                </c:pt>
                <c:pt idx="14">
                  <c:v>1.6620703315962659</c:v>
                </c:pt>
                <c:pt idx="15">
                  <c:v>1.4983844124891732</c:v>
                </c:pt>
                <c:pt idx="16">
                  <c:v>1.3336632537135573</c:v>
                </c:pt>
                <c:pt idx="17">
                  <c:v>1.1723376549102049</c:v>
                </c:pt>
                <c:pt idx="18">
                  <c:v>1.0259469564232404</c:v>
                </c:pt>
                <c:pt idx="19">
                  <c:v>0.90100253350466897</c:v>
                </c:pt>
                <c:pt idx="20">
                  <c:v>0.80694612090030926</c:v>
                </c:pt>
                <c:pt idx="21">
                  <c:v>0.73594804339121023</c:v>
                </c:pt>
                <c:pt idx="22">
                  <c:v>0.69243052625937995</c:v>
                </c:pt>
                <c:pt idx="23">
                  <c:v>0.67903188193465525</c:v>
                </c:pt>
                <c:pt idx="24">
                  <c:v>0.70031357200073252</c:v>
                </c:pt>
                <c:pt idx="25">
                  <c:v>0.76816304627755905</c:v>
                </c:pt>
                <c:pt idx="26">
                  <c:v>0.84143216042917857</c:v>
                </c:pt>
                <c:pt idx="27">
                  <c:v>0.93045987923301432</c:v>
                </c:pt>
                <c:pt idx="28">
                  <c:v>1.033456351444717</c:v>
                </c:pt>
                <c:pt idx="29">
                  <c:v>1.1409936050771563</c:v>
                </c:pt>
                <c:pt idx="30">
                  <c:v>1.2510189160704677</c:v>
                </c:pt>
                <c:pt idx="31">
                  <c:v>1.3592102462896438</c:v>
                </c:pt>
                <c:pt idx="32">
                  <c:v>1.4613388782175329</c:v>
                </c:pt>
                <c:pt idx="33">
                  <c:v>1.5536198389976885</c:v>
                </c:pt>
                <c:pt idx="34">
                  <c:v>1.6327104074373544</c:v>
                </c:pt>
                <c:pt idx="35">
                  <c:v>1.6960507548122283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Données!$B$60</c:f>
              <c:strCache>
                <c:ptCount val="1"/>
                <c:pt idx="0">
                  <c:v>NZ50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Données!$C$60:$AL$60</c:f>
              <c:numCache>
                <c:formatCode>#\ ##0.0</c:formatCode>
                <c:ptCount val="36"/>
                <c:pt idx="1">
                  <c:v>1.9812788653327917</c:v>
                </c:pt>
                <c:pt idx="2">
                  <c:v>2.3559070873260257</c:v>
                </c:pt>
                <c:pt idx="3">
                  <c:v>2.6259026947954123</c:v>
                </c:pt>
                <c:pt idx="4">
                  <c:v>2.1534919771086569</c:v>
                </c:pt>
                <c:pt idx="5">
                  <c:v>1.6503534962124755</c:v>
                </c:pt>
                <c:pt idx="6">
                  <c:v>2.0236215939881896</c:v>
                </c:pt>
                <c:pt idx="7">
                  <c:v>2.5805743790018987</c:v>
                </c:pt>
                <c:pt idx="8">
                  <c:v>2.9131948882014758</c:v>
                </c:pt>
                <c:pt idx="9">
                  <c:v>3.3186523065403151</c:v>
                </c:pt>
                <c:pt idx="10">
                  <c:v>3.8117838893119815</c:v>
                </c:pt>
                <c:pt idx="11">
                  <c:v>3.1552081589791614</c:v>
                </c:pt>
                <c:pt idx="12">
                  <c:v>2.8709286894334607</c:v>
                </c:pt>
                <c:pt idx="13">
                  <c:v>2.6386068317066247</c:v>
                </c:pt>
                <c:pt idx="14">
                  <c:v>2.4378818414370063</c:v>
                </c:pt>
                <c:pt idx="15">
                  <c:v>2.2530777987262551</c:v>
                </c:pt>
                <c:pt idx="16">
                  <c:v>2.1549886827500586</c:v>
                </c:pt>
                <c:pt idx="17">
                  <c:v>2.0665867228966794</c:v>
                </c:pt>
                <c:pt idx="18">
                  <c:v>1.9647713152774804</c:v>
                </c:pt>
                <c:pt idx="19">
                  <c:v>1.8381618490410201</c:v>
                </c:pt>
                <c:pt idx="20">
                  <c:v>1.7225456214698287</c:v>
                </c:pt>
                <c:pt idx="21">
                  <c:v>1.5249999779807455</c:v>
                </c:pt>
                <c:pt idx="22">
                  <c:v>1.3896206038889636</c:v>
                </c:pt>
                <c:pt idx="23">
                  <c:v>1.2719730375315486</c:v>
                </c:pt>
                <c:pt idx="24">
                  <c:v>1.1775058401402694</c:v>
                </c:pt>
                <c:pt idx="25">
                  <c:v>1.1333598950795443</c:v>
                </c:pt>
                <c:pt idx="26">
                  <c:v>1.0576262456316154</c:v>
                </c:pt>
                <c:pt idx="27">
                  <c:v>1.0677160859384527</c:v>
                </c:pt>
                <c:pt idx="28">
                  <c:v>1.096752814426627</c:v>
                </c:pt>
                <c:pt idx="29">
                  <c:v>1.1370679684277407</c:v>
                </c:pt>
                <c:pt idx="30">
                  <c:v>1.1881688347209929</c:v>
                </c:pt>
                <c:pt idx="31">
                  <c:v>1.2303133458152926</c:v>
                </c:pt>
                <c:pt idx="32">
                  <c:v>1.3029378263519353</c:v>
                </c:pt>
                <c:pt idx="33">
                  <c:v>1.3779429337316351</c:v>
                </c:pt>
                <c:pt idx="34">
                  <c:v>1.4517147391593044</c:v>
                </c:pt>
                <c:pt idx="35">
                  <c:v>1.5559198919926853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419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Emissions énergétiques</a:t>
            </a:r>
            <a:r>
              <a:rPr lang="fr-FR" baseline="0"/>
              <a:t> (MtCO2)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Données!$B$62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Données!$C$62:$AL$62</c:f>
              <c:numCache>
                <c:formatCode>#,##0</c:formatCode>
                <c:ptCount val="36"/>
                <c:pt idx="0">
                  <c:v>468.5194214</c:v>
                </c:pt>
                <c:pt idx="1">
                  <c:v>470.93611109999995</c:v>
                </c:pt>
                <c:pt idx="2">
                  <c:v>472.06996559999999</c:v>
                </c:pt>
                <c:pt idx="3">
                  <c:v>473.12656670000001</c:v>
                </c:pt>
                <c:pt idx="4">
                  <c:v>477.4343561</c:v>
                </c:pt>
                <c:pt idx="5">
                  <c:v>485.6267072</c:v>
                </c:pt>
                <c:pt idx="6">
                  <c:v>494.38630890000002</c:v>
                </c:pt>
                <c:pt idx="7">
                  <c:v>504.54384759999999</c:v>
                </c:pt>
                <c:pt idx="8">
                  <c:v>515.58266649999996</c:v>
                </c:pt>
                <c:pt idx="9">
                  <c:v>526.81627649999996</c:v>
                </c:pt>
                <c:pt idx="10">
                  <c:v>537.58267460000002</c:v>
                </c:pt>
                <c:pt idx="11">
                  <c:v>548.62977430000001</c:v>
                </c:pt>
                <c:pt idx="12">
                  <c:v>558.90215020000005</c:v>
                </c:pt>
                <c:pt idx="13">
                  <c:v>568.49873300000002</c:v>
                </c:pt>
                <c:pt idx="14">
                  <c:v>577.574298</c:v>
                </c:pt>
                <c:pt idx="15">
                  <c:v>586.32276909999996</c:v>
                </c:pt>
                <c:pt idx="16">
                  <c:v>594.94832029999998</c:v>
                </c:pt>
                <c:pt idx="17">
                  <c:v>603.71785670000008</c:v>
                </c:pt>
                <c:pt idx="18">
                  <c:v>612.76507070000002</c:v>
                </c:pt>
                <c:pt idx="19">
                  <c:v>622.22028490000002</c:v>
                </c:pt>
                <c:pt idx="20">
                  <c:v>632.14057279999997</c:v>
                </c:pt>
                <c:pt idx="21">
                  <c:v>642.77029710000011</c:v>
                </c:pt>
                <c:pt idx="22">
                  <c:v>654.23425380000003</c:v>
                </c:pt>
                <c:pt idx="23">
                  <c:v>666.65622829999995</c:v>
                </c:pt>
                <c:pt idx="24">
                  <c:v>680.16061630000002</c:v>
                </c:pt>
                <c:pt idx="25">
                  <c:v>694.65790149999998</c:v>
                </c:pt>
                <c:pt idx="26">
                  <c:v>706.65853340000001</c:v>
                </c:pt>
                <c:pt idx="27">
                  <c:v>718.29791890000001</c:v>
                </c:pt>
                <c:pt idx="28">
                  <c:v>730.51900550000005</c:v>
                </c:pt>
                <c:pt idx="29">
                  <c:v>743.5447891</c:v>
                </c:pt>
                <c:pt idx="30">
                  <c:v>757.32271689999993</c:v>
                </c:pt>
                <c:pt idx="31">
                  <c:v>771.71631279999997</c:v>
                </c:pt>
                <c:pt idx="32">
                  <c:v>786.5718134</c:v>
                </c:pt>
                <c:pt idx="33">
                  <c:v>801.73227479999991</c:v>
                </c:pt>
                <c:pt idx="34">
                  <c:v>817.04444979999994</c:v>
                </c:pt>
                <c:pt idx="35">
                  <c:v>832.3574926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77-4536-83C1-10BD609DBC68}"/>
            </c:ext>
          </c:extLst>
        </c:ser>
        <c:ser>
          <c:idx val="1"/>
          <c:order val="1"/>
          <c:tx>
            <c:strRef>
              <c:f>Données!$B$63</c:f>
              <c:strCache>
                <c:ptCount val="1"/>
                <c:pt idx="0">
                  <c:v>NZ50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Données!$C$63:$AL$63</c:f>
              <c:numCache>
                <c:formatCode>#,##0</c:formatCode>
                <c:ptCount val="36"/>
                <c:pt idx="0">
                  <c:v>468.5194444</c:v>
                </c:pt>
                <c:pt idx="1">
                  <c:v>470.93613389999996</c:v>
                </c:pt>
                <c:pt idx="2">
                  <c:v>472.0699879</c:v>
                </c:pt>
                <c:pt idx="3">
                  <c:v>473.1265884</c:v>
                </c:pt>
                <c:pt idx="4">
                  <c:v>477.43437779999999</c:v>
                </c:pt>
                <c:pt idx="5">
                  <c:v>485.62672930000002</c:v>
                </c:pt>
                <c:pt idx="6">
                  <c:v>492.4320831</c:v>
                </c:pt>
                <c:pt idx="7">
                  <c:v>498.14458880000001</c:v>
                </c:pt>
                <c:pt idx="8">
                  <c:v>501.90355210000001</c:v>
                </c:pt>
                <c:pt idx="9">
                  <c:v>503.57451029999999</c:v>
                </c:pt>
                <c:pt idx="10">
                  <c:v>501.63896370000003</c:v>
                </c:pt>
                <c:pt idx="11">
                  <c:v>502.20913489999998</c:v>
                </c:pt>
                <c:pt idx="12">
                  <c:v>504.16825820000003</c:v>
                </c:pt>
                <c:pt idx="13">
                  <c:v>507.21094830000004</c:v>
                </c:pt>
                <c:pt idx="14">
                  <c:v>510.98890219999998</c:v>
                </c:pt>
                <c:pt idx="15">
                  <c:v>515.29096630000004</c:v>
                </c:pt>
                <c:pt idx="16">
                  <c:v>518.1054345</c:v>
                </c:pt>
                <c:pt idx="17">
                  <c:v>520.61940079999999</c:v>
                </c:pt>
                <c:pt idx="18">
                  <c:v>521.71575480000001</c:v>
                </c:pt>
                <c:pt idx="19">
                  <c:v>519.45196899999996</c:v>
                </c:pt>
                <c:pt idx="20">
                  <c:v>516.27897129999997</c:v>
                </c:pt>
                <c:pt idx="21">
                  <c:v>512.69811679999998</c:v>
                </c:pt>
                <c:pt idx="22">
                  <c:v>508.88041139999996</c:v>
                </c:pt>
                <c:pt idx="23">
                  <c:v>505.01095592999997</c:v>
                </c:pt>
                <c:pt idx="24">
                  <c:v>501.31580913000005</c:v>
                </c:pt>
                <c:pt idx="25">
                  <c:v>498.07063697000001</c:v>
                </c:pt>
                <c:pt idx="26">
                  <c:v>493.23894745999996</c:v>
                </c:pt>
                <c:pt idx="27">
                  <c:v>488.74433155000003</c:v>
                </c:pt>
                <c:pt idx="28">
                  <c:v>485.09170662999998</c:v>
                </c:pt>
                <c:pt idx="29">
                  <c:v>482.37324584999999</c:v>
                </c:pt>
                <c:pt idx="30">
                  <c:v>480.53300274000003</c:v>
                </c:pt>
                <c:pt idx="31">
                  <c:v>479.57015252999997</c:v>
                </c:pt>
                <c:pt idx="32">
                  <c:v>479.39533313999999</c:v>
                </c:pt>
                <c:pt idx="33">
                  <c:v>479.91644370000006</c:v>
                </c:pt>
                <c:pt idx="34">
                  <c:v>481.05128486000001</c:v>
                </c:pt>
                <c:pt idx="35">
                  <c:v>483.29300353000002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77-4536-83C1-10BD609DB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pts de VA)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Données!$B$82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Données!$C$82:$E$82</c:f>
              <c:numCache>
                <c:formatCode>#,##0</c:formatCode>
                <c:ptCount val="3"/>
                <c:pt idx="0">
                  <c:v>-0.13115633648936628</c:v>
                </c:pt>
                <c:pt idx="1">
                  <c:v>-0.1040885307676479</c:v>
                </c:pt>
                <c:pt idx="2">
                  <c:v>-0.18700606060080407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Données!$B$83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Données!$C$83:$E$83</c:f>
              <c:numCache>
                <c:formatCode>#,##0</c:formatCode>
                <c:ptCount val="3"/>
                <c:pt idx="0">
                  <c:v>-34.956943312520053</c:v>
                </c:pt>
                <c:pt idx="1">
                  <c:v>-44.338585707925347</c:v>
                </c:pt>
                <c:pt idx="2">
                  <c:v>-53.780589969367163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Données!$B$84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Données!$C$84:$E$84</c:f>
              <c:numCache>
                <c:formatCode>#,##0</c:formatCode>
                <c:ptCount val="3"/>
                <c:pt idx="0">
                  <c:v>-0.78683236362110542</c:v>
                </c:pt>
                <c:pt idx="1">
                  <c:v>-1.0503238407574886</c:v>
                </c:pt>
                <c:pt idx="2">
                  <c:v>-0.97184304778479402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Données!$B$85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Données!$C$85:$E$85</c:f>
              <c:numCache>
                <c:formatCode>#,##0</c:formatCode>
                <c:ptCount val="3"/>
                <c:pt idx="0">
                  <c:v>-49.460981150693321</c:v>
                </c:pt>
                <c:pt idx="1">
                  <c:v>-38.577286186783951</c:v>
                </c:pt>
                <c:pt idx="2">
                  <c:v>-73.731452957526145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Données!$B$86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Données!$C$86:$E$86</c:f>
              <c:numCache>
                <c:formatCode>#,##0</c:formatCode>
                <c:ptCount val="3"/>
                <c:pt idx="0">
                  <c:v>-2.9481309173780702E-2</c:v>
                </c:pt>
                <c:pt idx="1">
                  <c:v>-4.6072931014712118E-2</c:v>
                </c:pt>
                <c:pt idx="2">
                  <c:v>9.4883922849153498E-4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Données!$B$87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Données!$C$81:$E$81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Données!$C$87:$E$87</c:f>
              <c:numCache>
                <c:formatCode>#,##0</c:formatCode>
                <c:ptCount val="3"/>
                <c:pt idx="0">
                  <c:v>121.86564258106894</c:v>
                </c:pt>
                <c:pt idx="1">
                  <c:v>83.185805139957424</c:v>
                </c:pt>
                <c:pt idx="2">
                  <c:v>184.49316903809742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Données!$B$90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Données!$C$90:$E$90</c:f>
              <c:numCache>
                <c:formatCode>0.0%</c:formatCode>
                <c:ptCount val="3"/>
                <c:pt idx="0">
                  <c:v>-7.0576667080339939E-2</c:v>
                </c:pt>
                <c:pt idx="1">
                  <c:v>-5.5772738979832148E-2</c:v>
                </c:pt>
                <c:pt idx="2">
                  <c:v>-9.9064633816349446E-2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Données!$B$91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Données!$C$91:$E$91</c:f>
              <c:numCache>
                <c:formatCode>0.0%</c:formatCode>
                <c:ptCount val="3"/>
                <c:pt idx="0">
                  <c:v>-3.2901772761104398E-2</c:v>
                </c:pt>
                <c:pt idx="1">
                  <c:v>-4.0150032619743259E-2</c:v>
                </c:pt>
                <c:pt idx="2">
                  <c:v>-4.4657253340853686E-2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Données!$B$92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Données!$C$92:$E$92</c:f>
              <c:numCache>
                <c:formatCode>0.0%</c:formatCode>
                <c:ptCount val="3"/>
                <c:pt idx="0">
                  <c:v>-5.5451318855167075E-2</c:v>
                </c:pt>
                <c:pt idx="1">
                  <c:v>-7.8132635274697826E-2</c:v>
                </c:pt>
                <c:pt idx="2">
                  <c:v>-7.3932768198201937E-2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Données!$B$93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Données!$C$93:$E$93</c:f>
              <c:numCache>
                <c:formatCode>0.0%</c:formatCode>
                <c:ptCount val="3"/>
                <c:pt idx="0">
                  <c:v>-1.506857918600879E-2</c:v>
                </c:pt>
                <c:pt idx="1">
                  <c:v>-1.1507891387866231E-2</c:v>
                </c:pt>
                <c:pt idx="2">
                  <c:v>-2.259914649650907E-2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Données!$B$94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Données!$C$94:$E$94</c:f>
              <c:numCache>
                <c:formatCode>0.0%</c:formatCode>
                <c:ptCount val="3"/>
                <c:pt idx="0">
                  <c:v>0.27969914394336137</c:v>
                </c:pt>
                <c:pt idx="1">
                  <c:v>0.48868910304354785</c:v>
                </c:pt>
                <c:pt idx="2">
                  <c:v>-1.0174020900482694E-2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Données!$B$95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Données!$C$89:$E$89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Données!$C$95:$E$95</c:f>
              <c:numCache>
                <c:formatCode>0.0%</c:formatCode>
                <c:ptCount val="3"/>
                <c:pt idx="0">
                  <c:v>-8.6468176617967352E-2</c:v>
                </c:pt>
                <c:pt idx="1">
                  <c:v>-0.12431393792885503</c:v>
                </c:pt>
                <c:pt idx="2">
                  <c:v>-0.1838707413829842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0.00879</cdr:x>
      <cdr:y>0.03443</cdr:y>
    </cdr:from>
    <cdr:to>
      <cdr:x>0.15528</cdr:x>
      <cdr:y>0.0988</cdr:y>
    </cdr:to>
    <cdr:sp macro="" textlink="">
      <cdr:nvSpPr>
        <cdr:cNvPr id="3" name="ZoneTexte 2"/>
        <cdr:cNvSpPr txBox="1"/>
      </cdr:nvSpPr>
      <cdr:spPr>
        <a:xfrm xmlns:a="http://schemas.openxmlformats.org/drawingml/2006/main">
          <a:off x="81619" y="208637"/>
          <a:ext cx="1360767" cy="39006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100"/>
            <a:t>%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1-11-29_23-23-09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85">
          <cell r="F485">
            <v>129.1535825</v>
          </cell>
          <cell r="G485">
            <v>128.3247896</v>
          </cell>
          <cell r="H485">
            <v>126.5259884</v>
          </cell>
          <cell r="I485">
            <v>124.69487650000001</v>
          </cell>
          <cell r="J485">
            <v>124.0459676</v>
          </cell>
          <cell r="K485">
            <v>124.3128143</v>
          </cell>
          <cell r="L485">
            <v>124.2179098</v>
          </cell>
          <cell r="M485">
            <v>123.8038945</v>
          </cell>
          <cell r="N485">
            <v>122.87195850000001</v>
          </cell>
          <cell r="O485">
            <v>121.61891369999999</v>
          </cell>
          <cell r="P485">
            <v>119.82359150000001</v>
          </cell>
          <cell r="Q485">
            <v>119.0431751</v>
          </cell>
          <cell r="R485">
            <v>118.7618226</v>
          </cell>
          <cell r="S485">
            <v>118.712621</v>
          </cell>
          <cell r="T485">
            <v>118.74822519999999</v>
          </cell>
          <cell r="U485">
            <v>118.7897083</v>
          </cell>
          <cell r="V485">
            <v>118.23273349999999</v>
          </cell>
          <cell r="W485">
            <v>117.5045145</v>
          </cell>
          <cell r="X485">
            <v>116.165829</v>
          </cell>
          <cell r="Y485">
            <v>113.3011085</v>
          </cell>
          <cell r="Z485">
            <v>110.0413186</v>
          </cell>
          <cell r="AA485">
            <v>106.5302126</v>
          </cell>
          <cell r="AB485">
            <v>102.7780114</v>
          </cell>
          <cell r="AC485">
            <v>98.821659330000003</v>
          </cell>
          <cell r="AD485">
            <v>94.715422329999996</v>
          </cell>
          <cell r="AE485">
            <v>90.471192270000003</v>
          </cell>
          <cell r="AF485">
            <v>86.249205959999998</v>
          </cell>
          <cell r="AG485">
            <v>82.091808150000006</v>
          </cell>
          <cell r="AH485">
            <v>78.027489130000006</v>
          </cell>
          <cell r="AI485">
            <v>74.094215950000006</v>
          </cell>
          <cell r="AJ485">
            <v>70.328399340000004</v>
          </cell>
          <cell r="AK485">
            <v>66.784479529999999</v>
          </cell>
          <cell r="AL485">
            <v>63.475408539999997</v>
          </cell>
          <cell r="AM485">
            <v>60.413631600000002</v>
          </cell>
          <cell r="AN485">
            <v>57.608388660000003</v>
          </cell>
          <cell r="AO485">
            <v>55.067640730000001</v>
          </cell>
        </row>
        <row r="857">
          <cell r="F857">
            <v>339.36586190000003</v>
          </cell>
          <cell r="G857">
            <v>342.61134429999998</v>
          </cell>
          <cell r="H857">
            <v>345.54399949999998</v>
          </cell>
          <cell r="I857">
            <v>348.43171189999998</v>
          </cell>
          <cell r="J857">
            <v>353.38841020000001</v>
          </cell>
          <cell r="K857">
            <v>361.31391500000001</v>
          </cell>
          <cell r="L857">
            <v>368.21417330000003</v>
          </cell>
          <cell r="M857">
            <v>374.3406943</v>
          </cell>
          <cell r="N857">
            <v>379.03159360000001</v>
          </cell>
          <cell r="O857">
            <v>381.95559659999998</v>
          </cell>
          <cell r="P857">
            <v>381.81537220000001</v>
          </cell>
          <cell r="Q857">
            <v>383.1659598</v>
          </cell>
          <cell r="R857">
            <v>385.40643560000001</v>
          </cell>
          <cell r="S857">
            <v>388.49832730000003</v>
          </cell>
          <cell r="T857">
            <v>392.24067700000001</v>
          </cell>
          <cell r="U857">
            <v>396.50125800000001</v>
          </cell>
          <cell r="V857">
            <v>399.87270100000001</v>
          </cell>
          <cell r="W857">
            <v>403.11488630000002</v>
          </cell>
          <cell r="X857">
            <v>405.54992579999998</v>
          </cell>
          <cell r="Y857">
            <v>406.15086050000002</v>
          </cell>
          <cell r="Z857">
            <v>406.23765270000001</v>
          </cell>
          <cell r="AA857">
            <v>406.16790420000001</v>
          </cell>
          <cell r="AB857">
            <v>406.10239999999999</v>
          </cell>
          <cell r="AC857">
            <v>406.18929659999998</v>
          </cell>
          <cell r="AD857">
            <v>406.60038680000002</v>
          </cell>
          <cell r="AE857">
            <v>407.59944469999999</v>
          </cell>
          <cell r="AF857">
            <v>406.98974149999998</v>
          </cell>
          <cell r="AG857">
            <v>406.65252340000001</v>
          </cell>
          <cell r="AH857">
            <v>407.06421749999998</v>
          </cell>
          <cell r="AI857">
            <v>408.27902990000001</v>
          </cell>
          <cell r="AJ857">
            <v>410.2046034</v>
          </cell>
          <cell r="AK857">
            <v>412.78567299999997</v>
          </cell>
          <cell r="AL857">
            <v>415.9199246</v>
          </cell>
          <cell r="AM857">
            <v>419.50281210000003</v>
          </cell>
          <cell r="AN857">
            <v>423.44289620000001</v>
          </cell>
          <cell r="AO857">
            <v>428.22536280000003</v>
          </cell>
        </row>
        <row r="911">
          <cell r="F911">
            <v>129.1535753</v>
          </cell>
          <cell r="G911">
            <v>128.32478269999999</v>
          </cell>
          <cell r="H911">
            <v>126.5259818</v>
          </cell>
          <cell r="I911">
            <v>124.6948702</v>
          </cell>
          <cell r="J911">
            <v>124.0459614</v>
          </cell>
          <cell r="K911">
            <v>124.312808</v>
          </cell>
          <cell r="L911">
            <v>124.22998130000001</v>
          </cell>
          <cell r="M911">
            <v>124.45909469999999</v>
          </cell>
          <cell r="N911">
            <v>124.8290913</v>
          </cell>
          <cell r="O911">
            <v>125.27087090000001</v>
          </cell>
          <cell r="P911">
            <v>125.7881747</v>
          </cell>
          <cell r="Q911">
            <v>126.2823205</v>
          </cell>
          <cell r="R911">
            <v>126.7470869</v>
          </cell>
          <cell r="S911">
            <v>127.1745736</v>
          </cell>
          <cell r="T911">
            <v>127.5573481</v>
          </cell>
          <cell r="U911">
            <v>127.8904659</v>
          </cell>
          <cell r="V911">
            <v>128.17193030000001</v>
          </cell>
          <cell r="W911">
            <v>128.40083720000001</v>
          </cell>
          <cell r="X911">
            <v>128.5814699</v>
          </cell>
          <cell r="Y911">
            <v>128.71909500000001</v>
          </cell>
          <cell r="Z911">
            <v>128.79190560000001</v>
          </cell>
          <cell r="AA911">
            <v>128.8539265</v>
          </cell>
          <cell r="AB911">
            <v>128.9067948</v>
          </cell>
          <cell r="AC911">
            <v>128.95657249999999</v>
          </cell>
          <cell r="AD911">
            <v>129.0109453</v>
          </cell>
          <cell r="AE911">
            <v>128.9988128</v>
          </cell>
          <cell r="AF911">
            <v>129.01184459999999</v>
          </cell>
          <cell r="AG911">
            <v>129.0522502</v>
          </cell>
          <cell r="AH911">
            <v>129.125349</v>
          </cell>
          <cell r="AI911">
            <v>129.23752110000001</v>
          </cell>
          <cell r="AJ911">
            <v>129.3937487</v>
          </cell>
          <cell r="AK911">
            <v>129.59644489999999</v>
          </cell>
          <cell r="AL911">
            <v>129.8453499</v>
          </cell>
          <cell r="AM911">
            <v>130.1357611</v>
          </cell>
          <cell r="AN911">
            <v>130.462603</v>
          </cell>
          <cell r="AO911">
            <v>130.81959420000001</v>
          </cell>
        </row>
        <row r="1283">
          <cell r="F1283">
            <v>339.3658461</v>
          </cell>
          <cell r="G1283">
            <v>342.61132839999999</v>
          </cell>
          <cell r="H1283">
            <v>345.54398379999998</v>
          </cell>
          <cell r="I1283">
            <v>348.43169649999999</v>
          </cell>
          <cell r="J1283">
            <v>353.38839469999999</v>
          </cell>
          <cell r="K1283">
            <v>361.31389919999998</v>
          </cell>
          <cell r="L1283">
            <v>370.1563276</v>
          </cell>
          <cell r="M1283">
            <v>380.08475290000001</v>
          </cell>
          <cell r="N1283">
            <v>390.7535752</v>
          </cell>
          <cell r="O1283">
            <v>401.54540559999998</v>
          </cell>
          <cell r="P1283">
            <v>411.79449990000001</v>
          </cell>
          <cell r="Q1283">
            <v>422.34745379999998</v>
          </cell>
          <cell r="R1283">
            <v>432.15506329999999</v>
          </cell>
          <cell r="S1283">
            <v>441.32415939999998</v>
          </cell>
          <cell r="T1283">
            <v>450.01694989999999</v>
          </cell>
          <cell r="U1283">
            <v>458.43230319999998</v>
          </cell>
          <cell r="V1283">
            <v>466.77638999999999</v>
          </cell>
          <cell r="W1283">
            <v>475.31701950000001</v>
          </cell>
          <cell r="X1283">
            <v>484.18360080000002</v>
          </cell>
          <cell r="Y1283">
            <v>493.50118989999999</v>
          </cell>
          <cell r="Z1283">
            <v>503.34866720000002</v>
          </cell>
          <cell r="AA1283">
            <v>513.91637060000005</v>
          </cell>
          <cell r="AB1283">
            <v>525.32745899999998</v>
          </cell>
          <cell r="AC1283">
            <v>537.69965579999996</v>
          </cell>
          <cell r="AD1283">
            <v>551.14967100000001</v>
          </cell>
          <cell r="AE1283">
            <v>565.65908869999998</v>
          </cell>
          <cell r="AF1283">
            <v>577.64668879999999</v>
          </cell>
          <cell r="AG1283">
            <v>589.24566870000001</v>
          </cell>
          <cell r="AH1283">
            <v>601.39365650000002</v>
          </cell>
          <cell r="AI1283">
            <v>614.30726800000002</v>
          </cell>
          <cell r="AJ1283">
            <v>627.92896819999999</v>
          </cell>
          <cell r="AK1283">
            <v>642.11986790000003</v>
          </cell>
          <cell r="AL1283">
            <v>656.72646350000002</v>
          </cell>
          <cell r="AM1283">
            <v>671.59651369999995</v>
          </cell>
          <cell r="AN1283">
            <v>686.58184679999999</v>
          </cell>
          <cell r="AO1283">
            <v>701.53789840000002</v>
          </cell>
        </row>
        <row r="1365">
          <cell r="C1365" t="str">
            <v>PIB</v>
          </cell>
          <cell r="E1365" t="str">
            <v>100*(GDP_2/GDP_0-1)</v>
          </cell>
          <cell r="F1365">
            <v>0</v>
          </cell>
          <cell r="G1365">
            <v>-4.4746806260320682E-8</v>
          </cell>
          <cell r="H1365">
            <v>0</v>
          </cell>
          <cell r="I1365">
            <v>-4.3125891746598199E-8</v>
          </cell>
          <cell r="J1365">
            <v>0</v>
          </cell>
          <cell r="K1365">
            <v>-4.123271724054689E-8</v>
          </cell>
          <cell r="L1365">
            <v>-0.2927499764784014</v>
          </cell>
          <cell r="M1365">
            <v>-0.70521911622830613</v>
          </cell>
          <cell r="N1365">
            <v>-1.1821023171661449</v>
          </cell>
          <cell r="O1365">
            <v>-1.6590479386212942</v>
          </cell>
          <cell r="P1365">
            <v>-2.0688171464432803</v>
          </cell>
          <cell r="Q1365">
            <v>-2.3562472336253526</v>
          </cell>
          <cell r="R1365">
            <v>-2.4660560362381734</v>
          </cell>
          <cell r="S1365">
            <v>-2.431994860482678</v>
          </cell>
          <cell r="T1365">
            <v>-2.3098548324147594</v>
          </cell>
          <cell r="U1365">
            <v>-2.1154648863673242</v>
          </cell>
          <cell r="V1365">
            <v>-1.917373081684759</v>
          </cell>
          <cell r="W1365">
            <v>-1.720320103923767</v>
          </cell>
          <cell r="X1365">
            <v>-1.5708213647812386</v>
          </cell>
          <cell r="Y1365">
            <v>-1.4712920753836123</v>
          </cell>
          <cell r="Z1365">
            <v>-1.4265288032801471</v>
          </cell>
          <cell r="AA1365">
            <v>-1.4263668116144324</v>
          </cell>
          <cell r="AB1365">
            <v>-1.4705865442713684</v>
          </cell>
          <cell r="AC1365">
            <v>-1.5624744078178376</v>
          </cell>
          <cell r="AD1365">
            <v>-1.7020294924915524</v>
          </cell>
          <cell r="AE1365">
            <v>-1.7944429082674462</v>
          </cell>
          <cell r="AF1365">
            <v>-1.9578223696232411</v>
          </cell>
          <cell r="AG1365">
            <v>-2.061597899827794</v>
          </cell>
          <cell r="AH1365">
            <v>-2.1852609092698261</v>
          </cell>
          <cell r="AI1365">
            <v>-2.3242576033461027</v>
          </cell>
          <cell r="AJ1365">
            <v>-2.4738483419441626</v>
          </cell>
          <cell r="AK1365">
            <v>-2.627676645924093</v>
          </cell>
          <cell r="AL1365">
            <v>-2.7810327198636631</v>
          </cell>
          <cell r="AM1365">
            <v>-2.9289825730295149</v>
          </cell>
          <cell r="AN1365">
            <v>-3.0668529015785984</v>
          </cell>
          <cell r="AO1365">
            <v>-2.9328188485966744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0</v>
          </cell>
          <cell r="I1366">
            <v>-5.9995319823258342E-8</v>
          </cell>
          <cell r="J1366">
            <v>-5.865450347641854E-8</v>
          </cell>
          <cell r="K1366">
            <v>0</v>
          </cell>
          <cell r="L1366">
            <v>-0.36664480837030888</v>
          </cell>
          <cell r="M1366">
            <v>-0.85380862195784113</v>
          </cell>
          <cell r="N1366">
            <v>-1.4044287566593594</v>
          </cell>
          <cell r="O1366">
            <v>-1.9461383652269792</v>
          </cell>
          <cell r="P1366">
            <v>-2.4013511843612112</v>
          </cell>
          <cell r="Q1366">
            <v>-2.7272643832760846</v>
          </cell>
          <cell r="R1366">
            <v>-2.8633532132812611</v>
          </cell>
          <cell r="S1366">
            <v>-2.8446374537453578</v>
          </cell>
          <cell r="T1366">
            <v>-2.7317225913569554</v>
          </cell>
          <cell r="U1366">
            <v>-2.5377169829016943</v>
          </cell>
          <cell r="V1366">
            <v>-2.3426405613947821</v>
          </cell>
          <cell r="W1366">
            <v>-2.144723043968122</v>
          </cell>
          <cell r="X1366">
            <v>-2.0020535414274176</v>
          </cell>
          <cell r="Y1366">
            <v>-1.9196425779329451</v>
          </cell>
          <cell r="Z1366">
            <v>-1.8999342789003837</v>
          </cell>
          <cell r="AA1366">
            <v>-1.9304551316566387</v>
          </cell>
          <cell r="AB1366">
            <v>-2.0099263743940665</v>
          </cell>
          <cell r="AC1366">
            <v>-2.1411981497415411</v>
          </cell>
          <cell r="AD1366">
            <v>-2.323456261509127</v>
          </cell>
          <cell r="AE1366">
            <v>-2.4403656605814894</v>
          </cell>
          <cell r="AF1366">
            <v>-2.6383682123967023</v>
          </cell>
          <cell r="AG1366">
            <v>-2.7568760463372421</v>
          </cell>
          <cell r="AH1366">
            <v>-2.8979902595239748</v>
          </cell>
          <cell r="AI1366">
            <v>-3.0551903792727764</v>
          </cell>
          <cell r="AJ1366">
            <v>-3.222532848042936</v>
          </cell>
          <cell r="AK1366">
            <v>-3.3922943314521947</v>
          </cell>
          <cell r="AL1366">
            <v>-3.558889047734981</v>
          </cell>
          <cell r="AM1366">
            <v>-3.717051340452171</v>
          </cell>
          <cell r="AN1366">
            <v>-3.8621289222077859</v>
          </cell>
          <cell r="AO1366">
            <v>-3.6795602213914536</v>
          </cell>
        </row>
        <row r="1367">
          <cell r="C1367" t="str">
            <v>Consommation des ménages</v>
          </cell>
          <cell r="E1367" t="str">
            <v>100*((CH_2-CH_0)/GDP_0)</v>
          </cell>
          <cell r="F1367">
            <v>0</v>
          </cell>
          <cell r="G1367">
            <v>-4.4746796159249835E-8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-5.0484433733654605E-2</v>
          </cell>
          <cell r="M1367">
            <v>-0.23897608108033266</v>
          </cell>
          <cell r="N1367">
            <v>-0.50676335633709335</v>
          </cell>
          <cell r="O1367">
            <v>-0.79656403687873989</v>
          </cell>
          <cell r="P1367">
            <v>-1.0621513546100829</v>
          </cell>
          <cell r="Q1367">
            <v>-1.1953748280409715</v>
          </cell>
          <cell r="R1367">
            <v>-1.1498366166739282</v>
          </cell>
          <cell r="S1367">
            <v>-0.97084133537776829</v>
          </cell>
          <cell r="T1367">
            <v>-0.7124850593230756</v>
          </cell>
          <cell r="U1367">
            <v>-0.40943489419532136</v>
          </cell>
          <cell r="V1367">
            <v>-0.10164128249214599</v>
          </cell>
          <cell r="W1367">
            <v>0.18358286599594445</v>
          </cell>
          <cell r="X1367">
            <v>0.43721771127796805</v>
          </cell>
          <cell r="Y1367">
            <v>0.65808328055915166</v>
          </cell>
          <cell r="Z1367">
            <v>0.84661124765792639</v>
          </cell>
          <cell r="AA1367">
            <v>1.004006197305348</v>
          </cell>
          <cell r="AB1367">
            <v>1.1240798465099775</v>
          </cell>
          <cell r="AC1367">
            <v>1.1996672640735939</v>
          </cell>
          <cell r="AD1367">
            <v>1.2270389645862545</v>
          </cell>
          <cell r="AE1367">
            <v>1.2233772019412337</v>
          </cell>
          <cell r="AF1367">
            <v>1.1801292413682651</v>
          </cell>
          <cell r="AG1367">
            <v>1.1070696475056439</v>
          </cell>
          <cell r="AH1367">
            <v>1.0090001805690305</v>
          </cell>
          <cell r="AI1367">
            <v>0.88932733156104893</v>
          </cell>
          <cell r="AJ1367">
            <v>0.75136273386635211</v>
          </cell>
          <cell r="AK1367">
            <v>0.5970639393581616</v>
          </cell>
          <cell r="AL1367">
            <v>0.42875220593488023</v>
          </cell>
          <cell r="AM1367">
            <v>0.25180316172432343</v>
          </cell>
          <cell r="AN1367">
            <v>7.3180134516068335E-2</v>
          </cell>
          <cell r="AO1367">
            <v>-5.2152946233655455E-2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0</v>
          </cell>
          <cell r="H1368">
            <v>4.3945284218538507E-10</v>
          </cell>
          <cell r="I1368">
            <v>1.2937762806634289E-9</v>
          </cell>
          <cell r="J1368">
            <v>1.6893988702617383E-9</v>
          </cell>
          <cell r="K1368">
            <v>2.0616358420760997E-9</v>
          </cell>
          <cell r="L1368">
            <v>-6.1681372105185286E-3</v>
          </cell>
          <cell r="M1368">
            <v>-4.7759458563797062E-2</v>
          </cell>
          <cell r="N1368">
            <v>-0.10046645528485521</v>
          </cell>
          <cell r="O1368">
            <v>-0.15417557531405127</v>
          </cell>
          <cell r="P1368">
            <v>-0.2120763949247215</v>
          </cell>
          <cell r="Q1368">
            <v>-0.18549971425017789</v>
          </cell>
          <cell r="R1368">
            <v>-0.12366219067783642</v>
          </cell>
          <cell r="S1368">
            <v>-6.199902753984373E-2</v>
          </cell>
          <cell r="T1368">
            <v>-1.3572742062027156E-2</v>
          </cell>
          <cell r="U1368">
            <v>2.0834468771803234E-2</v>
          </cell>
          <cell r="V1368">
            <v>3.5299911958034322E-2</v>
          </cell>
          <cell r="W1368">
            <v>3.3928929542388186E-2</v>
          </cell>
          <cell r="X1368">
            <v>2.3009631270974912E-2</v>
          </cell>
          <cell r="Y1368">
            <v>9.5404982184033055E-3</v>
          </cell>
          <cell r="Z1368">
            <v>-4.6823187694187982E-3</v>
          </cell>
          <cell r="AA1368">
            <v>-1.0108478961064401E-2</v>
          </cell>
          <cell r="AB1368">
            <v>-1.3854670077656931E-2</v>
          </cell>
          <cell r="AC1368">
            <v>-1.9105441758463512E-2</v>
          </cell>
          <cell r="AD1368">
            <v>-2.6317652736300341E-2</v>
          </cell>
          <cell r="AE1368">
            <v>-3.3554206486806064E-2</v>
          </cell>
          <cell r="AF1368">
            <v>-3.6919754209475707E-2</v>
          </cell>
          <cell r="AG1368">
            <v>-3.9184831668374373E-2</v>
          </cell>
          <cell r="AH1368">
            <v>-4.1528601720105189E-2</v>
          </cell>
          <cell r="AI1368">
            <v>-4.3980741129015802E-2</v>
          </cell>
          <cell r="AJ1368">
            <v>-4.6410793910893471E-2</v>
          </cell>
          <cell r="AK1368">
            <v>-4.7165933072596582E-2</v>
          </cell>
          <cell r="AL1368">
            <v>-4.8150242952886696E-2</v>
          </cell>
          <cell r="AM1368">
            <v>-4.9785113190898234E-2</v>
          </cell>
          <cell r="AN1368">
            <v>-5.1812017413547996E-2</v>
          </cell>
          <cell r="AO1368">
            <v>-4.9702425405816243E-2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C1370" t="str">
            <v>Investissement</v>
          </cell>
          <cell r="E1370" t="str">
            <v>100*((I_2-I_0)/GDP_0)</v>
          </cell>
          <cell r="F1370">
            <v>0</v>
          </cell>
          <cell r="G1370">
            <v>0</v>
          </cell>
          <cell r="H1370">
            <v>-4.394533537763968E-9</v>
          </cell>
          <cell r="I1370">
            <v>-4.312588438963675E-9</v>
          </cell>
          <cell r="J1370">
            <v>-4.2234974829542177E-9</v>
          </cell>
          <cell r="K1370">
            <v>-8.2465433683043987E-9</v>
          </cell>
          <cell r="L1370">
            <v>-3.7494796878281E-2</v>
          </cell>
          <cell r="M1370">
            <v>-0.12596485599997009</v>
          </cell>
          <cell r="N1370">
            <v>-0.24941997004595168</v>
          </cell>
          <cell r="O1370">
            <v>-0.39565698545344052</v>
          </cell>
          <cell r="P1370">
            <v>-0.55396778160349747</v>
          </cell>
          <cell r="Q1370">
            <v>-0.68648980386899383</v>
          </cell>
          <cell r="R1370">
            <v>-0.77781738852418181</v>
          </cell>
          <cell r="S1370">
            <v>-0.82829697349332243</v>
          </cell>
          <cell r="T1370">
            <v>-0.84655375861297666</v>
          </cell>
          <cell r="U1370">
            <v>-0.83294444014863289</v>
          </cell>
          <cell r="V1370">
            <v>-0.81853331834018606</v>
          </cell>
          <cell r="W1370">
            <v>-0.79807432258304567</v>
          </cell>
          <cell r="X1370">
            <v>-0.78084844776038631</v>
          </cell>
          <cell r="Y1370">
            <v>-0.77030062741948924</v>
          </cell>
          <cell r="Z1370">
            <v>-0.76730458362946441</v>
          </cell>
          <cell r="AA1370">
            <v>-0.7671145199615772</v>
          </cell>
          <cell r="AB1370">
            <v>-0.76926836091950157</v>
          </cell>
          <cell r="AC1370">
            <v>-0.7743216080559554</v>
          </cell>
          <cell r="AD1370">
            <v>-0.78277631273451276</v>
          </cell>
          <cell r="AE1370">
            <v>-0.7663227469342655</v>
          </cell>
          <cell r="AF1370">
            <v>-0.77199096831070713</v>
          </cell>
          <cell r="AG1370">
            <v>-0.75898286570832729</v>
          </cell>
          <cell r="AH1370">
            <v>-0.73833752357967009</v>
          </cell>
          <cell r="AI1370">
            <v>-0.71622773309601795</v>
          </cell>
          <cell r="AJ1370">
            <v>-0.69536008377713887</v>
          </cell>
          <cell r="AK1370">
            <v>-0.67604969244222202</v>
          </cell>
          <cell r="AL1370">
            <v>-0.659431486886632</v>
          </cell>
          <cell r="AM1370">
            <v>-0.64575097978339935</v>
          </cell>
          <cell r="AN1370">
            <v>-0.63479553084361884</v>
          </cell>
          <cell r="AO1370">
            <v>-0.54500095403238735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C1372" t="str">
            <v>Exportations nettes</v>
          </cell>
          <cell r="E1372" t="str">
            <v>100*((X_2-X_0)/GDP_0)-100*((M_2-M_0)/GDP_0)</v>
          </cell>
          <cell r="F1372">
            <v>-4.5536098496398781E-9</v>
          </cell>
          <cell r="G1372">
            <v>-4.4746775322397698E-9</v>
          </cell>
          <cell r="H1372">
            <v>-8.7890619596178201E-9</v>
          </cell>
          <cell r="I1372">
            <v>-8.62517687792735E-9</v>
          </cell>
          <cell r="J1372">
            <v>-8.4469949659084355E-9</v>
          </cell>
          <cell r="K1372">
            <v>-1.6493086736608797E-8</v>
          </cell>
          <cell r="L1372">
            <v>-0.20477070562181032</v>
          </cell>
          <cell r="M1372">
            <v>-0.34027816736650618</v>
          </cell>
          <cell r="N1372">
            <v>-0.42591899078309226</v>
          </cell>
          <cell r="O1372">
            <v>-0.46682690880526989</v>
          </cell>
          <cell r="P1372">
            <v>-0.45269800290890794</v>
          </cell>
          <cell r="Q1372">
            <v>-0.47438259454065546</v>
          </cell>
          <cell r="R1372">
            <v>-0.53840198173407616</v>
          </cell>
          <cell r="S1372">
            <v>-0.63285653429836641</v>
          </cell>
          <cell r="T1372">
            <v>-0.75081602811221682</v>
          </cell>
          <cell r="U1372">
            <v>-0.87308554866568644</v>
          </cell>
          <cell r="V1372">
            <v>-0.99719846761473796</v>
          </cell>
          <cell r="W1372">
            <v>-1.1058286473366703</v>
          </cell>
          <cell r="X1372">
            <v>-1.2271906475957646</v>
          </cell>
          <cell r="Y1372">
            <v>-1.359074699996075</v>
          </cell>
          <cell r="Z1372">
            <v>-1.5058355141552131</v>
          </cell>
          <cell r="AA1372">
            <v>-1.6632584735805624</v>
          </cell>
          <cell r="AB1372">
            <v>-1.8253980056471444</v>
          </cell>
          <cell r="AC1372">
            <v>-1.9878200310887832</v>
          </cell>
          <cell r="AD1372">
            <v>-2.1462921238613655</v>
          </cell>
          <cell r="AE1372">
            <v>-2.2514973603994268</v>
          </cell>
          <cell r="AF1372">
            <v>-2.3659606539733433</v>
          </cell>
          <cell r="AG1372">
            <v>-2.4096846677703692</v>
          </cell>
          <cell r="AH1372">
            <v>-2.4559235581035708</v>
          </cell>
          <cell r="AI1372">
            <v>-2.4973571964789127</v>
          </cell>
          <cell r="AJ1372">
            <v>-2.5298510051032661</v>
          </cell>
          <cell r="AK1372">
            <v>-2.5486908774652148</v>
          </cell>
          <cell r="AL1372">
            <v>-2.5503534137928661</v>
          </cell>
          <cell r="AM1372">
            <v>-2.5350347549704511</v>
          </cell>
          <cell r="AN1372">
            <v>-2.5052375535459426</v>
          </cell>
          <cell r="AO1372">
            <v>-2.3356649483306464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-4.4299324759576732E-8</v>
          </cell>
          <cell r="H1373">
            <v>4.3944644729773786E-10</v>
          </cell>
          <cell r="I1373">
            <v>4.312520662031805E-10</v>
          </cell>
          <cell r="J1373">
            <v>0</v>
          </cell>
          <cell r="K1373">
            <v>4.1232068825352648E-10</v>
          </cell>
          <cell r="L1373">
            <v>-4.9842794971900174E-2</v>
          </cell>
          <cell r="M1373">
            <v>-0.2351086949431995</v>
          </cell>
          <cell r="N1373">
            <v>-0.49760161527763874</v>
          </cell>
          <cell r="O1373">
            <v>-0.78102251471655937</v>
          </cell>
          <cell r="P1373">
            <v>-1.0399506861128531</v>
          </cell>
          <cell r="Q1373">
            <v>-1.1688113391780068</v>
          </cell>
          <cell r="R1373">
            <v>-1.1229724052178689</v>
          </cell>
          <cell r="S1373">
            <v>-0.94695516194238261</v>
          </cell>
          <cell r="T1373">
            <v>-0.69344642453963856</v>
          </cell>
          <cell r="U1373">
            <v>-0.39602486530227465</v>
          </cell>
          <cell r="V1373">
            <v>-9.3658542917819873E-2</v>
          </cell>
          <cell r="W1373">
            <v>0.18698129325223439</v>
          </cell>
          <cell r="X1373">
            <v>0.43700243297813768</v>
          </cell>
          <cell r="Y1373">
            <v>0.65506482883244221</v>
          </cell>
          <cell r="Z1373">
            <v>0.84133595955649143</v>
          </cell>
          <cell r="AA1373">
            <v>0.9967563868773397</v>
          </cell>
          <cell r="AB1373">
            <v>1.1150381246056889</v>
          </cell>
          <cell r="AC1373">
            <v>1.1891287841551077</v>
          </cell>
          <cell r="AD1373">
            <v>1.2154304771419604</v>
          </cell>
          <cell r="AE1373">
            <v>1.2109806785597608</v>
          </cell>
          <cell r="AF1373">
            <v>1.1674369986733542</v>
          </cell>
          <cell r="AG1373">
            <v>1.0945637202957248</v>
          </cell>
          <cell r="AH1373">
            <v>0.99722541950060029</v>
          </cell>
          <cell r="AI1373">
            <v>0.87883725669872859</v>
          </cell>
          <cell r="AJ1373">
            <v>0.74265876128696395</v>
          </cell>
          <cell r="AK1373">
            <v>0.59056468648513993</v>
          </cell>
          <cell r="AL1373">
            <v>0.42481153093424034</v>
          </cell>
          <cell r="AM1373">
            <v>0.25069370305365157</v>
          </cell>
          <cell r="AN1373">
            <v>7.5062221595582623E-2</v>
          </cell>
          <cell r="AO1373">
            <v>-4.786977300551265E-2</v>
          </cell>
        </row>
        <row r="1374">
          <cell r="C1374" t="str">
            <v>Investissement</v>
          </cell>
          <cell r="E1374" t="str">
            <v>100*((I_2+CH_ccon_2-(I_0+CH_ccon_0))/GDP_0)</v>
          </cell>
          <cell r="F1374">
            <v>0</v>
          </cell>
          <cell r="G1374">
            <v>-4.4746619046006658E-10</v>
          </cell>
          <cell r="H1374">
            <v>-4.8339876589268826E-9</v>
          </cell>
          <cell r="I1374">
            <v>-4.7438480359370624E-9</v>
          </cell>
          <cell r="J1374">
            <v>-4.2234950245552409E-9</v>
          </cell>
          <cell r="K1374">
            <v>-8.6588688566776971E-9</v>
          </cell>
          <cell r="L1374">
            <v>-3.8136435640030747E-2</v>
          </cell>
          <cell r="M1374">
            <v>-0.12983224213710326</v>
          </cell>
          <cell r="N1374">
            <v>-0.25858171110540173</v>
          </cell>
          <cell r="O1374">
            <v>-0.41119850761561233</v>
          </cell>
          <cell r="P1374">
            <v>-0.57616845010072304</v>
          </cell>
          <cell r="Q1374">
            <v>-0.7130532927319585</v>
          </cell>
          <cell r="R1374">
            <v>-0.80468159998023714</v>
          </cell>
          <cell r="S1374">
            <v>-0.85218314692870023</v>
          </cell>
          <cell r="T1374">
            <v>-0.8655923933964178</v>
          </cell>
          <cell r="U1374">
            <v>-0.84635446904168343</v>
          </cell>
          <cell r="V1374">
            <v>-0.82651605791450455</v>
          </cell>
          <cell r="W1374">
            <v>-0.8014727498393357</v>
          </cell>
          <cell r="X1374">
            <v>-0.78063316946055605</v>
          </cell>
          <cell r="Y1374">
            <v>-0.76728217569278701</v>
          </cell>
          <cell r="Z1374">
            <v>-0.76202929552802956</v>
          </cell>
          <cell r="AA1374">
            <v>-0.75986470953357244</v>
          </cell>
          <cell r="AB1374">
            <v>-0.76022663901521281</v>
          </cell>
          <cell r="AC1374">
            <v>-0.7637831281374694</v>
          </cell>
          <cell r="AD1374">
            <v>-0.77116782529021533</v>
          </cell>
          <cell r="AE1374">
            <v>-0.75392622355279271</v>
          </cell>
          <cell r="AF1374">
            <v>-0.75929872561579626</v>
          </cell>
          <cell r="AG1374">
            <v>-0.74647693849841146</v>
          </cell>
          <cell r="AH1374">
            <v>-0.72656276251124297</v>
          </cell>
          <cell r="AI1374">
            <v>-0.70573765823369772</v>
          </cell>
          <cell r="AJ1374">
            <v>-0.68665611119775072</v>
          </cell>
          <cell r="AK1374">
            <v>-0.66955043956920324</v>
          </cell>
          <cell r="AL1374">
            <v>-0.65549081188599501</v>
          </cell>
          <cell r="AM1374">
            <v>-0.64464152111272754</v>
          </cell>
          <cell r="AN1374">
            <v>-0.63667761792313882</v>
          </cell>
          <cell r="AO1374">
            <v>-0.54928412726053566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0</v>
          </cell>
          <cell r="H1375">
            <v>-3.9550794166010535E-9</v>
          </cell>
          <cell r="I1375">
            <v>-3.881331352247022E-9</v>
          </cell>
          <cell r="J1375">
            <v>-3.8011469971391033E-9</v>
          </cell>
          <cell r="K1375">
            <v>-8.2465433683043987E-9</v>
          </cell>
          <cell r="L1375">
            <v>-3.7051150184280436E-2</v>
          </cell>
          <cell r="M1375">
            <v>-0.12253205658386568</v>
          </cell>
          <cell r="N1375">
            <v>-0.24134830606206084</v>
          </cell>
          <cell r="O1375">
            <v>-0.38177079707314004</v>
          </cell>
          <cell r="P1375">
            <v>-0.5332724020968922</v>
          </cell>
          <cell r="Q1375">
            <v>-0.66142650255888824</v>
          </cell>
          <cell r="R1375">
            <v>-0.75093381073342091</v>
          </cell>
          <cell r="S1375">
            <v>-0.80158580675269153</v>
          </cell>
          <cell r="T1375">
            <v>-0.82133697038825115</v>
          </cell>
          <cell r="U1375">
            <v>-0.81006925190052237</v>
          </cell>
          <cell r="V1375">
            <v>-0.79813003620522704</v>
          </cell>
          <cell r="W1375">
            <v>-0.77988811802480684</v>
          </cell>
          <cell r="X1375">
            <v>-0.7645253881732208</v>
          </cell>
          <cell r="Y1375">
            <v>-0.75562110377332381</v>
          </cell>
          <cell r="Z1375">
            <v>-0.75419276394200963</v>
          </cell>
          <cell r="AA1375">
            <v>-0.75591044438076616</v>
          </cell>
          <cell r="AB1375">
            <v>-0.76030104472834159</v>
          </cell>
          <cell r="AC1375">
            <v>-0.76789499665380001</v>
          </cell>
          <cell r="AD1375">
            <v>-0.77916917326095381</v>
          </cell>
          <cell r="AE1375">
            <v>-0.76591861773180969</v>
          </cell>
          <cell r="AF1375">
            <v>-0.77509538554807933</v>
          </cell>
          <cell r="AG1375">
            <v>-0.76568584234677795</v>
          </cell>
          <cell r="AH1375">
            <v>-0.74852691578942365</v>
          </cell>
          <cell r="AI1375">
            <v>-0.72968189184506993</v>
          </cell>
          <cell r="AJ1375">
            <v>-0.71180810486911061</v>
          </cell>
          <cell r="AK1375">
            <v>-0.69523990663264035</v>
          </cell>
          <cell r="AL1375">
            <v>-0.68100390080680617</v>
          </cell>
          <cell r="AM1375">
            <v>-0.66931614205566548</v>
          </cell>
          <cell r="AN1375">
            <v>-0.65997553335043779</v>
          </cell>
          <cell r="AO1375">
            <v>-0.5718385066086179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-4.4746798112704729E-10</v>
          </cell>
          <cell r="H1376">
            <v>-4.3945348167414977E-10</v>
          </cell>
          <cell r="I1376">
            <v>-4.3125881251815827E-10</v>
          </cell>
          <cell r="J1376">
            <v>0</v>
          </cell>
          <cell r="K1376">
            <v>-4.1232713841447136E-10</v>
          </cell>
          <cell r="L1376">
            <v>-6.4163876174886661E-4</v>
          </cell>
          <cell r="M1376">
            <v>-3.8673861371361791E-3</v>
          </cell>
          <cell r="N1376">
            <v>-9.1617410594518767E-3</v>
          </cell>
          <cell r="O1376">
            <v>-1.5541522162174906E-2</v>
          </cell>
          <cell r="P1376">
            <v>-2.2200668497228234E-2</v>
          </cell>
          <cell r="Q1376">
            <v>-2.6563488862963915E-2</v>
          </cell>
          <cell r="R1376">
            <v>-2.686421145605724E-2</v>
          </cell>
          <cell r="S1376">
            <v>-2.388617343537992E-2</v>
          </cell>
          <cell r="T1376">
            <v>-1.903863478344095E-2</v>
          </cell>
          <cell r="U1376">
            <v>-1.3410028893049033E-2</v>
          </cell>
          <cell r="V1376">
            <v>-7.982739574320703E-3</v>
          </cell>
          <cell r="W1376">
            <v>-3.3984272562924294E-3</v>
          </cell>
          <cell r="X1376">
            <v>2.152782998293465E-4</v>
          </cell>
          <cell r="Y1376">
            <v>3.0184517267039532E-3</v>
          </cell>
          <cell r="Z1376">
            <v>5.2752881014348878E-3</v>
          </cell>
          <cell r="AA1376">
            <v>7.2498104280059586E-3</v>
          </cell>
          <cell r="AB1376">
            <v>9.0417219042897394E-3</v>
          </cell>
          <cell r="AC1376">
            <v>1.0538479918486455E-2</v>
          </cell>
          <cell r="AD1376">
            <v>1.1608487444297873E-2</v>
          </cell>
          <cell r="AE1376">
            <v>1.2396523381472827E-2</v>
          </cell>
          <cell r="AF1376">
            <v>1.2692242694908786E-2</v>
          </cell>
          <cell r="AG1376">
            <v>1.2505927209915788E-2</v>
          </cell>
          <cell r="AH1376">
            <v>1.1774761068427174E-2</v>
          </cell>
          <cell r="AI1376">
            <v>1.0490074862319938E-2</v>
          </cell>
          <cell r="AJ1376">
            <v>8.7039725793888866E-3</v>
          </cell>
          <cell r="AK1376">
            <v>6.4992528730198991E-3</v>
          </cell>
          <cell r="AL1376">
            <v>3.9406750006386587E-3</v>
          </cell>
          <cell r="AM1376">
            <v>1.1094586706672238E-3</v>
          </cell>
          <cell r="AN1376">
            <v>-1.8820870795171068E-3</v>
          </cell>
          <cell r="AO1376">
            <v>-4.2831732281459903E-3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-4.3945316192976748E-10</v>
          </cell>
          <cell r="I1377">
            <v>-4.3125865562711232E-10</v>
          </cell>
          <cell r="J1377">
            <v>-4.2234987121537062E-10</v>
          </cell>
          <cell r="K1377">
            <v>0</v>
          </cell>
          <cell r="L1377">
            <v>-4.4364669399910158E-4</v>
          </cell>
          <cell r="M1377">
            <v>-3.4327994161044068E-3</v>
          </cell>
          <cell r="N1377">
            <v>-8.0716639838897316E-3</v>
          </cell>
          <cell r="O1377">
            <v>-1.3886188380300705E-2</v>
          </cell>
          <cell r="P1377">
            <v>-2.0695379506604758E-2</v>
          </cell>
          <cell r="Q1377">
            <v>-2.5063301310103359E-2</v>
          </cell>
          <cell r="R1377">
            <v>-2.6883577790761944E-2</v>
          </cell>
          <cell r="S1377">
            <v>-2.6711166740633802E-2</v>
          </cell>
          <cell r="T1377">
            <v>-2.5216788224725027E-2</v>
          </cell>
          <cell r="U1377">
            <v>-2.2875188248111255E-2</v>
          </cell>
          <cell r="V1377">
            <v>-2.0403282134957703E-2</v>
          </cell>
          <cell r="W1377">
            <v>-1.818620455823931E-2</v>
          </cell>
          <cell r="X1377">
            <v>-1.6323059587163798E-2</v>
          </cell>
          <cell r="Y1377">
            <v>-1.4679523646165968E-2</v>
          </cell>
          <cell r="Z1377">
            <v>-1.3111819687453272E-2</v>
          </cell>
          <cell r="AA1377">
            <v>-1.1204075580809006E-2</v>
          </cell>
          <cell r="AB1377">
            <v>-8.9673161911608072E-3</v>
          </cell>
          <cell r="AC1377">
            <v>-6.4266114021536728E-3</v>
          </cell>
          <cell r="AD1377">
            <v>-3.6071394735595393E-3</v>
          </cell>
          <cell r="AE1377">
            <v>-4.0412920245606811E-4</v>
          </cell>
          <cell r="AF1377">
            <v>3.1044172373697228E-3</v>
          </cell>
          <cell r="AG1377">
            <v>6.7029766384499546E-3</v>
          </cell>
          <cell r="AH1377">
            <v>1.0189392209753201E-2</v>
          </cell>
          <cell r="AI1377">
            <v>1.3454158749053931E-2</v>
          </cell>
          <cell r="AJ1377">
            <v>1.6448021091972277E-2</v>
          </cell>
          <cell r="AK1377">
            <v>1.9190214190416003E-2</v>
          </cell>
          <cell r="AL1377">
            <v>2.1572413920174633E-2</v>
          </cell>
          <cell r="AM1377">
            <v>2.3565162272265589E-2</v>
          </cell>
          <cell r="AN1377">
            <v>2.5180002506818636E-2</v>
          </cell>
          <cell r="AO1377">
            <v>2.6837552576229027E-2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-8.1983442257183015E-8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-9.214809505055932E-2</v>
          </cell>
          <cell r="M1378">
            <v>-0.43544104517952986</v>
          </cell>
          <cell r="N1378">
            <v>-0.92214725161881006</v>
          </cell>
          <cell r="O1378">
            <v>-1.4470562377236429</v>
          </cell>
          <cell r="P1378">
            <v>-1.9242196273041356</v>
          </cell>
          <cell r="Q1378">
            <v>-2.1597646914921276</v>
          </cell>
          <cell r="R1378">
            <v>-2.0726449665739333</v>
          </cell>
          <cell r="S1378">
            <v>-1.7470314037211554</v>
          </cell>
          <cell r="T1378">
            <v>-1.2810800686368196</v>
          </cell>
          <cell r="U1378">
            <v>-0.73634234545953969</v>
          </cell>
          <cell r="V1378">
            <v>-0.18301832012389552</v>
          </cell>
          <cell r="W1378">
            <v>0.33126855156950796</v>
          </cell>
          <cell r="X1378">
            <v>0.79126396681117317</v>
          </cell>
          <cell r="Y1378">
            <v>1.1953161158154924</v>
          </cell>
          <cell r="Z1378">
            <v>1.54448027454821</v>
          </cell>
          <cell r="AA1378">
            <v>1.840323849677783</v>
          </cell>
          <cell r="AB1378">
            <v>2.0708725588862498</v>
          </cell>
          <cell r="AC1378">
            <v>2.2218484931780802</v>
          </cell>
          <cell r="AD1378">
            <v>2.2849138050609952</v>
          </cell>
          <cell r="AE1378">
            <v>2.2915385081440753</v>
          </cell>
          <cell r="AF1378">
            <v>2.2235266221616756</v>
          </cell>
          <cell r="AG1378">
            <v>2.0977994963030655</v>
          </cell>
          <cell r="AH1378">
            <v>1.9223890914657593</v>
          </cell>
          <cell r="AI1378">
            <v>1.7029202532422572</v>
          </cell>
          <cell r="AJ1378">
            <v>1.4452233047505425</v>
          </cell>
          <cell r="AK1378">
            <v>1.1529286229405411</v>
          </cell>
          <cell r="AL1378">
            <v>0.83066332318302294</v>
          </cell>
          <cell r="AM1378">
            <v>0.48918267411144356</v>
          </cell>
          <cell r="AN1378">
            <v>0.14248608858535849</v>
          </cell>
          <cell r="AO1378">
            <v>-0.10172708371343209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0</v>
          </cell>
          <cell r="H1379">
            <v>1.4105827617072464E-8</v>
          </cell>
          <cell r="I1379">
            <v>4.0446934690407943E-8</v>
          </cell>
          <cell r="J1379">
            <v>5.1360427022473232E-8</v>
          </cell>
          <cell r="K1379">
            <v>6.0175264771089587E-8</v>
          </cell>
          <cell r="L1379">
            <v>-0.17753584483185536</v>
          </cell>
          <cell r="M1379">
            <v>-1.3742608258448197</v>
          </cell>
          <cell r="N1379">
            <v>-2.907812572988866</v>
          </cell>
          <cell r="O1379">
            <v>-4.4988527508075808</v>
          </cell>
          <cell r="P1379">
            <v>-6.2400829502786692</v>
          </cell>
          <cell r="Q1379">
            <v>-5.5116515501321679</v>
          </cell>
          <cell r="R1379">
            <v>-3.7138839710444627</v>
          </cell>
          <cell r="S1379">
            <v>-1.8834671959128801</v>
          </cell>
          <cell r="T1379">
            <v>-0.41739750226400529</v>
          </cell>
          <cell r="U1379">
            <v>0.64903802659417309</v>
          </cell>
          <cell r="V1379">
            <v>1.1143880229528058</v>
          </cell>
          <cell r="W1379">
            <v>1.0855768132657539</v>
          </cell>
          <cell r="X1379">
            <v>0.74614716237966228</v>
          </cell>
          <cell r="Y1379">
            <v>0.31353188448488556</v>
          </cell>
          <cell r="Z1379">
            <v>-0.15598115612884822</v>
          </cell>
          <cell r="AA1379">
            <v>-0.34116014394294236</v>
          </cell>
          <cell r="AB1379">
            <v>-0.47356989178916065</v>
          </cell>
          <cell r="AC1379">
            <v>-0.66119195196407965</v>
          </cell>
          <cell r="AD1379">
            <v>-0.92188926634411139</v>
          </cell>
          <cell r="AE1379">
            <v>-1.1904794826026244</v>
          </cell>
          <cell r="AF1379">
            <v>-1.3258017307359871</v>
          </cell>
          <cell r="AG1379">
            <v>-1.4234097973596649</v>
          </cell>
          <cell r="AH1379">
            <v>-1.5250579677657861</v>
          </cell>
          <cell r="AI1379">
            <v>-1.63161218174811</v>
          </cell>
          <cell r="AJ1379">
            <v>-1.7381360778482846</v>
          </cell>
          <cell r="AK1379">
            <v>-1.7822018018735175</v>
          </cell>
          <cell r="AL1379">
            <v>-1.8349436219730286</v>
          </cell>
          <cell r="AM1379">
            <v>-1.9130617723937204</v>
          </cell>
          <cell r="AN1379">
            <v>-2.0074312499801517</v>
          </cell>
          <cell r="AO1379">
            <v>-1.941765406427054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-2.0431634162321188E-8</v>
          </cell>
          <cell r="I1381">
            <v>-2.0023849245376368E-8</v>
          </cell>
          <cell r="J1381">
            <v>-1.957696227350425E-8</v>
          </cell>
          <cell r="K1381">
            <v>-3.8132641488886065E-8</v>
          </cell>
          <cell r="L1381">
            <v>-0.17266504275316175</v>
          </cell>
          <cell r="M1381">
            <v>-0.57710408121810497</v>
          </cell>
          <cell r="N1381">
            <v>-1.1360041648193819</v>
          </cell>
          <cell r="O1381">
            <v>-1.7898278652370481</v>
          </cell>
          <cell r="P1381">
            <v>-2.4867924435689193</v>
          </cell>
          <cell r="Q1381">
            <v>-3.0566064385774583</v>
          </cell>
          <cell r="R1381">
            <v>-3.4339333875485156</v>
          </cell>
          <cell r="S1381">
            <v>-3.6247975696265256</v>
          </cell>
          <cell r="T1381">
            <v>-3.6713801039891636</v>
          </cell>
          <cell r="U1381">
            <v>-3.5792081880021032</v>
          </cell>
          <cell r="V1381">
            <v>-3.4844124500269635</v>
          </cell>
          <cell r="W1381">
            <v>-3.3651926909338936</v>
          </cell>
          <cell r="X1381">
            <v>-3.2612614827180475</v>
          </cell>
          <cell r="Y1381">
            <v>-3.186641725902406</v>
          </cell>
          <cell r="Z1381">
            <v>-3.1440901359320539</v>
          </cell>
          <cell r="AA1381">
            <v>-3.1139952508325464</v>
          </cell>
          <cell r="AB1381">
            <v>-3.094139379149774</v>
          </cell>
          <cell r="AC1381">
            <v>-3.086504952831659</v>
          </cell>
          <cell r="AD1381">
            <v>-3.0927971356540129</v>
          </cell>
          <cell r="AE1381">
            <v>-3.0013352799719839</v>
          </cell>
          <cell r="AF1381">
            <v>-3.0015794469479329</v>
          </cell>
          <cell r="AG1381">
            <v>-2.9333068627113268</v>
          </cell>
          <cell r="AH1381">
            <v>-2.8392013448472087</v>
          </cell>
          <cell r="AI1381">
            <v>-2.7424342301980875</v>
          </cell>
          <cell r="AJ1381">
            <v>-2.6527603630751129</v>
          </cell>
          <cell r="AK1381">
            <v>-2.5708929893450527</v>
          </cell>
          <cell r="AL1381">
            <v>-2.5007707334010254</v>
          </cell>
          <cell r="AM1381">
            <v>-2.443001012590118</v>
          </cell>
          <cell r="AN1381">
            <v>-2.3965135574409269</v>
          </cell>
          <cell r="AO1381">
            <v>-2.0537346239674514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0</v>
          </cell>
          <cell r="H1382">
            <v>-2.0046309057164535E-8</v>
          </cell>
          <cell r="I1382">
            <v>-1.9632573344807724E-8</v>
          </cell>
          <cell r="J1382">
            <v>-1.9179402510616228E-8</v>
          </cell>
          <cell r="K1382">
            <v>-4.1471837075590656E-8</v>
          </cell>
          <cell r="L1382">
            <v>-0.1853687019206407</v>
          </cell>
          <cell r="M1382">
            <v>-0.6092008902242485</v>
          </cell>
          <cell r="N1382">
            <v>-1.1914524391295145</v>
          </cell>
          <cell r="O1382">
            <v>-1.8696350885809787</v>
          </cell>
          <cell r="P1382">
            <v>-2.5886661941257105</v>
          </cell>
          <cell r="Q1382">
            <v>-3.1813899611457752</v>
          </cell>
          <cell r="R1382">
            <v>-3.5781062223611326</v>
          </cell>
          <cell r="S1382">
            <v>-3.782999490178629</v>
          </cell>
          <cell r="T1382">
            <v>-3.8385825293660192</v>
          </cell>
          <cell r="U1382">
            <v>-3.748684380437417</v>
          </cell>
          <cell r="V1382">
            <v>-3.6566138338546272</v>
          </cell>
          <cell r="W1382">
            <v>-3.5370835214984742</v>
          </cell>
          <cell r="X1382">
            <v>-3.4323546323780096</v>
          </cell>
          <cell r="Y1382">
            <v>-3.3580597060130946</v>
          </cell>
          <cell r="Z1382">
            <v>-3.3177397105411899</v>
          </cell>
          <cell r="AA1382">
            <v>-3.2920706569034341</v>
          </cell>
          <cell r="AB1382">
            <v>-3.2785409653827813</v>
          </cell>
          <cell r="AC1382">
            <v>-3.2790941577815369</v>
          </cell>
          <cell r="AD1382">
            <v>-3.2953804742642756</v>
          </cell>
          <cell r="AE1382">
            <v>-3.2083466741269162</v>
          </cell>
          <cell r="AF1382">
            <v>-3.2206150358164209</v>
          </cell>
          <cell r="AG1382">
            <v>-3.1599909908653578</v>
          </cell>
          <cell r="AH1382">
            <v>-3.0713552366333885</v>
          </cell>
          <cell r="AI1382">
            <v>-2.979046785341033</v>
          </cell>
          <cell r="AJ1382">
            <v>-2.8932994113063271</v>
          </cell>
          <cell r="AK1382">
            <v>-2.8149733007231115</v>
          </cell>
          <cell r="AL1382">
            <v>-2.747839539017094</v>
          </cell>
          <cell r="AM1382">
            <v>-2.6924338116076529</v>
          </cell>
          <cell r="AN1382">
            <v>-2.6476680776480133</v>
          </cell>
          <cell r="AO1382">
            <v>-2.2885687980737424</v>
          </cell>
        </row>
        <row r="1383">
          <cell r="C1383" t="str">
            <v>Exportations</v>
          </cell>
          <cell r="E1383" t="str">
            <v>100*(X_2/X_0-1)</v>
          </cell>
          <cell r="F1383">
            <v>0</v>
          </cell>
          <cell r="G1383">
            <v>-1.527268311818375E-8</v>
          </cell>
          <cell r="H1383">
            <v>-1.4744838683355965E-8</v>
          </cell>
          <cell r="I1383">
            <v>-2.8520785733121556E-8</v>
          </cell>
          <cell r="J1383">
            <v>-2.7596969154330964E-8</v>
          </cell>
          <cell r="K1383">
            <v>-5.3351401074763771E-8</v>
          </cell>
          <cell r="L1383">
            <v>-0.97304551863669486</v>
          </cell>
          <cell r="M1383">
            <v>-1.9837702380361533</v>
          </cell>
          <cell r="N1383">
            <v>-2.9214044461048694</v>
          </cell>
          <cell r="O1383">
            <v>-3.7177359881232053</v>
          </cell>
          <cell r="P1383">
            <v>-4.2848530007638219</v>
          </cell>
          <cell r="Q1383">
            <v>-4.6713593222361567</v>
          </cell>
          <cell r="R1383">
            <v>-4.9157585101406891</v>
          </cell>
          <cell r="S1383">
            <v>-5.0654943387726021</v>
          </cell>
          <cell r="T1383">
            <v>-5.1752172926476714</v>
          </cell>
          <cell r="U1383">
            <v>-5.1783514846423522</v>
          </cell>
          <cell r="V1383">
            <v>-5.2347256165032334</v>
          </cell>
          <cell r="W1383">
            <v>-5.2389061687611038</v>
          </cell>
          <cell r="X1383">
            <v>-5.3401431495759821</v>
          </cell>
          <cell r="Y1383">
            <v>-5.5460641430127966</v>
          </cell>
          <cell r="Z1383">
            <v>-5.8544941264301205</v>
          </cell>
          <cell r="AA1383">
            <v>-6.2290323539227472</v>
          </cell>
          <cell r="AB1383">
            <v>-6.6653820152690386</v>
          </cell>
          <cell r="AC1383">
            <v>-7.1586691900993866</v>
          </cell>
          <cell r="AD1383">
            <v>-7.6966593233623097</v>
          </cell>
          <cell r="AE1383">
            <v>-7.9602695722410077</v>
          </cell>
          <cell r="AF1383">
            <v>-8.4508723437662585</v>
          </cell>
          <cell r="AG1383">
            <v>-8.647809638009651</v>
          </cell>
          <cell r="AH1383">
            <v>-8.8686482554101502</v>
          </cell>
          <cell r="AI1383">
            <v>-9.102973099993072</v>
          </cell>
          <cell r="AJ1383">
            <v>-9.3359644259157886</v>
          </cell>
          <cell r="AK1383">
            <v>-9.546860127710854</v>
          </cell>
          <cell r="AL1383">
            <v>-9.7253780888369121</v>
          </cell>
          <cell r="AM1383">
            <v>-9.8653266623630387</v>
          </cell>
          <cell r="AN1383">
            <v>-9.9658137685498147</v>
          </cell>
          <cell r="AO1383">
            <v>-9.2520863399562678</v>
          </cell>
        </row>
        <row r="1384">
          <cell r="C1384" t="str">
            <v>Importations</v>
          </cell>
          <cell r="E1384" t="str">
            <v>100*(M_2/M_0-1)</v>
          </cell>
          <cell r="F1384">
            <v>1.5269763231628986E-8</v>
          </cell>
          <cell r="G1384">
            <v>0</v>
          </cell>
          <cell r="H1384">
            <v>1.4672663084525084E-8</v>
          </cell>
          <cell r="I1384">
            <v>0</v>
          </cell>
          <cell r="J1384">
            <v>0</v>
          </cell>
          <cell r="K1384">
            <v>0</v>
          </cell>
          <cell r="L1384">
            <v>-0.32433993189153743</v>
          </cell>
          <cell r="M1384">
            <v>-0.92849857415048254</v>
          </cell>
          <cell r="N1384">
            <v>-1.6313797446884215</v>
          </cell>
          <cell r="O1384">
            <v>-2.333881165059537</v>
          </cell>
          <cell r="P1384">
            <v>-2.9619243949017826</v>
          </cell>
          <cell r="Q1384">
            <v>-3.2772752216757128</v>
          </cell>
          <cell r="R1384">
            <v>-3.3041116982969632</v>
          </cell>
          <cell r="S1384">
            <v>-3.135090771859772</v>
          </cell>
          <cell r="T1384">
            <v>-2.853204584639546</v>
          </cell>
          <cell r="U1384">
            <v>-2.4560283327857091</v>
          </cell>
          <cell r="V1384">
            <v>-2.1140397674770162</v>
          </cell>
          <cell r="W1384">
            <v>-1.7759840231689972</v>
          </cell>
          <cell r="X1384">
            <v>-1.5028983481912506</v>
          </cell>
          <cell r="Y1384">
            <v>-1.309519770478107</v>
          </cell>
          <cell r="Z1384">
            <v>-1.1815044355339643</v>
          </cell>
          <cell r="AA1384">
            <v>-1.0954233923644807</v>
          </cell>
          <cell r="AB1384">
            <v>-1.066958305627963</v>
          </cell>
          <cell r="AC1384">
            <v>-1.1062055608211052</v>
          </cell>
          <cell r="AD1384">
            <v>-1.2148439319297211</v>
          </cell>
          <cell r="AE1384">
            <v>-1.2204507767566763</v>
          </cell>
          <cell r="AF1384">
            <v>-1.4428836278604473</v>
          </cell>
          <cell r="AG1384">
            <v>-1.5908963136895049</v>
          </cell>
          <cell r="AH1384">
            <v>-1.7643217288674906</v>
          </cell>
          <cell r="AI1384">
            <v>-1.9726076770132828</v>
          </cell>
          <cell r="AJ1384">
            <v>-2.2097885608518553</v>
          </cell>
          <cell r="AK1384">
            <v>-2.4652723142913224</v>
          </cell>
          <cell r="AL1384">
            <v>-2.736319528341935</v>
          </cell>
          <cell r="AM1384">
            <v>-3.0134989230739206</v>
          </cell>
          <cell r="AN1384">
            <v>-3.2865170984981651</v>
          </cell>
          <cell r="AO1384">
            <v>-3.0789890288745903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-8.2386453215121946E-8</v>
          </cell>
          <cell r="H1385">
            <v>8.1874507174006794E-10</v>
          </cell>
          <cell r="I1385">
            <v>8.0437878580141842E-10</v>
          </cell>
          <cell r="J1385">
            <v>0</v>
          </cell>
          <cell r="K1385">
            <v>7.6563200224200045E-10</v>
          </cell>
          <cell r="L1385">
            <v>-9.2336796645831054E-2</v>
          </cell>
          <cell r="M1385">
            <v>-0.43480098412957968</v>
          </cell>
          <cell r="N1385">
            <v>-0.91901521240542738</v>
          </cell>
          <cell r="O1385">
            <v>-1.4400229766621364</v>
          </cell>
          <cell r="P1385">
            <v>-1.9121246037558381</v>
          </cell>
          <cell r="Q1385">
            <v>-2.1432719496696118</v>
          </cell>
          <cell r="R1385">
            <v>-2.0544085050002159</v>
          </cell>
          <cell r="S1385">
            <v>-1.7294716684397637</v>
          </cell>
          <cell r="T1385">
            <v>-1.2654708424127969</v>
          </cell>
          <cell r="U1385">
            <v>-0.72288162501210618</v>
          </cell>
          <cell r="V1385">
            <v>-0.17117318624916278</v>
          </cell>
          <cell r="W1385">
            <v>0.34247293475822005</v>
          </cell>
          <cell r="X1385">
            <v>0.80279503580977796</v>
          </cell>
          <cell r="Y1385">
            <v>1.207815407307633</v>
          </cell>
          <cell r="Z1385">
            <v>1.5581110897501249</v>
          </cell>
          <cell r="AA1385">
            <v>1.8547780665581604</v>
          </cell>
          <cell r="AB1385">
            <v>2.0854661540925301</v>
          </cell>
          <cell r="AC1385">
            <v>2.2358840680568148</v>
          </cell>
          <cell r="AD1385">
            <v>2.29781459658982</v>
          </cell>
          <cell r="AE1385">
            <v>2.3029305819183277</v>
          </cell>
          <cell r="AF1385">
            <v>2.2331799990658041</v>
          </cell>
          <cell r="AG1385">
            <v>2.1057493393508375</v>
          </cell>
          <cell r="AH1385">
            <v>1.9289388082526671</v>
          </cell>
          <cell r="AI1385">
            <v>1.708499105193062</v>
          </cell>
          <cell r="AJ1385">
            <v>1.4502651348884177</v>
          </cell>
          <cell r="AK1385">
            <v>1.1577692351488755</v>
          </cell>
          <cell r="AL1385">
            <v>0.83558260027460918</v>
          </cell>
          <cell r="AM1385">
            <v>0.49445959315350674</v>
          </cell>
          <cell r="AN1385">
            <v>0.14838263862733125</v>
          </cell>
          <cell r="AO1385">
            <v>-9.480003763813194E-2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-2.0065504813260304E-9</v>
          </cell>
          <cell r="H1386">
            <v>-2.1662860394400241E-8</v>
          </cell>
          <cell r="I1386">
            <v>-2.1234636271572072E-8</v>
          </cell>
          <cell r="J1386">
            <v>-1.8875268015250413E-8</v>
          </cell>
          <cell r="K1386">
            <v>-3.8603398255787624E-8</v>
          </cell>
          <cell r="L1386">
            <v>-0.16932827840330233</v>
          </cell>
          <cell r="M1386">
            <v>-0.57357209798759579</v>
          </cell>
          <cell r="N1386">
            <v>-1.1358478560303698</v>
          </cell>
          <cell r="O1386">
            <v>-1.794352180576686</v>
          </cell>
          <cell r="P1386">
            <v>-2.4955010847779291</v>
          </cell>
          <cell r="Q1386">
            <v>-3.0639046151064719</v>
          </cell>
          <cell r="R1386">
            <v>-3.4291236163669137</v>
          </cell>
          <cell r="S1386">
            <v>-3.6006092660201383</v>
          </cell>
          <cell r="T1386">
            <v>-3.6252670257468478</v>
          </cell>
          <cell r="U1386">
            <v>-3.5130926813774943</v>
          </cell>
          <cell r="V1386">
            <v>-3.3996569400135623</v>
          </cell>
          <cell r="W1386">
            <v>-3.2664766873884976</v>
          </cell>
          <cell r="X1386">
            <v>-3.1523374188304532</v>
          </cell>
          <cell r="Y1386">
            <v>-3.0700544865135959</v>
          </cell>
          <cell r="Z1386">
            <v>-3.021195655035902</v>
          </cell>
          <cell r="AA1386">
            <v>-2.9856643489765911</v>
          </cell>
          <cell r="AB1386">
            <v>-2.9609016251358367</v>
          </cell>
          <cell r="AC1386">
            <v>-2.9492423292887815</v>
          </cell>
          <cell r="AD1386">
            <v>-2.9528157279789191</v>
          </cell>
          <cell r="AE1386">
            <v>-2.8628175572539494</v>
          </cell>
          <cell r="AF1386">
            <v>-2.8634125736039961</v>
          </cell>
          <cell r="AG1386">
            <v>-2.7991719180364916</v>
          </cell>
          <cell r="AH1386">
            <v>-2.7116865540767976</v>
          </cell>
          <cell r="AI1386">
            <v>-2.6234607359600148</v>
          </cell>
          <cell r="AJ1386">
            <v>-2.5437734176946281</v>
          </cell>
          <cell r="AK1386">
            <v>-2.4730222521099021</v>
          </cell>
          <cell r="AL1386">
            <v>-2.4148100339082879</v>
          </cell>
          <cell r="AM1386">
            <v>-2.3694471998005007</v>
          </cell>
          <cell r="AN1386">
            <v>-2.3355010971967904</v>
          </cell>
          <cell r="AO1386">
            <v>-2.0113622425811828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-5.5234417040139761E-8</v>
          </cell>
          <cell r="H1387">
            <v>-5.4511806180101985E-8</v>
          </cell>
          <cell r="I1387">
            <v>-5.3713422598633542E-8</v>
          </cell>
          <cell r="J1387">
            <v>0</v>
          </cell>
          <cell r="K1387">
            <v>-5.1259840816442193E-8</v>
          </cell>
          <cell r="L1387">
            <v>-7.9523735986564148E-2</v>
          </cell>
          <cell r="M1387">
            <v>-0.47823943395589597</v>
          </cell>
          <cell r="N1387">
            <v>-1.1316089571070886</v>
          </cell>
          <cell r="O1387">
            <v>-1.917765607993438</v>
          </cell>
          <cell r="P1387">
            <v>-2.7344465260982997</v>
          </cell>
          <cell r="Q1387">
            <v>-3.2653975779250555</v>
          </cell>
          <cell r="R1387">
            <v>-3.2954780595829125</v>
          </cell>
          <cell r="S1387">
            <v>-2.9239992743857357</v>
          </cell>
          <cell r="T1387">
            <v>-2.3261443466024989</v>
          </cell>
          <cell r="U1387">
            <v>-1.6359994507632702</v>
          </cell>
          <cell r="V1387">
            <v>-0.97295643534829335</v>
          </cell>
          <cell r="W1387">
            <v>-0.41406558071125366</v>
          </cell>
          <cell r="X1387">
            <v>2.6237822204411287E-2</v>
          </cell>
          <cell r="Y1387">
            <v>0.36825738922319218</v>
          </cell>
          <cell r="Z1387">
            <v>0.64481426162070754</v>
          </cell>
          <cell r="AA1387">
            <v>0.88843033198093835</v>
          </cell>
          <cell r="AB1387">
            <v>1.1115949750280851</v>
          </cell>
          <cell r="AC1387">
            <v>1.3006014866284943</v>
          </cell>
          <cell r="AD1387">
            <v>1.4390116032880318</v>
          </cell>
          <cell r="AE1387">
            <v>1.544958831927179</v>
          </cell>
          <cell r="AF1387">
            <v>1.5909562409347267</v>
          </cell>
          <cell r="AG1387">
            <v>1.5767852642325275</v>
          </cell>
          <cell r="AH1387">
            <v>1.4930352377273692</v>
          </cell>
          <cell r="AI1387">
            <v>1.3371290366957833</v>
          </cell>
          <cell r="AJ1387">
            <v>1.1146010718770638</v>
          </cell>
          <cell r="AK1387">
            <v>0.83550916571508704</v>
          </cell>
          <cell r="AL1387">
            <v>0.50815824725338743</v>
          </cell>
          <cell r="AM1387">
            <v>0.14339350142145157</v>
          </cell>
          <cell r="AN1387">
            <v>-0.24361560968579887</v>
          </cell>
          <cell r="AO1387">
            <v>-0.55482074530962544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-2.4705515411227452E-8</v>
          </cell>
          <cell r="I1388">
            <v>-2.4400725884277108E-8</v>
          </cell>
          <cell r="J1388">
            <v>-2.406671528731863E-8</v>
          </cell>
          <cell r="K1388">
            <v>0</v>
          </cell>
          <cell r="L1388">
            <v>-2.5681069870830964E-2</v>
          </cell>
          <cell r="M1388">
            <v>-0.20033975889798272</v>
          </cell>
          <cell r="N1388">
            <v>-0.47501150744382326</v>
          </cell>
          <cell r="O1388">
            <v>-0.8234548494620797</v>
          </cell>
          <cell r="P1388">
            <v>-1.2347185936446792</v>
          </cell>
          <cell r="Q1388">
            <v>-1.5019417365605969</v>
          </cell>
          <cell r="R1388">
            <v>-1.6155898893549736</v>
          </cell>
          <cell r="S1388">
            <v>-1.607471891426937</v>
          </cell>
          <cell r="T1388">
            <v>-1.5178885430259914</v>
          </cell>
          <cell r="U1388">
            <v>-1.3760971465845206</v>
          </cell>
          <cell r="V1388">
            <v>-1.2259663884345962</v>
          </cell>
          <cell r="W1388">
            <v>-1.0911780639861535</v>
          </cell>
          <cell r="X1388">
            <v>-0.97797789825305736</v>
          </cell>
          <cell r="Y1388">
            <v>-0.87844231841829323</v>
          </cell>
          <cell r="Z1388">
            <v>-0.78394813026890775</v>
          </cell>
          <cell r="AA1388">
            <v>-0.66975356607965608</v>
          </cell>
          <cell r="AB1388">
            <v>-0.53635954856255941</v>
          </cell>
          <cell r="AC1388">
            <v>-0.38495902418628214</v>
          </cell>
          <cell r="AD1388">
            <v>-0.21659685085768654</v>
          </cell>
          <cell r="AE1388">
            <v>-2.4344570998535708E-2</v>
          </cell>
          <cell r="AF1388">
            <v>0.1878274191706053</v>
          </cell>
          <cell r="AG1388">
            <v>0.40771975639055658</v>
          </cell>
          <cell r="AH1388">
            <v>0.62362874054067152</v>
          </cell>
          <cell r="AI1388">
            <v>0.82912590459438551</v>
          </cell>
          <cell r="AJ1388">
            <v>1.021141957989502</v>
          </cell>
          <cell r="AK1388">
            <v>1.2006065968856561</v>
          </cell>
          <cell r="AL1388">
            <v>1.3602789999578535</v>
          </cell>
          <cell r="AM1388">
            <v>1.4975846727939057</v>
          </cell>
          <cell r="AN1388">
            <v>1.6124271787105071</v>
          </cell>
          <cell r="AO1388">
            <v>1.7310775086414321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0</v>
          </cell>
          <cell r="H1389">
            <v>6.8185102009010734E-8</v>
          </cell>
          <cell r="I1389">
            <v>6.5270766569369698E-8</v>
          </cell>
          <cell r="J1389">
            <v>1.2485739109280303E-7</v>
          </cell>
          <cell r="K1389">
            <v>1.1928020793305905E-7</v>
          </cell>
          <cell r="L1389">
            <v>-0.17833262685086337</v>
          </cell>
          <cell r="M1389">
            <v>-0.15418371990538748</v>
          </cell>
          <cell r="N1389">
            <v>6.7329022910933567E-2</v>
          </cell>
          <cell r="O1389">
            <v>0.67224983935225691</v>
          </cell>
          <cell r="P1389">
            <v>1.8810409485854551</v>
          </cell>
          <cell r="Q1389">
            <v>2.841606669431207</v>
          </cell>
          <cell r="R1389">
            <v>3.9909329999073595</v>
          </cell>
          <cell r="S1389">
            <v>5.2417105248920626</v>
          </cell>
          <cell r="T1389">
            <v>6.5486600821990315</v>
          </cell>
          <cell r="U1389">
            <v>7.901138097888083</v>
          </cell>
          <cell r="V1389">
            <v>9.3216328058023166</v>
          </cell>
          <cell r="W1389">
            <v>10.785693035362032</v>
          </cell>
          <cell r="X1389">
            <v>12.266731323108981</v>
          </cell>
          <cell r="Y1389">
            <v>13.716848448367603</v>
          </cell>
          <cell r="Z1389">
            <v>15.111391333648182</v>
          </cell>
          <cell r="AA1389">
            <v>16.326136873043072</v>
          </cell>
          <cell r="AB1389">
            <v>17.372980293228622</v>
          </cell>
          <cell r="AC1389">
            <v>18.214065152009429</v>
          </cell>
          <cell r="AD1389">
            <v>18.824825229122833</v>
          </cell>
          <cell r="AE1389">
            <v>19.26330751445726</v>
          </cell>
          <cell r="AF1389">
            <v>19.429968447109914</v>
          </cell>
          <cell r="AG1389">
            <v>19.44764927091942</v>
          </cell>
          <cell r="AH1389">
            <v>19.32278260917073</v>
          </cell>
          <cell r="AI1389">
            <v>19.067904582551385</v>
          </cell>
          <cell r="AJ1389">
            <v>18.700199206595048</v>
          </cell>
          <cell r="AK1389">
            <v>18.215213161241593</v>
          </cell>
          <cell r="AL1389">
            <v>17.662830135288331</v>
          </cell>
          <cell r="AM1389">
            <v>17.073338065798559</v>
          </cell>
          <cell r="AN1389">
            <v>16.477938683698913</v>
          </cell>
          <cell r="AO1389">
            <v>16.103734746967156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0</v>
          </cell>
          <cell r="H1390">
            <v>-2.7353119769202294E-8</v>
          </cell>
          <cell r="I1390">
            <v>-2.7822921744302676E-8</v>
          </cell>
          <cell r="J1390">
            <v>-5.7404947462202927E-8</v>
          </cell>
          <cell r="K1390">
            <v>2.962858847155303E-8</v>
          </cell>
          <cell r="L1390">
            <v>-0.13514693330407557</v>
          </cell>
          <cell r="M1390">
            <v>-0.5859649535504996</v>
          </cell>
          <cell r="N1390">
            <v>-1.1110549631442979</v>
          </cell>
          <cell r="O1390">
            <v>-1.6330425806984961</v>
          </cell>
          <cell r="P1390">
            <v>-2.0951333968851182</v>
          </cell>
          <cell r="Q1390">
            <v>-2.2217643208702453</v>
          </cell>
          <cell r="R1390">
            <v>-1.9996350796960938</v>
          </cell>
          <cell r="S1390">
            <v>-1.5978332719515764</v>
          </cell>
          <cell r="T1390">
            <v>-1.1062059632803711</v>
          </cell>
          <cell r="U1390">
            <v>-0.55419798335640813</v>
          </cell>
          <cell r="V1390">
            <v>-1.2750993427056656E-2</v>
          </cell>
          <cell r="W1390">
            <v>0.48491690916254804</v>
          </cell>
          <cell r="X1390">
            <v>0.94094074718131893</v>
          </cell>
          <cell r="Y1390">
            <v>1.3570740756680983</v>
          </cell>
          <cell r="Z1390">
            <v>1.7310865584467798</v>
          </cell>
          <cell r="AA1390">
            <v>2.0577385169018516</v>
          </cell>
          <cell r="AB1390">
            <v>2.3133924394841401</v>
          </cell>
          <cell r="AC1390">
            <v>2.4768430013389686</v>
          </cell>
          <cell r="AD1390">
            <v>2.5391548602970353</v>
          </cell>
          <cell r="AE1390">
            <v>2.5562028444026303</v>
          </cell>
          <cell r="AF1390">
            <v>2.4726552547226461</v>
          </cell>
          <cell r="AG1390">
            <v>2.3312848151726868</v>
          </cell>
          <cell r="AH1390">
            <v>2.133045907288377</v>
          </cell>
          <cell r="AI1390">
            <v>1.8827164253187831</v>
          </cell>
          <cell r="AJ1390">
            <v>1.5877520319963061</v>
          </cell>
          <cell r="AK1390">
            <v>1.2516960287287198</v>
          </cell>
          <cell r="AL1390">
            <v>0.88191599568420997</v>
          </cell>
          <cell r="AM1390">
            <v>0.49444242265681382</v>
          </cell>
          <cell r="AN1390">
            <v>0.10665607222244589</v>
          </cell>
          <cell r="AO1390">
            <v>-0.107195440607601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0</v>
          </cell>
          <cell r="H1391">
            <v>6.8185102009010734E-8</v>
          </cell>
          <cell r="I1391">
            <v>6.5270766569369698E-8</v>
          </cell>
          <cell r="J1391">
            <v>1.2485739109280303E-7</v>
          </cell>
          <cell r="K1391">
            <v>1.1928020793305905E-7</v>
          </cell>
          <cell r="L1391">
            <v>-1.6915409511064627E-2</v>
          </cell>
          <cell r="M1391">
            <v>0.30040098167447571</v>
          </cell>
          <cell r="N1391">
            <v>0.90111952046576516</v>
          </cell>
          <cell r="O1391">
            <v>1.9082720591021118</v>
          </cell>
          <cell r="P1391">
            <v>3.4675293735779711</v>
          </cell>
          <cell r="Q1391">
            <v>4.7205837922053462</v>
          </cell>
          <cell r="R1391">
            <v>6.0632058763587455</v>
          </cell>
          <cell r="S1391">
            <v>7.3912335943614238</v>
          </cell>
          <cell r="T1391">
            <v>8.6740135932037443</v>
          </cell>
          <cell r="U1391">
            <v>9.918105853200343</v>
          </cell>
          <cell r="V1391">
            <v>11.176225250746707</v>
          </cell>
          <cell r="W1391">
            <v>12.454013215588944</v>
          </cell>
          <cell r="X1391">
            <v>13.7630708535187</v>
          </cell>
          <cell r="Y1391">
            <v>15.081580533143725</v>
          </cell>
          <cell r="Z1391">
            <v>16.401607979895903</v>
          </cell>
          <cell r="AA1391">
            <v>17.606829444351344</v>
          </cell>
          <cell r="AB1391">
            <v>18.708691759960402</v>
          </cell>
          <cell r="AC1391">
            <v>19.667719607232847</v>
          </cell>
          <cell r="AD1391">
            <v>20.456481689232877</v>
          </cell>
          <cell r="AE1391">
            <v>21.086216235906363</v>
          </cell>
          <cell r="AF1391">
            <v>21.462492344029993</v>
          </cell>
          <cell r="AG1391">
            <v>21.673801038242647</v>
          </cell>
          <cell r="AH1391">
            <v>21.733556759959395</v>
          </cell>
          <cell r="AI1391">
            <v>21.660524163111916</v>
          </cell>
          <cell r="AJ1391">
            <v>21.473713589541376</v>
          </cell>
          <cell r="AK1391">
            <v>21.167342875277949</v>
          </cell>
          <cell r="AL1391">
            <v>20.786407491292934</v>
          </cell>
          <cell r="AM1391">
            <v>20.355631093569979</v>
          </cell>
          <cell r="AN1391">
            <v>19.90113310664422</v>
          </cell>
          <cell r="AO1391">
            <v>19.527454370094418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0</v>
          </cell>
          <cell r="H1392">
            <v>-2.7353119769202294E-8</v>
          </cell>
          <cell r="I1392">
            <v>-2.7822921744302676E-8</v>
          </cell>
          <cell r="J1392">
            <v>-5.7404947462202927E-8</v>
          </cell>
          <cell r="K1392">
            <v>2.962858847155303E-8</v>
          </cell>
          <cell r="L1392">
            <v>2.6270284035723179E-2</v>
          </cell>
          <cell r="M1392">
            <v>-0.13138025197063641</v>
          </cell>
          <cell r="N1392">
            <v>-0.27726446558946627</v>
          </cell>
          <cell r="O1392">
            <v>-0.39702036094864113</v>
          </cell>
          <cell r="P1392">
            <v>-0.50864497189260227</v>
          </cell>
          <cell r="Q1392">
            <v>-0.34278719809610614</v>
          </cell>
          <cell r="R1392">
            <v>7.263779675529225E-2</v>
          </cell>
          <cell r="S1392">
            <v>0.5516897975177848</v>
          </cell>
          <cell r="T1392">
            <v>1.0191475477243417</v>
          </cell>
          <cell r="U1392">
            <v>1.4627697719558519</v>
          </cell>
          <cell r="V1392">
            <v>1.8418414515173342</v>
          </cell>
          <cell r="W1392">
            <v>2.1532370893894601</v>
          </cell>
          <cell r="X1392">
            <v>2.4372802775910376</v>
          </cell>
          <cell r="Y1392">
            <v>2.7218061604442205</v>
          </cell>
          <cell r="Z1392">
            <v>3.021303204694501</v>
          </cell>
          <cell r="AA1392">
            <v>3.3384310882101236</v>
          </cell>
          <cell r="AB1392">
            <v>3.6491039062159203</v>
          </cell>
          <cell r="AC1392">
            <v>3.9304974565623869</v>
          </cell>
          <cell r="AD1392">
            <v>4.1708113204070791</v>
          </cell>
          <cell r="AE1392">
            <v>4.3791115658517334</v>
          </cell>
          <cell r="AF1392">
            <v>4.5051791516427251</v>
          </cell>
          <cell r="AG1392">
            <v>4.5574365824959138</v>
          </cell>
          <cell r="AH1392">
            <v>4.543820058077042</v>
          </cell>
          <cell r="AI1392">
            <v>4.4753360058793135</v>
          </cell>
          <cell r="AJ1392">
            <v>4.3612664149426337</v>
          </cell>
          <cell r="AK1392">
            <v>4.2038257427650763</v>
          </cell>
          <cell r="AL1392">
            <v>4.0054933516888127</v>
          </cell>
          <cell r="AM1392">
            <v>3.7767354504282338</v>
          </cell>
          <cell r="AN1392">
            <v>3.5298504951677536</v>
          </cell>
          <cell r="AO1392">
            <v>3.316524182519661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0</v>
          </cell>
          <cell r="H1394">
            <v>-2.7353119769202294E-8</v>
          </cell>
          <cell r="I1394">
            <v>-2.7822921744302676E-8</v>
          </cell>
          <cell r="J1394">
            <v>-5.7404947462202927E-8</v>
          </cell>
          <cell r="K1394">
            <v>2.962858847155303E-8</v>
          </cell>
          <cell r="L1394">
            <v>-0.13514693330407557</v>
          </cell>
          <cell r="M1394">
            <v>-0.5859649535504996</v>
          </cell>
          <cell r="N1394">
            <v>-1.1110549631442979</v>
          </cell>
          <cell r="O1394">
            <v>-1.6330425806984961</v>
          </cell>
          <cell r="P1394">
            <v>-2.0951333968851182</v>
          </cell>
          <cell r="Q1394">
            <v>-2.2217643208702453</v>
          </cell>
          <cell r="R1394">
            <v>-1.9996350796960938</v>
          </cell>
          <cell r="S1394">
            <v>-1.5978332719515764</v>
          </cell>
          <cell r="T1394">
            <v>-1.1062059632803711</v>
          </cell>
          <cell r="U1394">
            <v>-0.55419798335640813</v>
          </cell>
          <cell r="V1394">
            <v>-1.2750993427056656E-2</v>
          </cell>
          <cell r="W1394">
            <v>0.48491690916254804</v>
          </cell>
          <cell r="X1394">
            <v>0.94094074718131893</v>
          </cell>
          <cell r="Y1394">
            <v>1.3570740756680983</v>
          </cell>
          <cell r="Z1394">
            <v>1.7310865584467798</v>
          </cell>
          <cell r="AA1394">
            <v>2.0577385169018516</v>
          </cell>
          <cell r="AB1394">
            <v>2.3133924394841401</v>
          </cell>
          <cell r="AC1394">
            <v>2.4768430013389686</v>
          </cell>
          <cell r="AD1394">
            <v>2.5391548602970353</v>
          </cell>
          <cell r="AE1394">
            <v>2.5562028444026303</v>
          </cell>
          <cell r="AF1394">
            <v>2.4726552547226461</v>
          </cell>
          <cell r="AG1394">
            <v>2.3312848151726868</v>
          </cell>
          <cell r="AH1394">
            <v>2.133045907288377</v>
          </cell>
          <cell r="AI1394">
            <v>1.8827164253187831</v>
          </cell>
          <cell r="AJ1394">
            <v>1.5877520319963061</v>
          </cell>
          <cell r="AK1394">
            <v>1.2516960287287198</v>
          </cell>
          <cell r="AL1394">
            <v>0.88191599568420997</v>
          </cell>
          <cell r="AM1394">
            <v>0.49444242265681382</v>
          </cell>
          <cell r="AN1394">
            <v>0.10665607222244589</v>
          </cell>
          <cell r="AO1394">
            <v>-0.107195440607601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0</v>
          </cell>
          <cell r="I1395">
            <v>9.2949004049103223E-8</v>
          </cell>
          <cell r="J1395">
            <v>9.07596886534634E-8</v>
          </cell>
          <cell r="K1395">
            <v>8.9085272492184231E-8</v>
          </cell>
          <cell r="L1395">
            <v>-5.4027314457449904E-2</v>
          </cell>
          <cell r="M1395">
            <v>0.20743181217588447</v>
          </cell>
          <cell r="N1395">
            <v>0.74768221957526304</v>
          </cell>
          <cell r="O1395">
            <v>1.6423559438414337</v>
          </cell>
          <cell r="P1395">
            <v>3.0437294636172618</v>
          </cell>
          <cell r="Q1395">
            <v>4.2058494148444536</v>
          </cell>
          <cell r="R1395">
            <v>5.1964934645094774</v>
          </cell>
          <cell r="S1395">
            <v>6.1040155707340116</v>
          </cell>
          <cell r="T1395">
            <v>6.9843719782140878</v>
          </cell>
          <cell r="U1395">
            <v>7.8635889040852947</v>
          </cell>
          <cell r="V1395">
            <v>8.8119071778805846</v>
          </cell>
          <cell r="W1395">
            <v>9.852384406182102</v>
          </cell>
          <cell r="X1395">
            <v>10.968947961376196</v>
          </cell>
          <cell r="Y1395">
            <v>12.118677308896842</v>
          </cell>
          <cell r="Z1395">
            <v>13.264794180264472</v>
          </cell>
          <cell r="AA1395">
            <v>14.303425189972629</v>
          </cell>
          <cell r="AB1395">
            <v>15.231552538588478</v>
          </cell>
          <cell r="AC1395">
            <v>16.038866584480637</v>
          </cell>
          <cell r="AD1395">
            <v>16.713021094460224</v>
          </cell>
          <cell r="AE1395">
            <v>17.258407597063385</v>
          </cell>
          <cell r="AF1395">
            <v>17.59496577479598</v>
          </cell>
          <cell r="AG1395">
            <v>17.806439280793374</v>
          </cell>
          <cell r="AH1395">
            <v>17.930236219044062</v>
          </cell>
          <cell r="AI1395">
            <v>17.981455819656599</v>
          </cell>
          <cell r="AJ1395">
            <v>17.971403015487031</v>
          </cell>
          <cell r="AK1395">
            <v>17.889409726720462</v>
          </cell>
          <cell r="AL1395">
            <v>17.766577773749461</v>
          </cell>
          <cell r="AM1395">
            <v>17.623410899793935</v>
          </cell>
          <cell r="AN1395">
            <v>17.475758567234823</v>
          </cell>
          <cell r="AO1395">
            <v>17.381764793651012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9.9791175323105108E-8</v>
          </cell>
          <cell r="G1396">
            <v>0</v>
          </cell>
          <cell r="H1396">
            <v>9.5446051062708648E-8</v>
          </cell>
          <cell r="I1396">
            <v>9.2843910337592206E-8</v>
          </cell>
          <cell r="J1396">
            <v>9.073077844590216E-8</v>
          </cell>
          <cell r="K1396">
            <v>8.9339446951441914E-8</v>
          </cell>
          <cell r="L1396">
            <v>-5.7636981684594524E-2</v>
          </cell>
          <cell r="M1396">
            <v>0.32028334558258376</v>
          </cell>
          <cell r="N1396">
            <v>1.0142586676502807</v>
          </cell>
          <cell r="O1396">
            <v>2.1026835637027119</v>
          </cell>
          <cell r="P1396">
            <v>3.7410756276849533</v>
          </cell>
          <cell r="Q1396">
            <v>4.9769412272644864</v>
          </cell>
          <cell r="R1396">
            <v>5.9175941308554636</v>
          </cell>
          <cell r="S1396">
            <v>6.6982956614187739</v>
          </cell>
          <cell r="T1396">
            <v>7.4040322247924895</v>
          </cell>
          <cell r="U1396">
            <v>8.0802285837007446</v>
          </cell>
          <cell r="V1396">
            <v>8.8366147202499477</v>
          </cell>
          <cell r="W1396">
            <v>9.7064691860450978</v>
          </cell>
          <cell r="X1396">
            <v>10.675714027640693</v>
          </cell>
          <cell r="Y1396">
            <v>11.698849901681797</v>
          </cell>
          <cell r="Z1396">
            <v>12.729131791009562</v>
          </cell>
          <cell r="AA1396">
            <v>13.651242493721561</v>
          </cell>
          <cell r="AB1396">
            <v>14.468797596273886</v>
          </cell>
          <cell r="AC1396">
            <v>15.171352618664713</v>
          </cell>
          <cell r="AD1396">
            <v>15.746144261599305</v>
          </cell>
          <cell r="AE1396">
            <v>16.190745612552448</v>
          </cell>
          <cell r="AF1396">
            <v>16.502860960459429</v>
          </cell>
          <cell r="AG1396">
            <v>16.695932995890317</v>
          </cell>
          <cell r="AH1396">
            <v>16.811328410438641</v>
          </cell>
          <cell r="AI1396">
            <v>16.857999394189992</v>
          </cell>
          <cell r="AJ1396">
            <v>16.844911142402765</v>
          </cell>
          <cell r="AK1396">
            <v>16.762193144558914</v>
          </cell>
          <cell r="AL1396">
            <v>16.645673795875425</v>
          </cell>
          <cell r="AM1396">
            <v>16.514010404163002</v>
          </cell>
          <cell r="AN1396">
            <v>16.381788511080408</v>
          </cell>
          <cell r="AO1396">
            <v>16.300316137845485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-1.0703717822746484E-3</v>
          </cell>
          <cell r="M1397">
            <v>0.65168692380475068</v>
          </cell>
          <cell r="N1397">
            <v>1.1745028848428873</v>
          </cell>
          <cell r="O1397">
            <v>1.7200986516217487</v>
          </cell>
          <cell r="P1397">
            <v>2.3476417126979898</v>
          </cell>
          <cell r="Q1397">
            <v>2.7350742033664721</v>
          </cell>
          <cell r="R1397">
            <v>2.8571149291514386</v>
          </cell>
          <cell r="S1397">
            <v>2.8317377287223833</v>
          </cell>
          <cell r="T1397">
            <v>2.6924978289323054</v>
          </cell>
          <cell r="U1397">
            <v>2.4536548788877344</v>
          </cell>
          <cell r="V1397">
            <v>2.2449782789398354</v>
          </cell>
          <cell r="W1397">
            <v>2.2193339647545551</v>
          </cell>
          <cell r="X1397">
            <v>2.2635952118744029</v>
          </cell>
          <cell r="Y1397">
            <v>2.3324555253553703</v>
          </cell>
          <cell r="Z1397">
            <v>2.3882267429626181</v>
          </cell>
          <cell r="AA1397">
            <v>2.4476821863558262</v>
          </cell>
          <cell r="AB1397">
            <v>2.5247293608334553</v>
          </cell>
          <cell r="AC1397">
            <v>2.578086552071257</v>
          </cell>
          <cell r="AD1397">
            <v>2.5872672271657349</v>
          </cell>
          <cell r="AE1397">
            <v>2.5499151455824043</v>
          </cell>
          <cell r="AF1397">
            <v>2.5742738382945829</v>
          </cell>
          <cell r="AG1397">
            <v>2.7072922425433577</v>
          </cell>
          <cell r="AH1397">
            <v>2.8599886796066398</v>
          </cell>
          <cell r="AI1397">
            <v>3.0060523790072846</v>
          </cell>
          <cell r="AJ1397">
            <v>3.1392891888610164</v>
          </cell>
          <cell r="AK1397">
            <v>3.2954563148849481</v>
          </cell>
          <cell r="AL1397">
            <v>3.5015333504171853</v>
          </cell>
          <cell r="AM1397">
            <v>3.7268305183589145</v>
          </cell>
          <cell r="AN1397">
            <v>3.9585764071494722</v>
          </cell>
          <cell r="AO1397">
            <v>4.2025045940268457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0</v>
          </cell>
          <cell r="H1398">
            <v>2.2808888111569559E-8</v>
          </cell>
          <cell r="I1398">
            <v>2.207281024624308E-8</v>
          </cell>
          <cell r="J1398">
            <v>6.3940608363566298E-8</v>
          </cell>
          <cell r="K1398">
            <v>8.2257667344265428E-8</v>
          </cell>
          <cell r="L1398">
            <v>-2.5789411893817338E-2</v>
          </cell>
          <cell r="M1398">
            <v>-0.10311353523527744</v>
          </cell>
          <cell r="N1398">
            <v>-8.6339364172194344E-2</v>
          </cell>
          <cell r="O1398">
            <v>0.10793194898219838</v>
          </cell>
          <cell r="P1398">
            <v>0.56904812796196858</v>
          </cell>
          <cell r="Q1398">
            <v>1.4086145979285147</v>
          </cell>
          <cell r="R1398">
            <v>2.4148480630856728</v>
          </cell>
          <cell r="S1398">
            <v>3.4719040291075309</v>
          </cell>
          <cell r="T1398">
            <v>4.5283466892502178</v>
          </cell>
          <cell r="U1398">
            <v>5.5705772940439768</v>
          </cell>
          <cell r="V1398">
            <v>6.5832959270835767</v>
          </cell>
          <cell r="W1398">
            <v>7.5961530722719495</v>
          </cell>
          <cell r="X1398">
            <v>8.6320110111566706</v>
          </cell>
          <cell r="Y1398">
            <v>9.6986367381536542</v>
          </cell>
          <cell r="Z1398">
            <v>10.782023705671362</v>
          </cell>
          <cell r="AA1398">
            <v>11.861649296667775</v>
          </cell>
          <cell r="AB1398">
            <v>12.887168473371279</v>
          </cell>
          <cell r="AC1398">
            <v>13.82349188771499</v>
          </cell>
          <cell r="AD1398">
            <v>14.642920375349311</v>
          </cell>
          <cell r="AE1398">
            <v>15.337442278349013</v>
          </cell>
          <cell r="AF1398">
            <v>15.887533306187196</v>
          </cell>
          <cell r="AG1398">
            <v>16.290090941358713</v>
          </cell>
          <cell r="AH1398">
            <v>16.552009186426631</v>
          </cell>
          <cell r="AI1398">
            <v>16.684868691904221</v>
          </cell>
          <cell r="AJ1398">
            <v>16.701742401045582</v>
          </cell>
          <cell r="AK1398">
            <v>16.617074892035745</v>
          </cell>
          <cell r="AL1398">
            <v>16.441398809798223</v>
          </cell>
          <cell r="AM1398">
            <v>16.194971715144881</v>
          </cell>
          <cell r="AN1398">
            <v>15.900051043121778</v>
          </cell>
          <cell r="AO1398">
            <v>15.622262947770027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0</v>
          </cell>
          <cell r="H1399">
            <v>-7.2729344768873716E-8</v>
          </cell>
          <cell r="I1399">
            <v>-7.1020866965199048E-8</v>
          </cell>
          <cell r="J1399">
            <v>-1.183217412936699E-7</v>
          </cell>
          <cell r="K1399">
            <v>-7.393929912780095E-9</v>
          </cell>
          <cell r="L1399">
            <v>1.7403797603665616E-2</v>
          </cell>
          <cell r="M1399">
            <v>-0.53259512308759804</v>
          </cell>
          <cell r="N1399">
            <v>-1.2499936255176092</v>
          </cell>
          <cell r="O1399">
            <v>-2.1478463323740038</v>
          </cell>
          <cell r="P1399">
            <v>-3.2768336005401522</v>
          </cell>
          <cell r="Q1399">
            <v>-3.4786209103364052</v>
          </cell>
          <cell r="R1399">
            <v>-3.3736209563781761</v>
          </cell>
          <cell r="S1399">
            <v>-3.1520536760618389</v>
          </cell>
          <cell r="T1399">
            <v>-2.9042062575307837</v>
          </cell>
          <cell r="U1399">
            <v>-2.6598587874362423</v>
          </cell>
          <cell r="V1399">
            <v>-2.5162147318611217</v>
          </cell>
          <cell r="W1399">
            <v>-2.4520435385087969</v>
          </cell>
          <cell r="X1399">
            <v>-2.4197264181418321</v>
          </cell>
          <cell r="Y1399">
            <v>-2.3684077770740219</v>
          </cell>
          <cell r="Z1399">
            <v>-2.2916511599449518</v>
          </cell>
          <cell r="AA1399">
            <v>-2.1062245503540855</v>
          </cell>
          <cell r="AB1399">
            <v>-1.8880820111529029</v>
          </cell>
          <cell r="AC1399">
            <v>-1.6535132150174769</v>
          </cell>
          <cell r="AD1399">
            <v>-1.4126848030940997</v>
          </cell>
          <cell r="AE1399">
            <v>-1.173589556160981</v>
          </cell>
          <cell r="AF1399">
            <v>-0.91467549741018894</v>
          </cell>
          <cell r="AG1399">
            <v>-0.70551499632678372</v>
          </cell>
          <cell r="AH1399">
            <v>-0.54418375994650381</v>
          </cell>
          <cell r="AI1399">
            <v>-0.42694769978701697</v>
          </cell>
          <cell r="AJ1399">
            <v>-0.35069267482804589</v>
          </cell>
          <cell r="AK1399">
            <v>-0.29619683895502069</v>
          </cell>
          <cell r="AL1399">
            <v>-0.29072843992302699</v>
          </cell>
          <cell r="AM1399">
            <v>-0.32932541166978968</v>
          </cell>
          <cell r="AN1399">
            <v>-0.40493802060080908</v>
          </cell>
          <cell r="AO1399">
            <v>-0.50655066511781088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0</v>
          </cell>
          <cell r="H1400">
            <v>1.7909251859293818E-8</v>
          </cell>
          <cell r="I1400">
            <v>3.4662628323189892E-8</v>
          </cell>
          <cell r="J1400">
            <v>5.0205395396574204E-8</v>
          </cell>
          <cell r="K1400">
            <v>8.0734685603545131E-8</v>
          </cell>
          <cell r="L1400">
            <v>-2.5789416153787492E-2</v>
          </cell>
          <cell r="M1400">
            <v>-0.10311352779254213</v>
          </cell>
          <cell r="N1400">
            <v>-8.6339375291322185E-2</v>
          </cell>
          <cell r="O1400">
            <v>0.10793195093499186</v>
          </cell>
          <cell r="P1400">
            <v>0.56904811904059382</v>
          </cell>
          <cell r="Q1400">
            <v>1.4086146150058099</v>
          </cell>
          <cell r="R1400">
            <v>2.4148480635004521</v>
          </cell>
          <cell r="S1400">
            <v>3.4719040493771391</v>
          </cell>
          <cell r="T1400">
            <v>4.5283466953630613</v>
          </cell>
          <cell r="U1400">
            <v>5.5705773115777957</v>
          </cell>
          <cell r="V1400">
            <v>6.5832959316592499</v>
          </cell>
          <cell r="W1400">
            <v>7.5961530794983245</v>
          </cell>
          <cell r="X1400">
            <v>8.6320110410194282</v>
          </cell>
          <cell r="Y1400">
            <v>9.6986367185809996</v>
          </cell>
          <cell r="Z1400">
            <v>10.782023658317396</v>
          </cell>
          <cell r="AA1400">
            <v>11.861649293589238</v>
          </cell>
          <cell r="AB1400">
            <v>12.887168525159431</v>
          </cell>
          <cell r="AC1400">
            <v>13.823491925583141</v>
          </cell>
          <cell r="AD1400">
            <v>14.64292040046522</v>
          </cell>
          <cell r="AE1400">
            <v>15.337442279646197</v>
          </cell>
          <cell r="AF1400">
            <v>15.887533267059517</v>
          </cell>
          <cell r="AG1400">
            <v>16.290090940500669</v>
          </cell>
          <cell r="AH1400">
            <v>16.552009180447392</v>
          </cell>
          <cell r="AI1400">
            <v>16.684868656624285</v>
          </cell>
          <cell r="AJ1400">
            <v>16.701742448679525</v>
          </cell>
          <cell r="AK1400">
            <v>16.617074908636951</v>
          </cell>
          <cell r="AL1400">
            <v>16.441398806604425</v>
          </cell>
          <cell r="AM1400">
            <v>16.194971759512544</v>
          </cell>
          <cell r="AN1400">
            <v>15.900051010937432</v>
          </cell>
          <cell r="AO1400">
            <v>15.6222629657379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0</v>
          </cell>
          <cell r="H1401">
            <v>1.790927406375431E-8</v>
          </cell>
          <cell r="I1401">
            <v>3.4662628323189892E-8</v>
          </cell>
          <cell r="J1401">
            <v>-4.0594350103617671E-8</v>
          </cell>
          <cell r="K1401">
            <v>-9.605624073927288E-8</v>
          </cell>
          <cell r="L1401">
            <v>3.767337132207782E-2</v>
          </cell>
          <cell r="M1401">
            <v>-6.0562576319811434E-2</v>
          </cell>
          <cell r="N1401">
            <v>-0.35424494099558501</v>
          </cell>
          <cell r="O1401">
            <v>-0.77113179899798157</v>
          </cell>
          <cell r="P1401">
            <v>-1.3301504917183959</v>
          </cell>
          <cell r="Q1401">
            <v>-1.7471068838393888</v>
          </cell>
          <cell r="R1401">
            <v>-1.8390075057412303</v>
          </cell>
          <cell r="S1401">
            <v>-1.8027647344405318</v>
          </cell>
          <cell r="T1401">
            <v>-1.7482733892781654</v>
          </cell>
          <cell r="U1401">
            <v>-1.7184218765218362</v>
          </cell>
          <cell r="V1401">
            <v>-1.745291280157335</v>
          </cell>
          <cell r="W1401">
            <v>-1.8152867439846787</v>
          </cell>
          <cell r="X1401">
            <v>-1.9141527745507148</v>
          </cell>
          <cell r="Y1401">
            <v>-2.0091692915727322</v>
          </cell>
          <cell r="Z1401">
            <v>-2.0760895422963777</v>
          </cell>
          <cell r="AA1401">
            <v>-2.0845861789949405</v>
          </cell>
          <cell r="AB1401">
            <v>-2.0248397590594158</v>
          </cell>
          <cell r="AC1401">
            <v>-1.9206890606740856</v>
          </cell>
          <cell r="AD1401">
            <v>-1.7833861501156067</v>
          </cell>
          <cell r="AE1401">
            <v>-1.6238908772295613</v>
          </cell>
          <cell r="AF1401">
            <v>-1.448859652150547</v>
          </cell>
          <cell r="AG1401">
            <v>-1.2653684335798943</v>
          </cell>
          <cell r="AH1401">
            <v>-1.1021706349075844</v>
          </cell>
          <cell r="AI1401">
            <v>-0.96228257186782296</v>
          </cell>
          <cell r="AJ1401">
            <v>-0.84608005346283877</v>
          </cell>
          <cell r="AK1401">
            <v>-0.75126540426987409</v>
          </cell>
          <cell r="AL1401">
            <v>-0.67779552553753897</v>
          </cell>
          <cell r="AM1401">
            <v>-0.63522020156812076</v>
          </cell>
          <cell r="AN1401">
            <v>-0.62452738205019953</v>
          </cell>
          <cell r="AO1401">
            <v>-0.6637021032256718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-0.16141721733979875</v>
          </cell>
          <cell r="M1402">
            <v>-0.45458470157986319</v>
          </cell>
          <cell r="N1402">
            <v>-0.83379049755483159</v>
          </cell>
          <cell r="O1402">
            <v>-1.2360222197498549</v>
          </cell>
          <cell r="P1402">
            <v>-1.586488424992516</v>
          </cell>
          <cell r="Q1402">
            <v>-1.8789771227741392</v>
          </cell>
          <cell r="R1402">
            <v>-2.0722728764513865</v>
          </cell>
          <cell r="S1402">
            <v>-2.1495230694693612</v>
          </cell>
          <cell r="T1402">
            <v>-2.1253535110047128</v>
          </cell>
          <cell r="U1402">
            <v>-2.01696775531226</v>
          </cell>
          <cell r="V1402">
            <v>-1.8545924449443918</v>
          </cell>
          <cell r="W1402">
            <v>-1.6683201802269121</v>
          </cell>
          <cell r="X1402">
            <v>-1.4963395304097182</v>
          </cell>
          <cell r="Y1402">
            <v>-1.3647320847761213</v>
          </cell>
          <cell r="Z1402">
            <v>-1.2902166462477216</v>
          </cell>
          <cell r="AA1402">
            <v>-1.2806925713082729</v>
          </cell>
          <cell r="AB1402">
            <v>-1.3357114667317815</v>
          </cell>
          <cell r="AC1402">
            <v>-1.4536544552234187</v>
          </cell>
          <cell r="AD1402">
            <v>-1.6316564601100425</v>
          </cell>
          <cell r="AE1402">
            <v>-1.8229087214491013</v>
          </cell>
          <cell r="AF1402">
            <v>-2.0325238969200798</v>
          </cell>
          <cell r="AG1402">
            <v>-2.2261517673232256</v>
          </cell>
          <cell r="AH1402">
            <v>-2.4107741507886637</v>
          </cell>
          <cell r="AI1402">
            <v>-2.592619580560529</v>
          </cell>
          <cell r="AJ1402">
            <v>-2.7735143829463293</v>
          </cell>
          <cell r="AK1402">
            <v>-2.9521297140363556</v>
          </cell>
          <cell r="AL1402">
            <v>-3.1235773560046032</v>
          </cell>
          <cell r="AM1402">
            <v>-3.2822930277714213</v>
          </cell>
          <cell r="AN1402">
            <v>-3.4231944229453082</v>
          </cell>
          <cell r="AO1402">
            <v>-3.4237196231272637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-46.560690000002069</v>
          </cell>
          <cell r="M1403">
            <v>-132.91091999999844</v>
          </cell>
          <cell r="N1403">
            <v>-247.18539999999848</v>
          </cell>
          <cell r="O1403">
            <v>-371.38784999999916</v>
          </cell>
          <cell r="P1403">
            <v>-482.48898999999801</v>
          </cell>
          <cell r="Q1403">
            <v>-577.23843000000124</v>
          </cell>
          <cell r="R1403">
            <v>-641.67627999999968</v>
          </cell>
          <cell r="S1403">
            <v>-669.49923000000126</v>
          </cell>
          <cell r="T1403">
            <v>-664.68188999999984</v>
          </cell>
          <cell r="U1403">
            <v>-632.5109999999986</v>
          </cell>
          <cell r="V1403">
            <v>-582.64370999999664</v>
          </cell>
          <cell r="W1403">
            <v>-524.79464000000007</v>
          </cell>
          <cell r="X1403">
            <v>-471.21321000000171</v>
          </cell>
          <cell r="Y1403">
            <v>-430.28749999999854</v>
          </cell>
          <cell r="Z1403">
            <v>-407.39362000000256</v>
          </cell>
          <cell r="AA1403">
            <v>-405.18110999999772</v>
          </cell>
          <cell r="AB1403">
            <v>-423.68809999999939</v>
          </cell>
          <cell r="AC1403">
            <v>-462.63777000000118</v>
          </cell>
          <cell r="AD1403">
            <v>-521.42481000000043</v>
          </cell>
          <cell r="AE1403">
            <v>-585.30349000000206</v>
          </cell>
          <cell r="AF1403">
            <v>-655.83095999999932</v>
          </cell>
          <cell r="AG1403">
            <v>-721.95403000000078</v>
          </cell>
          <cell r="AH1403">
            <v>-785.95171000000119</v>
          </cell>
          <cell r="AI1403">
            <v>-849.88664000000426</v>
          </cell>
          <cell r="AJ1403">
            <v>-914.34698999999819</v>
          </cell>
          <cell r="AK1403">
            <v>-978.81310999999914</v>
          </cell>
          <cell r="AL1403">
            <v>-1041.5046900000016</v>
          </cell>
          <cell r="AM1403">
            <v>-1100.3285599999981</v>
          </cell>
          <cell r="AN1403">
            <v>-1153.2818800000023</v>
          </cell>
          <cell r="AO1403">
            <v>-1158.5634199999986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0</v>
          </cell>
          <cell r="H1404">
            <v>0</v>
          </cell>
          <cell r="I1404">
            <v>0</v>
          </cell>
          <cell r="J1404">
            <v>1.000000082740371E-8</v>
          </cell>
          <cell r="K1404">
            <v>0</v>
          </cell>
          <cell r="L1404">
            <v>0.1202312300000008</v>
          </cell>
          <cell r="M1404">
            <v>0.3319981700000002</v>
          </cell>
          <cell r="N1404">
            <v>0.60065734000000059</v>
          </cell>
          <cell r="O1404">
            <v>0.88075033000000058</v>
          </cell>
          <cell r="P1404">
            <v>1.116984080000001</v>
          </cell>
          <cell r="Q1404">
            <v>1.3112161799999993</v>
          </cell>
          <cell r="R1404">
            <v>1.4316917599999992</v>
          </cell>
          <cell r="S1404">
            <v>1.4680633999999997</v>
          </cell>
          <cell r="T1404">
            <v>1.4341210500000008</v>
          </cell>
          <cell r="U1404">
            <v>1.3439680800000007</v>
          </cell>
          <cell r="V1404">
            <v>1.2208623799999998</v>
          </cell>
          <cell r="W1404">
            <v>1.0865328699999997</v>
          </cell>
          <cell r="X1404">
            <v>0.96810852000000081</v>
          </cell>
          <cell r="Y1404">
            <v>0.88232637999999941</v>
          </cell>
          <cell r="Z1404">
            <v>0.83954820999999902</v>
          </cell>
          <cell r="AA1404">
            <v>0.8421287600000007</v>
          </cell>
          <cell r="AB1404">
            <v>0.88906804000000039</v>
          </cell>
          <cell r="AC1404">
            <v>0.97860503000000021</v>
          </cell>
          <cell r="AD1404">
            <v>1.1086014499999992</v>
          </cell>
          <cell r="AE1404">
            <v>1.2458707799999997</v>
          </cell>
          <cell r="AF1404">
            <v>1.3931003900000003</v>
          </cell>
          <cell r="AG1404">
            <v>1.5261795800000004</v>
          </cell>
          <cell r="AH1404">
            <v>1.652930459999999</v>
          </cell>
          <cell r="AI1404">
            <v>1.7788346099999992</v>
          </cell>
          <cell r="AJ1404">
            <v>1.90516555</v>
          </cell>
          <cell r="AK1404">
            <v>2.0305894199999992</v>
          </cell>
          <cell r="AL1404">
            <v>2.15105134</v>
          </cell>
          <cell r="AM1404">
            <v>2.2621519899999996</v>
          </cell>
          <cell r="AN1404">
            <v>2.3599662699999997</v>
          </cell>
          <cell r="AO1404">
            <v>2.34756812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1.9265446876692849E-9</v>
          </cell>
          <cell r="G1405">
            <v>6.5256117350032117E-9</v>
          </cell>
          <cell r="H1405">
            <v>1.1284612046885689E-8</v>
          </cell>
          <cell r="I1405">
            <v>1.7204341597187867E-8</v>
          </cell>
          <cell r="J1405">
            <v>1.9165948342281247E-8</v>
          </cell>
          <cell r="K1405">
            <v>1.9023092476255776E-8</v>
          </cell>
          <cell r="L1405">
            <v>-0.21690210967916757</v>
          </cell>
          <cell r="M1405">
            <v>-0.42617822846204195</v>
          </cell>
          <cell r="N1405">
            <v>-0.46253771730516213</v>
          </cell>
          <cell r="O1405">
            <v>-0.35883865593872716</v>
          </cell>
          <cell r="P1405">
            <v>-9.1400846534115537E-2</v>
          </cell>
          <cell r="Q1405">
            <v>9.2715875904374884E-2</v>
          </cell>
          <cell r="R1405">
            <v>0.21899199764674956</v>
          </cell>
          <cell r="S1405">
            <v>0.30711492136143159</v>
          </cell>
          <cell r="T1405">
            <v>0.37930802696101928</v>
          </cell>
          <cell r="U1405">
            <v>0.46491468718315232</v>
          </cell>
          <cell r="V1405">
            <v>0.55636566942908749</v>
          </cell>
          <cell r="W1405">
            <v>0.64552238867241829</v>
          </cell>
          <cell r="X1405">
            <v>0.72751903697349862</v>
          </cell>
          <cell r="Y1405">
            <v>0.80434543094534472</v>
          </cell>
          <cell r="Z1405">
            <v>0.87072973828161704</v>
          </cell>
          <cell r="AA1405">
            <v>0.90495464428657357</v>
          </cell>
          <cell r="AB1405">
            <v>0.90974845368509416</v>
          </cell>
          <cell r="AC1405">
            <v>0.89647535254942723</v>
          </cell>
          <cell r="AD1405">
            <v>0.87162895071658664</v>
          </cell>
          <cell r="AE1405">
            <v>0.88685952647181221</v>
          </cell>
          <cell r="AF1405">
            <v>0.84366798227008677</v>
          </cell>
          <cell r="AG1405">
            <v>0.82088155099122107</v>
          </cell>
          <cell r="AH1405">
            <v>0.77634880443126919</v>
          </cell>
          <cell r="AI1405">
            <v>0.72308277789829778</v>
          </cell>
          <cell r="AJ1405">
            <v>0.66806056387258073</v>
          </cell>
          <cell r="AK1405">
            <v>0.6060017822646826</v>
          </cell>
          <cell r="AL1405">
            <v>0.54110470305101865</v>
          </cell>
          <cell r="AM1405">
            <v>0.48408128788795035</v>
          </cell>
          <cell r="AN1405">
            <v>0.43872912883538145</v>
          </cell>
          <cell r="AO1405">
            <v>0.5442246400185119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9.7128277642966054E-10</v>
          </cell>
          <cell r="G1406">
            <v>1.4453669164304905E-9</v>
          </cell>
          <cell r="H1406">
            <v>-1.8667499837587975E-9</v>
          </cell>
          <cell r="I1406">
            <v>-2.399395612751043E-9</v>
          </cell>
          <cell r="J1406">
            <v>-3.1191750571313293E-9</v>
          </cell>
          <cell r="K1406">
            <v>-4.0753293101269961E-9</v>
          </cell>
          <cell r="L1406">
            <v>5.8036211026702214E-3</v>
          </cell>
          <cell r="M1406">
            <v>-2.4983220100966222E-2</v>
          </cell>
          <cell r="N1406">
            <v>-0.10121463694539763</v>
          </cell>
          <cell r="O1406">
            <v>-0.20663444675936732</v>
          </cell>
          <cell r="P1406">
            <v>-0.33570677913746394</v>
          </cell>
          <cell r="Q1406">
            <v>-0.44447148397018077</v>
          </cell>
          <cell r="R1406">
            <v>-0.5333702170622221</v>
          </cell>
          <cell r="S1406">
            <v>-0.61033047279652197</v>
          </cell>
          <cell r="T1406">
            <v>-0.68304012564610184</v>
          </cell>
          <cell r="U1406">
            <v>-0.75566676840949698</v>
          </cell>
          <cell r="V1406">
            <v>-0.83027946693257504</v>
          </cell>
          <cell r="W1406">
            <v>-0.88618235947378554</v>
          </cell>
          <cell r="X1406">
            <v>-0.93643901253164763</v>
          </cell>
          <cell r="Y1406">
            <v>-0.99004104132846116</v>
          </cell>
          <cell r="Z1406">
            <v>-1.0454527501157047</v>
          </cell>
          <cell r="AA1406">
            <v>-1.0992869112222481</v>
          </cell>
          <cell r="AB1406">
            <v>-1.1487513773704761</v>
          </cell>
          <cell r="AC1406">
            <v>-1.195888822615683</v>
          </cell>
          <cell r="AD1406">
            <v>-1.2426774764866058</v>
          </cell>
          <cell r="AE1406">
            <v>-1.2894723611079151</v>
          </cell>
          <cell r="AF1406">
            <v>-1.3213583946408298</v>
          </cell>
          <cell r="AG1406">
            <v>-1.3444299861021833</v>
          </cell>
          <cell r="AH1406">
            <v>-1.3631031278699861</v>
          </cell>
          <cell r="AI1406">
            <v>-1.3793527381697175</v>
          </cell>
          <cell r="AJ1406">
            <v>-1.3937063458234893</v>
          </cell>
          <cell r="AK1406">
            <v>-1.4050765842746691</v>
          </cell>
          <cell r="AL1406">
            <v>-1.4132144784813159</v>
          </cell>
          <cell r="AM1406">
            <v>-1.4188070092642335</v>
          </cell>
          <cell r="AN1406">
            <v>-1.422484456630678</v>
          </cell>
          <cell r="AO1406">
            <v>-1.423713066923683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-6.2896791941380314E-9</v>
          </cell>
          <cell r="G1407">
            <v>-7.1524734052141881E-9</v>
          </cell>
          <cell r="H1407">
            <v>-1.1125713024473516E-8</v>
          </cell>
          <cell r="I1407">
            <v>-1.6422066310972649E-8</v>
          </cell>
          <cell r="J1407">
            <v>-1.6401634564400247E-8</v>
          </cell>
          <cell r="K1407">
            <v>-1.6896623336593031E-8</v>
          </cell>
          <cell r="L1407">
            <v>9.9939615819547717E-2</v>
          </cell>
          <cell r="M1407">
            <v>0.19912356091341155</v>
          </cell>
          <cell r="N1407">
            <v>0.29679822271830164</v>
          </cell>
          <cell r="O1407">
            <v>0.32654076938808052</v>
          </cell>
          <cell r="P1407">
            <v>0.22956470924976047</v>
          </cell>
          <cell r="Q1407">
            <v>0.31314453256687386</v>
          </cell>
          <cell r="R1407">
            <v>0.27665617851327995</v>
          </cell>
          <cell r="S1407">
            <v>0.16219517253247689</v>
          </cell>
          <cell r="T1407">
            <v>1.9638435542826405E-4</v>
          </cell>
          <cell r="U1407">
            <v>-0.19688467315067196</v>
          </cell>
          <cell r="V1407">
            <v>-0.42244461796936</v>
          </cell>
          <cell r="W1407">
            <v>-0.65233558090400656</v>
          </cell>
          <cell r="X1407">
            <v>-0.87417266965895757</v>
          </cell>
          <cell r="Y1407">
            <v>-1.0779911070949166</v>
          </cell>
          <cell r="Z1407">
            <v>-1.2553689022802961</v>
          </cell>
          <cell r="AA1407">
            <v>-1.3726407319120282</v>
          </cell>
          <cell r="AB1407">
            <v>-1.4524704021146779</v>
          </cell>
          <cell r="AC1407">
            <v>-1.4908190716295935</v>
          </cell>
          <cell r="AD1407">
            <v>-1.4881969387212972</v>
          </cell>
          <cell r="AE1407">
            <v>-1.4728004281843989</v>
          </cell>
          <cell r="AF1407">
            <v>-1.4002756810720247</v>
          </cell>
          <cell r="AG1407">
            <v>-1.3220426408582238</v>
          </cell>
          <cell r="AH1407">
            <v>-1.2389117824873299</v>
          </cell>
          <cell r="AI1407">
            <v>-1.1499541191103815</v>
          </cell>
          <cell r="AJ1407">
            <v>-1.0555866877168418</v>
          </cell>
          <cell r="AK1407">
            <v>-0.94445719171404874</v>
          </cell>
          <cell r="AL1407">
            <v>-0.83065588016494885</v>
          </cell>
          <cell r="AM1407">
            <v>-0.71795720985755596</v>
          </cell>
          <cell r="AN1407">
            <v>-0.61101004385994417</v>
          </cell>
          <cell r="AO1407">
            <v>-0.58362157082490207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-8.7535138859617945E-9</v>
          </cell>
          <cell r="G1408">
            <v>3.8401209295768624E-9</v>
          </cell>
          <cell r="H1408">
            <v>1.1872062360973601E-9</v>
          </cell>
          <cell r="I1408">
            <v>-5.112941320328801E-10</v>
          </cell>
          <cell r="J1408">
            <v>3.6882535220383872E-9</v>
          </cell>
          <cell r="K1408">
            <v>-4.210755875921901E-10</v>
          </cell>
          <cell r="L1408">
            <v>0.10607513464455372</v>
          </cell>
          <cell r="M1408">
            <v>0.19216464900428873</v>
          </cell>
          <cell r="N1408">
            <v>0.47351667930417457</v>
          </cell>
          <cell r="O1408">
            <v>0.66659676461694806</v>
          </cell>
          <cell r="P1408">
            <v>0.73138225260792822</v>
          </cell>
          <cell r="Q1408">
            <v>1.0048080567040631</v>
          </cell>
          <cell r="R1408">
            <v>0.86588849469647555</v>
          </cell>
          <cell r="S1408">
            <v>0.63571362774915496</v>
          </cell>
          <cell r="T1408">
            <v>0.37368491502387036</v>
          </cell>
          <cell r="U1408">
            <v>9.3123517587425514E-2</v>
          </cell>
          <cell r="V1408">
            <v>-0.20552632607059099</v>
          </cell>
          <cell r="W1408">
            <v>-0.49603720137866081</v>
          </cell>
          <cell r="X1408">
            <v>-0.77821578444973105</v>
          </cell>
          <cell r="Y1408">
            <v>-1.0485365873951089</v>
          </cell>
          <cell r="Z1408">
            <v>-1.297700082265165</v>
          </cell>
          <cell r="AA1408">
            <v>-1.4877442673252119</v>
          </cell>
          <cell r="AB1408">
            <v>-1.6296654221848992</v>
          </cell>
          <cell r="AC1408">
            <v>-1.7180023660983215</v>
          </cell>
          <cell r="AD1408">
            <v>-1.7513263726152368</v>
          </cell>
          <cell r="AE1408">
            <v>-1.7560327692527113</v>
          </cell>
          <cell r="AF1408">
            <v>-1.6921582295621795</v>
          </cell>
          <cell r="AG1408">
            <v>-1.5999356985984605</v>
          </cell>
          <cell r="AH1408">
            <v>-1.5023086850927445</v>
          </cell>
          <cell r="AI1408">
            <v>-1.397492508947358</v>
          </cell>
          <cell r="AJ1408">
            <v>-1.2856021786890561</v>
          </cell>
          <cell r="AK1408">
            <v>-1.1561096929829526</v>
          </cell>
          <cell r="AL1408">
            <v>-1.0168765060075162</v>
          </cell>
          <cell r="AM1408">
            <v>-0.88615933268880598</v>
          </cell>
          <cell r="AN1408">
            <v>-0.76785279586608501</v>
          </cell>
          <cell r="AO1408">
            <v>-0.73073153606493524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-9.5235364039325532E-8</v>
          </cell>
          <cell r="G1409">
            <v>4.2294334701153957E-8</v>
          </cell>
          <cell r="H1409">
            <v>-8.8664797726067945E-8</v>
          </cell>
          <cell r="I1409">
            <v>-4.4967862766753797E-8</v>
          </cell>
          <cell r="J1409">
            <v>-7.9201745162293946E-8</v>
          </cell>
          <cell r="K1409">
            <v>-1.1363280316700752E-7</v>
          </cell>
          <cell r="L1409">
            <v>0.39236443228312101</v>
          </cell>
          <cell r="M1409">
            <v>0.64538386327323005</v>
          </cell>
          <cell r="N1409">
            <v>0.94232561988879526</v>
          </cell>
          <cell r="O1409">
            <v>1.1452445184633619</v>
          </cell>
          <cell r="P1409">
            <v>1.0491915306940158</v>
          </cell>
          <cell r="Q1409">
            <v>1.4929468088610287</v>
          </cell>
          <cell r="R1409">
            <v>1.8319365418967393</v>
          </cell>
          <cell r="S1409">
            <v>1.9607418908662688</v>
          </cell>
          <cell r="T1409">
            <v>1.8650272755363795</v>
          </cell>
          <cell r="U1409">
            <v>1.5402595161454617</v>
          </cell>
          <cell r="V1409">
            <v>0.98804847117519023</v>
          </cell>
          <cell r="W1409">
            <v>0.23540057694450139</v>
          </cell>
          <cell r="X1409">
            <v>-0.69305311873398767</v>
          </cell>
          <cell r="Y1409">
            <v>-1.7807437796574108</v>
          </cell>
          <cell r="Z1409">
            <v>-3.0111190003958068</v>
          </cell>
          <cell r="AA1409">
            <v>-4.3418358103059775</v>
          </cell>
          <cell r="AB1409">
            <v>-5.7445890857949991</v>
          </cell>
          <cell r="AC1409">
            <v>-7.1868475018729612</v>
          </cell>
          <cell r="AD1409">
            <v>-8.6356671370373554</v>
          </cell>
          <cell r="AE1409">
            <v>-10.045926400251975</v>
          </cell>
          <cell r="AF1409">
            <v>-11.431804053994965</v>
          </cell>
          <cell r="AG1409">
            <v>-12.702211918115387</v>
          </cell>
          <cell r="AH1409">
            <v>-13.882745947738639</v>
          </cell>
          <cell r="AI1409">
            <v>-14.96774612732974</v>
          </cell>
          <cell r="AJ1409">
            <v>-15.951850507096822</v>
          </cell>
          <cell r="AK1409">
            <v>-16.835612170620884</v>
          </cell>
          <cell r="AL1409">
            <v>-17.594176907206261</v>
          </cell>
          <cell r="AM1409">
            <v>-18.223165526958031</v>
          </cell>
          <cell r="AN1409">
            <v>-18.723984707336029</v>
          </cell>
          <cell r="AO1409">
            <v>-18.844349395979421</v>
          </cell>
        </row>
        <row r="1410">
          <cell r="C1410" t="str">
            <v>PIB</v>
          </cell>
          <cell r="E1410" t="str">
            <v>GDP_2</v>
          </cell>
          <cell r="F1410">
            <v>2196058.7280000001</v>
          </cell>
          <cell r="G1410">
            <v>2234796.7149999999</v>
          </cell>
          <cell r="H1410">
            <v>2275554.4789999998</v>
          </cell>
          <cell r="I1410">
            <v>2318793.1359999999</v>
          </cell>
          <cell r="J1410">
            <v>2367706.034</v>
          </cell>
          <cell r="K1410">
            <v>2425258.6869999999</v>
          </cell>
          <cell r="L1410">
            <v>2477527.31</v>
          </cell>
          <cell r="M1410">
            <v>2528406.5970000001</v>
          </cell>
          <cell r="N1410">
            <v>2578883.1800000002</v>
          </cell>
          <cell r="O1410">
            <v>2628086.773</v>
          </cell>
          <cell r="P1410">
            <v>2675429.4810000001</v>
          </cell>
          <cell r="Q1410">
            <v>2721878.966</v>
          </cell>
          <cell r="R1410">
            <v>2769390.35</v>
          </cell>
          <cell r="S1410">
            <v>2817730.9479999999</v>
          </cell>
          <cell r="T1410">
            <v>2866176.8059999999</v>
          </cell>
          <cell r="U1410">
            <v>2915232.8420000002</v>
          </cell>
          <cell r="V1410">
            <v>2963737.037</v>
          </cell>
          <cell r="W1410">
            <v>3012372.3820000002</v>
          </cell>
          <cell r="X1410">
            <v>3060459.2850000001</v>
          </cell>
          <cell r="Y1410">
            <v>3108466.423</v>
          </cell>
          <cell r="Z1410">
            <v>3156263.0329999998</v>
          </cell>
          <cell r="AA1410">
            <v>3205095.2230000002</v>
          </cell>
          <cell r="AB1410">
            <v>3255193.64</v>
          </cell>
          <cell r="AC1410">
            <v>3306633.7069999999</v>
          </cell>
          <cell r="AD1410">
            <v>3359477.531</v>
          </cell>
          <cell r="AE1410">
            <v>3415865.412</v>
          </cell>
          <cell r="AF1410">
            <v>3472810.3059999999</v>
          </cell>
          <cell r="AG1410">
            <v>3534474.9739999999</v>
          </cell>
          <cell r="AH1410">
            <v>3598060.0520000001</v>
          </cell>
          <cell r="AI1410">
            <v>3663597.7420000001</v>
          </cell>
          <cell r="AJ1410">
            <v>3730946.7319999998</v>
          </cell>
          <cell r="AK1410">
            <v>3799941.8339999998</v>
          </cell>
          <cell r="AL1410">
            <v>3870328.7370000002</v>
          </cell>
          <cell r="AM1410">
            <v>3941846.0780000002</v>
          </cell>
          <cell r="AN1410">
            <v>4014219.6869999999</v>
          </cell>
          <cell r="AO1410">
            <v>4098034.2110000001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-4.5536130421908183E-8</v>
          </cell>
          <cell r="G1411">
            <v>4.4746806260320682E-8</v>
          </cell>
          <cell r="H1411">
            <v>0</v>
          </cell>
          <cell r="I1411">
            <v>4.3125880644367953E-8</v>
          </cell>
          <cell r="J1411">
            <v>0</v>
          </cell>
          <cell r="K1411">
            <v>0</v>
          </cell>
          <cell r="L1411">
            <v>0</v>
          </cell>
          <cell r="M1411">
            <v>3.9550607233707069E-8</v>
          </cell>
          <cell r="N1411">
            <v>0</v>
          </cell>
          <cell r="O1411">
            <v>0</v>
          </cell>
          <cell r="P1411">
            <v>0</v>
          </cell>
          <cell r="Q1411">
            <v>-3.6739333797441986E-8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-2.4401947129604196E-8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1178774.5789999999</v>
          </cell>
          <cell r="G1412">
            <v>1219086.496</v>
          </cell>
          <cell r="H1412">
            <v>1258796.1780000001</v>
          </cell>
          <cell r="I1412">
            <v>1306190.1100000001</v>
          </cell>
          <cell r="J1412">
            <v>1353053.439</v>
          </cell>
          <cell r="K1412">
            <v>1388866.4609999999</v>
          </cell>
          <cell r="L1412">
            <v>1421562.362</v>
          </cell>
          <cell r="M1412">
            <v>1466422.36</v>
          </cell>
          <cell r="N1412">
            <v>1521008.6399999999</v>
          </cell>
          <cell r="O1412">
            <v>1581078.963</v>
          </cell>
          <cell r="P1412">
            <v>1650180.047</v>
          </cell>
          <cell r="Q1412">
            <v>1715321.2180000001</v>
          </cell>
          <cell r="R1412">
            <v>1768151.6950000001</v>
          </cell>
          <cell r="S1412">
            <v>1817402.743</v>
          </cell>
          <cell r="T1412">
            <v>1864193.827</v>
          </cell>
          <cell r="U1412">
            <v>1908745.0719999999</v>
          </cell>
          <cell r="V1412">
            <v>1951822.1189999999</v>
          </cell>
          <cell r="W1412">
            <v>1993910.7990000001</v>
          </cell>
          <cell r="X1412">
            <v>2034542.453</v>
          </cell>
          <cell r="Y1412">
            <v>2073200.277</v>
          </cell>
          <cell r="Z1412">
            <v>2108400.3190000001</v>
          </cell>
          <cell r="AA1412">
            <v>2142325.3930000002</v>
          </cell>
          <cell r="AB1412">
            <v>2174390.6370000001</v>
          </cell>
          <cell r="AC1412">
            <v>2204675.4700000002</v>
          </cell>
          <cell r="AD1412">
            <v>2233389.4369999999</v>
          </cell>
          <cell r="AE1412">
            <v>2256023.7250000001</v>
          </cell>
          <cell r="AF1412">
            <v>2279499.6439999999</v>
          </cell>
          <cell r="AG1412">
            <v>2303027.5060000001</v>
          </cell>
          <cell r="AH1412">
            <v>2325516.463</v>
          </cell>
          <cell r="AI1412">
            <v>2347096.037</v>
          </cell>
          <cell r="AJ1412">
            <v>2367990.3029999998</v>
          </cell>
          <cell r="AK1412">
            <v>2388041.838</v>
          </cell>
          <cell r="AL1412">
            <v>2408308.2620000001</v>
          </cell>
          <cell r="AM1412">
            <v>2427898.0729999999</v>
          </cell>
          <cell r="AN1412">
            <v>2446974.111</v>
          </cell>
          <cell r="AO1412">
            <v>2465362.8280000002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1013894.344</v>
          </cell>
          <cell r="G1413">
            <v>1051487.6410000001</v>
          </cell>
          <cell r="H1413">
            <v>1096363.987</v>
          </cell>
          <cell r="I1413">
            <v>1149332.254</v>
          </cell>
          <cell r="J1413">
            <v>1202965.8500000001</v>
          </cell>
          <cell r="K1413">
            <v>1257775.6880000001</v>
          </cell>
          <cell r="L1413">
            <v>1316451.2009999999</v>
          </cell>
          <cell r="M1413">
            <v>1383272.6240000001</v>
          </cell>
          <cell r="N1413">
            <v>1457680.5989999999</v>
          </cell>
          <cell r="O1413">
            <v>1542500.9180000001</v>
          </cell>
          <cell r="P1413">
            <v>1641069.166</v>
          </cell>
          <cell r="Q1413">
            <v>1729407.469</v>
          </cell>
          <cell r="R1413">
            <v>1819532.7879999999</v>
          </cell>
          <cell r="S1413">
            <v>1909575.52</v>
          </cell>
          <cell r="T1413">
            <v>1998172.493</v>
          </cell>
          <cell r="U1413">
            <v>2084928.5789999999</v>
          </cell>
          <cell r="V1413">
            <v>2170864.1129999999</v>
          </cell>
          <cell r="W1413">
            <v>2255722.895</v>
          </cell>
          <cell r="X1413">
            <v>2339391.3709999998</v>
          </cell>
          <cell r="Y1413">
            <v>2421590.9780000001</v>
          </cell>
          <cell r="Z1413">
            <v>2502013.0329999998</v>
          </cell>
          <cell r="AA1413">
            <v>2578563.0970000001</v>
          </cell>
          <cell r="AB1413">
            <v>2653170.9360000002</v>
          </cell>
          <cell r="AC1413">
            <v>2726149.7910000002</v>
          </cell>
          <cell r="AD1413">
            <v>2798093.9509999999</v>
          </cell>
          <cell r="AE1413">
            <v>2870772.5610000002</v>
          </cell>
          <cell r="AF1413">
            <v>2940572.7409999999</v>
          </cell>
          <cell r="AG1413">
            <v>3012962.3659999999</v>
          </cell>
          <cell r="AH1413">
            <v>3089217.4079999998</v>
          </cell>
          <cell r="AI1413">
            <v>3170306.36</v>
          </cell>
          <cell r="AJ1413">
            <v>3256833.9580000001</v>
          </cell>
          <cell r="AK1413">
            <v>3347767.8050000002</v>
          </cell>
          <cell r="AL1413">
            <v>3444578.372</v>
          </cell>
          <cell r="AM1413">
            <v>3547458.4709999999</v>
          </cell>
          <cell r="AN1413">
            <v>3656494.6710000001</v>
          </cell>
          <cell r="AO1413">
            <v>3779585.2540000002</v>
          </cell>
        </row>
        <row r="1414">
          <cell r="C1414" t="str">
            <v>Solde public</v>
          </cell>
          <cell r="E1414" t="str">
            <v>Bal_G_tot_VAL_2</v>
          </cell>
          <cell r="F1414">
            <v>-62903.167379999999</v>
          </cell>
          <cell r="G1414">
            <v>-62476.628770000003</v>
          </cell>
          <cell r="H1414">
            <v>-54186.133710000002</v>
          </cell>
          <cell r="I1414">
            <v>-45902.492359999997</v>
          </cell>
          <cell r="J1414">
            <v>-36837.100579999998</v>
          </cell>
          <cell r="K1414">
            <v>-15998.4287</v>
          </cell>
          <cell r="L1414">
            <v>10781.10376</v>
          </cell>
          <cell r="M1414">
            <v>32203.474289999998</v>
          </cell>
          <cell r="N1414">
            <v>50414.995000000003</v>
          </cell>
          <cell r="O1414">
            <v>72644.241760000004</v>
          </cell>
          <cell r="P1414">
            <v>98479.193369999994</v>
          </cell>
          <cell r="Q1414">
            <v>116752.3652</v>
          </cell>
          <cell r="R1414">
            <v>148209.58960000001</v>
          </cell>
          <cell r="S1414">
            <v>181590.79430000001</v>
          </cell>
          <cell r="T1414">
            <v>214317.1441</v>
          </cell>
          <cell r="U1414">
            <v>245806.1274</v>
          </cell>
          <cell r="V1414">
            <v>276374.30820000003</v>
          </cell>
          <cell r="W1414">
            <v>305325.69410000002</v>
          </cell>
          <cell r="X1414">
            <v>333096.2316</v>
          </cell>
          <cell r="Y1414">
            <v>359983.20260000002</v>
          </cell>
          <cell r="Z1414">
            <v>387206.05530000001</v>
          </cell>
          <cell r="AA1414">
            <v>410470.74420000002</v>
          </cell>
          <cell r="AB1414">
            <v>432489.80109999998</v>
          </cell>
          <cell r="AC1414">
            <v>453559.3334</v>
          </cell>
          <cell r="AD1414">
            <v>474111.5601</v>
          </cell>
          <cell r="AE1414">
            <v>500450.30290000001</v>
          </cell>
          <cell r="AF1414">
            <v>521752.04920000001</v>
          </cell>
          <cell r="AG1414">
            <v>544526.2095</v>
          </cell>
          <cell r="AH1414">
            <v>571065.98470000003</v>
          </cell>
          <cell r="AI1414">
            <v>602022.06319999998</v>
          </cell>
          <cell r="AJ1414">
            <v>637554.29169999994</v>
          </cell>
          <cell r="AK1414">
            <v>676558.88959999999</v>
          </cell>
          <cell r="AL1414">
            <v>719275.08770000003</v>
          </cell>
          <cell r="AM1414">
            <v>766601.62190000003</v>
          </cell>
          <cell r="AN1414">
            <v>818231.70259999996</v>
          </cell>
          <cell r="AO1414">
            <v>882021.98340000003</v>
          </cell>
        </row>
        <row r="1415">
          <cell r="C1415" t="str">
            <v>Dette publique</v>
          </cell>
          <cell r="E1415" t="str">
            <v>DEBT_G_VAL_2</v>
          </cell>
          <cell r="F1415">
            <v>2102444.5210000002</v>
          </cell>
          <cell r="G1415">
            <v>2164921.15</v>
          </cell>
          <cell r="H1415">
            <v>2219107.2829999998</v>
          </cell>
          <cell r="I1415">
            <v>2265009.7760000001</v>
          </cell>
          <cell r="J1415">
            <v>2301846.8760000002</v>
          </cell>
          <cell r="K1415">
            <v>2317845.3050000002</v>
          </cell>
          <cell r="L1415">
            <v>2307064.2009999999</v>
          </cell>
          <cell r="M1415">
            <v>2274860.727</v>
          </cell>
          <cell r="N1415">
            <v>2224445.7319999998</v>
          </cell>
          <cell r="O1415">
            <v>2151801.4900000002</v>
          </cell>
          <cell r="P1415">
            <v>2053322.297</v>
          </cell>
          <cell r="Q1415">
            <v>1936569.932</v>
          </cell>
          <cell r="R1415">
            <v>1788360.3419999999</v>
          </cell>
          <cell r="S1415">
            <v>1606769.548</v>
          </cell>
          <cell r="T1415">
            <v>1392452.4040000001</v>
          </cell>
          <cell r="U1415">
            <v>1146646.2760000001</v>
          </cell>
          <cell r="V1415">
            <v>870271.96790000005</v>
          </cell>
          <cell r="W1415">
            <v>564946.27379999997</v>
          </cell>
          <cell r="X1415">
            <v>231850.0422</v>
          </cell>
          <cell r="Y1415">
            <v>-128133.16039999999</v>
          </cell>
          <cell r="Z1415">
            <v>-515339.21580000001</v>
          </cell>
          <cell r="AA1415">
            <v>-925809.95990000002</v>
          </cell>
          <cell r="AB1415">
            <v>-1358299.7609999999</v>
          </cell>
          <cell r="AC1415">
            <v>-1811859.094</v>
          </cell>
          <cell r="AD1415">
            <v>-2285970.6540000001</v>
          </cell>
          <cell r="AE1415">
            <v>-2786420.9569999999</v>
          </cell>
          <cell r="AF1415">
            <v>-3308173.0070000002</v>
          </cell>
          <cell r="AG1415">
            <v>-3852699.216</v>
          </cell>
          <cell r="AH1415">
            <v>-4423765.2010000004</v>
          </cell>
          <cell r="AI1415">
            <v>-5025787.2640000004</v>
          </cell>
          <cell r="AJ1415">
            <v>-5663341.5559999999</v>
          </cell>
          <cell r="AK1415">
            <v>-6339900.4450000003</v>
          </cell>
          <cell r="AL1415">
            <v>-7059175.5329999998</v>
          </cell>
          <cell r="AM1415">
            <v>-7825777.1550000003</v>
          </cell>
          <cell r="AN1415">
            <v>-8644008.8570000008</v>
          </cell>
          <cell r="AO1415">
            <v>-9526030.841</v>
          </cell>
        </row>
        <row r="1512">
          <cell r="F1512">
            <v>1965201.1370000001</v>
          </cell>
          <cell r="G1512">
            <v>2000383.2390000001</v>
          </cell>
          <cell r="H1512">
            <v>2037293.9509999999</v>
          </cell>
          <cell r="I1512">
            <v>2076467.7339999999</v>
          </cell>
          <cell r="J1512">
            <v>2120321.452</v>
          </cell>
          <cell r="K1512">
            <v>2171191.9649999999</v>
          </cell>
          <cell r="L1512">
            <v>2217044.8280000002</v>
          </cell>
          <cell r="M1512">
            <v>2262003.4840000002</v>
          </cell>
          <cell r="N1512">
            <v>2306827.9580000001</v>
          </cell>
          <cell r="O1512">
            <v>2350568.3650000002</v>
          </cell>
          <cell r="P1512">
            <v>2392581.7919999999</v>
          </cell>
          <cell r="Q1512">
            <v>2433494.4440000001</v>
          </cell>
          <cell r="R1512">
            <v>2475030.7689999999</v>
          </cell>
          <cell r="S1512">
            <v>2517131.8670000001</v>
          </cell>
          <cell r="T1512">
            <v>2559292.35</v>
          </cell>
          <cell r="U1512">
            <v>2602090.8339999998</v>
          </cell>
          <cell r="V1512">
            <v>2644504.5830000001</v>
          </cell>
          <cell r="W1512">
            <v>2687259.2310000001</v>
          </cell>
          <cell r="X1512">
            <v>2729659.986</v>
          </cell>
          <cell r="Y1512">
            <v>2772037.2149999999</v>
          </cell>
          <cell r="Z1512">
            <v>2814349.0079999999</v>
          </cell>
          <cell r="AA1512">
            <v>2857627.9219999998</v>
          </cell>
          <cell r="AB1512">
            <v>2902086.9679999999</v>
          </cell>
          <cell r="AC1512">
            <v>2947789.0720000002</v>
          </cell>
          <cell r="AD1512">
            <v>2994780.4479999999</v>
          </cell>
          <cell r="AE1512">
            <v>3045158.9109999998</v>
          </cell>
          <cell r="AF1512">
            <v>3096510.6529999999</v>
          </cell>
          <cell r="AG1512">
            <v>3152408.7039999999</v>
          </cell>
          <cell r="AH1512">
            <v>3210039.8050000002</v>
          </cell>
          <cell r="AI1512">
            <v>3269390.693</v>
          </cell>
          <cell r="AJ1512">
            <v>3330312.57</v>
          </cell>
          <cell r="AK1512">
            <v>3392652.8990000002</v>
          </cell>
          <cell r="AL1512">
            <v>3456195.696</v>
          </cell>
          <cell r="AM1512">
            <v>3520711.65</v>
          </cell>
          <cell r="AN1512">
            <v>3585955.9509999999</v>
          </cell>
          <cell r="AO1512">
            <v>3661773.5959999999</v>
          </cell>
        </row>
        <row r="1513">
          <cell r="F1513">
            <v>36069.353340000001</v>
          </cell>
          <cell r="G1513">
            <v>36554.327239999999</v>
          </cell>
          <cell r="H1513">
            <v>37096.112659999999</v>
          </cell>
          <cell r="I1513">
            <v>37704.0455</v>
          </cell>
          <cell r="J1513">
            <v>38440.917419999998</v>
          </cell>
          <cell r="K1513">
            <v>39328.979299999999</v>
          </cell>
          <cell r="L1513">
            <v>39920.523970000002</v>
          </cell>
          <cell r="M1513">
            <v>40519.428769999999</v>
          </cell>
          <cell r="N1513">
            <v>41088.855369999997</v>
          </cell>
          <cell r="O1513">
            <v>41619.148730000001</v>
          </cell>
          <cell r="P1513">
            <v>42109.965190000003</v>
          </cell>
          <cell r="Q1513">
            <v>42611.565889999998</v>
          </cell>
          <cell r="R1513">
            <v>43156.444069999998</v>
          </cell>
          <cell r="S1513">
            <v>43737.811970000002</v>
          </cell>
          <cell r="T1513">
            <v>44336.82</v>
          </cell>
          <cell r="U1513">
            <v>44943.21703</v>
          </cell>
          <cell r="V1513">
            <v>45840.280149999999</v>
          </cell>
          <cell r="W1513">
            <v>46696.563390000003</v>
          </cell>
          <cell r="X1513">
            <v>47537.336369999997</v>
          </cell>
          <cell r="Y1513">
            <v>48372.036119999997</v>
          </cell>
          <cell r="Z1513">
            <v>49198.462599999999</v>
          </cell>
          <cell r="AA1513">
            <v>50042.390890000002</v>
          </cell>
          <cell r="AB1513">
            <v>50909.711069999998</v>
          </cell>
          <cell r="AC1513">
            <v>51802.796479999997</v>
          </cell>
          <cell r="AD1513">
            <v>52723.400240000003</v>
          </cell>
          <cell r="AE1513">
            <v>53662.067519999997</v>
          </cell>
          <cell r="AF1513">
            <v>54389.586179999998</v>
          </cell>
          <cell r="AG1513">
            <v>55141.20534</v>
          </cell>
          <cell r="AH1513">
            <v>55926.524980000002</v>
          </cell>
          <cell r="AI1513">
            <v>56747.707880000002</v>
          </cell>
          <cell r="AJ1513">
            <v>57601.760240000003</v>
          </cell>
          <cell r="AK1513">
            <v>58485.326760000004</v>
          </cell>
          <cell r="AL1513">
            <v>59394.507919999996</v>
          </cell>
          <cell r="AM1513">
            <v>60324.310360000003</v>
          </cell>
          <cell r="AN1513">
            <v>61269.937639999996</v>
          </cell>
          <cell r="AO1513">
            <v>62276.208980000003</v>
          </cell>
        </row>
        <row r="1516">
          <cell r="F1516">
            <v>331483.16879999998</v>
          </cell>
          <cell r="G1516">
            <v>339437.18150000001</v>
          </cell>
          <cell r="H1516">
            <v>347360.19130000001</v>
          </cell>
          <cell r="I1516">
            <v>355509.45020000002</v>
          </cell>
          <cell r="J1516">
            <v>364457.24239999999</v>
          </cell>
          <cell r="K1516">
            <v>374737.37910000002</v>
          </cell>
          <cell r="L1516">
            <v>383634.44010000001</v>
          </cell>
          <cell r="M1516">
            <v>392594.67469999997</v>
          </cell>
          <cell r="N1516">
            <v>401796.78470000002</v>
          </cell>
          <cell r="O1516">
            <v>410738.5148</v>
          </cell>
          <cell r="P1516">
            <v>419067.21389999997</v>
          </cell>
          <cell r="Q1516">
            <v>427219.97289999999</v>
          </cell>
          <cell r="R1516">
            <v>435492.76760000002</v>
          </cell>
          <cell r="S1516">
            <v>443949.18300000002</v>
          </cell>
          <cell r="T1516">
            <v>452580.63140000001</v>
          </cell>
          <cell r="U1516">
            <v>461794.64750000002</v>
          </cell>
          <cell r="V1516">
            <v>470740.61550000001</v>
          </cell>
          <cell r="W1516">
            <v>480295.81949999998</v>
          </cell>
          <cell r="X1516">
            <v>489951.84090000001</v>
          </cell>
          <cell r="Y1516">
            <v>499817.58970000001</v>
          </cell>
          <cell r="Z1516">
            <v>509906.59649999999</v>
          </cell>
          <cell r="AA1516">
            <v>520456.39980000001</v>
          </cell>
          <cell r="AB1516">
            <v>531485.3321</v>
          </cell>
          <cell r="AC1516">
            <v>543008.08050000004</v>
          </cell>
          <cell r="AD1516">
            <v>555044.16799999995</v>
          </cell>
          <cell r="AE1516">
            <v>568809.30130000005</v>
          </cell>
          <cell r="AF1516">
            <v>580875.17119999998</v>
          </cell>
          <cell r="AG1516">
            <v>594769.88890000002</v>
          </cell>
          <cell r="AH1516">
            <v>608806.42009999999</v>
          </cell>
          <cell r="AI1516">
            <v>623118.47349999996</v>
          </cell>
          <cell r="AJ1516">
            <v>637669.60549999995</v>
          </cell>
          <cell r="AK1516">
            <v>652427.59550000005</v>
          </cell>
          <cell r="AL1516">
            <v>667312.96609999996</v>
          </cell>
          <cell r="AM1516">
            <v>682257.01989999996</v>
          </cell>
          <cell r="AN1516">
            <v>697186.77729999996</v>
          </cell>
          <cell r="AO1516">
            <v>716497.9166</v>
          </cell>
        </row>
        <row r="1528">
          <cell r="F1528">
            <v>48440.90092</v>
          </cell>
          <cell r="G1528">
            <v>49419.967779999999</v>
          </cell>
          <cell r="H1528">
            <v>50353.65814</v>
          </cell>
          <cell r="I1528">
            <v>51281.360350000003</v>
          </cell>
          <cell r="J1528">
            <v>52341.19685</v>
          </cell>
          <cell r="K1528">
            <v>53623.399799999999</v>
          </cell>
          <cell r="L1528">
            <v>54802.924359999997</v>
          </cell>
          <cell r="M1528">
            <v>55894.651660000003</v>
          </cell>
          <cell r="N1528">
            <v>56951.486900000004</v>
          </cell>
          <cell r="O1528">
            <v>57837.083590000002</v>
          </cell>
          <cell r="P1528">
            <v>58455.338620000002</v>
          </cell>
          <cell r="Q1528">
            <v>59056.55474</v>
          </cell>
          <cell r="R1528">
            <v>59712.233970000001</v>
          </cell>
          <cell r="S1528">
            <v>60414.204700000002</v>
          </cell>
          <cell r="T1528">
            <v>61140.818189999998</v>
          </cell>
          <cell r="U1528">
            <v>61893.291010000001</v>
          </cell>
          <cell r="V1528">
            <v>62638.553650000002</v>
          </cell>
          <cell r="W1528">
            <v>63375.419099999999</v>
          </cell>
          <cell r="X1528">
            <v>64098.534979999997</v>
          </cell>
          <cell r="Y1528">
            <v>64834.213949999998</v>
          </cell>
          <cell r="Z1528">
            <v>65586.873449999999</v>
          </cell>
          <cell r="AA1528">
            <v>66411.645229999995</v>
          </cell>
          <cell r="AB1528">
            <v>67310.387860000003</v>
          </cell>
          <cell r="AC1528">
            <v>68282.592239999998</v>
          </cell>
          <cell r="AD1528">
            <v>69330.353759999998</v>
          </cell>
          <cell r="AE1528">
            <v>70489.735509999999</v>
          </cell>
          <cell r="AF1528">
            <v>71699.902849999999</v>
          </cell>
          <cell r="AG1528">
            <v>73055.262730000002</v>
          </cell>
          <cell r="AH1528">
            <v>74518.487219999995</v>
          </cell>
          <cell r="AI1528">
            <v>76082.395740000007</v>
          </cell>
          <cell r="AJ1528">
            <v>77735.944589999999</v>
          </cell>
          <cell r="AK1528">
            <v>79476.855100000001</v>
          </cell>
          <cell r="AL1528">
            <v>81291.215320000003</v>
          </cell>
          <cell r="AM1528">
            <v>83166.160019999996</v>
          </cell>
          <cell r="AN1528">
            <v>85086.14056</v>
          </cell>
          <cell r="AO1528">
            <v>87220.106780000002</v>
          </cell>
        </row>
        <row r="1533">
          <cell r="F1533">
            <v>1510701.8559999999</v>
          </cell>
          <cell r="G1533">
            <v>1536173.49</v>
          </cell>
          <cell r="H1533">
            <v>1563565.372</v>
          </cell>
          <cell r="I1533">
            <v>1592850.7209999999</v>
          </cell>
          <cell r="J1533">
            <v>1625620.2279999999</v>
          </cell>
          <cell r="K1533">
            <v>1663548.24</v>
          </cell>
          <cell r="L1533">
            <v>1698952.6710000001</v>
          </cell>
          <cell r="M1533">
            <v>1733625.689</v>
          </cell>
          <cell r="N1533">
            <v>1768125.476</v>
          </cell>
          <cell r="O1533">
            <v>1802199.372</v>
          </cell>
          <cell r="P1533">
            <v>1835661.9029999999</v>
          </cell>
          <cell r="Q1533">
            <v>1868207.0249999999</v>
          </cell>
          <cell r="R1533">
            <v>1901170.4240000001</v>
          </cell>
          <cell r="S1533">
            <v>1934470.8529999999</v>
          </cell>
          <cell r="T1533">
            <v>1967670.64</v>
          </cell>
          <cell r="U1533">
            <v>2000967.2960000001</v>
          </cell>
          <cell r="V1533">
            <v>2033871.1629999999</v>
          </cell>
          <cell r="W1533">
            <v>2066644.0290000001</v>
          </cell>
          <cell r="X1533">
            <v>2099073.2420000001</v>
          </cell>
          <cell r="Y1533">
            <v>2131378.8790000002</v>
          </cell>
          <cell r="Z1533">
            <v>2163522.9369999999</v>
          </cell>
          <cell r="AA1533">
            <v>2196197.2969999998</v>
          </cell>
          <cell r="AB1533">
            <v>2229600.5830000001</v>
          </cell>
          <cell r="AC1533">
            <v>2263815.6039999998</v>
          </cell>
          <cell r="AD1533">
            <v>2298911.1140000001</v>
          </cell>
          <cell r="AE1533">
            <v>2335796.5150000001</v>
          </cell>
          <cell r="AF1533">
            <v>2373804.3289999999</v>
          </cell>
          <cell r="AG1533">
            <v>2413745.8569999998</v>
          </cell>
          <cell r="AH1533">
            <v>2455035.4700000002</v>
          </cell>
          <cell r="AI1533">
            <v>2497685.2749999999</v>
          </cell>
          <cell r="AJ1533">
            <v>2541629.2110000001</v>
          </cell>
          <cell r="AK1533">
            <v>2586745.5520000001</v>
          </cell>
          <cell r="AL1533">
            <v>2632897.091</v>
          </cell>
          <cell r="AM1533">
            <v>2679927.2719999999</v>
          </cell>
          <cell r="AN1533">
            <v>2727672.1090000002</v>
          </cell>
          <cell r="AO1533">
            <v>2781314.39</v>
          </cell>
        </row>
        <row r="1537">
          <cell r="F1537">
            <v>-2124.7840930000002</v>
          </cell>
          <cell r="G1537">
            <v>-2146.9809949999999</v>
          </cell>
          <cell r="H1537">
            <v>-2165.041557</v>
          </cell>
          <cell r="I1537">
            <v>-2152.720562</v>
          </cell>
          <cell r="J1537">
            <v>-2132.953019</v>
          </cell>
          <cell r="K1537">
            <v>-2131.1224430000002</v>
          </cell>
          <cell r="L1537">
            <v>-2128.8302239999998</v>
          </cell>
          <cell r="M1537">
            <v>-2145.4601579999999</v>
          </cell>
          <cell r="N1537">
            <v>-2170.1882070000001</v>
          </cell>
          <cell r="O1537">
            <v>-2205.0592980000001</v>
          </cell>
          <cell r="P1537">
            <v>-2250.695702</v>
          </cell>
          <cell r="Q1537">
            <v>-2293.639122</v>
          </cell>
          <cell r="R1537">
            <v>-2355.8199370000002</v>
          </cell>
          <cell r="S1537">
            <v>-2441.5424990000001</v>
          </cell>
          <cell r="T1537">
            <v>-2553.8448669999998</v>
          </cell>
          <cell r="U1537">
            <v>-2699.0038129999998</v>
          </cell>
          <cell r="V1537">
            <v>-2882.6847579999999</v>
          </cell>
          <cell r="W1537">
            <v>-3061.2508670000002</v>
          </cell>
          <cell r="X1537">
            <v>-3215.3086520000002</v>
          </cell>
          <cell r="Y1537">
            <v>-3328.1607439999998</v>
          </cell>
          <cell r="Z1537">
            <v>-3375.417426</v>
          </cell>
          <cell r="AA1537">
            <v>-3396.0671400000001</v>
          </cell>
          <cell r="AB1537">
            <v>-3393.8714460000001</v>
          </cell>
          <cell r="AC1537">
            <v>-3371.2138530000002</v>
          </cell>
          <cell r="AD1537">
            <v>-3331.5351409999998</v>
          </cell>
          <cell r="AE1537">
            <v>-3278.3264829999998</v>
          </cell>
          <cell r="AF1537">
            <v>-3217.4704849999998</v>
          </cell>
          <cell r="AG1537">
            <v>-3147.3440329999999</v>
          </cell>
          <cell r="AH1537">
            <v>-3072.921558</v>
          </cell>
          <cell r="AI1537">
            <v>-2996.6550419999999</v>
          </cell>
          <cell r="AJ1537">
            <v>-2919.601525</v>
          </cell>
          <cell r="AK1537">
            <v>-2843.6553629999999</v>
          </cell>
          <cell r="AL1537">
            <v>-2769.758722</v>
          </cell>
          <cell r="AM1537">
            <v>-2698.677322</v>
          </cell>
          <cell r="AN1537">
            <v>-2631.1175189999999</v>
          </cell>
          <cell r="AO1537">
            <v>-2567.491043</v>
          </cell>
        </row>
        <row r="1541">
          <cell r="F1541">
            <v>40539.874280000004</v>
          </cell>
          <cell r="G1541">
            <v>40852.50316</v>
          </cell>
          <cell r="H1541">
            <v>40991.244809999997</v>
          </cell>
          <cell r="I1541">
            <v>41180.989320000001</v>
          </cell>
          <cell r="J1541">
            <v>41491.805520000002</v>
          </cell>
          <cell r="K1541">
            <v>41971.254119999998</v>
          </cell>
          <cell r="L1541">
            <v>41733.500070000002</v>
          </cell>
          <cell r="M1541">
            <v>41368.29305</v>
          </cell>
          <cell r="N1541">
            <v>40872.534489999998</v>
          </cell>
          <cell r="O1541">
            <v>40199.855960000001</v>
          </cell>
          <cell r="P1541">
            <v>39312.450879999997</v>
          </cell>
          <cell r="Q1541">
            <v>38427.663119999997</v>
          </cell>
          <cell r="R1541">
            <v>37548.687299999998</v>
          </cell>
          <cell r="S1541">
            <v>36652.461069999998</v>
          </cell>
          <cell r="T1541">
            <v>35723.250200000002</v>
          </cell>
          <cell r="U1541">
            <v>34749.788110000001</v>
          </cell>
          <cell r="V1541">
            <v>33734.398849999998</v>
          </cell>
          <cell r="W1541">
            <v>32612.3426</v>
          </cell>
          <cell r="X1541">
            <v>31385.463159999999</v>
          </cell>
          <cell r="Y1541">
            <v>30051.91632</v>
          </cell>
          <cell r="Z1541">
            <v>28599.36766</v>
          </cell>
          <cell r="AA1541">
            <v>27033.69457</v>
          </cell>
          <cell r="AB1541">
            <v>25344.58642</v>
          </cell>
          <cell r="AC1541">
            <v>23503.286960000001</v>
          </cell>
          <cell r="AD1541">
            <v>21473.430209999999</v>
          </cell>
          <cell r="AE1541">
            <v>19210.118320000001</v>
          </cell>
          <cell r="AF1541">
            <v>18730.54724</v>
          </cell>
          <cell r="AG1541">
            <v>18921.436310000001</v>
          </cell>
          <cell r="AH1541">
            <v>19265.900379999999</v>
          </cell>
          <cell r="AI1541">
            <v>19607.036929999998</v>
          </cell>
          <cell r="AJ1541">
            <v>19908.04667</v>
          </cell>
          <cell r="AK1541">
            <v>20170.028590000002</v>
          </cell>
          <cell r="AL1541">
            <v>20404.134010000002</v>
          </cell>
          <cell r="AM1541">
            <v>20615.65755</v>
          </cell>
          <cell r="AN1541">
            <v>20808.2533</v>
          </cell>
          <cell r="AO1541">
            <v>21024.977930000001</v>
          </cell>
        </row>
        <row r="1551">
          <cell r="F1551">
            <v>1965201.1370000001</v>
          </cell>
          <cell r="G1551">
            <v>2000383.2390000001</v>
          </cell>
          <cell r="H1551">
            <v>2037293.9509999999</v>
          </cell>
          <cell r="I1551">
            <v>2076467.7350000001</v>
          </cell>
          <cell r="J1551">
            <v>2120321.4530000002</v>
          </cell>
          <cell r="K1551">
            <v>2171191.9649999999</v>
          </cell>
          <cell r="L1551">
            <v>2223858.7910000002</v>
          </cell>
          <cell r="M1551">
            <v>2278353.5359999998</v>
          </cell>
          <cell r="N1551">
            <v>2334467.9219999998</v>
          </cell>
          <cell r="O1551">
            <v>2389853.2459999998</v>
          </cell>
          <cell r="P1551">
            <v>2442160.5759999999</v>
          </cell>
          <cell r="Q1551">
            <v>2490994.1970000002</v>
          </cell>
          <cell r="R1551">
            <v>2536514.4619999998</v>
          </cell>
          <cell r="S1551">
            <v>2579185.6630000002</v>
          </cell>
          <cell r="T1551">
            <v>2619705.9670000002</v>
          </cell>
          <cell r="U1551">
            <v>2658898.466</v>
          </cell>
          <cell r="V1551">
            <v>2697511.46</v>
          </cell>
          <cell r="W1551">
            <v>2736279.6290000002</v>
          </cell>
          <cell r="X1551">
            <v>2775885.074</v>
          </cell>
          <cell r="Y1551">
            <v>2816855.1150000002</v>
          </cell>
          <cell r="Z1551">
            <v>2859275.4909999999</v>
          </cell>
          <cell r="AA1551">
            <v>2903970.233</v>
          </cell>
          <cell r="AB1551">
            <v>2951184.94</v>
          </cell>
          <cell r="AC1551">
            <v>3001129.3309999998</v>
          </cell>
          <cell r="AD1551">
            <v>3053912.16</v>
          </cell>
          <cell r="AE1551">
            <v>3108622.713</v>
          </cell>
          <cell r="AF1551">
            <v>3166694.6519999998</v>
          </cell>
          <cell r="AG1551">
            <v>3227452.4909999999</v>
          </cell>
          <cell r="AH1551">
            <v>3290778.1069999998</v>
          </cell>
          <cell r="AI1551">
            <v>3356524.4079999998</v>
          </cell>
          <cell r="AJ1551">
            <v>3424398.929</v>
          </cell>
          <cell r="AK1551">
            <v>3494036.682</v>
          </cell>
          <cell r="AL1551">
            <v>3565045.41</v>
          </cell>
          <cell r="AM1551">
            <v>3637010.594</v>
          </cell>
          <cell r="AN1551">
            <v>3709504.3859999999</v>
          </cell>
          <cell r="AO1551">
            <v>3782088.7030000002</v>
          </cell>
        </row>
        <row r="1552">
          <cell r="F1552">
            <v>36069.353340000001</v>
          </cell>
          <cell r="G1552">
            <v>36554.327239999999</v>
          </cell>
          <cell r="H1552">
            <v>37096.112659999999</v>
          </cell>
          <cell r="I1552">
            <v>37704.0455</v>
          </cell>
          <cell r="J1552">
            <v>38440.917430000001</v>
          </cell>
          <cell r="K1552">
            <v>39328.979319999999</v>
          </cell>
          <cell r="L1552">
            <v>40305.095880000001</v>
          </cell>
          <cell r="M1552">
            <v>41338.802309999999</v>
          </cell>
          <cell r="N1552">
            <v>42415.873019999999</v>
          </cell>
          <cell r="O1552">
            <v>43475.984669999998</v>
          </cell>
          <cell r="P1552">
            <v>44465.512159999998</v>
          </cell>
          <cell r="Q1552">
            <v>45369.693910000002</v>
          </cell>
          <cell r="R1552">
            <v>46196.167569999998</v>
          </cell>
          <cell r="S1552">
            <v>46958.046950000004</v>
          </cell>
          <cell r="T1552">
            <v>47671.677680000001</v>
          </cell>
          <cell r="U1552">
            <v>48356.024039999997</v>
          </cell>
          <cell r="V1552">
            <v>49045.350019999998</v>
          </cell>
          <cell r="W1552">
            <v>49742.159449999999</v>
          </cell>
          <cell r="X1552">
            <v>50459.934569999998</v>
          </cell>
          <cell r="Y1552">
            <v>51210.343769999999</v>
          </cell>
          <cell r="Z1552">
            <v>51993.98558</v>
          </cell>
          <cell r="AA1552">
            <v>52833.492120000003</v>
          </cell>
          <cell r="AB1552">
            <v>53734.460209999997</v>
          </cell>
          <cell r="AC1552">
            <v>54702.77925</v>
          </cell>
          <cell r="AD1552">
            <v>55742.752139999997</v>
          </cell>
          <cell r="AE1552">
            <v>56831.728690000004</v>
          </cell>
          <cell r="AF1552">
            <v>57865.555710000001</v>
          </cell>
          <cell r="AG1552">
            <v>58928.662940000002</v>
          </cell>
          <cell r="AH1552">
            <v>60049.718280000001</v>
          </cell>
          <cell r="AI1552">
            <v>61232.142209999998</v>
          </cell>
          <cell r="AJ1552">
            <v>62469.191919999997</v>
          </cell>
          <cell r="AK1552">
            <v>63751.234190000003</v>
          </cell>
          <cell r="AL1552">
            <v>65068.122920000002</v>
          </cell>
          <cell r="AM1552">
            <v>66409.489379999999</v>
          </cell>
          <cell r="AN1552">
            <v>67764.915519999995</v>
          </cell>
          <cell r="AO1552">
            <v>69123.947530000005</v>
          </cell>
        </row>
        <row r="1555">
          <cell r="F1555">
            <v>331483.16879999998</v>
          </cell>
          <cell r="G1555">
            <v>339437.18150000001</v>
          </cell>
          <cell r="H1555">
            <v>347360.19130000001</v>
          </cell>
          <cell r="I1555">
            <v>355509.45020000002</v>
          </cell>
          <cell r="J1555">
            <v>364457.24249999999</v>
          </cell>
          <cell r="K1555">
            <v>374737.37910000002</v>
          </cell>
          <cell r="L1555">
            <v>385519.76380000002</v>
          </cell>
          <cell r="M1555">
            <v>396796.98639999999</v>
          </cell>
          <cell r="N1555">
            <v>408538.815</v>
          </cell>
          <cell r="O1555">
            <v>420084.40639999998</v>
          </cell>
          <cell r="P1555">
            <v>430824.50459999999</v>
          </cell>
          <cell r="Q1555">
            <v>440887.65330000001</v>
          </cell>
          <cell r="R1555">
            <v>450405.44939999998</v>
          </cell>
          <cell r="S1555">
            <v>459550.4534</v>
          </cell>
          <cell r="T1555">
            <v>468518.48050000001</v>
          </cell>
          <cell r="U1555">
            <v>477505.42239999998</v>
          </cell>
          <cell r="V1555">
            <v>486669.82949999999</v>
          </cell>
          <cell r="W1555">
            <v>496144.84620000003</v>
          </cell>
          <cell r="X1555">
            <v>506051.79109999997</v>
          </cell>
          <cell r="Y1555">
            <v>516475.32049999997</v>
          </cell>
          <cell r="Z1555">
            <v>527433.9118</v>
          </cell>
          <cell r="AA1555">
            <v>539045.02430000005</v>
          </cell>
          <cell r="AB1555">
            <v>551354.39820000005</v>
          </cell>
          <cell r="AC1555">
            <v>564398.28480000002</v>
          </cell>
          <cell r="AD1555">
            <v>578191.58909999998</v>
          </cell>
          <cell r="AE1555">
            <v>592602.30310000002</v>
          </cell>
          <cell r="AF1555">
            <v>607213.89469999995</v>
          </cell>
          <cell r="AG1555">
            <v>622105.26749999996</v>
          </cell>
          <cell r="AH1555">
            <v>637370.41070000001</v>
          </cell>
          <cell r="AI1555">
            <v>652999.32239999995</v>
          </cell>
          <cell r="AJ1555">
            <v>668922.2084</v>
          </cell>
          <cell r="AK1555">
            <v>685054.62609999999</v>
          </cell>
          <cell r="AL1555">
            <v>701312.34259999997</v>
          </cell>
          <cell r="AM1555">
            <v>717610.42799999996</v>
          </cell>
          <cell r="AN1555">
            <v>733864.52390000003</v>
          </cell>
          <cell r="AO1555">
            <v>749990.42920000001</v>
          </cell>
        </row>
        <row r="1567">
          <cell r="F1567">
            <v>48440.90092</v>
          </cell>
          <cell r="G1567">
            <v>49419.967779999999</v>
          </cell>
          <cell r="H1567">
            <v>50353.65814</v>
          </cell>
          <cell r="I1567">
            <v>51281.360359999999</v>
          </cell>
          <cell r="J1567">
            <v>52341.196859999996</v>
          </cell>
          <cell r="K1567">
            <v>53623.399810000003</v>
          </cell>
          <cell r="L1567">
            <v>54971.010649999997</v>
          </cell>
          <cell r="M1567">
            <v>56377.240870000001</v>
          </cell>
          <cell r="N1567">
            <v>57832.65711</v>
          </cell>
          <cell r="O1567">
            <v>59245.34289</v>
          </cell>
          <cell r="P1567">
            <v>60530.354639999998</v>
          </cell>
          <cell r="Q1567">
            <v>61695.77231</v>
          </cell>
          <cell r="R1567">
            <v>62755.834410000003</v>
          </cell>
          <cell r="S1567">
            <v>63730.420209999997</v>
          </cell>
          <cell r="T1567">
            <v>64644.857929999998</v>
          </cell>
          <cell r="U1567">
            <v>65526.840750000003</v>
          </cell>
          <cell r="V1567">
            <v>66399.827810000003</v>
          </cell>
          <cell r="W1567">
            <v>67284.990080000003</v>
          </cell>
          <cell r="X1567">
            <v>68202.167939999999</v>
          </cell>
          <cell r="Y1567">
            <v>69166.313739999998</v>
          </cell>
          <cell r="Z1567">
            <v>70181.831879999998</v>
          </cell>
          <cell r="AA1567">
            <v>71270.71789</v>
          </cell>
          <cell r="AB1567">
            <v>72440.63609</v>
          </cell>
          <cell r="AC1567">
            <v>73697.883029999997</v>
          </cell>
          <cell r="AD1567">
            <v>75045.904020000002</v>
          </cell>
          <cell r="AE1567">
            <v>76464.075209999995</v>
          </cell>
          <cell r="AF1567">
            <v>77949.872059999994</v>
          </cell>
          <cell r="AG1567">
            <v>79514.732690000004</v>
          </cell>
          <cell r="AH1567">
            <v>81164.905769999998</v>
          </cell>
          <cell r="AI1567">
            <v>82894.218380000006</v>
          </cell>
          <cell r="AJ1567">
            <v>84689.918669999999</v>
          </cell>
          <cell r="AK1567">
            <v>86538.027419999999</v>
          </cell>
          <cell r="AL1567">
            <v>88424.916320000004</v>
          </cell>
          <cell r="AM1567">
            <v>90337.016499999998</v>
          </cell>
          <cell r="AN1567">
            <v>92260.9179</v>
          </cell>
          <cell r="AO1567">
            <v>94183.341969999994</v>
          </cell>
        </row>
        <row r="1572">
          <cell r="F1572">
            <v>1510701.8559999999</v>
          </cell>
          <cell r="G1572">
            <v>1536173.49</v>
          </cell>
          <cell r="H1572">
            <v>1563565.3729999999</v>
          </cell>
          <cell r="I1572">
            <v>1592850.7209999999</v>
          </cell>
          <cell r="J1572">
            <v>1625620.2279999999</v>
          </cell>
          <cell r="K1572">
            <v>1663548.24</v>
          </cell>
          <cell r="L1572">
            <v>1703109.7930000001</v>
          </cell>
          <cell r="M1572">
            <v>1744032.6070000001</v>
          </cell>
          <cell r="N1572">
            <v>1786079.638</v>
          </cell>
          <cell r="O1572">
            <v>1827751.463</v>
          </cell>
          <cell r="P1572">
            <v>1867495.1880000001</v>
          </cell>
          <cell r="Q1572">
            <v>1904560.344</v>
          </cell>
          <cell r="R1572">
            <v>1939114.0970000001</v>
          </cell>
          <cell r="S1572">
            <v>1971474.7139999999</v>
          </cell>
          <cell r="T1572">
            <v>2002106.4380000001</v>
          </cell>
          <cell r="U1572">
            <v>2031580.325</v>
          </cell>
          <cell r="V1572">
            <v>2060474.071</v>
          </cell>
          <cell r="W1572">
            <v>2089330.6029999999</v>
          </cell>
          <cell r="X1572">
            <v>2118656.514</v>
          </cell>
          <cell r="Y1572">
            <v>2148861.8139999998</v>
          </cell>
          <cell r="Z1572">
            <v>2180019.3160000001</v>
          </cell>
          <cell r="AA1572">
            <v>2212791.8050000002</v>
          </cell>
          <cell r="AB1572">
            <v>2247390.0639999998</v>
          </cell>
          <cell r="AC1572">
            <v>2284005.7080000001</v>
          </cell>
          <cell r="AD1572">
            <v>2322762.9920000001</v>
          </cell>
          <cell r="AE1572">
            <v>2362989.5419999999</v>
          </cell>
          <cell r="AF1572">
            <v>2404377.0789999999</v>
          </cell>
          <cell r="AG1572">
            <v>2447318.9389999998</v>
          </cell>
          <cell r="AH1572">
            <v>2492121.2799999998</v>
          </cell>
          <cell r="AI1572">
            <v>2538821.2540000002</v>
          </cell>
          <cell r="AJ1572">
            <v>2587256.7059999998</v>
          </cell>
          <cell r="AK1572">
            <v>2637174.3769999999</v>
          </cell>
          <cell r="AL1572">
            <v>2688285.54</v>
          </cell>
          <cell r="AM1572">
            <v>2740280.233</v>
          </cell>
          <cell r="AN1572">
            <v>2792836.3420000002</v>
          </cell>
          <cell r="AO1572">
            <v>2845623.0419999999</v>
          </cell>
        </row>
        <row r="1575">
          <cell r="F1575">
            <v>-2034.0159100000001</v>
          </cell>
          <cell r="G1575">
            <v>-2054.2307519999999</v>
          </cell>
          <cell r="H1575">
            <v>-2072.6282820000001</v>
          </cell>
          <cell r="I1575">
            <v>-2058.8314129999999</v>
          </cell>
          <cell r="J1575">
            <v>-2029.937674</v>
          </cell>
          <cell r="K1575">
            <v>-2017.287319</v>
          </cell>
          <cell r="L1575">
            <v>-1992.86599</v>
          </cell>
          <cell r="M1575">
            <v>-1989.0936879999999</v>
          </cell>
          <cell r="N1575">
            <v>-1994.438212</v>
          </cell>
          <cell r="O1575">
            <v>-2005.9721300000001</v>
          </cell>
          <cell r="P1575">
            <v>-2019.311254</v>
          </cell>
          <cell r="Q1575">
            <v>-2043.630269</v>
          </cell>
          <cell r="R1575">
            <v>-2065.8459440000001</v>
          </cell>
          <cell r="S1575">
            <v>-2083.8056120000001</v>
          </cell>
          <cell r="T1575">
            <v>-2097.9562120000001</v>
          </cell>
          <cell r="U1575">
            <v>-2109.0924580000001</v>
          </cell>
          <cell r="V1575">
            <v>-2118.538399</v>
          </cell>
          <cell r="W1575">
            <v>-2125.6350360000001</v>
          </cell>
          <cell r="X1575">
            <v>-2132.5548170000002</v>
          </cell>
          <cell r="Y1575">
            <v>-2139.9438949999999</v>
          </cell>
          <cell r="Z1575">
            <v>-2148.2171389999999</v>
          </cell>
          <cell r="AA1575">
            <v>-2156.9044090000002</v>
          </cell>
          <cell r="AB1575">
            <v>-2166.5124580000002</v>
          </cell>
          <cell r="AC1575">
            <v>-2177.178265</v>
          </cell>
          <cell r="AD1575">
            <v>-2188.8935729999998</v>
          </cell>
          <cell r="AE1575">
            <v>-2202.1565660000001</v>
          </cell>
          <cell r="AF1575">
            <v>-2236.8000569999999</v>
          </cell>
          <cell r="AG1575">
            <v>-2271.1730990000001</v>
          </cell>
          <cell r="AH1575">
            <v>-2304.9808549999998</v>
          </cell>
          <cell r="AI1575">
            <v>-2340.4805179999998</v>
          </cell>
          <cell r="AJ1575">
            <v>-2378.4993220000001</v>
          </cell>
          <cell r="AK1575">
            <v>-2418.8678949999999</v>
          </cell>
          <cell r="AL1575">
            <v>-2461.0829819999999</v>
          </cell>
          <cell r="AM1575">
            <v>-2504.6353089999998</v>
          </cell>
          <cell r="AN1575">
            <v>-2549.0470319999999</v>
          </cell>
          <cell r="AO1575">
            <v>-2593.881245</v>
          </cell>
        </row>
        <row r="1580">
          <cell r="F1580">
            <v>40539.87429</v>
          </cell>
          <cell r="G1580">
            <v>40852.503190000003</v>
          </cell>
          <cell r="H1580">
            <v>40991.244859999999</v>
          </cell>
          <cell r="I1580">
            <v>41180.989390000002</v>
          </cell>
          <cell r="J1580">
            <v>41491.805610000003</v>
          </cell>
          <cell r="K1580">
            <v>41971.254220000003</v>
          </cell>
          <cell r="L1580">
            <v>41945.994429999999</v>
          </cell>
          <cell r="M1580">
            <v>41796.993119999999</v>
          </cell>
          <cell r="N1580">
            <v>41595.377480000003</v>
          </cell>
          <cell r="O1580">
            <v>41302.021560000001</v>
          </cell>
          <cell r="P1580">
            <v>40864.327709999998</v>
          </cell>
          <cell r="Q1580">
            <v>40524.363660000003</v>
          </cell>
          <cell r="R1580">
            <v>40108.759919999997</v>
          </cell>
          <cell r="S1580">
            <v>39555.834569999999</v>
          </cell>
          <cell r="T1580">
            <v>38862.469230000002</v>
          </cell>
          <cell r="U1580">
            <v>38038.946450000003</v>
          </cell>
          <cell r="V1580">
            <v>37040.919280000002</v>
          </cell>
          <cell r="W1580">
            <v>35902.665070000003</v>
          </cell>
          <cell r="X1580">
            <v>34647.220679999999</v>
          </cell>
          <cell r="Y1580">
            <v>33281.266900000002</v>
          </cell>
          <cell r="Z1580">
            <v>31794.662950000002</v>
          </cell>
          <cell r="AA1580">
            <v>30186.097829999999</v>
          </cell>
          <cell r="AB1580">
            <v>28431.89429</v>
          </cell>
          <cell r="AC1580">
            <v>26501.853609999998</v>
          </cell>
          <cell r="AD1580">
            <v>24357.816879999998</v>
          </cell>
          <cell r="AE1580">
            <v>21937.220600000001</v>
          </cell>
          <cell r="AF1580">
            <v>21525.051100000001</v>
          </cell>
          <cell r="AG1580">
            <v>21856.062440000002</v>
          </cell>
          <cell r="AH1580">
            <v>22376.77332</v>
          </cell>
          <cell r="AI1580">
            <v>22917.95146</v>
          </cell>
          <cell r="AJ1580">
            <v>23439.403450000002</v>
          </cell>
          <cell r="AK1580">
            <v>23937.284739999999</v>
          </cell>
          <cell r="AL1580">
            <v>24415.57127</v>
          </cell>
          <cell r="AM1580">
            <v>24878.062119999999</v>
          </cell>
          <cell r="AN1580">
            <v>25326.733810000002</v>
          </cell>
          <cell r="AO1580">
            <v>25761.823520000002</v>
          </cell>
        </row>
        <row r="1760">
          <cell r="F1760">
            <v>1.0027426399999999</v>
          </cell>
          <cell r="G1760">
            <v>1.0226097679999999</v>
          </cell>
          <cell r="H1760">
            <v>1.0467015040000001</v>
          </cell>
          <cell r="I1760">
            <v>1.0741868670000001</v>
          </cell>
          <cell r="J1760">
            <v>1.097319395</v>
          </cell>
          <cell r="K1760">
            <v>1.1154290440000001</v>
          </cell>
          <cell r="L1760">
            <v>1.138001107</v>
          </cell>
          <cell r="M1760">
            <v>1.1673680719999999</v>
          </cell>
          <cell r="N1760">
            <v>1.2013757789999999</v>
          </cell>
          <cell r="O1760">
            <v>1.241245264</v>
          </cell>
          <cell r="P1760">
            <v>1.2885588509999999</v>
          </cell>
          <cell r="Q1760">
            <v>1.3292155649999999</v>
          </cell>
          <cell r="R1760">
            <v>1.367376396</v>
          </cell>
          <cell r="S1760">
            <v>1.403456083</v>
          </cell>
          <cell r="T1760">
            <v>1.437670684</v>
          </cell>
          <cell r="U1760">
            <v>1.470062523</v>
          </cell>
          <cell r="V1760">
            <v>1.5017422039999999</v>
          </cell>
          <cell r="W1760">
            <v>1.5327770089999999</v>
          </cell>
          <cell r="X1760">
            <v>1.562892572</v>
          </cell>
          <cell r="Y1760">
            <v>1.5916210669999999</v>
          </cell>
          <cell r="Z1760">
            <v>1.619037466</v>
          </cell>
          <cell r="AA1760">
            <v>1.643727787</v>
          </cell>
          <cell r="AB1760">
            <v>1.6665693669999999</v>
          </cell>
          <cell r="AC1760">
            <v>1.6877676800000001</v>
          </cell>
          <cell r="AD1760">
            <v>1.7076412430000001</v>
          </cell>
          <cell r="AE1760">
            <v>1.726994964</v>
          </cell>
          <cell r="AF1760">
            <v>1.7452601160000001</v>
          </cell>
          <cell r="AG1760">
            <v>1.763894539</v>
          </cell>
          <cell r="AH1760">
            <v>1.7832401019999999</v>
          </cell>
          <cell r="AI1760">
            <v>1.8035167540000001</v>
          </cell>
          <cell r="AJ1760">
            <v>1.8249455779999999</v>
          </cell>
          <cell r="AK1760">
            <v>1.8473981269999999</v>
          </cell>
          <cell r="AL1760">
            <v>1.8714685760000001</v>
          </cell>
          <cell r="AM1760">
            <v>1.897256345</v>
          </cell>
          <cell r="AN1760">
            <v>1.924799095</v>
          </cell>
          <cell r="AO1760">
            <v>1.954747427</v>
          </cell>
        </row>
        <row r="1789">
          <cell r="F1789">
            <v>1.0027426399999999</v>
          </cell>
          <cell r="G1789">
            <v>1.0226097679999999</v>
          </cell>
          <cell r="H1789">
            <v>1.046701503</v>
          </cell>
          <cell r="I1789">
            <v>1.074186866</v>
          </cell>
          <cell r="J1789">
            <v>1.097319393</v>
          </cell>
          <cell r="K1789">
            <v>1.115429043</v>
          </cell>
          <cell r="L1789">
            <v>1.1384927730000001</v>
          </cell>
          <cell r="M1789">
            <v>1.1623492660000001</v>
          </cell>
          <cell r="N1789">
            <v>1.1873838379999999</v>
          </cell>
          <cell r="O1789">
            <v>1.2132757110000001</v>
          </cell>
          <cell r="P1789">
            <v>1.2392828060000001</v>
          </cell>
          <cell r="Q1789">
            <v>1.265156022</v>
          </cell>
          <cell r="R1789">
            <v>1.2900925249999999</v>
          </cell>
          <cell r="S1789">
            <v>1.3136110780000001</v>
          </cell>
          <cell r="T1789">
            <v>1.3354442179999999</v>
          </cell>
          <cell r="U1789">
            <v>1.3554543059999999</v>
          </cell>
          <cell r="V1789">
            <v>1.3735315020000001</v>
          </cell>
          <cell r="W1789">
            <v>1.3896339289999999</v>
          </cell>
          <cell r="X1789">
            <v>1.403890836</v>
          </cell>
          <cell r="Y1789">
            <v>1.4165399279999999</v>
          </cell>
          <cell r="Z1789">
            <v>1.427970642</v>
          </cell>
          <cell r="AA1789">
            <v>1.438479764</v>
          </cell>
          <cell r="AB1789">
            <v>1.448440237</v>
          </cell>
          <cell r="AC1789">
            <v>1.4582756079999999</v>
          </cell>
          <cell r="AD1789">
            <v>1.46848811</v>
          </cell>
          <cell r="AE1789">
            <v>1.4797684929999999</v>
          </cell>
          <cell r="AF1789">
            <v>1.492219741</v>
          </cell>
          <cell r="AG1789">
            <v>1.5061042469999999</v>
          </cell>
          <cell r="AH1789">
            <v>1.5216691769999999</v>
          </cell>
          <cell r="AI1789">
            <v>1.5390313250000001</v>
          </cell>
          <cell r="AJ1789">
            <v>1.5582848979999999</v>
          </cell>
          <cell r="AK1789">
            <v>1.5794652659999999</v>
          </cell>
          <cell r="AL1789">
            <v>1.602546606</v>
          </cell>
          <cell r="AM1789">
            <v>1.6274440880000001</v>
          </cell>
          <cell r="AN1789">
            <v>1.654015537</v>
          </cell>
          <cell r="AO1789">
            <v>1.6820684800000001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95"/>
  <sheetViews>
    <sheetView workbookViewId="0"/>
  </sheetViews>
  <sheetFormatPr baseColWidth="10" defaultRowHeight="14.5" x14ac:dyDescent="0.35"/>
  <cols>
    <col min="1" max="1" width="26.90625" customWidth="1"/>
    <col min="3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3" spans="1:38" x14ac:dyDescent="0.35">
      <c r="B3" t="s">
        <v>0</v>
      </c>
      <c r="C3" s="2">
        <v>42005</v>
      </c>
      <c r="D3" s="2">
        <v>42370</v>
      </c>
      <c r="E3" s="2">
        <v>42736</v>
      </c>
      <c r="F3" s="2">
        <v>43101</v>
      </c>
      <c r="G3" s="2">
        <v>43466</v>
      </c>
      <c r="H3" s="2">
        <v>43831</v>
      </c>
      <c r="I3" s="2">
        <v>44197</v>
      </c>
      <c r="J3" s="2">
        <v>44562</v>
      </c>
      <c r="K3" s="2">
        <v>44927</v>
      </c>
      <c r="L3" s="2">
        <v>45292</v>
      </c>
      <c r="M3" s="2">
        <v>45658</v>
      </c>
      <c r="N3" s="2">
        <v>46023</v>
      </c>
      <c r="O3" s="2">
        <v>46388</v>
      </c>
      <c r="P3" s="2">
        <v>46753</v>
      </c>
      <c r="Q3" s="2">
        <v>47119</v>
      </c>
      <c r="R3" s="2">
        <v>47484</v>
      </c>
      <c r="S3" s="2">
        <v>47849</v>
      </c>
      <c r="T3" s="2">
        <v>48214</v>
      </c>
      <c r="U3" s="2">
        <v>48580</v>
      </c>
      <c r="V3" s="2">
        <v>48945</v>
      </c>
      <c r="W3" s="2">
        <v>49310</v>
      </c>
      <c r="X3" s="2">
        <v>49675</v>
      </c>
      <c r="Y3" s="2">
        <v>50041</v>
      </c>
      <c r="Z3" s="2">
        <v>50406</v>
      </c>
      <c r="AA3" s="2">
        <v>50771</v>
      </c>
      <c r="AB3" s="2">
        <v>51136</v>
      </c>
      <c r="AC3" s="2">
        <v>51502</v>
      </c>
      <c r="AD3" s="2">
        <v>51867</v>
      </c>
      <c r="AE3" s="2">
        <v>52232</v>
      </c>
      <c r="AF3" s="2">
        <v>52597</v>
      </c>
      <c r="AG3" s="2">
        <v>52963</v>
      </c>
      <c r="AH3" s="2">
        <v>53328</v>
      </c>
      <c r="AI3" s="2">
        <v>53693</v>
      </c>
      <c r="AJ3" s="2">
        <v>54058</v>
      </c>
      <c r="AK3" s="2">
        <v>54424</v>
      </c>
      <c r="AL3" s="2">
        <v>54789</v>
      </c>
    </row>
    <row r="4" spans="1:38" x14ac:dyDescent="0.35">
      <c r="A4" s="3" t="str">
        <f>[1]Results!E1365</f>
        <v>100*(GDP_2/GDP_0-1)</v>
      </c>
      <c r="B4" t="str">
        <f>[1]Results!C1365</f>
        <v>PIB</v>
      </c>
      <c r="C4" s="1">
        <f>[1]Results!F1365</f>
        <v>0</v>
      </c>
      <c r="D4" s="1">
        <f>[1]Results!G1365</f>
        <v>-4.4746806260320682E-8</v>
      </c>
      <c r="E4" s="1">
        <f>[1]Results!H1365</f>
        <v>0</v>
      </c>
      <c r="F4" s="1">
        <f>[1]Results!I1365</f>
        <v>-4.3125891746598199E-8</v>
      </c>
      <c r="G4" s="1">
        <f>[1]Results!J1365</f>
        <v>0</v>
      </c>
      <c r="H4" s="1">
        <f>[1]Results!K1365</f>
        <v>-4.123271724054689E-8</v>
      </c>
      <c r="I4" s="1">
        <f>[1]Results!L1365</f>
        <v>-0.2927499764784014</v>
      </c>
      <c r="J4" s="1">
        <f>[1]Results!M1365</f>
        <v>-0.70521911622830613</v>
      </c>
      <c r="K4" s="1">
        <f>[1]Results!N1365</f>
        <v>-1.1821023171661449</v>
      </c>
      <c r="L4" s="1">
        <f>[1]Results!O1365</f>
        <v>-1.6590479386212942</v>
      </c>
      <c r="M4" s="1">
        <f>[1]Results!P1365</f>
        <v>-2.0688171464432803</v>
      </c>
      <c r="N4" s="1">
        <f>[1]Results!Q1365</f>
        <v>-2.3562472336253526</v>
      </c>
      <c r="O4" s="1">
        <f>[1]Results!R1365</f>
        <v>-2.4660560362381734</v>
      </c>
      <c r="P4" s="1">
        <f>[1]Results!S1365</f>
        <v>-2.431994860482678</v>
      </c>
      <c r="Q4" s="1">
        <f>[1]Results!T1365</f>
        <v>-2.3098548324147594</v>
      </c>
      <c r="R4" s="1">
        <f>[1]Results!U1365</f>
        <v>-2.1154648863673242</v>
      </c>
      <c r="S4" s="1">
        <f>[1]Results!V1365</f>
        <v>-1.917373081684759</v>
      </c>
      <c r="T4" s="1">
        <f>[1]Results!W1365</f>
        <v>-1.720320103923767</v>
      </c>
      <c r="U4" s="1">
        <f>[1]Results!X1365</f>
        <v>-1.5708213647812386</v>
      </c>
      <c r="V4" s="1">
        <f>[1]Results!Y1365</f>
        <v>-1.4712920753836123</v>
      </c>
      <c r="W4" s="1">
        <f>[1]Results!Z1365</f>
        <v>-1.4265288032801471</v>
      </c>
      <c r="X4" s="1">
        <f>[1]Results!AA1365</f>
        <v>-1.4263668116144324</v>
      </c>
      <c r="Y4" s="1">
        <f>[1]Results!AB1365</f>
        <v>-1.4705865442713684</v>
      </c>
      <c r="Z4" s="1">
        <f>[1]Results!AC1365</f>
        <v>-1.5624744078178376</v>
      </c>
      <c r="AA4" s="1">
        <f>[1]Results!AD1365</f>
        <v>-1.7020294924915524</v>
      </c>
      <c r="AB4" s="1">
        <f>[1]Results!AE1365</f>
        <v>-1.7944429082674462</v>
      </c>
      <c r="AC4" s="1">
        <f>[1]Results!AF1365</f>
        <v>-1.9578223696232411</v>
      </c>
      <c r="AD4" s="1">
        <f>[1]Results!AG1365</f>
        <v>-2.061597899827794</v>
      </c>
      <c r="AE4" s="1">
        <f>[1]Results!AH1365</f>
        <v>-2.1852609092698261</v>
      </c>
      <c r="AF4" s="1">
        <f>[1]Results!AI1365</f>
        <v>-2.3242576033461027</v>
      </c>
      <c r="AG4" s="1">
        <f>[1]Results!AJ1365</f>
        <v>-2.4738483419441626</v>
      </c>
      <c r="AH4" s="1">
        <f>[1]Results!AK1365</f>
        <v>-2.627676645924093</v>
      </c>
      <c r="AI4" s="1">
        <f>[1]Results!AL1365</f>
        <v>-2.7810327198636631</v>
      </c>
      <c r="AJ4" s="1">
        <f>[1]Results!AM1365</f>
        <v>-2.9289825730295149</v>
      </c>
      <c r="AK4" s="1">
        <f>[1]Results!AN1365</f>
        <v>-3.0668529015785984</v>
      </c>
      <c r="AL4" s="1">
        <f>[1]Results!AO1365</f>
        <v>-2.9328188485966744</v>
      </c>
    </row>
    <row r="5" spans="1:38" x14ac:dyDescent="0.35">
      <c r="A5" s="3" t="str">
        <f>[1]Results!E1366</f>
        <v>100*((VA_2-VA_spub_2)/(VA_0-VA_spub_0)-1)</v>
      </c>
      <c r="B5" t="str">
        <f>[1]Results!C1366</f>
        <v>VA du secteur marchand</v>
      </c>
      <c r="C5" s="1">
        <f>[1]Results!F1366</f>
        <v>0</v>
      </c>
      <c r="D5" s="1">
        <f>[1]Results!G1366</f>
        <v>0</v>
      </c>
      <c r="E5" s="1">
        <f>[1]Results!H1366</f>
        <v>0</v>
      </c>
      <c r="F5" s="1">
        <f>[1]Results!I1366</f>
        <v>-5.9995319823258342E-8</v>
      </c>
      <c r="G5" s="1">
        <f>[1]Results!J1366</f>
        <v>-5.865450347641854E-8</v>
      </c>
      <c r="H5" s="1">
        <f>[1]Results!K1366</f>
        <v>0</v>
      </c>
      <c r="I5" s="1">
        <f>[1]Results!L1366</f>
        <v>-0.36664480837030888</v>
      </c>
      <c r="J5" s="1">
        <f>[1]Results!M1366</f>
        <v>-0.85380862195784113</v>
      </c>
      <c r="K5" s="1">
        <f>[1]Results!N1366</f>
        <v>-1.4044287566593594</v>
      </c>
      <c r="L5" s="1">
        <f>[1]Results!O1366</f>
        <v>-1.9461383652269792</v>
      </c>
      <c r="M5" s="1">
        <f>[1]Results!P1366</f>
        <v>-2.4013511843612112</v>
      </c>
      <c r="N5" s="1">
        <f>[1]Results!Q1366</f>
        <v>-2.7272643832760846</v>
      </c>
      <c r="O5" s="1">
        <f>[1]Results!R1366</f>
        <v>-2.8633532132812611</v>
      </c>
      <c r="P5" s="1">
        <f>[1]Results!S1366</f>
        <v>-2.8446374537453578</v>
      </c>
      <c r="Q5" s="1">
        <f>[1]Results!T1366</f>
        <v>-2.7317225913569554</v>
      </c>
      <c r="R5" s="1">
        <f>[1]Results!U1366</f>
        <v>-2.5377169829016943</v>
      </c>
      <c r="S5" s="1">
        <f>[1]Results!V1366</f>
        <v>-2.3426405613947821</v>
      </c>
      <c r="T5" s="1">
        <f>[1]Results!W1366</f>
        <v>-2.144723043968122</v>
      </c>
      <c r="U5" s="1">
        <f>[1]Results!X1366</f>
        <v>-2.0020535414274176</v>
      </c>
      <c r="V5" s="1">
        <f>[1]Results!Y1366</f>
        <v>-1.9196425779329451</v>
      </c>
      <c r="W5" s="1">
        <f>[1]Results!Z1366</f>
        <v>-1.8999342789003837</v>
      </c>
      <c r="X5" s="1">
        <f>[1]Results!AA1366</f>
        <v>-1.9304551316566387</v>
      </c>
      <c r="Y5" s="1">
        <f>[1]Results!AB1366</f>
        <v>-2.0099263743940665</v>
      </c>
      <c r="Z5" s="1">
        <f>[1]Results!AC1366</f>
        <v>-2.1411981497415411</v>
      </c>
      <c r="AA5" s="1">
        <f>[1]Results!AD1366</f>
        <v>-2.323456261509127</v>
      </c>
      <c r="AB5" s="1">
        <f>[1]Results!AE1366</f>
        <v>-2.4403656605814894</v>
      </c>
      <c r="AC5" s="1">
        <f>[1]Results!AF1366</f>
        <v>-2.6383682123967023</v>
      </c>
      <c r="AD5" s="1">
        <f>[1]Results!AG1366</f>
        <v>-2.7568760463372421</v>
      </c>
      <c r="AE5" s="1">
        <f>[1]Results!AH1366</f>
        <v>-2.8979902595239748</v>
      </c>
      <c r="AF5" s="1">
        <f>[1]Results!AI1366</f>
        <v>-3.0551903792727764</v>
      </c>
      <c r="AG5" s="1">
        <f>[1]Results!AJ1366</f>
        <v>-3.222532848042936</v>
      </c>
      <c r="AH5" s="1">
        <f>[1]Results!AK1366</f>
        <v>-3.3922943314521947</v>
      </c>
      <c r="AI5" s="1">
        <f>[1]Results!AL1366</f>
        <v>-3.558889047734981</v>
      </c>
      <c r="AJ5" s="1">
        <f>[1]Results!AM1366</f>
        <v>-3.717051340452171</v>
      </c>
      <c r="AK5" s="1">
        <f>[1]Results!AN1366</f>
        <v>-3.8621289222077859</v>
      </c>
      <c r="AL5" s="1">
        <f>[1]Results!AO1366</f>
        <v>-3.6795602213914536</v>
      </c>
    </row>
    <row r="6" spans="1:38" x14ac:dyDescent="0.35">
      <c r="A6" s="3" t="str">
        <f>[1]Results!E1367</f>
        <v>100*((CH_2-CH_0)/GDP_0)</v>
      </c>
      <c r="B6" t="str">
        <f>[1]Results!C1367</f>
        <v>Consommation des ménages</v>
      </c>
      <c r="C6" s="1">
        <f>[1]Results!F1367</f>
        <v>0</v>
      </c>
      <c r="D6" s="1">
        <f>[1]Results!G1367</f>
        <v>-4.4746796159249835E-8</v>
      </c>
      <c r="E6" s="1">
        <f>[1]Results!H1367</f>
        <v>0</v>
      </c>
      <c r="F6" s="1">
        <f>[1]Results!I1367</f>
        <v>0</v>
      </c>
      <c r="G6" s="1">
        <f>[1]Results!J1367</f>
        <v>0</v>
      </c>
      <c r="H6" s="1">
        <f>[1]Results!K1367</f>
        <v>0</v>
      </c>
      <c r="I6" s="1">
        <f>[1]Results!L1367</f>
        <v>-5.0484433733654605E-2</v>
      </c>
      <c r="J6" s="1">
        <f>[1]Results!M1367</f>
        <v>-0.23897608108033266</v>
      </c>
      <c r="K6" s="1">
        <f>[1]Results!N1367</f>
        <v>-0.50676335633709335</v>
      </c>
      <c r="L6" s="1">
        <f>[1]Results!O1367</f>
        <v>-0.79656403687873989</v>
      </c>
      <c r="M6" s="1">
        <f>[1]Results!P1367</f>
        <v>-1.0621513546100829</v>
      </c>
      <c r="N6" s="1">
        <f>[1]Results!Q1367</f>
        <v>-1.1953748280409715</v>
      </c>
      <c r="O6" s="1">
        <f>[1]Results!R1367</f>
        <v>-1.1498366166739282</v>
      </c>
      <c r="P6" s="1">
        <f>[1]Results!S1367</f>
        <v>-0.97084133537776829</v>
      </c>
      <c r="Q6" s="1">
        <f>[1]Results!T1367</f>
        <v>-0.7124850593230756</v>
      </c>
      <c r="R6" s="1">
        <f>[1]Results!U1367</f>
        <v>-0.40943489419532136</v>
      </c>
      <c r="S6" s="1">
        <f>[1]Results!V1367</f>
        <v>-0.10164128249214599</v>
      </c>
      <c r="T6" s="1">
        <f>[1]Results!W1367</f>
        <v>0.18358286599594445</v>
      </c>
      <c r="U6" s="1">
        <f>[1]Results!X1367</f>
        <v>0.43721771127796805</v>
      </c>
      <c r="V6" s="1">
        <f>[1]Results!Y1367</f>
        <v>0.65808328055915166</v>
      </c>
      <c r="W6" s="1">
        <f>[1]Results!Z1367</f>
        <v>0.84661124765792639</v>
      </c>
      <c r="X6" s="1">
        <f>[1]Results!AA1367</f>
        <v>1.004006197305348</v>
      </c>
      <c r="Y6" s="1">
        <f>[1]Results!AB1367</f>
        <v>1.1240798465099775</v>
      </c>
      <c r="Z6" s="1">
        <f>[1]Results!AC1367</f>
        <v>1.1996672640735939</v>
      </c>
      <c r="AA6" s="1">
        <f>[1]Results!AD1367</f>
        <v>1.2270389645862545</v>
      </c>
      <c r="AB6" s="1">
        <f>[1]Results!AE1367</f>
        <v>1.2233772019412337</v>
      </c>
      <c r="AC6" s="1">
        <f>[1]Results!AF1367</f>
        <v>1.1801292413682651</v>
      </c>
      <c r="AD6" s="1">
        <f>[1]Results!AG1367</f>
        <v>1.1070696475056439</v>
      </c>
      <c r="AE6" s="1">
        <f>[1]Results!AH1367</f>
        <v>1.0090001805690305</v>
      </c>
      <c r="AF6" s="1">
        <f>[1]Results!AI1367</f>
        <v>0.88932733156104893</v>
      </c>
      <c r="AG6" s="1">
        <f>[1]Results!AJ1367</f>
        <v>0.75136273386635211</v>
      </c>
      <c r="AH6" s="1">
        <f>[1]Results!AK1367</f>
        <v>0.5970639393581616</v>
      </c>
      <c r="AI6" s="1">
        <f>[1]Results!AL1367</f>
        <v>0.42875220593488023</v>
      </c>
      <c r="AJ6" s="1">
        <f>[1]Results!AM1367</f>
        <v>0.25180316172432343</v>
      </c>
      <c r="AK6" s="1">
        <f>[1]Results!AN1367</f>
        <v>7.3180134516068335E-2</v>
      </c>
      <c r="AL6" s="1">
        <f>[1]Results!AO1367</f>
        <v>-5.2152946233655455E-2</v>
      </c>
    </row>
    <row r="7" spans="1:38" x14ac:dyDescent="0.35">
      <c r="A7" s="3" t="str">
        <f>[1]Results!E1368</f>
        <v>100*((CH_cveh_2-CH_cveh_0)/GDP_0)</v>
      </c>
      <c r="B7" t="str">
        <f>[1]Results!C1368</f>
        <v>Consommation des ménages automobile</v>
      </c>
      <c r="C7" s="1">
        <f>[1]Results!F1368</f>
        <v>0</v>
      </c>
      <c r="D7" s="1">
        <f>[1]Results!G1368</f>
        <v>0</v>
      </c>
      <c r="E7" s="1">
        <f>[1]Results!H1368</f>
        <v>4.3945284218538507E-10</v>
      </c>
      <c r="F7" s="1">
        <f>[1]Results!I1368</f>
        <v>1.2937762806634289E-9</v>
      </c>
      <c r="G7" s="1">
        <f>[1]Results!J1368</f>
        <v>1.6893988702617383E-9</v>
      </c>
      <c r="H7" s="1">
        <f>[1]Results!K1368</f>
        <v>2.0616358420760997E-9</v>
      </c>
      <c r="I7" s="1">
        <f>[1]Results!L1368</f>
        <v>-6.1681372105185286E-3</v>
      </c>
      <c r="J7" s="1">
        <f>[1]Results!M1368</f>
        <v>-4.7759458563797062E-2</v>
      </c>
      <c r="K7" s="1">
        <f>[1]Results!N1368</f>
        <v>-0.10046645528485521</v>
      </c>
      <c r="L7" s="1">
        <f>[1]Results!O1368</f>
        <v>-0.15417557531405127</v>
      </c>
      <c r="M7" s="1">
        <f>[1]Results!P1368</f>
        <v>-0.2120763949247215</v>
      </c>
      <c r="N7" s="1">
        <f>[1]Results!Q1368</f>
        <v>-0.18549971425017789</v>
      </c>
      <c r="O7" s="1">
        <f>[1]Results!R1368</f>
        <v>-0.12366219067783642</v>
      </c>
      <c r="P7" s="1">
        <f>[1]Results!S1368</f>
        <v>-6.199902753984373E-2</v>
      </c>
      <c r="Q7" s="1">
        <f>[1]Results!T1368</f>
        <v>-1.3572742062027156E-2</v>
      </c>
      <c r="R7" s="1">
        <f>[1]Results!U1368</f>
        <v>2.0834468771803234E-2</v>
      </c>
      <c r="S7" s="1">
        <f>[1]Results!V1368</f>
        <v>3.5299911958034322E-2</v>
      </c>
      <c r="T7" s="1">
        <f>[1]Results!W1368</f>
        <v>3.3928929542388186E-2</v>
      </c>
      <c r="U7" s="1">
        <f>[1]Results!X1368</f>
        <v>2.3009631270974912E-2</v>
      </c>
      <c r="V7" s="1">
        <f>[1]Results!Y1368</f>
        <v>9.5404982184033055E-3</v>
      </c>
      <c r="W7" s="1">
        <f>[1]Results!Z1368</f>
        <v>-4.6823187694187982E-3</v>
      </c>
      <c r="X7" s="1">
        <f>[1]Results!AA1368</f>
        <v>-1.0108478961064401E-2</v>
      </c>
      <c r="Y7" s="1">
        <f>[1]Results!AB1368</f>
        <v>-1.3854670077656931E-2</v>
      </c>
      <c r="Z7" s="1">
        <f>[1]Results!AC1368</f>
        <v>-1.9105441758463512E-2</v>
      </c>
      <c r="AA7" s="1">
        <f>[1]Results!AD1368</f>
        <v>-2.6317652736300341E-2</v>
      </c>
      <c r="AB7" s="1">
        <f>[1]Results!AE1368</f>
        <v>-3.3554206486806064E-2</v>
      </c>
      <c r="AC7" s="1">
        <f>[1]Results!AF1368</f>
        <v>-3.6919754209475707E-2</v>
      </c>
      <c r="AD7" s="1">
        <f>[1]Results!AG1368</f>
        <v>-3.9184831668374373E-2</v>
      </c>
      <c r="AE7" s="1">
        <f>[1]Results!AH1368</f>
        <v>-4.1528601720105189E-2</v>
      </c>
      <c r="AF7" s="1">
        <f>[1]Results!AI1368</f>
        <v>-4.3980741129015802E-2</v>
      </c>
      <c r="AG7" s="1">
        <f>[1]Results!AJ1368</f>
        <v>-4.6410793910893471E-2</v>
      </c>
      <c r="AH7" s="1">
        <f>[1]Results!AK1368</f>
        <v>-4.7165933072596582E-2</v>
      </c>
      <c r="AI7" s="1">
        <f>[1]Results!AL1368</f>
        <v>-4.8150242952886696E-2</v>
      </c>
      <c r="AJ7" s="1">
        <f>[1]Results!AM1368</f>
        <v>-4.9785113190898234E-2</v>
      </c>
      <c r="AK7" s="1">
        <f>[1]Results!AN1368</f>
        <v>-5.1812017413547996E-2</v>
      </c>
      <c r="AL7" s="1">
        <f>[1]Results!AO1368</f>
        <v>-4.9702425405816243E-2</v>
      </c>
    </row>
    <row r="8" spans="1:38" x14ac:dyDescent="0.35">
      <c r="A8" s="3" t="str">
        <f>[1]Results!E1369</f>
        <v>100*((G_2-G_0)/GDP_0)</v>
      </c>
      <c r="B8" t="str">
        <f>[1]Results!C1369</f>
        <v>Dépenses publiques</v>
      </c>
      <c r="C8" s="1">
        <f>[1]Results!F1369</f>
        <v>0</v>
      </c>
      <c r="D8" s="1">
        <f>[1]Results!G1369</f>
        <v>0</v>
      </c>
      <c r="E8" s="1">
        <f>[1]Results!H1369</f>
        <v>0</v>
      </c>
      <c r="F8" s="1">
        <f>[1]Results!I1369</f>
        <v>0</v>
      </c>
      <c r="G8" s="1">
        <f>[1]Results!J1369</f>
        <v>0</v>
      </c>
      <c r="H8" s="1">
        <f>[1]Results!K1369</f>
        <v>0</v>
      </c>
      <c r="I8" s="1">
        <f>[1]Results!L1369</f>
        <v>0</v>
      </c>
      <c r="J8" s="1">
        <f>[1]Results!M1369</f>
        <v>0</v>
      </c>
      <c r="K8" s="1">
        <f>[1]Results!N1369</f>
        <v>0</v>
      </c>
      <c r="L8" s="1">
        <f>[1]Results!O1369</f>
        <v>0</v>
      </c>
      <c r="M8" s="1">
        <f>[1]Results!P1369</f>
        <v>0</v>
      </c>
      <c r="N8" s="1">
        <f>[1]Results!Q1369</f>
        <v>0</v>
      </c>
      <c r="O8" s="1">
        <f>[1]Results!R1369</f>
        <v>0</v>
      </c>
      <c r="P8" s="1">
        <f>[1]Results!S1369</f>
        <v>0</v>
      </c>
      <c r="Q8" s="1">
        <f>[1]Results!T1369</f>
        <v>0</v>
      </c>
      <c r="R8" s="1">
        <f>[1]Results!U1369</f>
        <v>0</v>
      </c>
      <c r="S8" s="1">
        <f>[1]Results!V1369</f>
        <v>0</v>
      </c>
      <c r="T8" s="1">
        <f>[1]Results!W1369</f>
        <v>0</v>
      </c>
      <c r="U8" s="1">
        <f>[1]Results!X1369</f>
        <v>0</v>
      </c>
      <c r="V8" s="1">
        <f>[1]Results!Y1369</f>
        <v>0</v>
      </c>
      <c r="W8" s="1">
        <f>[1]Results!Z1369</f>
        <v>0</v>
      </c>
      <c r="X8" s="1">
        <f>[1]Results!AA1369</f>
        <v>0</v>
      </c>
      <c r="Y8" s="1">
        <f>[1]Results!AB1369</f>
        <v>0</v>
      </c>
      <c r="Z8" s="1">
        <f>[1]Results!AC1369</f>
        <v>0</v>
      </c>
      <c r="AA8" s="1">
        <f>[1]Results!AD1369</f>
        <v>0</v>
      </c>
      <c r="AB8" s="1">
        <f>[1]Results!AE1369</f>
        <v>0</v>
      </c>
      <c r="AC8" s="1">
        <f>[1]Results!AF1369</f>
        <v>0</v>
      </c>
      <c r="AD8" s="1">
        <f>[1]Results!AG1369</f>
        <v>0</v>
      </c>
      <c r="AE8" s="1">
        <f>[1]Results!AH1369</f>
        <v>0</v>
      </c>
      <c r="AF8" s="1">
        <f>[1]Results!AI1369</f>
        <v>0</v>
      </c>
      <c r="AG8" s="1">
        <f>[1]Results!AJ1369</f>
        <v>0</v>
      </c>
      <c r="AH8" s="1">
        <f>[1]Results!AK1369</f>
        <v>0</v>
      </c>
      <c r="AI8" s="1">
        <f>[1]Results!AL1369</f>
        <v>0</v>
      </c>
      <c r="AJ8" s="1">
        <f>[1]Results!AM1369</f>
        <v>0</v>
      </c>
      <c r="AK8" s="1">
        <f>[1]Results!AN1369</f>
        <v>0</v>
      </c>
      <c r="AL8" s="1">
        <f>[1]Results!AO1369</f>
        <v>0</v>
      </c>
    </row>
    <row r="9" spans="1:38" x14ac:dyDescent="0.35">
      <c r="A9" s="3" t="str">
        <f>[1]Results!E1370</f>
        <v>100*((I_2-I_0)/GDP_0)</v>
      </c>
      <c r="B9" t="str">
        <f>[1]Results!C1370</f>
        <v>Investissement</v>
      </c>
      <c r="C9" s="1">
        <f>[1]Results!F1370</f>
        <v>0</v>
      </c>
      <c r="D9" s="1">
        <f>[1]Results!G1370</f>
        <v>0</v>
      </c>
      <c r="E9" s="1">
        <f>[1]Results!H1370</f>
        <v>-4.394533537763968E-9</v>
      </c>
      <c r="F9" s="1">
        <f>[1]Results!I1370</f>
        <v>-4.312588438963675E-9</v>
      </c>
      <c r="G9" s="1">
        <f>[1]Results!J1370</f>
        <v>-4.2234974829542177E-9</v>
      </c>
      <c r="H9" s="1">
        <f>[1]Results!K1370</f>
        <v>-8.2465433683043987E-9</v>
      </c>
      <c r="I9" s="1">
        <f>[1]Results!L1370</f>
        <v>-3.7494796878281E-2</v>
      </c>
      <c r="J9" s="1">
        <f>[1]Results!M1370</f>
        <v>-0.12596485599997009</v>
      </c>
      <c r="K9" s="1">
        <f>[1]Results!N1370</f>
        <v>-0.24941997004595168</v>
      </c>
      <c r="L9" s="1">
        <f>[1]Results!O1370</f>
        <v>-0.39565698545344052</v>
      </c>
      <c r="M9" s="1">
        <f>[1]Results!P1370</f>
        <v>-0.55396778160349747</v>
      </c>
      <c r="N9" s="1">
        <f>[1]Results!Q1370</f>
        <v>-0.68648980386899383</v>
      </c>
      <c r="O9" s="1">
        <f>[1]Results!R1370</f>
        <v>-0.77781738852418181</v>
      </c>
      <c r="P9" s="1">
        <f>[1]Results!S1370</f>
        <v>-0.82829697349332243</v>
      </c>
      <c r="Q9" s="1">
        <f>[1]Results!T1370</f>
        <v>-0.84655375861297666</v>
      </c>
      <c r="R9" s="1">
        <f>[1]Results!U1370</f>
        <v>-0.83294444014863289</v>
      </c>
      <c r="S9" s="1">
        <f>[1]Results!V1370</f>
        <v>-0.81853331834018606</v>
      </c>
      <c r="T9" s="1">
        <f>[1]Results!W1370</f>
        <v>-0.79807432258304567</v>
      </c>
      <c r="U9" s="1">
        <f>[1]Results!X1370</f>
        <v>-0.78084844776038631</v>
      </c>
      <c r="V9" s="1">
        <f>[1]Results!Y1370</f>
        <v>-0.77030062741948924</v>
      </c>
      <c r="W9" s="1">
        <f>[1]Results!Z1370</f>
        <v>-0.76730458362946441</v>
      </c>
      <c r="X9" s="1">
        <f>[1]Results!AA1370</f>
        <v>-0.7671145199615772</v>
      </c>
      <c r="Y9" s="1">
        <f>[1]Results!AB1370</f>
        <v>-0.76926836091950157</v>
      </c>
      <c r="Z9" s="1">
        <f>[1]Results!AC1370</f>
        <v>-0.7743216080559554</v>
      </c>
      <c r="AA9" s="1">
        <f>[1]Results!AD1370</f>
        <v>-0.78277631273451276</v>
      </c>
      <c r="AB9" s="1">
        <f>[1]Results!AE1370</f>
        <v>-0.7663227469342655</v>
      </c>
      <c r="AC9" s="1">
        <f>[1]Results!AF1370</f>
        <v>-0.77199096831070713</v>
      </c>
      <c r="AD9" s="1">
        <f>[1]Results!AG1370</f>
        <v>-0.75898286570832729</v>
      </c>
      <c r="AE9" s="1">
        <f>[1]Results!AH1370</f>
        <v>-0.73833752357967009</v>
      </c>
      <c r="AF9" s="1">
        <f>[1]Results!AI1370</f>
        <v>-0.71622773309601795</v>
      </c>
      <c r="AG9" s="1">
        <f>[1]Results!AJ1370</f>
        <v>-0.69536008377713887</v>
      </c>
      <c r="AH9" s="1">
        <f>[1]Results!AK1370</f>
        <v>-0.67604969244222202</v>
      </c>
      <c r="AI9" s="1">
        <f>[1]Results!AL1370</f>
        <v>-0.659431486886632</v>
      </c>
      <c r="AJ9" s="1">
        <f>[1]Results!AM1370</f>
        <v>-0.64575097978339935</v>
      </c>
      <c r="AK9" s="1">
        <f>[1]Results!AN1370</f>
        <v>-0.63479553084361884</v>
      </c>
      <c r="AL9" s="1">
        <f>[1]Results!AO1370</f>
        <v>-0.54500095403238735</v>
      </c>
    </row>
    <row r="10" spans="1:38" x14ac:dyDescent="0.35">
      <c r="A10" s="3" t="str">
        <f>[1]Results!E1371</f>
        <v>100*((DS_2-DS_0)/GDP_0)</v>
      </c>
      <c r="B10" t="str">
        <f>[1]Results!C1371</f>
        <v>Variations de stocks</v>
      </c>
      <c r="C10" s="1">
        <f>[1]Results!F1371</f>
        <v>0</v>
      </c>
      <c r="D10" s="1">
        <f>[1]Results!G1371</f>
        <v>0</v>
      </c>
      <c r="E10" s="1">
        <f>[1]Results!H1371</f>
        <v>0</v>
      </c>
      <c r="F10" s="1">
        <f>[1]Results!I1371</f>
        <v>0</v>
      </c>
      <c r="G10" s="1">
        <f>[1]Results!J1371</f>
        <v>0</v>
      </c>
      <c r="H10" s="1">
        <f>[1]Results!K1371</f>
        <v>0</v>
      </c>
      <c r="I10" s="1">
        <f>[1]Results!L1371</f>
        <v>0</v>
      </c>
      <c r="J10" s="1">
        <f>[1]Results!M1371</f>
        <v>0</v>
      </c>
      <c r="K10" s="1">
        <f>[1]Results!N1371</f>
        <v>0</v>
      </c>
      <c r="L10" s="1">
        <f>[1]Results!O1371</f>
        <v>0</v>
      </c>
      <c r="M10" s="1">
        <f>[1]Results!P1371</f>
        <v>0</v>
      </c>
      <c r="N10" s="1">
        <f>[1]Results!Q1371</f>
        <v>0</v>
      </c>
      <c r="O10" s="1">
        <f>[1]Results!R1371</f>
        <v>0</v>
      </c>
      <c r="P10" s="1">
        <f>[1]Results!S1371</f>
        <v>0</v>
      </c>
      <c r="Q10" s="1">
        <f>[1]Results!T1371</f>
        <v>0</v>
      </c>
      <c r="R10" s="1">
        <f>[1]Results!U1371</f>
        <v>0</v>
      </c>
      <c r="S10" s="1">
        <f>[1]Results!V1371</f>
        <v>0</v>
      </c>
      <c r="T10" s="1">
        <f>[1]Results!W1371</f>
        <v>0</v>
      </c>
      <c r="U10" s="1">
        <f>[1]Results!X1371</f>
        <v>0</v>
      </c>
      <c r="V10" s="1">
        <f>[1]Results!Y1371</f>
        <v>0</v>
      </c>
      <c r="W10" s="1">
        <f>[1]Results!Z1371</f>
        <v>0</v>
      </c>
      <c r="X10" s="1">
        <f>[1]Results!AA1371</f>
        <v>0</v>
      </c>
      <c r="Y10" s="1">
        <f>[1]Results!AB1371</f>
        <v>0</v>
      </c>
      <c r="Z10" s="1">
        <f>[1]Results!AC1371</f>
        <v>0</v>
      </c>
      <c r="AA10" s="1">
        <f>[1]Results!AD1371</f>
        <v>0</v>
      </c>
      <c r="AB10" s="1">
        <f>[1]Results!AE1371</f>
        <v>0</v>
      </c>
      <c r="AC10" s="1">
        <f>[1]Results!AF1371</f>
        <v>0</v>
      </c>
      <c r="AD10" s="1">
        <f>[1]Results!AG1371</f>
        <v>0</v>
      </c>
      <c r="AE10" s="1">
        <f>[1]Results!AH1371</f>
        <v>0</v>
      </c>
      <c r="AF10" s="1">
        <f>[1]Results!AI1371</f>
        <v>0</v>
      </c>
      <c r="AG10" s="1">
        <f>[1]Results!AJ1371</f>
        <v>0</v>
      </c>
      <c r="AH10" s="1">
        <f>[1]Results!AK1371</f>
        <v>0</v>
      </c>
      <c r="AI10" s="1">
        <f>[1]Results!AL1371</f>
        <v>0</v>
      </c>
      <c r="AJ10" s="1">
        <f>[1]Results!AM1371</f>
        <v>0</v>
      </c>
      <c r="AK10" s="1">
        <f>[1]Results!AN1371</f>
        <v>0</v>
      </c>
      <c r="AL10" s="1">
        <f>[1]Results!AO1371</f>
        <v>0</v>
      </c>
    </row>
    <row r="11" spans="1:38" x14ac:dyDescent="0.35">
      <c r="A11" s="3" t="str">
        <f>[1]Results!E1372</f>
        <v>100*((X_2-X_0)/GDP_0)-100*((M_2-M_0)/GDP_0)</v>
      </c>
      <c r="B11" t="str">
        <f>[1]Results!C1372</f>
        <v>Exportations nettes</v>
      </c>
      <c r="C11" s="1">
        <f>[1]Results!F1372</f>
        <v>-4.5536098496398781E-9</v>
      </c>
      <c r="D11" s="1">
        <f>[1]Results!G1372</f>
        <v>-4.4746775322397698E-9</v>
      </c>
      <c r="E11" s="1">
        <f>[1]Results!H1372</f>
        <v>-8.7890619596178201E-9</v>
      </c>
      <c r="F11" s="1">
        <f>[1]Results!I1372</f>
        <v>-8.62517687792735E-9</v>
      </c>
      <c r="G11" s="1">
        <f>[1]Results!J1372</f>
        <v>-8.4469949659084355E-9</v>
      </c>
      <c r="H11" s="1">
        <f>[1]Results!K1372</f>
        <v>-1.6493086736608797E-8</v>
      </c>
      <c r="I11" s="1">
        <f>[1]Results!L1372</f>
        <v>-0.20477070562181032</v>
      </c>
      <c r="J11" s="1">
        <f>[1]Results!M1372</f>
        <v>-0.34027816736650618</v>
      </c>
      <c r="K11" s="1">
        <f>[1]Results!N1372</f>
        <v>-0.42591899078309226</v>
      </c>
      <c r="L11" s="1">
        <f>[1]Results!O1372</f>
        <v>-0.46682690880526989</v>
      </c>
      <c r="M11" s="1">
        <f>[1]Results!P1372</f>
        <v>-0.45269800290890794</v>
      </c>
      <c r="N11" s="1">
        <f>[1]Results!Q1372</f>
        <v>-0.47438259454065546</v>
      </c>
      <c r="O11" s="1">
        <f>[1]Results!R1372</f>
        <v>-0.53840198173407616</v>
      </c>
      <c r="P11" s="1">
        <f>[1]Results!S1372</f>
        <v>-0.63285653429836641</v>
      </c>
      <c r="Q11" s="1">
        <f>[1]Results!T1372</f>
        <v>-0.75081602811221682</v>
      </c>
      <c r="R11" s="1">
        <f>[1]Results!U1372</f>
        <v>-0.87308554866568644</v>
      </c>
      <c r="S11" s="1">
        <f>[1]Results!V1372</f>
        <v>-0.99719846761473796</v>
      </c>
      <c r="T11" s="1">
        <f>[1]Results!W1372</f>
        <v>-1.1058286473366703</v>
      </c>
      <c r="U11" s="1">
        <f>[1]Results!X1372</f>
        <v>-1.2271906475957646</v>
      </c>
      <c r="V11" s="1">
        <f>[1]Results!Y1372</f>
        <v>-1.359074699996075</v>
      </c>
      <c r="W11" s="1">
        <f>[1]Results!Z1372</f>
        <v>-1.5058355141552131</v>
      </c>
      <c r="X11" s="1">
        <f>[1]Results!AA1372</f>
        <v>-1.6632584735805624</v>
      </c>
      <c r="Y11" s="1">
        <f>[1]Results!AB1372</f>
        <v>-1.8253980056471444</v>
      </c>
      <c r="Z11" s="1">
        <f>[1]Results!AC1372</f>
        <v>-1.9878200310887832</v>
      </c>
      <c r="AA11" s="1">
        <f>[1]Results!AD1372</f>
        <v>-2.1462921238613655</v>
      </c>
      <c r="AB11" s="1">
        <f>[1]Results!AE1372</f>
        <v>-2.2514973603994268</v>
      </c>
      <c r="AC11" s="1">
        <f>[1]Results!AF1372</f>
        <v>-2.3659606539733433</v>
      </c>
      <c r="AD11" s="1">
        <f>[1]Results!AG1372</f>
        <v>-2.4096846677703692</v>
      </c>
      <c r="AE11" s="1">
        <f>[1]Results!AH1372</f>
        <v>-2.4559235581035708</v>
      </c>
      <c r="AF11" s="1">
        <f>[1]Results!AI1372</f>
        <v>-2.4973571964789127</v>
      </c>
      <c r="AG11" s="1">
        <f>[1]Results!AJ1372</f>
        <v>-2.5298510051032661</v>
      </c>
      <c r="AH11" s="1">
        <f>[1]Results!AK1372</f>
        <v>-2.5486908774652148</v>
      </c>
      <c r="AI11" s="1">
        <f>[1]Results!AL1372</f>
        <v>-2.5503534137928661</v>
      </c>
      <c r="AJ11" s="1">
        <f>[1]Results!AM1372</f>
        <v>-2.5350347549704511</v>
      </c>
      <c r="AK11" s="1">
        <f>[1]Results!AN1372</f>
        <v>-2.5052375535459426</v>
      </c>
      <c r="AL11" s="1">
        <f>[1]Results!AO1372</f>
        <v>-2.3356649483306464</v>
      </c>
    </row>
    <row r="12" spans="1:38" x14ac:dyDescent="0.35">
      <c r="A12" s="3" t="str">
        <f>[1]Results!E1373</f>
        <v>100*((CH_2-CH_ccon_2-(CH_0-CH_ccon_0))/GDP_0)</v>
      </c>
      <c r="B12" t="str">
        <f>[1]Results!C1373</f>
        <v>Consommation des ménages</v>
      </c>
      <c r="C12" s="1">
        <f>[1]Results!F1373</f>
        <v>0</v>
      </c>
      <c r="D12" s="1">
        <f>[1]Results!G1373</f>
        <v>-4.4299324759576732E-8</v>
      </c>
      <c r="E12" s="1">
        <f>[1]Results!H1373</f>
        <v>4.3944644729773786E-10</v>
      </c>
      <c r="F12" s="1">
        <f>[1]Results!I1373</f>
        <v>4.312520662031805E-10</v>
      </c>
      <c r="G12" s="1">
        <f>[1]Results!J1373</f>
        <v>0</v>
      </c>
      <c r="H12" s="1">
        <f>[1]Results!K1373</f>
        <v>4.1232068825352648E-10</v>
      </c>
      <c r="I12" s="1">
        <f>[1]Results!L1373</f>
        <v>-4.9842794971900174E-2</v>
      </c>
      <c r="J12" s="1">
        <f>[1]Results!M1373</f>
        <v>-0.2351086949431995</v>
      </c>
      <c r="K12" s="1">
        <f>[1]Results!N1373</f>
        <v>-0.49760161527763874</v>
      </c>
      <c r="L12" s="1">
        <f>[1]Results!O1373</f>
        <v>-0.78102251471655937</v>
      </c>
      <c r="M12" s="1">
        <f>[1]Results!P1373</f>
        <v>-1.0399506861128531</v>
      </c>
      <c r="N12" s="1">
        <f>[1]Results!Q1373</f>
        <v>-1.1688113391780068</v>
      </c>
      <c r="O12" s="1">
        <f>[1]Results!R1373</f>
        <v>-1.1229724052178689</v>
      </c>
      <c r="P12" s="1">
        <f>[1]Results!S1373</f>
        <v>-0.94695516194238261</v>
      </c>
      <c r="Q12" s="1">
        <f>[1]Results!T1373</f>
        <v>-0.69344642453963856</v>
      </c>
      <c r="R12" s="1">
        <f>[1]Results!U1373</f>
        <v>-0.39602486530227465</v>
      </c>
      <c r="S12" s="1">
        <f>[1]Results!V1373</f>
        <v>-9.3658542917819873E-2</v>
      </c>
      <c r="T12" s="1">
        <f>[1]Results!W1373</f>
        <v>0.18698129325223439</v>
      </c>
      <c r="U12" s="1">
        <f>[1]Results!X1373</f>
        <v>0.43700243297813768</v>
      </c>
      <c r="V12" s="1">
        <f>[1]Results!Y1373</f>
        <v>0.65506482883244221</v>
      </c>
      <c r="W12" s="1">
        <f>[1]Results!Z1373</f>
        <v>0.84133595955649143</v>
      </c>
      <c r="X12" s="1">
        <f>[1]Results!AA1373</f>
        <v>0.9967563868773397</v>
      </c>
      <c r="Y12" s="1">
        <f>[1]Results!AB1373</f>
        <v>1.1150381246056889</v>
      </c>
      <c r="Z12" s="1">
        <f>[1]Results!AC1373</f>
        <v>1.1891287841551077</v>
      </c>
      <c r="AA12" s="1">
        <f>[1]Results!AD1373</f>
        <v>1.2154304771419604</v>
      </c>
      <c r="AB12" s="1">
        <f>[1]Results!AE1373</f>
        <v>1.2109806785597608</v>
      </c>
      <c r="AC12" s="1">
        <f>[1]Results!AF1373</f>
        <v>1.1674369986733542</v>
      </c>
      <c r="AD12" s="1">
        <f>[1]Results!AG1373</f>
        <v>1.0945637202957248</v>
      </c>
      <c r="AE12" s="1">
        <f>[1]Results!AH1373</f>
        <v>0.99722541950060029</v>
      </c>
      <c r="AF12" s="1">
        <f>[1]Results!AI1373</f>
        <v>0.87883725669872859</v>
      </c>
      <c r="AG12" s="1">
        <f>[1]Results!AJ1373</f>
        <v>0.74265876128696395</v>
      </c>
      <c r="AH12" s="1">
        <f>[1]Results!AK1373</f>
        <v>0.59056468648513993</v>
      </c>
      <c r="AI12" s="1">
        <f>[1]Results!AL1373</f>
        <v>0.42481153093424034</v>
      </c>
      <c r="AJ12" s="1">
        <f>[1]Results!AM1373</f>
        <v>0.25069370305365157</v>
      </c>
      <c r="AK12" s="1">
        <f>[1]Results!AN1373</f>
        <v>7.5062221595582623E-2</v>
      </c>
      <c r="AL12" s="1">
        <f>[1]Results!AO1373</f>
        <v>-4.786977300551265E-2</v>
      </c>
    </row>
    <row r="13" spans="1:38" x14ac:dyDescent="0.35">
      <c r="A13" s="3" t="str">
        <f>[1]Results!E1374</f>
        <v>100*((I_2+CH_ccon_2-(I_0+CH_ccon_0))/GDP_0)</v>
      </c>
      <c r="B13" t="str">
        <f>[1]Results!C1374</f>
        <v>Investissement</v>
      </c>
      <c r="C13" s="1">
        <f>[1]Results!F1374</f>
        <v>0</v>
      </c>
      <c r="D13" s="1">
        <f>[1]Results!G1374</f>
        <v>-4.4746619046006658E-10</v>
      </c>
      <c r="E13" s="1">
        <f>[1]Results!H1374</f>
        <v>-4.8339876589268826E-9</v>
      </c>
      <c r="F13" s="1">
        <f>[1]Results!I1374</f>
        <v>-4.7438480359370624E-9</v>
      </c>
      <c r="G13" s="1">
        <f>[1]Results!J1374</f>
        <v>-4.2234950245552409E-9</v>
      </c>
      <c r="H13" s="1">
        <f>[1]Results!K1374</f>
        <v>-8.6588688566776971E-9</v>
      </c>
      <c r="I13" s="1">
        <f>[1]Results!L1374</f>
        <v>-3.8136435640030747E-2</v>
      </c>
      <c r="J13" s="1">
        <f>[1]Results!M1374</f>
        <v>-0.12983224213710326</v>
      </c>
      <c r="K13" s="1">
        <f>[1]Results!N1374</f>
        <v>-0.25858171110540173</v>
      </c>
      <c r="L13" s="1">
        <f>[1]Results!O1374</f>
        <v>-0.41119850761561233</v>
      </c>
      <c r="M13" s="1">
        <f>[1]Results!P1374</f>
        <v>-0.57616845010072304</v>
      </c>
      <c r="N13" s="1">
        <f>[1]Results!Q1374</f>
        <v>-0.7130532927319585</v>
      </c>
      <c r="O13" s="1">
        <f>[1]Results!R1374</f>
        <v>-0.80468159998023714</v>
      </c>
      <c r="P13" s="1">
        <f>[1]Results!S1374</f>
        <v>-0.85218314692870023</v>
      </c>
      <c r="Q13" s="1">
        <f>[1]Results!T1374</f>
        <v>-0.8655923933964178</v>
      </c>
      <c r="R13" s="1">
        <f>[1]Results!U1374</f>
        <v>-0.84635446904168343</v>
      </c>
      <c r="S13" s="1">
        <f>[1]Results!V1374</f>
        <v>-0.82651605791450455</v>
      </c>
      <c r="T13" s="1">
        <f>[1]Results!W1374</f>
        <v>-0.8014727498393357</v>
      </c>
      <c r="U13" s="1">
        <f>[1]Results!X1374</f>
        <v>-0.78063316946055605</v>
      </c>
      <c r="V13" s="1">
        <f>[1]Results!Y1374</f>
        <v>-0.76728217569278701</v>
      </c>
      <c r="W13" s="1">
        <f>[1]Results!Z1374</f>
        <v>-0.76202929552802956</v>
      </c>
      <c r="X13" s="1">
        <f>[1]Results!AA1374</f>
        <v>-0.75986470953357244</v>
      </c>
      <c r="Y13" s="1">
        <f>[1]Results!AB1374</f>
        <v>-0.76022663901521281</v>
      </c>
      <c r="Z13" s="1">
        <f>[1]Results!AC1374</f>
        <v>-0.7637831281374694</v>
      </c>
      <c r="AA13" s="1">
        <f>[1]Results!AD1374</f>
        <v>-0.77116782529021533</v>
      </c>
      <c r="AB13" s="1">
        <f>[1]Results!AE1374</f>
        <v>-0.75392622355279271</v>
      </c>
      <c r="AC13" s="1">
        <f>[1]Results!AF1374</f>
        <v>-0.75929872561579626</v>
      </c>
      <c r="AD13" s="1">
        <f>[1]Results!AG1374</f>
        <v>-0.74647693849841146</v>
      </c>
      <c r="AE13" s="1">
        <f>[1]Results!AH1374</f>
        <v>-0.72656276251124297</v>
      </c>
      <c r="AF13" s="1">
        <f>[1]Results!AI1374</f>
        <v>-0.70573765823369772</v>
      </c>
      <c r="AG13" s="1">
        <f>[1]Results!AJ1374</f>
        <v>-0.68665611119775072</v>
      </c>
      <c r="AH13" s="1">
        <f>[1]Results!AK1374</f>
        <v>-0.66955043956920324</v>
      </c>
      <c r="AI13" s="1">
        <f>[1]Results!AL1374</f>
        <v>-0.65549081188599501</v>
      </c>
      <c r="AJ13" s="1">
        <f>[1]Results!AM1374</f>
        <v>-0.64464152111272754</v>
      </c>
      <c r="AK13" s="1">
        <f>[1]Results!AN1374</f>
        <v>-0.63667761792313882</v>
      </c>
      <c r="AL13" s="1">
        <f>[1]Results!AO1374</f>
        <v>-0.54928412726053566</v>
      </c>
    </row>
    <row r="14" spans="1:38" x14ac:dyDescent="0.35">
      <c r="A14" s="3" t="str">
        <f>[1]Results!E1375</f>
        <v>100*((I_2-IA_spub_2-(I_0-IA_spub_0))/GDP_0)</v>
      </c>
      <c r="B14" t="str">
        <f>[1]Results!C1375</f>
        <v>Investissement entreprises</v>
      </c>
      <c r="C14" s="1">
        <f>[1]Results!F1375</f>
        <v>0</v>
      </c>
      <c r="D14" s="1">
        <f>[1]Results!G1375</f>
        <v>0</v>
      </c>
      <c r="E14" s="1">
        <f>[1]Results!H1375</f>
        <v>-3.9550794166010535E-9</v>
      </c>
      <c r="F14" s="1">
        <f>[1]Results!I1375</f>
        <v>-3.881331352247022E-9</v>
      </c>
      <c r="G14" s="1">
        <f>[1]Results!J1375</f>
        <v>-3.8011469971391033E-9</v>
      </c>
      <c r="H14" s="1">
        <f>[1]Results!K1375</f>
        <v>-8.2465433683043987E-9</v>
      </c>
      <c r="I14" s="1">
        <f>[1]Results!L1375</f>
        <v>-3.7051150184280436E-2</v>
      </c>
      <c r="J14" s="1">
        <f>[1]Results!M1375</f>
        <v>-0.12253205658386568</v>
      </c>
      <c r="K14" s="1">
        <f>[1]Results!N1375</f>
        <v>-0.24134830606206084</v>
      </c>
      <c r="L14" s="1">
        <f>[1]Results!O1375</f>
        <v>-0.38177079707314004</v>
      </c>
      <c r="M14" s="1">
        <f>[1]Results!P1375</f>
        <v>-0.5332724020968922</v>
      </c>
      <c r="N14" s="1">
        <f>[1]Results!Q1375</f>
        <v>-0.66142650255888824</v>
      </c>
      <c r="O14" s="1">
        <f>[1]Results!R1375</f>
        <v>-0.75093381073342091</v>
      </c>
      <c r="P14" s="1">
        <f>[1]Results!S1375</f>
        <v>-0.80158580675269153</v>
      </c>
      <c r="Q14" s="1">
        <f>[1]Results!T1375</f>
        <v>-0.82133697038825115</v>
      </c>
      <c r="R14" s="1">
        <f>[1]Results!U1375</f>
        <v>-0.81006925190052237</v>
      </c>
      <c r="S14" s="1">
        <f>[1]Results!V1375</f>
        <v>-0.79813003620522704</v>
      </c>
      <c r="T14" s="1">
        <f>[1]Results!W1375</f>
        <v>-0.77988811802480684</v>
      </c>
      <c r="U14" s="1">
        <f>[1]Results!X1375</f>
        <v>-0.7645253881732208</v>
      </c>
      <c r="V14" s="1">
        <f>[1]Results!Y1375</f>
        <v>-0.75562110377332381</v>
      </c>
      <c r="W14" s="1">
        <f>[1]Results!Z1375</f>
        <v>-0.75419276394200963</v>
      </c>
      <c r="X14" s="1">
        <f>[1]Results!AA1375</f>
        <v>-0.75591044438076616</v>
      </c>
      <c r="Y14" s="1">
        <f>[1]Results!AB1375</f>
        <v>-0.76030104472834159</v>
      </c>
      <c r="Z14" s="1">
        <f>[1]Results!AC1375</f>
        <v>-0.76789499665380001</v>
      </c>
      <c r="AA14" s="1">
        <f>[1]Results!AD1375</f>
        <v>-0.77916917326095381</v>
      </c>
      <c r="AB14" s="1">
        <f>[1]Results!AE1375</f>
        <v>-0.76591861773180969</v>
      </c>
      <c r="AC14" s="1">
        <f>[1]Results!AF1375</f>
        <v>-0.77509538554807933</v>
      </c>
      <c r="AD14" s="1">
        <f>[1]Results!AG1375</f>
        <v>-0.76568584234677795</v>
      </c>
      <c r="AE14" s="1">
        <f>[1]Results!AH1375</f>
        <v>-0.74852691578942365</v>
      </c>
      <c r="AF14" s="1">
        <f>[1]Results!AI1375</f>
        <v>-0.72968189184506993</v>
      </c>
      <c r="AG14" s="1">
        <f>[1]Results!AJ1375</f>
        <v>-0.71180810486911061</v>
      </c>
      <c r="AH14" s="1">
        <f>[1]Results!AK1375</f>
        <v>-0.69523990663264035</v>
      </c>
      <c r="AI14" s="1">
        <f>[1]Results!AL1375</f>
        <v>-0.68100390080680617</v>
      </c>
      <c r="AJ14" s="1">
        <f>[1]Results!AM1375</f>
        <v>-0.66931614205566548</v>
      </c>
      <c r="AK14" s="1">
        <f>[1]Results!AN1375</f>
        <v>-0.65997553335043779</v>
      </c>
      <c r="AL14" s="1">
        <f>[1]Results!AO1375</f>
        <v>-0.5718385066086179</v>
      </c>
    </row>
    <row r="15" spans="1:38" x14ac:dyDescent="0.35">
      <c r="A15" s="3" t="str">
        <f>[1]Results!E1376</f>
        <v>100*((CH_ccon_2-CH_ccon_0)/GDP_0)</v>
      </c>
      <c r="B15" t="str">
        <f>[1]Results!C1376</f>
        <v>Investissement ménages</v>
      </c>
      <c r="C15" s="1">
        <f>[1]Results!F1376</f>
        <v>0</v>
      </c>
      <c r="D15" s="1">
        <f>[1]Results!G1376</f>
        <v>-4.4746798112704729E-10</v>
      </c>
      <c r="E15" s="1">
        <f>[1]Results!H1376</f>
        <v>-4.3945348167414977E-10</v>
      </c>
      <c r="F15" s="1">
        <f>[1]Results!I1376</f>
        <v>-4.3125881251815827E-10</v>
      </c>
      <c r="G15" s="1">
        <f>[1]Results!J1376</f>
        <v>0</v>
      </c>
      <c r="H15" s="1">
        <f>[1]Results!K1376</f>
        <v>-4.1232713841447136E-10</v>
      </c>
      <c r="I15" s="1">
        <f>[1]Results!L1376</f>
        <v>-6.4163876174886661E-4</v>
      </c>
      <c r="J15" s="1">
        <f>[1]Results!M1376</f>
        <v>-3.8673861371361791E-3</v>
      </c>
      <c r="K15" s="1">
        <f>[1]Results!N1376</f>
        <v>-9.1617410594518767E-3</v>
      </c>
      <c r="L15" s="1">
        <f>[1]Results!O1376</f>
        <v>-1.5541522162174906E-2</v>
      </c>
      <c r="M15" s="1">
        <f>[1]Results!P1376</f>
        <v>-2.2200668497228234E-2</v>
      </c>
      <c r="N15" s="1">
        <f>[1]Results!Q1376</f>
        <v>-2.6563488862963915E-2</v>
      </c>
      <c r="O15" s="1">
        <f>[1]Results!R1376</f>
        <v>-2.686421145605724E-2</v>
      </c>
      <c r="P15" s="1">
        <f>[1]Results!S1376</f>
        <v>-2.388617343537992E-2</v>
      </c>
      <c r="Q15" s="1">
        <f>[1]Results!T1376</f>
        <v>-1.903863478344095E-2</v>
      </c>
      <c r="R15" s="1">
        <f>[1]Results!U1376</f>
        <v>-1.3410028893049033E-2</v>
      </c>
      <c r="S15" s="1">
        <f>[1]Results!V1376</f>
        <v>-7.982739574320703E-3</v>
      </c>
      <c r="T15" s="1">
        <f>[1]Results!W1376</f>
        <v>-3.3984272562924294E-3</v>
      </c>
      <c r="U15" s="1">
        <f>[1]Results!X1376</f>
        <v>2.152782998293465E-4</v>
      </c>
      <c r="V15" s="1">
        <f>[1]Results!Y1376</f>
        <v>3.0184517267039532E-3</v>
      </c>
      <c r="W15" s="1">
        <f>[1]Results!Z1376</f>
        <v>5.2752881014348878E-3</v>
      </c>
      <c r="X15" s="1">
        <f>[1]Results!AA1376</f>
        <v>7.2498104280059586E-3</v>
      </c>
      <c r="Y15" s="1">
        <f>[1]Results!AB1376</f>
        <v>9.0417219042897394E-3</v>
      </c>
      <c r="Z15" s="1">
        <f>[1]Results!AC1376</f>
        <v>1.0538479918486455E-2</v>
      </c>
      <c r="AA15" s="1">
        <f>[1]Results!AD1376</f>
        <v>1.1608487444297873E-2</v>
      </c>
      <c r="AB15" s="1">
        <f>[1]Results!AE1376</f>
        <v>1.2396523381472827E-2</v>
      </c>
      <c r="AC15" s="1">
        <f>[1]Results!AF1376</f>
        <v>1.2692242694908786E-2</v>
      </c>
      <c r="AD15" s="1">
        <f>[1]Results!AG1376</f>
        <v>1.2505927209915788E-2</v>
      </c>
      <c r="AE15" s="1">
        <f>[1]Results!AH1376</f>
        <v>1.1774761068427174E-2</v>
      </c>
      <c r="AF15" s="1">
        <f>[1]Results!AI1376</f>
        <v>1.0490074862319938E-2</v>
      </c>
      <c r="AG15" s="1">
        <f>[1]Results!AJ1376</f>
        <v>8.7039725793888866E-3</v>
      </c>
      <c r="AH15" s="1">
        <f>[1]Results!AK1376</f>
        <v>6.4992528730198991E-3</v>
      </c>
      <c r="AI15" s="1">
        <f>[1]Results!AL1376</f>
        <v>3.9406750006386587E-3</v>
      </c>
      <c r="AJ15" s="1">
        <f>[1]Results!AM1376</f>
        <v>1.1094586706672238E-3</v>
      </c>
      <c r="AK15" s="1">
        <f>[1]Results!AN1376</f>
        <v>-1.8820870795171068E-3</v>
      </c>
      <c r="AL15" s="1">
        <f>[1]Results!AO1376</f>
        <v>-4.2831732281459903E-3</v>
      </c>
    </row>
    <row r="16" spans="1:38" x14ac:dyDescent="0.35">
      <c r="A16" s="3" t="str">
        <f>[1]Results!E1377</f>
        <v>100*((IA_spub_2-IA_spub_0)/GDP_0)</v>
      </c>
      <c r="B16" t="str">
        <f>[1]Results!C1377</f>
        <v>Investissement public</v>
      </c>
      <c r="C16" s="1">
        <f>[1]Results!F1377</f>
        <v>0</v>
      </c>
      <c r="D16" s="1">
        <f>[1]Results!G1377</f>
        <v>0</v>
      </c>
      <c r="E16" s="1">
        <f>[1]Results!H1377</f>
        <v>-4.3945316192976748E-10</v>
      </c>
      <c r="F16" s="1">
        <f>[1]Results!I1377</f>
        <v>-4.3125865562711232E-10</v>
      </c>
      <c r="G16" s="1">
        <f>[1]Results!J1377</f>
        <v>-4.2234987121537062E-10</v>
      </c>
      <c r="H16" s="1">
        <f>[1]Results!K1377</f>
        <v>0</v>
      </c>
      <c r="I16" s="1">
        <f>[1]Results!L1377</f>
        <v>-4.4364669399910158E-4</v>
      </c>
      <c r="J16" s="1">
        <f>[1]Results!M1377</f>
        <v>-3.4327994161044068E-3</v>
      </c>
      <c r="K16" s="1">
        <f>[1]Results!N1377</f>
        <v>-8.0716639838897316E-3</v>
      </c>
      <c r="L16" s="1">
        <f>[1]Results!O1377</f>
        <v>-1.3886188380300705E-2</v>
      </c>
      <c r="M16" s="1">
        <f>[1]Results!P1377</f>
        <v>-2.0695379506604758E-2</v>
      </c>
      <c r="N16" s="1">
        <f>[1]Results!Q1377</f>
        <v>-2.5063301310103359E-2</v>
      </c>
      <c r="O16" s="1">
        <f>[1]Results!R1377</f>
        <v>-2.6883577790761944E-2</v>
      </c>
      <c r="P16" s="1">
        <f>[1]Results!S1377</f>
        <v>-2.6711166740633802E-2</v>
      </c>
      <c r="Q16" s="1">
        <f>[1]Results!T1377</f>
        <v>-2.5216788224725027E-2</v>
      </c>
      <c r="R16" s="1">
        <f>[1]Results!U1377</f>
        <v>-2.2875188248111255E-2</v>
      </c>
      <c r="S16" s="1">
        <f>[1]Results!V1377</f>
        <v>-2.0403282134957703E-2</v>
      </c>
      <c r="T16" s="1">
        <f>[1]Results!W1377</f>
        <v>-1.818620455823931E-2</v>
      </c>
      <c r="U16" s="1">
        <f>[1]Results!X1377</f>
        <v>-1.6323059587163798E-2</v>
      </c>
      <c r="V16" s="1">
        <f>[1]Results!Y1377</f>
        <v>-1.4679523646165968E-2</v>
      </c>
      <c r="W16" s="1">
        <f>[1]Results!Z1377</f>
        <v>-1.3111819687453272E-2</v>
      </c>
      <c r="X16" s="1">
        <f>[1]Results!AA1377</f>
        <v>-1.1204075580809006E-2</v>
      </c>
      <c r="Y16" s="1">
        <f>[1]Results!AB1377</f>
        <v>-8.9673161911608072E-3</v>
      </c>
      <c r="Z16" s="1">
        <f>[1]Results!AC1377</f>
        <v>-6.4266114021536728E-3</v>
      </c>
      <c r="AA16" s="1">
        <f>[1]Results!AD1377</f>
        <v>-3.6071394735595393E-3</v>
      </c>
      <c r="AB16" s="1">
        <f>[1]Results!AE1377</f>
        <v>-4.0412920245606811E-4</v>
      </c>
      <c r="AC16" s="1">
        <f>[1]Results!AF1377</f>
        <v>3.1044172373697228E-3</v>
      </c>
      <c r="AD16" s="1">
        <f>[1]Results!AG1377</f>
        <v>6.7029766384499546E-3</v>
      </c>
      <c r="AE16" s="1">
        <f>[1]Results!AH1377</f>
        <v>1.0189392209753201E-2</v>
      </c>
      <c r="AF16" s="1">
        <f>[1]Results!AI1377</f>
        <v>1.3454158749053931E-2</v>
      </c>
      <c r="AG16" s="1">
        <f>[1]Results!AJ1377</f>
        <v>1.6448021091972277E-2</v>
      </c>
      <c r="AH16" s="1">
        <f>[1]Results!AK1377</f>
        <v>1.9190214190416003E-2</v>
      </c>
      <c r="AI16" s="1">
        <f>[1]Results!AL1377</f>
        <v>2.1572413920174633E-2</v>
      </c>
      <c r="AJ16" s="1">
        <f>[1]Results!AM1377</f>
        <v>2.3565162272265589E-2</v>
      </c>
      <c r="AK16" s="1">
        <f>[1]Results!AN1377</f>
        <v>2.5180002506818636E-2</v>
      </c>
      <c r="AL16" s="1">
        <f>[1]Results!AO1377</f>
        <v>2.6837552576229027E-2</v>
      </c>
    </row>
    <row r="17" spans="1:38" x14ac:dyDescent="0.35">
      <c r="A17" s="3" t="str">
        <f>[1]Results!E1378</f>
        <v>100*(CH_2/CH_0-1)</v>
      </c>
      <c r="B17" t="str">
        <f>[1]Results!C1378</f>
        <v>Consommation des ménages</v>
      </c>
      <c r="C17" s="1">
        <f>[1]Results!F1378</f>
        <v>0</v>
      </c>
      <c r="D17" s="1">
        <f>[1]Results!G1378</f>
        <v>-8.1983442257183015E-8</v>
      </c>
      <c r="E17" s="1">
        <f>[1]Results!H1378</f>
        <v>0</v>
      </c>
      <c r="F17" s="1">
        <f>[1]Results!I1378</f>
        <v>0</v>
      </c>
      <c r="G17" s="1">
        <f>[1]Results!J1378</f>
        <v>0</v>
      </c>
      <c r="H17" s="1">
        <f>[1]Results!K1378</f>
        <v>0</v>
      </c>
      <c r="I17" s="1">
        <f>[1]Results!L1378</f>
        <v>-9.214809505055932E-2</v>
      </c>
      <c r="J17" s="1">
        <f>[1]Results!M1378</f>
        <v>-0.43544104517952986</v>
      </c>
      <c r="K17" s="1">
        <f>[1]Results!N1378</f>
        <v>-0.92214725161881006</v>
      </c>
      <c r="L17" s="1">
        <f>[1]Results!O1378</f>
        <v>-1.4470562377236429</v>
      </c>
      <c r="M17" s="1">
        <f>[1]Results!P1378</f>
        <v>-1.9242196273041356</v>
      </c>
      <c r="N17" s="1">
        <f>[1]Results!Q1378</f>
        <v>-2.1597646914921276</v>
      </c>
      <c r="O17" s="1">
        <f>[1]Results!R1378</f>
        <v>-2.0726449665739333</v>
      </c>
      <c r="P17" s="1">
        <f>[1]Results!S1378</f>
        <v>-1.7470314037211554</v>
      </c>
      <c r="Q17" s="1">
        <f>[1]Results!T1378</f>
        <v>-1.2810800686368196</v>
      </c>
      <c r="R17" s="1">
        <f>[1]Results!U1378</f>
        <v>-0.73634234545953969</v>
      </c>
      <c r="S17" s="1">
        <f>[1]Results!V1378</f>
        <v>-0.18301832012389552</v>
      </c>
      <c r="T17" s="1">
        <f>[1]Results!W1378</f>
        <v>0.33126855156950796</v>
      </c>
      <c r="U17" s="1">
        <f>[1]Results!X1378</f>
        <v>0.79126396681117317</v>
      </c>
      <c r="V17" s="1">
        <f>[1]Results!Y1378</f>
        <v>1.1953161158154924</v>
      </c>
      <c r="W17" s="1">
        <f>[1]Results!Z1378</f>
        <v>1.54448027454821</v>
      </c>
      <c r="X17" s="1">
        <f>[1]Results!AA1378</f>
        <v>1.840323849677783</v>
      </c>
      <c r="Y17" s="1">
        <f>[1]Results!AB1378</f>
        <v>2.0708725588862498</v>
      </c>
      <c r="Z17" s="1">
        <f>[1]Results!AC1378</f>
        <v>2.2218484931780802</v>
      </c>
      <c r="AA17" s="1">
        <f>[1]Results!AD1378</f>
        <v>2.2849138050609952</v>
      </c>
      <c r="AB17" s="1">
        <f>[1]Results!AE1378</f>
        <v>2.2915385081440753</v>
      </c>
      <c r="AC17" s="1">
        <f>[1]Results!AF1378</f>
        <v>2.2235266221616756</v>
      </c>
      <c r="AD17" s="1">
        <f>[1]Results!AG1378</f>
        <v>2.0977994963030655</v>
      </c>
      <c r="AE17" s="1">
        <f>[1]Results!AH1378</f>
        <v>1.9223890914657593</v>
      </c>
      <c r="AF17" s="1">
        <f>[1]Results!AI1378</f>
        <v>1.7029202532422572</v>
      </c>
      <c r="AG17" s="1">
        <f>[1]Results!AJ1378</f>
        <v>1.4452233047505425</v>
      </c>
      <c r="AH17" s="1">
        <f>[1]Results!AK1378</f>
        <v>1.1529286229405411</v>
      </c>
      <c r="AI17" s="1">
        <f>[1]Results!AL1378</f>
        <v>0.83066332318302294</v>
      </c>
      <c r="AJ17" s="1">
        <f>[1]Results!AM1378</f>
        <v>0.48918267411144356</v>
      </c>
      <c r="AK17" s="1">
        <f>[1]Results!AN1378</f>
        <v>0.14248608858535849</v>
      </c>
      <c r="AL17" s="1">
        <f>[1]Results!AO1378</f>
        <v>-0.10172708371343209</v>
      </c>
    </row>
    <row r="18" spans="1:38" x14ac:dyDescent="0.35">
      <c r="A18" s="3" t="str">
        <f>[1]Results!E1379</f>
        <v>100*(CH_cveh_2/CH_cveh_0-1)</v>
      </c>
      <c r="B18" t="str">
        <f>[1]Results!C1379</f>
        <v>Consommation des ménages automobile</v>
      </c>
      <c r="C18" s="1">
        <f>[1]Results!F1379</f>
        <v>0</v>
      </c>
      <c r="D18" s="1">
        <f>[1]Results!G1379</f>
        <v>0</v>
      </c>
      <c r="E18" s="1">
        <f>[1]Results!H1379</f>
        <v>1.4105827617072464E-8</v>
      </c>
      <c r="F18" s="1">
        <f>[1]Results!I1379</f>
        <v>4.0446934690407943E-8</v>
      </c>
      <c r="G18" s="1">
        <f>[1]Results!J1379</f>
        <v>5.1360427022473232E-8</v>
      </c>
      <c r="H18" s="1">
        <f>[1]Results!K1379</f>
        <v>6.0175264771089587E-8</v>
      </c>
      <c r="I18" s="1">
        <f>[1]Results!L1379</f>
        <v>-0.17753584483185536</v>
      </c>
      <c r="J18" s="1">
        <f>[1]Results!M1379</f>
        <v>-1.3742608258448197</v>
      </c>
      <c r="K18" s="1">
        <f>[1]Results!N1379</f>
        <v>-2.907812572988866</v>
      </c>
      <c r="L18" s="1">
        <f>[1]Results!O1379</f>
        <v>-4.4988527508075808</v>
      </c>
      <c r="M18" s="1">
        <f>[1]Results!P1379</f>
        <v>-6.2400829502786692</v>
      </c>
      <c r="N18" s="1">
        <f>[1]Results!Q1379</f>
        <v>-5.5116515501321679</v>
      </c>
      <c r="O18" s="1">
        <f>[1]Results!R1379</f>
        <v>-3.7138839710444627</v>
      </c>
      <c r="P18" s="1">
        <f>[1]Results!S1379</f>
        <v>-1.8834671959128801</v>
      </c>
      <c r="Q18" s="1">
        <f>[1]Results!T1379</f>
        <v>-0.41739750226400529</v>
      </c>
      <c r="R18" s="1">
        <f>[1]Results!U1379</f>
        <v>0.64903802659417309</v>
      </c>
      <c r="S18" s="1">
        <f>[1]Results!V1379</f>
        <v>1.1143880229528058</v>
      </c>
      <c r="T18" s="1">
        <f>[1]Results!W1379</f>
        <v>1.0855768132657539</v>
      </c>
      <c r="U18" s="1">
        <f>[1]Results!X1379</f>
        <v>0.74614716237966228</v>
      </c>
      <c r="V18" s="1">
        <f>[1]Results!Y1379</f>
        <v>0.31353188448488556</v>
      </c>
      <c r="W18" s="1">
        <f>[1]Results!Z1379</f>
        <v>-0.15598115612884822</v>
      </c>
      <c r="X18" s="1">
        <f>[1]Results!AA1379</f>
        <v>-0.34116014394294236</v>
      </c>
      <c r="Y18" s="1">
        <f>[1]Results!AB1379</f>
        <v>-0.47356989178916065</v>
      </c>
      <c r="Z18" s="1">
        <f>[1]Results!AC1379</f>
        <v>-0.66119195196407965</v>
      </c>
      <c r="AA18" s="1">
        <f>[1]Results!AD1379</f>
        <v>-0.92188926634411139</v>
      </c>
      <c r="AB18" s="1">
        <f>[1]Results!AE1379</f>
        <v>-1.1904794826026244</v>
      </c>
      <c r="AC18" s="1">
        <f>[1]Results!AF1379</f>
        <v>-1.3258017307359871</v>
      </c>
      <c r="AD18" s="1">
        <f>[1]Results!AG1379</f>
        <v>-1.4234097973596649</v>
      </c>
      <c r="AE18" s="1">
        <f>[1]Results!AH1379</f>
        <v>-1.5250579677657861</v>
      </c>
      <c r="AF18" s="1">
        <f>[1]Results!AI1379</f>
        <v>-1.63161218174811</v>
      </c>
      <c r="AG18" s="1">
        <f>[1]Results!AJ1379</f>
        <v>-1.7381360778482846</v>
      </c>
      <c r="AH18" s="1">
        <f>[1]Results!AK1379</f>
        <v>-1.7822018018735175</v>
      </c>
      <c r="AI18" s="1">
        <f>[1]Results!AL1379</f>
        <v>-1.8349436219730286</v>
      </c>
      <c r="AJ18" s="1">
        <f>[1]Results!AM1379</f>
        <v>-1.9130617723937204</v>
      </c>
      <c r="AK18" s="1">
        <f>[1]Results!AN1379</f>
        <v>-2.0074312499801517</v>
      </c>
      <c r="AL18" s="1">
        <f>[1]Results!AO1379</f>
        <v>-1.941765406427054</v>
      </c>
    </row>
    <row r="19" spans="1:38" x14ac:dyDescent="0.35">
      <c r="A19" s="3" t="str">
        <f>[1]Results!E1380</f>
        <v>100*(G_2/G_0-1)</v>
      </c>
      <c r="B19" t="str">
        <f>[1]Results!C1380</f>
        <v>Dépenses publiques</v>
      </c>
      <c r="C19" s="1">
        <f>[1]Results!F1380</f>
        <v>0</v>
      </c>
      <c r="D19" s="1">
        <f>[1]Results!G1380</f>
        <v>0</v>
      </c>
      <c r="E19" s="1">
        <f>[1]Results!H1380</f>
        <v>0</v>
      </c>
      <c r="F19" s="1">
        <f>[1]Results!I1380</f>
        <v>0</v>
      </c>
      <c r="G19" s="1">
        <f>[1]Results!J1380</f>
        <v>0</v>
      </c>
      <c r="H19" s="1">
        <f>[1]Results!K1380</f>
        <v>0</v>
      </c>
      <c r="I19" s="1">
        <f>[1]Results!L1380</f>
        <v>0</v>
      </c>
      <c r="J19" s="1">
        <f>[1]Results!M1380</f>
        <v>0</v>
      </c>
      <c r="K19" s="1">
        <f>[1]Results!N1380</f>
        <v>0</v>
      </c>
      <c r="L19" s="1">
        <f>[1]Results!O1380</f>
        <v>0</v>
      </c>
      <c r="M19" s="1">
        <f>[1]Results!P1380</f>
        <v>0</v>
      </c>
      <c r="N19" s="1">
        <f>[1]Results!Q1380</f>
        <v>0</v>
      </c>
      <c r="O19" s="1">
        <f>[1]Results!R1380</f>
        <v>0</v>
      </c>
      <c r="P19" s="1">
        <f>[1]Results!S1380</f>
        <v>0</v>
      </c>
      <c r="Q19" s="1">
        <f>[1]Results!T1380</f>
        <v>0</v>
      </c>
      <c r="R19" s="1">
        <f>[1]Results!U1380</f>
        <v>0</v>
      </c>
      <c r="S19" s="1">
        <f>[1]Results!V1380</f>
        <v>0</v>
      </c>
      <c r="T19" s="1">
        <f>[1]Results!W1380</f>
        <v>0</v>
      </c>
      <c r="U19" s="1">
        <f>[1]Results!X1380</f>
        <v>0</v>
      </c>
      <c r="V19" s="1">
        <f>[1]Results!Y1380</f>
        <v>0</v>
      </c>
      <c r="W19" s="1">
        <f>[1]Results!Z1380</f>
        <v>0</v>
      </c>
      <c r="X19" s="1">
        <f>[1]Results!AA1380</f>
        <v>0</v>
      </c>
      <c r="Y19" s="1">
        <f>[1]Results!AB1380</f>
        <v>0</v>
      </c>
      <c r="Z19" s="1">
        <f>[1]Results!AC1380</f>
        <v>0</v>
      </c>
      <c r="AA19" s="1">
        <f>[1]Results!AD1380</f>
        <v>0</v>
      </c>
      <c r="AB19" s="1">
        <f>[1]Results!AE1380</f>
        <v>0</v>
      </c>
      <c r="AC19" s="1">
        <f>[1]Results!AF1380</f>
        <v>0</v>
      </c>
      <c r="AD19" s="1">
        <f>[1]Results!AG1380</f>
        <v>0</v>
      </c>
      <c r="AE19" s="1">
        <f>[1]Results!AH1380</f>
        <v>0</v>
      </c>
      <c r="AF19" s="1">
        <f>[1]Results!AI1380</f>
        <v>0</v>
      </c>
      <c r="AG19" s="1">
        <f>[1]Results!AJ1380</f>
        <v>0</v>
      </c>
      <c r="AH19" s="1">
        <f>[1]Results!AK1380</f>
        <v>0</v>
      </c>
      <c r="AI19" s="1">
        <f>[1]Results!AL1380</f>
        <v>0</v>
      </c>
      <c r="AJ19" s="1">
        <f>[1]Results!AM1380</f>
        <v>0</v>
      </c>
      <c r="AK19" s="1">
        <f>[1]Results!AN1380</f>
        <v>0</v>
      </c>
      <c r="AL19" s="1">
        <f>[1]Results!AO1380</f>
        <v>0</v>
      </c>
    </row>
    <row r="20" spans="1:38" x14ac:dyDescent="0.35">
      <c r="A20" s="3" t="str">
        <f>[1]Results!E1381</f>
        <v>100*(I_2/I_0-1)</v>
      </c>
      <c r="B20" t="str">
        <f>[1]Results!C1381</f>
        <v>Investissement</v>
      </c>
      <c r="C20" s="1">
        <f>[1]Results!F1381</f>
        <v>0</v>
      </c>
      <c r="D20" s="1">
        <f>[1]Results!G1381</f>
        <v>0</v>
      </c>
      <c r="E20" s="1">
        <f>[1]Results!H1381</f>
        <v>-2.0431634162321188E-8</v>
      </c>
      <c r="F20" s="1">
        <f>[1]Results!I1381</f>
        <v>-2.0023849245376368E-8</v>
      </c>
      <c r="G20" s="1">
        <f>[1]Results!J1381</f>
        <v>-1.957696227350425E-8</v>
      </c>
      <c r="H20" s="1">
        <f>[1]Results!K1381</f>
        <v>-3.8132641488886065E-8</v>
      </c>
      <c r="I20" s="1">
        <f>[1]Results!L1381</f>
        <v>-0.17266504275316175</v>
      </c>
      <c r="J20" s="1">
        <f>[1]Results!M1381</f>
        <v>-0.57710408121810497</v>
      </c>
      <c r="K20" s="1">
        <f>[1]Results!N1381</f>
        <v>-1.1360041648193819</v>
      </c>
      <c r="L20" s="1">
        <f>[1]Results!O1381</f>
        <v>-1.7898278652370481</v>
      </c>
      <c r="M20" s="1">
        <f>[1]Results!P1381</f>
        <v>-2.4867924435689193</v>
      </c>
      <c r="N20" s="1">
        <f>[1]Results!Q1381</f>
        <v>-3.0566064385774583</v>
      </c>
      <c r="O20" s="1">
        <f>[1]Results!R1381</f>
        <v>-3.4339333875485156</v>
      </c>
      <c r="P20" s="1">
        <f>[1]Results!S1381</f>
        <v>-3.6247975696265256</v>
      </c>
      <c r="Q20" s="1">
        <f>[1]Results!T1381</f>
        <v>-3.6713801039891636</v>
      </c>
      <c r="R20" s="1">
        <f>[1]Results!U1381</f>
        <v>-3.5792081880021032</v>
      </c>
      <c r="S20" s="1">
        <f>[1]Results!V1381</f>
        <v>-3.4844124500269635</v>
      </c>
      <c r="T20" s="1">
        <f>[1]Results!W1381</f>
        <v>-3.3651926909338936</v>
      </c>
      <c r="U20" s="1">
        <f>[1]Results!X1381</f>
        <v>-3.2612614827180475</v>
      </c>
      <c r="V20" s="1">
        <f>[1]Results!Y1381</f>
        <v>-3.186641725902406</v>
      </c>
      <c r="W20" s="1">
        <f>[1]Results!Z1381</f>
        <v>-3.1440901359320539</v>
      </c>
      <c r="X20" s="1">
        <f>[1]Results!AA1381</f>
        <v>-3.1139952508325464</v>
      </c>
      <c r="Y20" s="1">
        <f>[1]Results!AB1381</f>
        <v>-3.094139379149774</v>
      </c>
      <c r="Z20" s="1">
        <f>[1]Results!AC1381</f>
        <v>-3.086504952831659</v>
      </c>
      <c r="AA20" s="1">
        <f>[1]Results!AD1381</f>
        <v>-3.0927971356540129</v>
      </c>
      <c r="AB20" s="1">
        <f>[1]Results!AE1381</f>
        <v>-3.0013352799719839</v>
      </c>
      <c r="AC20" s="1">
        <f>[1]Results!AF1381</f>
        <v>-3.0015794469479329</v>
      </c>
      <c r="AD20" s="1">
        <f>[1]Results!AG1381</f>
        <v>-2.9333068627113268</v>
      </c>
      <c r="AE20" s="1">
        <f>[1]Results!AH1381</f>
        <v>-2.8392013448472087</v>
      </c>
      <c r="AF20" s="1">
        <f>[1]Results!AI1381</f>
        <v>-2.7424342301980875</v>
      </c>
      <c r="AG20" s="1">
        <f>[1]Results!AJ1381</f>
        <v>-2.6527603630751129</v>
      </c>
      <c r="AH20" s="1">
        <f>[1]Results!AK1381</f>
        <v>-2.5708929893450527</v>
      </c>
      <c r="AI20" s="1">
        <f>[1]Results!AL1381</f>
        <v>-2.5007707334010254</v>
      </c>
      <c r="AJ20" s="1">
        <f>[1]Results!AM1381</f>
        <v>-2.443001012590118</v>
      </c>
      <c r="AK20" s="1">
        <f>[1]Results!AN1381</f>
        <v>-2.3965135574409269</v>
      </c>
      <c r="AL20" s="1">
        <f>[1]Results!AO1381</f>
        <v>-2.0537346239674514</v>
      </c>
    </row>
    <row r="21" spans="1:38" x14ac:dyDescent="0.35">
      <c r="A21" s="3" t="str">
        <f>[1]Results!E1382</f>
        <v>100*((I_2-IA_spub_2)/(I_0-IA_spub_0)-1)</v>
      </c>
      <c r="B21" t="str">
        <f>[1]Results!C1382</f>
        <v>Investissement entreprises</v>
      </c>
      <c r="C21" s="1">
        <f>[1]Results!F1382</f>
        <v>0</v>
      </c>
      <c r="D21" s="1">
        <f>[1]Results!G1382</f>
        <v>0</v>
      </c>
      <c r="E21" s="1">
        <f>[1]Results!H1382</f>
        <v>-2.0046309057164535E-8</v>
      </c>
      <c r="F21" s="1">
        <f>[1]Results!I1382</f>
        <v>-1.9632573344807724E-8</v>
      </c>
      <c r="G21" s="1">
        <f>[1]Results!J1382</f>
        <v>-1.9179402510616228E-8</v>
      </c>
      <c r="H21" s="1">
        <f>[1]Results!K1382</f>
        <v>-4.1471837075590656E-8</v>
      </c>
      <c r="I21" s="1">
        <f>[1]Results!L1382</f>
        <v>-0.1853687019206407</v>
      </c>
      <c r="J21" s="1">
        <f>[1]Results!M1382</f>
        <v>-0.6092008902242485</v>
      </c>
      <c r="K21" s="1">
        <f>[1]Results!N1382</f>
        <v>-1.1914524391295145</v>
      </c>
      <c r="L21" s="1">
        <f>[1]Results!O1382</f>
        <v>-1.8696350885809787</v>
      </c>
      <c r="M21" s="1">
        <f>[1]Results!P1382</f>
        <v>-2.5886661941257105</v>
      </c>
      <c r="N21" s="1">
        <f>[1]Results!Q1382</f>
        <v>-3.1813899611457752</v>
      </c>
      <c r="O21" s="1">
        <f>[1]Results!R1382</f>
        <v>-3.5781062223611326</v>
      </c>
      <c r="P21" s="1">
        <f>[1]Results!S1382</f>
        <v>-3.782999490178629</v>
      </c>
      <c r="Q21" s="1">
        <f>[1]Results!T1382</f>
        <v>-3.8385825293660192</v>
      </c>
      <c r="R21" s="1">
        <f>[1]Results!U1382</f>
        <v>-3.748684380437417</v>
      </c>
      <c r="S21" s="1">
        <f>[1]Results!V1382</f>
        <v>-3.6566138338546272</v>
      </c>
      <c r="T21" s="1">
        <f>[1]Results!W1382</f>
        <v>-3.5370835214984742</v>
      </c>
      <c r="U21" s="1">
        <f>[1]Results!X1382</f>
        <v>-3.4323546323780096</v>
      </c>
      <c r="V21" s="1">
        <f>[1]Results!Y1382</f>
        <v>-3.3580597060130946</v>
      </c>
      <c r="W21" s="1">
        <f>[1]Results!Z1382</f>
        <v>-3.3177397105411899</v>
      </c>
      <c r="X21" s="1">
        <f>[1]Results!AA1382</f>
        <v>-3.2920706569034341</v>
      </c>
      <c r="Y21" s="1">
        <f>[1]Results!AB1382</f>
        <v>-3.2785409653827813</v>
      </c>
      <c r="Z21" s="1">
        <f>[1]Results!AC1382</f>
        <v>-3.2790941577815369</v>
      </c>
      <c r="AA21" s="1">
        <f>[1]Results!AD1382</f>
        <v>-3.2953804742642756</v>
      </c>
      <c r="AB21" s="1">
        <f>[1]Results!AE1382</f>
        <v>-3.2083466741269162</v>
      </c>
      <c r="AC21" s="1">
        <f>[1]Results!AF1382</f>
        <v>-3.2206150358164209</v>
      </c>
      <c r="AD21" s="1">
        <f>[1]Results!AG1382</f>
        <v>-3.1599909908653578</v>
      </c>
      <c r="AE21" s="1">
        <f>[1]Results!AH1382</f>
        <v>-3.0713552366333885</v>
      </c>
      <c r="AF21" s="1">
        <f>[1]Results!AI1382</f>
        <v>-2.979046785341033</v>
      </c>
      <c r="AG21" s="1">
        <f>[1]Results!AJ1382</f>
        <v>-2.8932994113063271</v>
      </c>
      <c r="AH21" s="1">
        <f>[1]Results!AK1382</f>
        <v>-2.8149733007231115</v>
      </c>
      <c r="AI21" s="1">
        <f>[1]Results!AL1382</f>
        <v>-2.747839539017094</v>
      </c>
      <c r="AJ21" s="1">
        <f>[1]Results!AM1382</f>
        <v>-2.6924338116076529</v>
      </c>
      <c r="AK21" s="1">
        <f>[1]Results!AN1382</f>
        <v>-2.6476680776480133</v>
      </c>
      <c r="AL21" s="1">
        <f>[1]Results!AO1382</f>
        <v>-2.2885687980737424</v>
      </c>
    </row>
    <row r="22" spans="1:38" x14ac:dyDescent="0.35">
      <c r="A22" s="3" t="str">
        <f>[1]Results!E1383</f>
        <v>100*(X_2/X_0-1)</v>
      </c>
      <c r="B22" t="str">
        <f>[1]Results!C1383</f>
        <v>Exportations</v>
      </c>
      <c r="C22" s="1">
        <f>[1]Results!F1383</f>
        <v>0</v>
      </c>
      <c r="D22" s="1">
        <f>[1]Results!G1383</f>
        <v>-1.527268311818375E-8</v>
      </c>
      <c r="E22" s="1">
        <f>[1]Results!H1383</f>
        <v>-1.4744838683355965E-8</v>
      </c>
      <c r="F22" s="1">
        <f>[1]Results!I1383</f>
        <v>-2.8520785733121556E-8</v>
      </c>
      <c r="G22" s="1">
        <f>[1]Results!J1383</f>
        <v>-2.7596969154330964E-8</v>
      </c>
      <c r="H22" s="1">
        <f>[1]Results!K1383</f>
        <v>-5.3351401074763771E-8</v>
      </c>
      <c r="I22" s="1">
        <f>[1]Results!L1383</f>
        <v>-0.97304551863669486</v>
      </c>
      <c r="J22" s="1">
        <f>[1]Results!M1383</f>
        <v>-1.9837702380361533</v>
      </c>
      <c r="K22" s="1">
        <f>[1]Results!N1383</f>
        <v>-2.9214044461048694</v>
      </c>
      <c r="L22" s="1">
        <f>[1]Results!O1383</f>
        <v>-3.7177359881232053</v>
      </c>
      <c r="M22" s="1">
        <f>[1]Results!P1383</f>
        <v>-4.2848530007638219</v>
      </c>
      <c r="N22" s="1">
        <f>[1]Results!Q1383</f>
        <v>-4.6713593222361567</v>
      </c>
      <c r="O22" s="1">
        <f>[1]Results!R1383</f>
        <v>-4.9157585101406891</v>
      </c>
      <c r="P22" s="1">
        <f>[1]Results!S1383</f>
        <v>-5.0654943387726021</v>
      </c>
      <c r="Q22" s="1">
        <f>[1]Results!T1383</f>
        <v>-5.1752172926476714</v>
      </c>
      <c r="R22" s="1">
        <f>[1]Results!U1383</f>
        <v>-5.1783514846423522</v>
      </c>
      <c r="S22" s="1">
        <f>[1]Results!V1383</f>
        <v>-5.2347256165032334</v>
      </c>
      <c r="T22" s="1">
        <f>[1]Results!W1383</f>
        <v>-5.2389061687611038</v>
      </c>
      <c r="U22" s="1">
        <f>[1]Results!X1383</f>
        <v>-5.3401431495759821</v>
      </c>
      <c r="V22" s="1">
        <f>[1]Results!Y1383</f>
        <v>-5.5460641430127966</v>
      </c>
      <c r="W22" s="1">
        <f>[1]Results!Z1383</f>
        <v>-5.8544941264301205</v>
      </c>
      <c r="X22" s="1">
        <f>[1]Results!AA1383</f>
        <v>-6.2290323539227472</v>
      </c>
      <c r="Y22" s="1">
        <f>[1]Results!AB1383</f>
        <v>-6.6653820152690386</v>
      </c>
      <c r="Z22" s="1">
        <f>[1]Results!AC1383</f>
        <v>-7.1586691900993866</v>
      </c>
      <c r="AA22" s="1">
        <f>[1]Results!AD1383</f>
        <v>-7.6966593233623097</v>
      </c>
      <c r="AB22" s="1">
        <f>[1]Results!AE1383</f>
        <v>-7.9602695722410077</v>
      </c>
      <c r="AC22" s="1">
        <f>[1]Results!AF1383</f>
        <v>-8.4508723437662585</v>
      </c>
      <c r="AD22" s="1">
        <f>[1]Results!AG1383</f>
        <v>-8.647809638009651</v>
      </c>
      <c r="AE22" s="1">
        <f>[1]Results!AH1383</f>
        <v>-8.8686482554101502</v>
      </c>
      <c r="AF22" s="1">
        <f>[1]Results!AI1383</f>
        <v>-9.102973099993072</v>
      </c>
      <c r="AG22" s="1">
        <f>[1]Results!AJ1383</f>
        <v>-9.3359644259157886</v>
      </c>
      <c r="AH22" s="1">
        <f>[1]Results!AK1383</f>
        <v>-9.546860127710854</v>
      </c>
      <c r="AI22" s="1">
        <f>[1]Results!AL1383</f>
        <v>-9.7253780888369121</v>
      </c>
      <c r="AJ22" s="1">
        <f>[1]Results!AM1383</f>
        <v>-9.8653266623630387</v>
      </c>
      <c r="AK22" s="1">
        <f>[1]Results!AN1383</f>
        <v>-9.9658137685498147</v>
      </c>
      <c r="AL22" s="1">
        <f>[1]Results!AO1383</f>
        <v>-9.2520863399562678</v>
      </c>
    </row>
    <row r="23" spans="1:38" x14ac:dyDescent="0.35">
      <c r="A23" s="3" t="str">
        <f>[1]Results!E1384</f>
        <v>100*(M_2/M_0-1)</v>
      </c>
      <c r="B23" t="str">
        <f>[1]Results!C1384</f>
        <v>Importations</v>
      </c>
      <c r="C23" s="1">
        <f>[1]Results!F1384</f>
        <v>1.5269763231628986E-8</v>
      </c>
      <c r="D23" s="1">
        <f>[1]Results!G1384</f>
        <v>0</v>
      </c>
      <c r="E23" s="1">
        <f>[1]Results!H1384</f>
        <v>1.4672663084525084E-8</v>
      </c>
      <c r="F23" s="1">
        <f>[1]Results!I1384</f>
        <v>0</v>
      </c>
      <c r="G23" s="1">
        <f>[1]Results!J1384</f>
        <v>0</v>
      </c>
      <c r="H23" s="1">
        <f>[1]Results!K1384</f>
        <v>0</v>
      </c>
      <c r="I23" s="1">
        <f>[1]Results!L1384</f>
        <v>-0.32433993189153743</v>
      </c>
      <c r="J23" s="1">
        <f>[1]Results!M1384</f>
        <v>-0.92849857415048254</v>
      </c>
      <c r="K23" s="1">
        <f>[1]Results!N1384</f>
        <v>-1.6313797446884215</v>
      </c>
      <c r="L23" s="1">
        <f>[1]Results!O1384</f>
        <v>-2.333881165059537</v>
      </c>
      <c r="M23" s="1">
        <f>[1]Results!P1384</f>
        <v>-2.9619243949017826</v>
      </c>
      <c r="N23" s="1">
        <f>[1]Results!Q1384</f>
        <v>-3.2772752216757128</v>
      </c>
      <c r="O23" s="1">
        <f>[1]Results!R1384</f>
        <v>-3.3041116982969632</v>
      </c>
      <c r="P23" s="1">
        <f>[1]Results!S1384</f>
        <v>-3.135090771859772</v>
      </c>
      <c r="Q23" s="1">
        <f>[1]Results!T1384</f>
        <v>-2.853204584639546</v>
      </c>
      <c r="R23" s="1">
        <f>[1]Results!U1384</f>
        <v>-2.4560283327857091</v>
      </c>
      <c r="S23" s="1">
        <f>[1]Results!V1384</f>
        <v>-2.1140397674770162</v>
      </c>
      <c r="T23" s="1">
        <f>[1]Results!W1384</f>
        <v>-1.7759840231689972</v>
      </c>
      <c r="U23" s="1">
        <f>[1]Results!X1384</f>
        <v>-1.5028983481912506</v>
      </c>
      <c r="V23" s="1">
        <f>[1]Results!Y1384</f>
        <v>-1.309519770478107</v>
      </c>
      <c r="W23" s="1">
        <f>[1]Results!Z1384</f>
        <v>-1.1815044355339643</v>
      </c>
      <c r="X23" s="1">
        <f>[1]Results!AA1384</f>
        <v>-1.0954233923644807</v>
      </c>
      <c r="Y23" s="1">
        <f>[1]Results!AB1384</f>
        <v>-1.066958305627963</v>
      </c>
      <c r="Z23" s="1">
        <f>[1]Results!AC1384</f>
        <v>-1.1062055608211052</v>
      </c>
      <c r="AA23" s="1">
        <f>[1]Results!AD1384</f>
        <v>-1.2148439319297211</v>
      </c>
      <c r="AB23" s="1">
        <f>[1]Results!AE1384</f>
        <v>-1.2204507767566763</v>
      </c>
      <c r="AC23" s="1">
        <f>[1]Results!AF1384</f>
        <v>-1.4428836278604473</v>
      </c>
      <c r="AD23" s="1">
        <f>[1]Results!AG1384</f>
        <v>-1.5908963136895049</v>
      </c>
      <c r="AE23" s="1">
        <f>[1]Results!AH1384</f>
        <v>-1.7643217288674906</v>
      </c>
      <c r="AF23" s="1">
        <f>[1]Results!AI1384</f>
        <v>-1.9726076770132828</v>
      </c>
      <c r="AG23" s="1">
        <f>[1]Results!AJ1384</f>
        <v>-2.2097885608518553</v>
      </c>
      <c r="AH23" s="1">
        <f>[1]Results!AK1384</f>
        <v>-2.4652723142913224</v>
      </c>
      <c r="AI23" s="1">
        <f>[1]Results!AL1384</f>
        <v>-2.736319528341935</v>
      </c>
      <c r="AJ23" s="1">
        <f>[1]Results!AM1384</f>
        <v>-3.0134989230739206</v>
      </c>
      <c r="AK23" s="1">
        <f>[1]Results!AN1384</f>
        <v>-3.2865170984981651</v>
      </c>
      <c r="AL23" s="1">
        <f>[1]Results!AO1384</f>
        <v>-3.0789890288745903</v>
      </c>
    </row>
    <row r="24" spans="1:38" x14ac:dyDescent="0.35">
      <c r="A24" s="3" t="str">
        <f>[1]Results!E1385</f>
        <v>100*((CH_2-CH_ccon_2)/(CH_0-CH_ccon_0)-1)</v>
      </c>
      <c r="B24" t="str">
        <f>[1]Results!C1385</f>
        <v>Consommation des ménages</v>
      </c>
      <c r="C24" s="1">
        <f>[1]Results!F1385</f>
        <v>0</v>
      </c>
      <c r="D24" s="1">
        <f>[1]Results!G1385</f>
        <v>-8.2386453215121946E-8</v>
      </c>
      <c r="E24" s="1">
        <f>[1]Results!H1385</f>
        <v>8.1874507174006794E-10</v>
      </c>
      <c r="F24" s="1">
        <f>[1]Results!I1385</f>
        <v>8.0437878580141842E-10</v>
      </c>
      <c r="G24" s="1">
        <f>[1]Results!J1385</f>
        <v>0</v>
      </c>
      <c r="H24" s="1">
        <f>[1]Results!K1385</f>
        <v>7.6563200224200045E-10</v>
      </c>
      <c r="I24" s="1">
        <f>[1]Results!L1385</f>
        <v>-9.2336796645831054E-2</v>
      </c>
      <c r="J24" s="1">
        <f>[1]Results!M1385</f>
        <v>-0.43480098412957968</v>
      </c>
      <c r="K24" s="1">
        <f>[1]Results!N1385</f>
        <v>-0.91901521240542738</v>
      </c>
      <c r="L24" s="1">
        <f>[1]Results!O1385</f>
        <v>-1.4400229766621364</v>
      </c>
      <c r="M24" s="1">
        <f>[1]Results!P1385</f>
        <v>-1.9121246037558381</v>
      </c>
      <c r="N24" s="1">
        <f>[1]Results!Q1385</f>
        <v>-2.1432719496696118</v>
      </c>
      <c r="O24" s="1">
        <f>[1]Results!R1385</f>
        <v>-2.0544085050002159</v>
      </c>
      <c r="P24" s="1">
        <f>[1]Results!S1385</f>
        <v>-1.7294716684397637</v>
      </c>
      <c r="Q24" s="1">
        <f>[1]Results!T1385</f>
        <v>-1.2654708424127969</v>
      </c>
      <c r="R24" s="1">
        <f>[1]Results!U1385</f>
        <v>-0.72288162501210618</v>
      </c>
      <c r="S24" s="1">
        <f>[1]Results!V1385</f>
        <v>-0.17117318624916278</v>
      </c>
      <c r="T24" s="1">
        <f>[1]Results!W1385</f>
        <v>0.34247293475822005</v>
      </c>
      <c r="U24" s="1">
        <f>[1]Results!X1385</f>
        <v>0.80279503580977796</v>
      </c>
      <c r="V24" s="1">
        <f>[1]Results!Y1385</f>
        <v>1.207815407307633</v>
      </c>
      <c r="W24" s="1">
        <f>[1]Results!Z1385</f>
        <v>1.5581110897501249</v>
      </c>
      <c r="X24" s="1">
        <f>[1]Results!AA1385</f>
        <v>1.8547780665581604</v>
      </c>
      <c r="Y24" s="1">
        <f>[1]Results!AB1385</f>
        <v>2.0854661540925301</v>
      </c>
      <c r="Z24" s="1">
        <f>[1]Results!AC1385</f>
        <v>2.2358840680568148</v>
      </c>
      <c r="AA24" s="1">
        <f>[1]Results!AD1385</f>
        <v>2.29781459658982</v>
      </c>
      <c r="AB24" s="1">
        <f>[1]Results!AE1385</f>
        <v>2.3029305819183277</v>
      </c>
      <c r="AC24" s="1">
        <f>[1]Results!AF1385</f>
        <v>2.2331799990658041</v>
      </c>
      <c r="AD24" s="1">
        <f>[1]Results!AG1385</f>
        <v>2.1057493393508375</v>
      </c>
      <c r="AE24" s="1">
        <f>[1]Results!AH1385</f>
        <v>1.9289388082526671</v>
      </c>
      <c r="AF24" s="1">
        <f>[1]Results!AI1385</f>
        <v>1.708499105193062</v>
      </c>
      <c r="AG24" s="1">
        <f>[1]Results!AJ1385</f>
        <v>1.4502651348884177</v>
      </c>
      <c r="AH24" s="1">
        <f>[1]Results!AK1385</f>
        <v>1.1577692351488755</v>
      </c>
      <c r="AI24" s="1">
        <f>[1]Results!AL1385</f>
        <v>0.83558260027460918</v>
      </c>
      <c r="AJ24" s="1">
        <f>[1]Results!AM1385</f>
        <v>0.49445959315350674</v>
      </c>
      <c r="AK24" s="1">
        <f>[1]Results!AN1385</f>
        <v>0.14838263862733125</v>
      </c>
      <c r="AL24" s="1">
        <f>[1]Results!AO1385</f>
        <v>-9.480003763813194E-2</v>
      </c>
    </row>
    <row r="25" spans="1:38" x14ac:dyDescent="0.35">
      <c r="A25" s="3" t="str">
        <f>[1]Results!E1386</f>
        <v>100*((I_2+CH_ccon_2)/(I_0+CH_ccon_0)-1)</v>
      </c>
      <c r="B25" t="str">
        <f>[1]Results!C1386</f>
        <v>Investissement</v>
      </c>
      <c r="C25" s="1">
        <f>[1]Results!F1386</f>
        <v>0</v>
      </c>
      <c r="D25" s="1">
        <f>[1]Results!G1386</f>
        <v>-2.0065504813260304E-9</v>
      </c>
      <c r="E25" s="1">
        <f>[1]Results!H1386</f>
        <v>-2.1662860394400241E-8</v>
      </c>
      <c r="F25" s="1">
        <f>[1]Results!I1386</f>
        <v>-2.1234636271572072E-8</v>
      </c>
      <c r="G25" s="1">
        <f>[1]Results!J1386</f>
        <v>-1.8875268015250413E-8</v>
      </c>
      <c r="H25" s="1">
        <f>[1]Results!K1386</f>
        <v>-3.8603398255787624E-8</v>
      </c>
      <c r="I25" s="1">
        <f>[1]Results!L1386</f>
        <v>-0.16932827840330233</v>
      </c>
      <c r="J25" s="1">
        <f>[1]Results!M1386</f>
        <v>-0.57357209798759579</v>
      </c>
      <c r="K25" s="1">
        <f>[1]Results!N1386</f>
        <v>-1.1358478560303698</v>
      </c>
      <c r="L25" s="1">
        <f>[1]Results!O1386</f>
        <v>-1.794352180576686</v>
      </c>
      <c r="M25" s="1">
        <f>[1]Results!P1386</f>
        <v>-2.4955010847779291</v>
      </c>
      <c r="N25" s="1">
        <f>[1]Results!Q1386</f>
        <v>-3.0639046151064719</v>
      </c>
      <c r="O25" s="1">
        <f>[1]Results!R1386</f>
        <v>-3.4291236163669137</v>
      </c>
      <c r="P25" s="1">
        <f>[1]Results!S1386</f>
        <v>-3.6006092660201383</v>
      </c>
      <c r="Q25" s="1">
        <f>[1]Results!T1386</f>
        <v>-3.6252670257468478</v>
      </c>
      <c r="R25" s="1">
        <f>[1]Results!U1386</f>
        <v>-3.5130926813774943</v>
      </c>
      <c r="S25" s="1">
        <f>[1]Results!V1386</f>
        <v>-3.3996569400135623</v>
      </c>
      <c r="T25" s="1">
        <f>[1]Results!W1386</f>
        <v>-3.2664766873884976</v>
      </c>
      <c r="U25" s="1">
        <f>[1]Results!X1386</f>
        <v>-3.1523374188304532</v>
      </c>
      <c r="V25" s="1">
        <f>[1]Results!Y1386</f>
        <v>-3.0700544865135959</v>
      </c>
      <c r="W25" s="1">
        <f>[1]Results!Z1386</f>
        <v>-3.021195655035902</v>
      </c>
      <c r="X25" s="1">
        <f>[1]Results!AA1386</f>
        <v>-2.9856643489765911</v>
      </c>
      <c r="Y25" s="1">
        <f>[1]Results!AB1386</f>
        <v>-2.9609016251358367</v>
      </c>
      <c r="Z25" s="1">
        <f>[1]Results!AC1386</f>
        <v>-2.9492423292887815</v>
      </c>
      <c r="AA25" s="1">
        <f>[1]Results!AD1386</f>
        <v>-2.9528157279789191</v>
      </c>
      <c r="AB25" s="1">
        <f>[1]Results!AE1386</f>
        <v>-2.8628175572539494</v>
      </c>
      <c r="AC25" s="1">
        <f>[1]Results!AF1386</f>
        <v>-2.8634125736039961</v>
      </c>
      <c r="AD25" s="1">
        <f>[1]Results!AG1386</f>
        <v>-2.7991719180364916</v>
      </c>
      <c r="AE25" s="1">
        <f>[1]Results!AH1386</f>
        <v>-2.7116865540767976</v>
      </c>
      <c r="AF25" s="1">
        <f>[1]Results!AI1386</f>
        <v>-2.6234607359600148</v>
      </c>
      <c r="AG25" s="1">
        <f>[1]Results!AJ1386</f>
        <v>-2.5437734176946281</v>
      </c>
      <c r="AH25" s="1">
        <f>[1]Results!AK1386</f>
        <v>-2.4730222521099021</v>
      </c>
      <c r="AI25" s="1">
        <f>[1]Results!AL1386</f>
        <v>-2.4148100339082879</v>
      </c>
      <c r="AJ25" s="1">
        <f>[1]Results!AM1386</f>
        <v>-2.3694471998005007</v>
      </c>
      <c r="AK25" s="1">
        <f>[1]Results!AN1386</f>
        <v>-2.3355010971967904</v>
      </c>
      <c r="AL25" s="1">
        <f>[1]Results!AO1386</f>
        <v>-2.0113622425811828</v>
      </c>
    </row>
    <row r="26" spans="1:38" x14ac:dyDescent="0.35">
      <c r="A26" s="3" t="str">
        <f>[1]Results!E1387</f>
        <v>100*((CH_ccon_2)/(CH_ccon_0)-1)</v>
      </c>
      <c r="B26" t="str">
        <f>[1]Results!C1387</f>
        <v>Investissement ménages</v>
      </c>
      <c r="C26" s="1">
        <f>[1]Results!F1387</f>
        <v>0</v>
      </c>
      <c r="D26" s="1">
        <f>[1]Results!G1387</f>
        <v>-5.5234417040139761E-8</v>
      </c>
      <c r="E26" s="1">
        <f>[1]Results!H1387</f>
        <v>-5.4511806180101985E-8</v>
      </c>
      <c r="F26" s="1">
        <f>[1]Results!I1387</f>
        <v>-5.3713422598633542E-8</v>
      </c>
      <c r="G26" s="1">
        <f>[1]Results!J1387</f>
        <v>0</v>
      </c>
      <c r="H26" s="1">
        <f>[1]Results!K1387</f>
        <v>-5.1259840816442193E-8</v>
      </c>
      <c r="I26" s="1">
        <f>[1]Results!L1387</f>
        <v>-7.9523735986564148E-2</v>
      </c>
      <c r="J26" s="1">
        <f>[1]Results!M1387</f>
        <v>-0.47823943395589597</v>
      </c>
      <c r="K26" s="1">
        <f>[1]Results!N1387</f>
        <v>-1.1316089571070886</v>
      </c>
      <c r="L26" s="1">
        <f>[1]Results!O1387</f>
        <v>-1.917765607993438</v>
      </c>
      <c r="M26" s="1">
        <f>[1]Results!P1387</f>
        <v>-2.7344465260982997</v>
      </c>
      <c r="N26" s="1">
        <f>[1]Results!Q1387</f>
        <v>-3.2653975779250555</v>
      </c>
      <c r="O26" s="1">
        <f>[1]Results!R1387</f>
        <v>-3.2954780595829125</v>
      </c>
      <c r="P26" s="1">
        <f>[1]Results!S1387</f>
        <v>-2.9239992743857357</v>
      </c>
      <c r="Q26" s="1">
        <f>[1]Results!T1387</f>
        <v>-2.3261443466024989</v>
      </c>
      <c r="R26" s="1">
        <f>[1]Results!U1387</f>
        <v>-1.6359994507632702</v>
      </c>
      <c r="S26" s="1">
        <f>[1]Results!V1387</f>
        <v>-0.97295643534829335</v>
      </c>
      <c r="T26" s="1">
        <f>[1]Results!W1387</f>
        <v>-0.41406558071125366</v>
      </c>
      <c r="U26" s="1">
        <f>[1]Results!X1387</f>
        <v>2.6237822204411287E-2</v>
      </c>
      <c r="V26" s="1">
        <f>[1]Results!Y1387</f>
        <v>0.36825738922319218</v>
      </c>
      <c r="W26" s="1">
        <f>[1]Results!Z1387</f>
        <v>0.64481426162070754</v>
      </c>
      <c r="X26" s="1">
        <f>[1]Results!AA1387</f>
        <v>0.88843033198093835</v>
      </c>
      <c r="Y26" s="1">
        <f>[1]Results!AB1387</f>
        <v>1.1115949750280851</v>
      </c>
      <c r="Z26" s="1">
        <f>[1]Results!AC1387</f>
        <v>1.3006014866284943</v>
      </c>
      <c r="AA26" s="1">
        <f>[1]Results!AD1387</f>
        <v>1.4390116032880318</v>
      </c>
      <c r="AB26" s="1">
        <f>[1]Results!AE1387</f>
        <v>1.544958831927179</v>
      </c>
      <c r="AC26" s="1">
        <f>[1]Results!AF1387</f>
        <v>1.5909562409347267</v>
      </c>
      <c r="AD26" s="1">
        <f>[1]Results!AG1387</f>
        <v>1.5767852642325275</v>
      </c>
      <c r="AE26" s="1">
        <f>[1]Results!AH1387</f>
        <v>1.4930352377273692</v>
      </c>
      <c r="AF26" s="1">
        <f>[1]Results!AI1387</f>
        <v>1.3371290366957833</v>
      </c>
      <c r="AG26" s="1">
        <f>[1]Results!AJ1387</f>
        <v>1.1146010718770638</v>
      </c>
      <c r="AH26" s="1">
        <f>[1]Results!AK1387</f>
        <v>0.83550916571508704</v>
      </c>
      <c r="AI26" s="1">
        <f>[1]Results!AL1387</f>
        <v>0.50815824725338743</v>
      </c>
      <c r="AJ26" s="1">
        <f>[1]Results!AM1387</f>
        <v>0.14339350142145157</v>
      </c>
      <c r="AK26" s="1">
        <f>[1]Results!AN1387</f>
        <v>-0.24361560968579887</v>
      </c>
      <c r="AL26" s="1">
        <f>[1]Results!AO1387</f>
        <v>-0.55482074530962544</v>
      </c>
    </row>
    <row r="27" spans="1:38" x14ac:dyDescent="0.35">
      <c r="A27" s="3" t="str">
        <f>[1]Results!E1388</f>
        <v>100*((IA_spub_2)/(IA_spub_0)-1)</v>
      </c>
      <c r="B27" t="str">
        <f>[1]Results!C1388</f>
        <v>Investissement public</v>
      </c>
      <c r="C27" s="1">
        <f>[1]Results!F1388</f>
        <v>0</v>
      </c>
      <c r="D27" s="1">
        <f>[1]Results!G1388</f>
        <v>0</v>
      </c>
      <c r="E27" s="1">
        <f>[1]Results!H1388</f>
        <v>-2.4705515411227452E-8</v>
      </c>
      <c r="F27" s="1">
        <f>[1]Results!I1388</f>
        <v>-2.4400725884277108E-8</v>
      </c>
      <c r="G27" s="1">
        <f>[1]Results!J1388</f>
        <v>-2.406671528731863E-8</v>
      </c>
      <c r="H27" s="1">
        <f>[1]Results!K1388</f>
        <v>0</v>
      </c>
      <c r="I27" s="1">
        <f>[1]Results!L1388</f>
        <v>-2.5681069870830964E-2</v>
      </c>
      <c r="J27" s="1">
        <f>[1]Results!M1388</f>
        <v>-0.20033975889798272</v>
      </c>
      <c r="K27" s="1">
        <f>[1]Results!N1388</f>
        <v>-0.47501150744382326</v>
      </c>
      <c r="L27" s="1">
        <f>[1]Results!O1388</f>
        <v>-0.8234548494620797</v>
      </c>
      <c r="M27" s="1">
        <f>[1]Results!P1388</f>
        <v>-1.2347185936446792</v>
      </c>
      <c r="N27" s="1">
        <f>[1]Results!Q1388</f>
        <v>-1.5019417365605969</v>
      </c>
      <c r="O27" s="1">
        <f>[1]Results!R1388</f>
        <v>-1.6155898893549736</v>
      </c>
      <c r="P27" s="1">
        <f>[1]Results!S1388</f>
        <v>-1.607471891426937</v>
      </c>
      <c r="Q27" s="1">
        <f>[1]Results!T1388</f>
        <v>-1.5178885430259914</v>
      </c>
      <c r="R27" s="1">
        <f>[1]Results!U1388</f>
        <v>-1.3760971465845206</v>
      </c>
      <c r="S27" s="1">
        <f>[1]Results!V1388</f>
        <v>-1.2259663884345962</v>
      </c>
      <c r="T27" s="1">
        <f>[1]Results!W1388</f>
        <v>-1.0911780639861535</v>
      </c>
      <c r="U27" s="1">
        <f>[1]Results!X1388</f>
        <v>-0.97797789825305736</v>
      </c>
      <c r="V27" s="1">
        <f>[1]Results!Y1388</f>
        <v>-0.87844231841829323</v>
      </c>
      <c r="W27" s="1">
        <f>[1]Results!Z1388</f>
        <v>-0.78394813026890775</v>
      </c>
      <c r="X27" s="1">
        <f>[1]Results!AA1388</f>
        <v>-0.66975356607965608</v>
      </c>
      <c r="Y27" s="1">
        <f>[1]Results!AB1388</f>
        <v>-0.53635954856255941</v>
      </c>
      <c r="Z27" s="1">
        <f>[1]Results!AC1388</f>
        <v>-0.38495902418628214</v>
      </c>
      <c r="AA27" s="1">
        <f>[1]Results!AD1388</f>
        <v>-0.21659685085768654</v>
      </c>
      <c r="AB27" s="1">
        <f>[1]Results!AE1388</f>
        <v>-2.4344570998535708E-2</v>
      </c>
      <c r="AC27" s="1">
        <f>[1]Results!AF1388</f>
        <v>0.1878274191706053</v>
      </c>
      <c r="AD27" s="1">
        <f>[1]Results!AG1388</f>
        <v>0.40771975639055658</v>
      </c>
      <c r="AE27" s="1">
        <f>[1]Results!AH1388</f>
        <v>0.62362874054067152</v>
      </c>
      <c r="AF27" s="1">
        <f>[1]Results!AI1388</f>
        <v>0.82912590459438551</v>
      </c>
      <c r="AG27" s="1">
        <f>[1]Results!AJ1388</f>
        <v>1.021141957989502</v>
      </c>
      <c r="AH27" s="1">
        <f>[1]Results!AK1388</f>
        <v>1.2006065968856561</v>
      </c>
      <c r="AI27" s="1">
        <f>[1]Results!AL1388</f>
        <v>1.3602789999578535</v>
      </c>
      <c r="AJ27" s="1">
        <f>[1]Results!AM1388</f>
        <v>1.4975846727939057</v>
      </c>
      <c r="AK27" s="1">
        <f>[1]Results!AN1388</f>
        <v>1.6124271787105071</v>
      </c>
      <c r="AL27" s="1">
        <f>[1]Results!AO1388</f>
        <v>1.7310775086414321</v>
      </c>
    </row>
    <row r="28" spans="1:38" x14ac:dyDescent="0.35">
      <c r="A28" s="3" t="str">
        <f>[1]Results!E1389</f>
        <v>100*(DISPINC_AT_VAL_2/DISPINC_AT_VAL_0-1)</v>
      </c>
      <c r="B28" t="str">
        <f>[1]Results!C1389</f>
        <v>Revenu disponible des ménages</v>
      </c>
      <c r="C28" s="1">
        <f>[1]Results!F1389</f>
        <v>0</v>
      </c>
      <c r="D28" s="1">
        <f>[1]Results!G1389</f>
        <v>0</v>
      </c>
      <c r="E28" s="1">
        <f>[1]Results!H1389</f>
        <v>6.8185102009010734E-8</v>
      </c>
      <c r="F28" s="1">
        <f>[1]Results!I1389</f>
        <v>6.5270766569369698E-8</v>
      </c>
      <c r="G28" s="1">
        <f>[1]Results!J1389</f>
        <v>1.2485739109280303E-7</v>
      </c>
      <c r="H28" s="1">
        <f>[1]Results!K1389</f>
        <v>1.1928020793305905E-7</v>
      </c>
      <c r="I28" s="1">
        <f>[1]Results!L1389</f>
        <v>-0.17833262685086337</v>
      </c>
      <c r="J28" s="1">
        <f>[1]Results!M1389</f>
        <v>-0.15418371990538748</v>
      </c>
      <c r="K28" s="1">
        <f>[1]Results!N1389</f>
        <v>6.7329022910933567E-2</v>
      </c>
      <c r="L28" s="1">
        <f>[1]Results!O1389</f>
        <v>0.67224983935225691</v>
      </c>
      <c r="M28" s="1">
        <f>[1]Results!P1389</f>
        <v>1.8810409485854551</v>
      </c>
      <c r="N28" s="1">
        <f>[1]Results!Q1389</f>
        <v>2.841606669431207</v>
      </c>
      <c r="O28" s="1">
        <f>[1]Results!R1389</f>
        <v>3.9909329999073595</v>
      </c>
      <c r="P28" s="1">
        <f>[1]Results!S1389</f>
        <v>5.2417105248920626</v>
      </c>
      <c r="Q28" s="1">
        <f>[1]Results!T1389</f>
        <v>6.5486600821990315</v>
      </c>
      <c r="R28" s="1">
        <f>[1]Results!U1389</f>
        <v>7.901138097888083</v>
      </c>
      <c r="S28" s="1">
        <f>[1]Results!V1389</f>
        <v>9.3216328058023166</v>
      </c>
      <c r="T28" s="1">
        <f>[1]Results!W1389</f>
        <v>10.785693035362032</v>
      </c>
      <c r="U28" s="1">
        <f>[1]Results!X1389</f>
        <v>12.266731323108981</v>
      </c>
      <c r="V28" s="1">
        <f>[1]Results!Y1389</f>
        <v>13.716848448367603</v>
      </c>
      <c r="W28" s="1">
        <f>[1]Results!Z1389</f>
        <v>15.111391333648182</v>
      </c>
      <c r="X28" s="1">
        <f>[1]Results!AA1389</f>
        <v>16.326136873043072</v>
      </c>
      <c r="Y28" s="1">
        <f>[1]Results!AB1389</f>
        <v>17.372980293228622</v>
      </c>
      <c r="Z28" s="1">
        <f>[1]Results!AC1389</f>
        <v>18.214065152009429</v>
      </c>
      <c r="AA28" s="1">
        <f>[1]Results!AD1389</f>
        <v>18.824825229122833</v>
      </c>
      <c r="AB28" s="1">
        <f>[1]Results!AE1389</f>
        <v>19.26330751445726</v>
      </c>
      <c r="AC28" s="1">
        <f>[1]Results!AF1389</f>
        <v>19.429968447109914</v>
      </c>
      <c r="AD28" s="1">
        <f>[1]Results!AG1389</f>
        <v>19.44764927091942</v>
      </c>
      <c r="AE28" s="1">
        <f>[1]Results!AH1389</f>
        <v>19.32278260917073</v>
      </c>
      <c r="AF28" s="1">
        <f>[1]Results!AI1389</f>
        <v>19.067904582551385</v>
      </c>
      <c r="AG28" s="1">
        <f>[1]Results!AJ1389</f>
        <v>18.700199206595048</v>
      </c>
      <c r="AH28" s="1">
        <f>[1]Results!AK1389</f>
        <v>18.215213161241593</v>
      </c>
      <c r="AI28" s="1">
        <f>[1]Results!AL1389</f>
        <v>17.662830135288331</v>
      </c>
      <c r="AJ28" s="1">
        <f>[1]Results!AM1389</f>
        <v>17.073338065798559</v>
      </c>
      <c r="AK28" s="1">
        <f>[1]Results!AN1389</f>
        <v>16.477938683698913</v>
      </c>
      <c r="AL28" s="1">
        <f>[1]Results!AO1389</f>
        <v>16.103734746967156</v>
      </c>
    </row>
    <row r="29" spans="1:38" x14ac:dyDescent="0.35">
      <c r="A29" s="3" t="str">
        <f>[1]Results!E1390</f>
        <v>100*(DISPINC_AT_VAL_2/DISPINC_AT_VAL_0-1)-100*(PCH_2/PCH_0-1)</v>
      </c>
      <c r="B29" t="str">
        <f>[1]Results!C1390</f>
        <v>Revenu disponible réel des ménages</v>
      </c>
      <c r="C29" s="1">
        <f>[1]Results!F1390</f>
        <v>0</v>
      </c>
      <c r="D29" s="1">
        <f>[1]Results!G1390</f>
        <v>0</v>
      </c>
      <c r="E29" s="1">
        <f>[1]Results!H1390</f>
        <v>-2.7353119769202294E-8</v>
      </c>
      <c r="F29" s="1">
        <f>[1]Results!I1390</f>
        <v>-2.7822921744302676E-8</v>
      </c>
      <c r="G29" s="1">
        <f>[1]Results!J1390</f>
        <v>-5.7404947462202927E-8</v>
      </c>
      <c r="H29" s="1">
        <f>[1]Results!K1390</f>
        <v>2.962858847155303E-8</v>
      </c>
      <c r="I29" s="1">
        <f>[1]Results!L1390</f>
        <v>-0.13514693330407557</v>
      </c>
      <c r="J29" s="1">
        <f>[1]Results!M1390</f>
        <v>-0.5859649535504996</v>
      </c>
      <c r="K29" s="1">
        <f>[1]Results!N1390</f>
        <v>-1.1110549631442979</v>
      </c>
      <c r="L29" s="1">
        <f>[1]Results!O1390</f>
        <v>-1.6330425806984961</v>
      </c>
      <c r="M29" s="1">
        <f>[1]Results!P1390</f>
        <v>-2.0951333968851182</v>
      </c>
      <c r="N29" s="1">
        <f>[1]Results!Q1390</f>
        <v>-2.2217643208702453</v>
      </c>
      <c r="O29" s="1">
        <f>[1]Results!R1390</f>
        <v>-1.9996350796960938</v>
      </c>
      <c r="P29" s="1">
        <f>[1]Results!S1390</f>
        <v>-1.5978332719515764</v>
      </c>
      <c r="Q29" s="1">
        <f>[1]Results!T1390</f>
        <v>-1.1062059632803711</v>
      </c>
      <c r="R29" s="1">
        <f>[1]Results!U1390</f>
        <v>-0.55419798335640813</v>
      </c>
      <c r="S29" s="1">
        <f>[1]Results!V1390</f>
        <v>-1.2750993427056656E-2</v>
      </c>
      <c r="T29" s="1">
        <f>[1]Results!W1390</f>
        <v>0.48491690916254804</v>
      </c>
      <c r="U29" s="1">
        <f>[1]Results!X1390</f>
        <v>0.94094074718131893</v>
      </c>
      <c r="V29" s="1">
        <f>[1]Results!Y1390</f>
        <v>1.3570740756680983</v>
      </c>
      <c r="W29" s="1">
        <f>[1]Results!Z1390</f>
        <v>1.7310865584467798</v>
      </c>
      <c r="X29" s="1">
        <f>[1]Results!AA1390</f>
        <v>2.0577385169018516</v>
      </c>
      <c r="Y29" s="1">
        <f>[1]Results!AB1390</f>
        <v>2.3133924394841401</v>
      </c>
      <c r="Z29" s="1">
        <f>[1]Results!AC1390</f>
        <v>2.4768430013389686</v>
      </c>
      <c r="AA29" s="1">
        <f>[1]Results!AD1390</f>
        <v>2.5391548602970353</v>
      </c>
      <c r="AB29" s="1">
        <f>[1]Results!AE1390</f>
        <v>2.5562028444026303</v>
      </c>
      <c r="AC29" s="1">
        <f>[1]Results!AF1390</f>
        <v>2.4726552547226461</v>
      </c>
      <c r="AD29" s="1">
        <f>[1]Results!AG1390</f>
        <v>2.3312848151726868</v>
      </c>
      <c r="AE29" s="1">
        <f>[1]Results!AH1390</f>
        <v>2.133045907288377</v>
      </c>
      <c r="AF29" s="1">
        <f>[1]Results!AI1390</f>
        <v>1.8827164253187831</v>
      </c>
      <c r="AG29" s="1">
        <f>[1]Results!AJ1390</f>
        <v>1.5877520319963061</v>
      </c>
      <c r="AH29" s="1">
        <f>[1]Results!AK1390</f>
        <v>1.2516960287287198</v>
      </c>
      <c r="AI29" s="1">
        <f>[1]Results!AL1390</f>
        <v>0.88191599568420997</v>
      </c>
      <c r="AJ29" s="1">
        <f>[1]Results!AM1390</f>
        <v>0.49444242265681382</v>
      </c>
      <c r="AK29" s="1">
        <f>[1]Results!AN1390</f>
        <v>0.10665607222244589</v>
      </c>
      <c r="AL29" s="1">
        <f>[1]Results!AO1390</f>
        <v>-0.107195440607601</v>
      </c>
    </row>
    <row r="30" spans="1:38" x14ac:dyDescent="0.35">
      <c r="A30" s="3" t="str">
        <f>[1]Results!E1391</f>
        <v>100*(DISPINC_AT_VAL_2/DISPINC_AT_VAL_0-1)-100*((F_L_2/F_L_0)-1)</v>
      </c>
      <c r="B30" t="str">
        <f>[1]Results!C1391</f>
        <v>Revenu disponible par emploi en valeur</v>
      </c>
      <c r="C30" s="1">
        <f>[1]Results!F1391</f>
        <v>0</v>
      </c>
      <c r="D30" s="1">
        <f>[1]Results!G1391</f>
        <v>0</v>
      </c>
      <c r="E30" s="1">
        <f>[1]Results!H1391</f>
        <v>6.8185102009010734E-8</v>
      </c>
      <c r="F30" s="1">
        <f>[1]Results!I1391</f>
        <v>6.5270766569369698E-8</v>
      </c>
      <c r="G30" s="1">
        <f>[1]Results!J1391</f>
        <v>1.2485739109280303E-7</v>
      </c>
      <c r="H30" s="1">
        <f>[1]Results!K1391</f>
        <v>1.1928020793305905E-7</v>
      </c>
      <c r="I30" s="1">
        <f>[1]Results!L1391</f>
        <v>-1.6915409511064627E-2</v>
      </c>
      <c r="J30" s="1">
        <f>[1]Results!M1391</f>
        <v>0.30040098167447571</v>
      </c>
      <c r="K30" s="1">
        <f>[1]Results!N1391</f>
        <v>0.90111952046576516</v>
      </c>
      <c r="L30" s="1">
        <f>[1]Results!O1391</f>
        <v>1.9082720591021118</v>
      </c>
      <c r="M30" s="1">
        <f>[1]Results!P1391</f>
        <v>3.4675293735779711</v>
      </c>
      <c r="N30" s="1">
        <f>[1]Results!Q1391</f>
        <v>4.7205837922053462</v>
      </c>
      <c r="O30" s="1">
        <f>[1]Results!R1391</f>
        <v>6.0632058763587455</v>
      </c>
      <c r="P30" s="1">
        <f>[1]Results!S1391</f>
        <v>7.3912335943614238</v>
      </c>
      <c r="Q30" s="1">
        <f>[1]Results!T1391</f>
        <v>8.6740135932037443</v>
      </c>
      <c r="R30" s="1">
        <f>[1]Results!U1391</f>
        <v>9.918105853200343</v>
      </c>
      <c r="S30" s="1">
        <f>[1]Results!V1391</f>
        <v>11.176225250746707</v>
      </c>
      <c r="T30" s="1">
        <f>[1]Results!W1391</f>
        <v>12.454013215588944</v>
      </c>
      <c r="U30" s="1">
        <f>[1]Results!X1391</f>
        <v>13.7630708535187</v>
      </c>
      <c r="V30" s="1">
        <f>[1]Results!Y1391</f>
        <v>15.081580533143725</v>
      </c>
      <c r="W30" s="1">
        <f>[1]Results!Z1391</f>
        <v>16.401607979895903</v>
      </c>
      <c r="X30" s="1">
        <f>[1]Results!AA1391</f>
        <v>17.606829444351344</v>
      </c>
      <c r="Y30" s="1">
        <f>[1]Results!AB1391</f>
        <v>18.708691759960402</v>
      </c>
      <c r="Z30" s="1">
        <f>[1]Results!AC1391</f>
        <v>19.667719607232847</v>
      </c>
      <c r="AA30" s="1">
        <f>[1]Results!AD1391</f>
        <v>20.456481689232877</v>
      </c>
      <c r="AB30" s="1">
        <f>[1]Results!AE1391</f>
        <v>21.086216235906363</v>
      </c>
      <c r="AC30" s="1">
        <f>[1]Results!AF1391</f>
        <v>21.462492344029993</v>
      </c>
      <c r="AD30" s="1">
        <f>[1]Results!AG1391</f>
        <v>21.673801038242647</v>
      </c>
      <c r="AE30" s="1">
        <f>[1]Results!AH1391</f>
        <v>21.733556759959395</v>
      </c>
      <c r="AF30" s="1">
        <f>[1]Results!AI1391</f>
        <v>21.660524163111916</v>
      </c>
      <c r="AG30" s="1">
        <f>[1]Results!AJ1391</f>
        <v>21.473713589541376</v>
      </c>
      <c r="AH30" s="1">
        <f>[1]Results!AK1391</f>
        <v>21.167342875277949</v>
      </c>
      <c r="AI30" s="1">
        <f>[1]Results!AL1391</f>
        <v>20.786407491292934</v>
      </c>
      <c r="AJ30" s="1">
        <f>[1]Results!AM1391</f>
        <v>20.355631093569979</v>
      </c>
      <c r="AK30" s="1">
        <f>[1]Results!AN1391</f>
        <v>19.90113310664422</v>
      </c>
      <c r="AL30" s="1">
        <f>[1]Results!AO1391</f>
        <v>19.527454370094418</v>
      </c>
    </row>
    <row r="31" spans="1:38" x14ac:dyDescent="0.35">
      <c r="A31" s="3" t="str">
        <f>[1]Results!E1392</f>
        <v>100*(DISPINC_AT_VAL_2/DISPINC_AT_VAL_0-1)-100*((F_L_2/F_L_0)-1)-100*(PCH_2/PCH_0-1)</v>
      </c>
      <c r="B31" t="str">
        <f>[1]Results!C1392</f>
        <v>Revenu disponible réel par emploi</v>
      </c>
      <c r="C31" s="1">
        <f>[1]Results!F1392</f>
        <v>0</v>
      </c>
      <c r="D31" s="1">
        <f>[1]Results!G1392</f>
        <v>0</v>
      </c>
      <c r="E31" s="1">
        <f>[1]Results!H1392</f>
        <v>-2.7353119769202294E-8</v>
      </c>
      <c r="F31" s="1">
        <f>[1]Results!I1392</f>
        <v>-2.7822921744302676E-8</v>
      </c>
      <c r="G31" s="1">
        <f>[1]Results!J1392</f>
        <v>-5.7404947462202927E-8</v>
      </c>
      <c r="H31" s="1">
        <f>[1]Results!K1392</f>
        <v>2.962858847155303E-8</v>
      </c>
      <c r="I31" s="1">
        <f>[1]Results!L1392</f>
        <v>2.6270284035723179E-2</v>
      </c>
      <c r="J31" s="1">
        <f>[1]Results!M1392</f>
        <v>-0.13138025197063641</v>
      </c>
      <c r="K31" s="1">
        <f>[1]Results!N1392</f>
        <v>-0.27726446558946627</v>
      </c>
      <c r="L31" s="1">
        <f>[1]Results!O1392</f>
        <v>-0.39702036094864113</v>
      </c>
      <c r="M31" s="1">
        <f>[1]Results!P1392</f>
        <v>-0.50864497189260227</v>
      </c>
      <c r="N31" s="1">
        <f>[1]Results!Q1392</f>
        <v>-0.34278719809610614</v>
      </c>
      <c r="O31" s="1">
        <f>[1]Results!R1392</f>
        <v>7.263779675529225E-2</v>
      </c>
      <c r="P31" s="1">
        <f>[1]Results!S1392</f>
        <v>0.5516897975177848</v>
      </c>
      <c r="Q31" s="1">
        <f>[1]Results!T1392</f>
        <v>1.0191475477243417</v>
      </c>
      <c r="R31" s="1">
        <f>[1]Results!U1392</f>
        <v>1.4627697719558519</v>
      </c>
      <c r="S31" s="1">
        <f>[1]Results!V1392</f>
        <v>1.8418414515173342</v>
      </c>
      <c r="T31" s="1">
        <f>[1]Results!W1392</f>
        <v>2.1532370893894601</v>
      </c>
      <c r="U31" s="1">
        <f>[1]Results!X1392</f>
        <v>2.4372802775910376</v>
      </c>
      <c r="V31" s="1">
        <f>[1]Results!Y1392</f>
        <v>2.7218061604442205</v>
      </c>
      <c r="W31" s="1">
        <f>[1]Results!Z1392</f>
        <v>3.021303204694501</v>
      </c>
      <c r="X31" s="1">
        <f>[1]Results!AA1392</f>
        <v>3.3384310882101236</v>
      </c>
      <c r="Y31" s="1">
        <f>[1]Results!AB1392</f>
        <v>3.6491039062159203</v>
      </c>
      <c r="Z31" s="1">
        <f>[1]Results!AC1392</f>
        <v>3.9304974565623869</v>
      </c>
      <c r="AA31" s="1">
        <f>[1]Results!AD1392</f>
        <v>4.1708113204070791</v>
      </c>
      <c r="AB31" s="1">
        <f>[1]Results!AE1392</f>
        <v>4.3791115658517334</v>
      </c>
      <c r="AC31" s="1">
        <f>[1]Results!AF1392</f>
        <v>4.5051791516427251</v>
      </c>
      <c r="AD31" s="1">
        <f>[1]Results!AG1392</f>
        <v>4.5574365824959138</v>
      </c>
      <c r="AE31" s="1">
        <f>[1]Results!AH1392</f>
        <v>4.543820058077042</v>
      </c>
      <c r="AF31" s="1">
        <f>[1]Results!AI1392</f>
        <v>4.4753360058793135</v>
      </c>
      <c r="AG31" s="1">
        <f>[1]Results!AJ1392</f>
        <v>4.3612664149426337</v>
      </c>
      <c r="AH31" s="1">
        <f>[1]Results!AK1392</f>
        <v>4.2038257427650763</v>
      </c>
      <c r="AI31" s="1">
        <f>[1]Results!AL1392</f>
        <v>4.0054933516888127</v>
      </c>
      <c r="AJ31" s="1">
        <f>[1]Results!AM1392</f>
        <v>3.7767354504282338</v>
      </c>
      <c r="AK31" s="1">
        <f>[1]Results!AN1392</f>
        <v>3.5298504951677536</v>
      </c>
      <c r="AL31" s="1">
        <f>[1]Results!AO1392</f>
        <v>3.316524182519661</v>
      </c>
    </row>
    <row r="32" spans="1:38" x14ac:dyDescent="0.35">
      <c r="A32" s="3" t="str">
        <f>[1]Results!E1393</f>
        <v>100*(MPS_n_2-MPS_n_0)</v>
      </c>
      <c r="B32" t="str">
        <f>[1]Results!C1393</f>
        <v>Taux d'épargne</v>
      </c>
      <c r="C32" s="1">
        <f>[1]Results!F1393</f>
        <v>0</v>
      </c>
      <c r="D32" s="1">
        <f>[1]Results!G1393</f>
        <v>0</v>
      </c>
      <c r="E32" s="1">
        <f>[1]Results!H1393</f>
        <v>0</v>
      </c>
      <c r="F32" s="1">
        <f>[1]Results!I1393</f>
        <v>0</v>
      </c>
      <c r="G32" s="1">
        <f>[1]Results!J1393</f>
        <v>0</v>
      </c>
      <c r="H32" s="1">
        <f>[1]Results!K1393</f>
        <v>0</v>
      </c>
      <c r="I32" s="1">
        <f>[1]Results!L1393</f>
        <v>0</v>
      </c>
      <c r="J32" s="1">
        <f>[1]Results!M1393</f>
        <v>0</v>
      </c>
      <c r="K32" s="1">
        <f>[1]Results!N1393</f>
        <v>0</v>
      </c>
      <c r="L32" s="1">
        <f>[1]Results!O1393</f>
        <v>0</v>
      </c>
      <c r="M32" s="1">
        <f>[1]Results!P1393</f>
        <v>0</v>
      </c>
      <c r="N32" s="1">
        <f>[1]Results!Q1393</f>
        <v>0</v>
      </c>
      <c r="O32" s="1">
        <f>[1]Results!R1393</f>
        <v>0</v>
      </c>
      <c r="P32" s="1">
        <f>[1]Results!S1393</f>
        <v>0</v>
      </c>
      <c r="Q32" s="1">
        <f>[1]Results!T1393</f>
        <v>0</v>
      </c>
      <c r="R32" s="1">
        <f>[1]Results!U1393</f>
        <v>0</v>
      </c>
      <c r="S32" s="1">
        <f>[1]Results!V1393</f>
        <v>0</v>
      </c>
      <c r="T32" s="1">
        <f>[1]Results!W1393</f>
        <v>0</v>
      </c>
      <c r="U32" s="1">
        <f>[1]Results!X1393</f>
        <v>0</v>
      </c>
      <c r="V32" s="1">
        <f>[1]Results!Y1393</f>
        <v>0</v>
      </c>
      <c r="W32" s="1">
        <f>[1]Results!Z1393</f>
        <v>0</v>
      </c>
      <c r="X32" s="1">
        <f>[1]Results!AA1393</f>
        <v>0</v>
      </c>
      <c r="Y32" s="1">
        <f>[1]Results!AB1393</f>
        <v>0</v>
      </c>
      <c r="Z32" s="1">
        <f>[1]Results!AC1393</f>
        <v>0</v>
      </c>
      <c r="AA32" s="1">
        <f>[1]Results!AD1393</f>
        <v>0</v>
      </c>
      <c r="AB32" s="1">
        <f>[1]Results!AE1393</f>
        <v>0</v>
      </c>
      <c r="AC32" s="1">
        <f>[1]Results!AF1393</f>
        <v>0</v>
      </c>
      <c r="AD32" s="1">
        <f>[1]Results!AG1393</f>
        <v>0</v>
      </c>
      <c r="AE32" s="1">
        <f>[1]Results!AH1393</f>
        <v>0</v>
      </c>
      <c r="AF32" s="1">
        <f>[1]Results!AI1393</f>
        <v>0</v>
      </c>
      <c r="AG32" s="1">
        <f>[1]Results!AJ1393</f>
        <v>0</v>
      </c>
      <c r="AH32" s="1">
        <f>[1]Results!AK1393</f>
        <v>0</v>
      </c>
      <c r="AI32" s="1">
        <f>[1]Results!AL1393</f>
        <v>0</v>
      </c>
      <c r="AJ32" s="1">
        <f>[1]Results!AM1393</f>
        <v>0</v>
      </c>
      <c r="AK32" s="1">
        <f>[1]Results!AN1393</f>
        <v>0</v>
      </c>
      <c r="AL32" s="1">
        <f>[1]Results!AO1393</f>
        <v>0</v>
      </c>
    </row>
    <row r="33" spans="1:38" x14ac:dyDescent="0.35">
      <c r="A33" s="3" t="str">
        <f>[1]Results!E1394</f>
        <v>100*(PCH_2/PCH_0-1)</v>
      </c>
      <c r="B33" t="str">
        <f>[1]Results!C1394</f>
        <v>Prix à la consommation des ménages</v>
      </c>
      <c r="C33" s="1">
        <f>[1]Results!F1394</f>
        <v>0</v>
      </c>
      <c r="D33" s="1">
        <f>[1]Results!G1394</f>
        <v>0</v>
      </c>
      <c r="E33" s="1">
        <f>[1]Results!H1394</f>
        <v>-2.7353119769202294E-8</v>
      </c>
      <c r="F33" s="1">
        <f>[1]Results!I1394</f>
        <v>-2.7822921744302676E-8</v>
      </c>
      <c r="G33" s="1">
        <f>[1]Results!J1394</f>
        <v>-5.7404947462202927E-8</v>
      </c>
      <c r="H33" s="1">
        <f>[1]Results!K1394</f>
        <v>2.962858847155303E-8</v>
      </c>
      <c r="I33" s="1">
        <f>[1]Results!L1394</f>
        <v>-0.13514693330407557</v>
      </c>
      <c r="J33" s="1">
        <f>[1]Results!M1394</f>
        <v>-0.5859649535504996</v>
      </c>
      <c r="K33" s="1">
        <f>[1]Results!N1394</f>
        <v>-1.1110549631442979</v>
      </c>
      <c r="L33" s="1">
        <f>[1]Results!O1394</f>
        <v>-1.6330425806984961</v>
      </c>
      <c r="M33" s="1">
        <f>[1]Results!P1394</f>
        <v>-2.0951333968851182</v>
      </c>
      <c r="N33" s="1">
        <f>[1]Results!Q1394</f>
        <v>-2.2217643208702453</v>
      </c>
      <c r="O33" s="1">
        <f>[1]Results!R1394</f>
        <v>-1.9996350796960938</v>
      </c>
      <c r="P33" s="1">
        <f>[1]Results!S1394</f>
        <v>-1.5978332719515764</v>
      </c>
      <c r="Q33" s="1">
        <f>[1]Results!T1394</f>
        <v>-1.1062059632803711</v>
      </c>
      <c r="R33" s="1">
        <f>[1]Results!U1394</f>
        <v>-0.55419798335640813</v>
      </c>
      <c r="S33" s="1">
        <f>[1]Results!V1394</f>
        <v>-1.2750993427056656E-2</v>
      </c>
      <c r="T33" s="1">
        <f>[1]Results!W1394</f>
        <v>0.48491690916254804</v>
      </c>
      <c r="U33" s="1">
        <f>[1]Results!X1394</f>
        <v>0.94094074718131893</v>
      </c>
      <c r="V33" s="1">
        <f>[1]Results!Y1394</f>
        <v>1.3570740756680983</v>
      </c>
      <c r="W33" s="1">
        <f>[1]Results!Z1394</f>
        <v>1.7310865584467798</v>
      </c>
      <c r="X33" s="1">
        <f>[1]Results!AA1394</f>
        <v>2.0577385169018516</v>
      </c>
      <c r="Y33" s="1">
        <f>[1]Results!AB1394</f>
        <v>2.3133924394841401</v>
      </c>
      <c r="Z33" s="1">
        <f>[1]Results!AC1394</f>
        <v>2.4768430013389686</v>
      </c>
      <c r="AA33" s="1">
        <f>[1]Results!AD1394</f>
        <v>2.5391548602970353</v>
      </c>
      <c r="AB33" s="1">
        <f>[1]Results!AE1394</f>
        <v>2.5562028444026303</v>
      </c>
      <c r="AC33" s="1">
        <f>[1]Results!AF1394</f>
        <v>2.4726552547226461</v>
      </c>
      <c r="AD33" s="1">
        <f>[1]Results!AG1394</f>
        <v>2.3312848151726868</v>
      </c>
      <c r="AE33" s="1">
        <f>[1]Results!AH1394</f>
        <v>2.133045907288377</v>
      </c>
      <c r="AF33" s="1">
        <f>[1]Results!AI1394</f>
        <v>1.8827164253187831</v>
      </c>
      <c r="AG33" s="1">
        <f>[1]Results!AJ1394</f>
        <v>1.5877520319963061</v>
      </c>
      <c r="AH33" s="1">
        <f>[1]Results!AK1394</f>
        <v>1.2516960287287198</v>
      </c>
      <c r="AI33" s="1">
        <f>[1]Results!AL1394</f>
        <v>0.88191599568420997</v>
      </c>
      <c r="AJ33" s="1">
        <f>[1]Results!AM1394</f>
        <v>0.49444242265681382</v>
      </c>
      <c r="AK33" s="1">
        <f>[1]Results!AN1394</f>
        <v>0.10665607222244589</v>
      </c>
      <c r="AL33" s="1">
        <f>[1]Results!AO1394</f>
        <v>-0.107195440607601</v>
      </c>
    </row>
    <row r="34" spans="1:38" x14ac:dyDescent="0.35">
      <c r="A34" s="3" t="str">
        <f>[1]Results!E1395</f>
        <v>100*(PY_2/PY_0-1)</v>
      </c>
      <c r="B34" t="str">
        <f>[1]Results!C1395</f>
        <v>Prix à la production marchande</v>
      </c>
      <c r="C34" s="1">
        <f>[1]Results!F1395</f>
        <v>0</v>
      </c>
      <c r="D34" s="1">
        <f>[1]Results!G1395</f>
        <v>0</v>
      </c>
      <c r="E34" s="1">
        <f>[1]Results!H1395</f>
        <v>0</v>
      </c>
      <c r="F34" s="1">
        <f>[1]Results!I1395</f>
        <v>9.2949004049103223E-8</v>
      </c>
      <c r="G34" s="1">
        <f>[1]Results!J1395</f>
        <v>9.07596886534634E-8</v>
      </c>
      <c r="H34" s="1">
        <f>[1]Results!K1395</f>
        <v>8.9085272492184231E-8</v>
      </c>
      <c r="I34" s="1">
        <f>[1]Results!L1395</f>
        <v>-5.4027314457449904E-2</v>
      </c>
      <c r="J34" s="1">
        <f>[1]Results!M1395</f>
        <v>0.20743181217588447</v>
      </c>
      <c r="K34" s="1">
        <f>[1]Results!N1395</f>
        <v>0.74768221957526304</v>
      </c>
      <c r="L34" s="1">
        <f>[1]Results!O1395</f>
        <v>1.6423559438414337</v>
      </c>
      <c r="M34" s="1">
        <f>[1]Results!P1395</f>
        <v>3.0437294636172618</v>
      </c>
      <c r="N34" s="1">
        <f>[1]Results!Q1395</f>
        <v>4.2058494148444536</v>
      </c>
      <c r="O34" s="1">
        <f>[1]Results!R1395</f>
        <v>5.1964934645094774</v>
      </c>
      <c r="P34" s="1">
        <f>[1]Results!S1395</f>
        <v>6.1040155707340116</v>
      </c>
      <c r="Q34" s="1">
        <f>[1]Results!T1395</f>
        <v>6.9843719782140878</v>
      </c>
      <c r="R34" s="1">
        <f>[1]Results!U1395</f>
        <v>7.8635889040852947</v>
      </c>
      <c r="S34" s="1">
        <f>[1]Results!V1395</f>
        <v>8.8119071778805846</v>
      </c>
      <c r="T34" s="1">
        <f>[1]Results!W1395</f>
        <v>9.852384406182102</v>
      </c>
      <c r="U34" s="1">
        <f>[1]Results!X1395</f>
        <v>10.968947961376196</v>
      </c>
      <c r="V34" s="1">
        <f>[1]Results!Y1395</f>
        <v>12.118677308896842</v>
      </c>
      <c r="W34" s="1">
        <f>[1]Results!Z1395</f>
        <v>13.264794180264472</v>
      </c>
      <c r="X34" s="1">
        <f>[1]Results!AA1395</f>
        <v>14.303425189972629</v>
      </c>
      <c r="Y34" s="1">
        <f>[1]Results!AB1395</f>
        <v>15.231552538588478</v>
      </c>
      <c r="Z34" s="1">
        <f>[1]Results!AC1395</f>
        <v>16.038866584480637</v>
      </c>
      <c r="AA34" s="1">
        <f>[1]Results!AD1395</f>
        <v>16.713021094460224</v>
      </c>
      <c r="AB34" s="1">
        <f>[1]Results!AE1395</f>
        <v>17.258407597063385</v>
      </c>
      <c r="AC34" s="1">
        <f>[1]Results!AF1395</f>
        <v>17.59496577479598</v>
      </c>
      <c r="AD34" s="1">
        <f>[1]Results!AG1395</f>
        <v>17.806439280793374</v>
      </c>
      <c r="AE34" s="1">
        <f>[1]Results!AH1395</f>
        <v>17.930236219044062</v>
      </c>
      <c r="AF34" s="1">
        <f>[1]Results!AI1395</f>
        <v>17.981455819656599</v>
      </c>
      <c r="AG34" s="1">
        <f>[1]Results!AJ1395</f>
        <v>17.971403015487031</v>
      </c>
      <c r="AH34" s="1">
        <f>[1]Results!AK1395</f>
        <v>17.889409726720462</v>
      </c>
      <c r="AI34" s="1">
        <f>[1]Results!AL1395</f>
        <v>17.766577773749461</v>
      </c>
      <c r="AJ34" s="1">
        <f>[1]Results!AM1395</f>
        <v>17.623410899793935</v>
      </c>
      <c r="AK34" s="1">
        <f>[1]Results!AN1395</f>
        <v>17.475758567234823</v>
      </c>
      <c r="AL34" s="1">
        <f>[1]Results!AO1395</f>
        <v>17.381764793651012</v>
      </c>
    </row>
    <row r="35" spans="1:38" x14ac:dyDescent="0.35">
      <c r="A35" s="3" t="str">
        <f>[1]Results!E1396</f>
        <v>100*(PX_2/PX_0-1)</v>
      </c>
      <c r="B35" t="str">
        <f>[1]Results!C1396</f>
        <v>Prix des exportations</v>
      </c>
      <c r="C35" s="1">
        <f>[1]Results!F1396</f>
        <v>9.9791175323105108E-8</v>
      </c>
      <c r="D35" s="1">
        <f>[1]Results!G1396</f>
        <v>0</v>
      </c>
      <c r="E35" s="1">
        <f>[1]Results!H1396</f>
        <v>9.5446051062708648E-8</v>
      </c>
      <c r="F35" s="1">
        <f>[1]Results!I1396</f>
        <v>9.2843910337592206E-8</v>
      </c>
      <c r="G35" s="1">
        <f>[1]Results!J1396</f>
        <v>9.073077844590216E-8</v>
      </c>
      <c r="H35" s="1">
        <f>[1]Results!K1396</f>
        <v>8.9339446951441914E-8</v>
      </c>
      <c r="I35" s="1">
        <f>[1]Results!L1396</f>
        <v>-5.7636981684594524E-2</v>
      </c>
      <c r="J35" s="1">
        <f>[1]Results!M1396</f>
        <v>0.32028334558258376</v>
      </c>
      <c r="K35" s="1">
        <f>[1]Results!N1396</f>
        <v>1.0142586676502807</v>
      </c>
      <c r="L35" s="1">
        <f>[1]Results!O1396</f>
        <v>2.1026835637027119</v>
      </c>
      <c r="M35" s="1">
        <f>[1]Results!P1396</f>
        <v>3.7410756276849533</v>
      </c>
      <c r="N35" s="1">
        <f>[1]Results!Q1396</f>
        <v>4.9769412272644864</v>
      </c>
      <c r="O35" s="1">
        <f>[1]Results!R1396</f>
        <v>5.9175941308554636</v>
      </c>
      <c r="P35" s="1">
        <f>[1]Results!S1396</f>
        <v>6.6982956614187739</v>
      </c>
      <c r="Q35" s="1">
        <f>[1]Results!T1396</f>
        <v>7.4040322247924895</v>
      </c>
      <c r="R35" s="1">
        <f>[1]Results!U1396</f>
        <v>8.0802285837007446</v>
      </c>
      <c r="S35" s="1">
        <f>[1]Results!V1396</f>
        <v>8.8366147202499477</v>
      </c>
      <c r="T35" s="1">
        <f>[1]Results!W1396</f>
        <v>9.7064691860450978</v>
      </c>
      <c r="U35" s="1">
        <f>[1]Results!X1396</f>
        <v>10.675714027640693</v>
      </c>
      <c r="V35" s="1">
        <f>[1]Results!Y1396</f>
        <v>11.698849901681797</v>
      </c>
      <c r="W35" s="1">
        <f>[1]Results!Z1396</f>
        <v>12.729131791009562</v>
      </c>
      <c r="X35" s="1">
        <f>[1]Results!AA1396</f>
        <v>13.651242493721561</v>
      </c>
      <c r="Y35" s="1">
        <f>[1]Results!AB1396</f>
        <v>14.468797596273886</v>
      </c>
      <c r="Z35" s="1">
        <f>[1]Results!AC1396</f>
        <v>15.171352618664713</v>
      </c>
      <c r="AA35" s="1">
        <f>[1]Results!AD1396</f>
        <v>15.746144261599305</v>
      </c>
      <c r="AB35" s="1">
        <f>[1]Results!AE1396</f>
        <v>16.190745612552448</v>
      </c>
      <c r="AC35" s="1">
        <f>[1]Results!AF1396</f>
        <v>16.502860960459429</v>
      </c>
      <c r="AD35" s="1">
        <f>[1]Results!AG1396</f>
        <v>16.695932995890317</v>
      </c>
      <c r="AE35" s="1">
        <f>[1]Results!AH1396</f>
        <v>16.811328410438641</v>
      </c>
      <c r="AF35" s="1">
        <f>[1]Results!AI1396</f>
        <v>16.857999394189992</v>
      </c>
      <c r="AG35" s="1">
        <f>[1]Results!AJ1396</f>
        <v>16.844911142402765</v>
      </c>
      <c r="AH35" s="1">
        <f>[1]Results!AK1396</f>
        <v>16.762193144558914</v>
      </c>
      <c r="AI35" s="1">
        <f>[1]Results!AL1396</f>
        <v>16.645673795875425</v>
      </c>
      <c r="AJ35" s="1">
        <f>[1]Results!AM1396</f>
        <v>16.514010404163002</v>
      </c>
      <c r="AK35" s="1">
        <f>[1]Results!AN1396</f>
        <v>16.381788511080408</v>
      </c>
      <c r="AL35" s="1">
        <f>[1]Results!AO1396</f>
        <v>16.300316137845485</v>
      </c>
    </row>
    <row r="36" spans="1:38" x14ac:dyDescent="0.35">
      <c r="A36" s="3" t="str">
        <f>[1]Results!E1397</f>
        <v>100*(PM_2/PM_0-1)</v>
      </c>
      <c r="B36" t="str">
        <f>[1]Results!C1397</f>
        <v>Prix des importations</v>
      </c>
      <c r="C36" s="1">
        <f>[1]Results!F1397</f>
        <v>0</v>
      </c>
      <c r="D36" s="1">
        <f>[1]Results!G1397</f>
        <v>0</v>
      </c>
      <c r="E36" s="1">
        <f>[1]Results!H1397</f>
        <v>0</v>
      </c>
      <c r="F36" s="1">
        <f>[1]Results!I1397</f>
        <v>0</v>
      </c>
      <c r="G36" s="1">
        <f>[1]Results!J1397</f>
        <v>0</v>
      </c>
      <c r="H36" s="1">
        <f>[1]Results!K1397</f>
        <v>0</v>
      </c>
      <c r="I36" s="1">
        <f>[1]Results!L1397</f>
        <v>-1.0703717822746484E-3</v>
      </c>
      <c r="J36" s="1">
        <f>[1]Results!M1397</f>
        <v>0.65168692380475068</v>
      </c>
      <c r="K36" s="1">
        <f>[1]Results!N1397</f>
        <v>1.1745028848428873</v>
      </c>
      <c r="L36" s="1">
        <f>[1]Results!O1397</f>
        <v>1.7200986516217487</v>
      </c>
      <c r="M36" s="1">
        <f>[1]Results!P1397</f>
        <v>2.3476417126979898</v>
      </c>
      <c r="N36" s="1">
        <f>[1]Results!Q1397</f>
        <v>2.7350742033664721</v>
      </c>
      <c r="O36" s="1">
        <f>[1]Results!R1397</f>
        <v>2.8571149291514386</v>
      </c>
      <c r="P36" s="1">
        <f>[1]Results!S1397</f>
        <v>2.8317377287223833</v>
      </c>
      <c r="Q36" s="1">
        <f>[1]Results!T1397</f>
        <v>2.6924978289323054</v>
      </c>
      <c r="R36" s="1">
        <f>[1]Results!U1397</f>
        <v>2.4536548788877344</v>
      </c>
      <c r="S36" s="1">
        <f>[1]Results!V1397</f>
        <v>2.2449782789398354</v>
      </c>
      <c r="T36" s="1">
        <f>[1]Results!W1397</f>
        <v>2.2193339647545551</v>
      </c>
      <c r="U36" s="1">
        <f>[1]Results!X1397</f>
        <v>2.2635952118744029</v>
      </c>
      <c r="V36" s="1">
        <f>[1]Results!Y1397</f>
        <v>2.3324555253553703</v>
      </c>
      <c r="W36" s="1">
        <f>[1]Results!Z1397</f>
        <v>2.3882267429626181</v>
      </c>
      <c r="X36" s="1">
        <f>[1]Results!AA1397</f>
        <v>2.4476821863558262</v>
      </c>
      <c r="Y36" s="1">
        <f>[1]Results!AB1397</f>
        <v>2.5247293608334553</v>
      </c>
      <c r="Z36" s="1">
        <f>[1]Results!AC1397</f>
        <v>2.578086552071257</v>
      </c>
      <c r="AA36" s="1">
        <f>[1]Results!AD1397</f>
        <v>2.5872672271657349</v>
      </c>
      <c r="AB36" s="1">
        <f>[1]Results!AE1397</f>
        <v>2.5499151455824043</v>
      </c>
      <c r="AC36" s="1">
        <f>[1]Results!AF1397</f>
        <v>2.5742738382945829</v>
      </c>
      <c r="AD36" s="1">
        <f>[1]Results!AG1397</f>
        <v>2.7072922425433577</v>
      </c>
      <c r="AE36" s="1">
        <f>[1]Results!AH1397</f>
        <v>2.8599886796066398</v>
      </c>
      <c r="AF36" s="1">
        <f>[1]Results!AI1397</f>
        <v>3.0060523790072846</v>
      </c>
      <c r="AG36" s="1">
        <f>[1]Results!AJ1397</f>
        <v>3.1392891888610164</v>
      </c>
      <c r="AH36" s="1">
        <f>[1]Results!AK1397</f>
        <v>3.2954563148849481</v>
      </c>
      <c r="AI36" s="1">
        <f>[1]Results!AL1397</f>
        <v>3.5015333504171853</v>
      </c>
      <c r="AJ36" s="1">
        <f>[1]Results!AM1397</f>
        <v>3.7268305183589145</v>
      </c>
      <c r="AK36" s="1">
        <f>[1]Results!AN1397</f>
        <v>3.9585764071494722</v>
      </c>
      <c r="AL36" s="1">
        <f>[1]Results!AO1397</f>
        <v>4.2025045940268457</v>
      </c>
    </row>
    <row r="37" spans="1:38" x14ac:dyDescent="0.35">
      <c r="A37" s="3" t="str">
        <f>[1]Results!E1398</f>
        <v>100*(W_2/W_0-1)</v>
      </c>
      <c r="B37" t="str">
        <f>[1]Results!C1398</f>
        <v>Salaire net nominal (hors cotisations employeurs et employés, unitaire)</v>
      </c>
      <c r="C37" s="1">
        <f>[1]Results!F1398</f>
        <v>0</v>
      </c>
      <c r="D37" s="1">
        <f>[1]Results!G1398</f>
        <v>0</v>
      </c>
      <c r="E37" s="1">
        <f>[1]Results!H1398</f>
        <v>2.2808888111569559E-8</v>
      </c>
      <c r="F37" s="1">
        <f>[1]Results!I1398</f>
        <v>2.207281024624308E-8</v>
      </c>
      <c r="G37" s="1">
        <f>[1]Results!J1398</f>
        <v>6.3940608363566298E-8</v>
      </c>
      <c r="H37" s="1">
        <f>[1]Results!K1398</f>
        <v>8.2257667344265428E-8</v>
      </c>
      <c r="I37" s="1">
        <f>[1]Results!L1398</f>
        <v>-2.5789411893817338E-2</v>
      </c>
      <c r="J37" s="1">
        <f>[1]Results!M1398</f>
        <v>-0.10311353523527744</v>
      </c>
      <c r="K37" s="1">
        <f>[1]Results!N1398</f>
        <v>-8.6339364172194344E-2</v>
      </c>
      <c r="L37" s="1">
        <f>[1]Results!O1398</f>
        <v>0.10793194898219838</v>
      </c>
      <c r="M37" s="1">
        <f>[1]Results!P1398</f>
        <v>0.56904812796196858</v>
      </c>
      <c r="N37" s="1">
        <f>[1]Results!Q1398</f>
        <v>1.4086145979285147</v>
      </c>
      <c r="O37" s="1">
        <f>[1]Results!R1398</f>
        <v>2.4148480630856728</v>
      </c>
      <c r="P37" s="1">
        <f>[1]Results!S1398</f>
        <v>3.4719040291075309</v>
      </c>
      <c r="Q37" s="1">
        <f>[1]Results!T1398</f>
        <v>4.5283466892502178</v>
      </c>
      <c r="R37" s="1">
        <f>[1]Results!U1398</f>
        <v>5.5705772940439768</v>
      </c>
      <c r="S37" s="1">
        <f>[1]Results!V1398</f>
        <v>6.5832959270835767</v>
      </c>
      <c r="T37" s="1">
        <f>[1]Results!W1398</f>
        <v>7.5961530722719495</v>
      </c>
      <c r="U37" s="1">
        <f>[1]Results!X1398</f>
        <v>8.6320110111566706</v>
      </c>
      <c r="V37" s="1">
        <f>[1]Results!Y1398</f>
        <v>9.6986367381536542</v>
      </c>
      <c r="W37" s="1">
        <f>[1]Results!Z1398</f>
        <v>10.782023705671362</v>
      </c>
      <c r="X37" s="1">
        <f>[1]Results!AA1398</f>
        <v>11.861649296667775</v>
      </c>
      <c r="Y37" s="1">
        <f>[1]Results!AB1398</f>
        <v>12.887168473371279</v>
      </c>
      <c r="Z37" s="1">
        <f>[1]Results!AC1398</f>
        <v>13.82349188771499</v>
      </c>
      <c r="AA37" s="1">
        <f>[1]Results!AD1398</f>
        <v>14.642920375349311</v>
      </c>
      <c r="AB37" s="1">
        <f>[1]Results!AE1398</f>
        <v>15.337442278349013</v>
      </c>
      <c r="AC37" s="1">
        <f>[1]Results!AF1398</f>
        <v>15.887533306187196</v>
      </c>
      <c r="AD37" s="1">
        <f>[1]Results!AG1398</f>
        <v>16.290090941358713</v>
      </c>
      <c r="AE37" s="1">
        <f>[1]Results!AH1398</f>
        <v>16.552009186426631</v>
      </c>
      <c r="AF37" s="1">
        <f>[1]Results!AI1398</f>
        <v>16.684868691904221</v>
      </c>
      <c r="AG37" s="1">
        <f>[1]Results!AJ1398</f>
        <v>16.701742401045582</v>
      </c>
      <c r="AH37" s="1">
        <f>[1]Results!AK1398</f>
        <v>16.617074892035745</v>
      </c>
      <c r="AI37" s="1">
        <f>[1]Results!AL1398</f>
        <v>16.441398809798223</v>
      </c>
      <c r="AJ37" s="1">
        <f>[1]Results!AM1398</f>
        <v>16.194971715144881</v>
      </c>
      <c r="AK37" s="1">
        <f>[1]Results!AN1398</f>
        <v>15.900051043121778</v>
      </c>
      <c r="AL37" s="1">
        <f>[1]Results!AO1398</f>
        <v>15.622262947770027</v>
      </c>
    </row>
    <row r="38" spans="1:38" x14ac:dyDescent="0.35">
      <c r="A38" s="3" t="str">
        <f>[1]Results!E1399</f>
        <v>100*((W_2/PCH_2)/(W_0/PCH_0)-1)</v>
      </c>
      <c r="B38" t="str">
        <f>[1]Results!C1399</f>
        <v>Salaire net réel (hors cotisations employeurs et employés, unitaire)</v>
      </c>
      <c r="C38" s="1">
        <f>[1]Results!F1399</f>
        <v>0</v>
      </c>
      <c r="D38" s="1">
        <f>[1]Results!G1399</f>
        <v>0</v>
      </c>
      <c r="E38" s="1">
        <f>[1]Results!H1399</f>
        <v>-7.2729344768873716E-8</v>
      </c>
      <c r="F38" s="1">
        <f>[1]Results!I1399</f>
        <v>-7.1020866965199048E-8</v>
      </c>
      <c r="G38" s="1">
        <f>[1]Results!J1399</f>
        <v>-1.183217412936699E-7</v>
      </c>
      <c r="H38" s="1">
        <f>[1]Results!K1399</f>
        <v>-7.393929912780095E-9</v>
      </c>
      <c r="I38" s="1">
        <f>[1]Results!L1399</f>
        <v>1.7403797603665616E-2</v>
      </c>
      <c r="J38" s="1">
        <f>[1]Results!M1399</f>
        <v>-0.53259512308759804</v>
      </c>
      <c r="K38" s="1">
        <f>[1]Results!N1399</f>
        <v>-1.2499936255176092</v>
      </c>
      <c r="L38" s="1">
        <f>[1]Results!O1399</f>
        <v>-2.1478463323740038</v>
      </c>
      <c r="M38" s="1">
        <f>[1]Results!P1399</f>
        <v>-3.2768336005401522</v>
      </c>
      <c r="N38" s="1">
        <f>[1]Results!Q1399</f>
        <v>-3.4786209103364052</v>
      </c>
      <c r="O38" s="1">
        <f>[1]Results!R1399</f>
        <v>-3.3736209563781761</v>
      </c>
      <c r="P38" s="1">
        <f>[1]Results!S1399</f>
        <v>-3.1520536760618389</v>
      </c>
      <c r="Q38" s="1">
        <f>[1]Results!T1399</f>
        <v>-2.9042062575307837</v>
      </c>
      <c r="R38" s="1">
        <f>[1]Results!U1399</f>
        <v>-2.6598587874362423</v>
      </c>
      <c r="S38" s="1">
        <f>[1]Results!V1399</f>
        <v>-2.5162147318611217</v>
      </c>
      <c r="T38" s="1">
        <f>[1]Results!W1399</f>
        <v>-2.4520435385087969</v>
      </c>
      <c r="U38" s="1">
        <f>[1]Results!X1399</f>
        <v>-2.4197264181418321</v>
      </c>
      <c r="V38" s="1">
        <f>[1]Results!Y1399</f>
        <v>-2.3684077770740219</v>
      </c>
      <c r="W38" s="1">
        <f>[1]Results!Z1399</f>
        <v>-2.2916511599449518</v>
      </c>
      <c r="X38" s="1">
        <f>[1]Results!AA1399</f>
        <v>-2.1062245503540855</v>
      </c>
      <c r="Y38" s="1">
        <f>[1]Results!AB1399</f>
        <v>-1.8880820111529029</v>
      </c>
      <c r="Z38" s="1">
        <f>[1]Results!AC1399</f>
        <v>-1.6535132150174769</v>
      </c>
      <c r="AA38" s="1">
        <f>[1]Results!AD1399</f>
        <v>-1.4126848030940997</v>
      </c>
      <c r="AB38" s="1">
        <f>[1]Results!AE1399</f>
        <v>-1.173589556160981</v>
      </c>
      <c r="AC38" s="1">
        <f>[1]Results!AF1399</f>
        <v>-0.91467549741018894</v>
      </c>
      <c r="AD38" s="1">
        <f>[1]Results!AG1399</f>
        <v>-0.70551499632678372</v>
      </c>
      <c r="AE38" s="1">
        <f>[1]Results!AH1399</f>
        <v>-0.54418375994650381</v>
      </c>
      <c r="AF38" s="1">
        <f>[1]Results!AI1399</f>
        <v>-0.42694769978701697</v>
      </c>
      <c r="AG38" s="1">
        <f>[1]Results!AJ1399</f>
        <v>-0.35069267482804589</v>
      </c>
      <c r="AH38" s="1">
        <f>[1]Results!AK1399</f>
        <v>-0.29619683895502069</v>
      </c>
      <c r="AI38" s="1">
        <f>[1]Results!AL1399</f>
        <v>-0.29072843992302699</v>
      </c>
      <c r="AJ38" s="1">
        <f>[1]Results!AM1399</f>
        <v>-0.32932541166978968</v>
      </c>
      <c r="AK38" s="1">
        <f>[1]Results!AN1399</f>
        <v>-0.40493802060080908</v>
      </c>
      <c r="AL38" s="1">
        <f>[1]Results!AO1399</f>
        <v>-0.50655066511781088</v>
      </c>
    </row>
    <row r="39" spans="1:38" x14ac:dyDescent="0.35">
      <c r="A39" s="3" t="str">
        <f>[1]Results!E1400</f>
        <v>100*(C_L_2/C_L_0-1)</v>
      </c>
      <c r="B39" t="str">
        <f>[1]Results!C1400</f>
        <v>Coût du travail nominal (yc. Cotisations employeurs et employés, unitaire)</v>
      </c>
      <c r="C39" s="1">
        <f>[1]Results!F1400</f>
        <v>0</v>
      </c>
      <c r="D39" s="1">
        <f>[1]Results!G1400</f>
        <v>0</v>
      </c>
      <c r="E39" s="1">
        <f>[1]Results!H1400</f>
        <v>1.7909251859293818E-8</v>
      </c>
      <c r="F39" s="1">
        <f>[1]Results!I1400</f>
        <v>3.4662628323189892E-8</v>
      </c>
      <c r="G39" s="1">
        <f>[1]Results!J1400</f>
        <v>5.0205395396574204E-8</v>
      </c>
      <c r="H39" s="1">
        <f>[1]Results!K1400</f>
        <v>8.0734685603545131E-8</v>
      </c>
      <c r="I39" s="1">
        <f>[1]Results!L1400</f>
        <v>-2.5789416153787492E-2</v>
      </c>
      <c r="J39" s="1">
        <f>[1]Results!M1400</f>
        <v>-0.10311352779254213</v>
      </c>
      <c r="K39" s="1">
        <f>[1]Results!N1400</f>
        <v>-8.6339375291322185E-2</v>
      </c>
      <c r="L39" s="1">
        <f>[1]Results!O1400</f>
        <v>0.10793195093499186</v>
      </c>
      <c r="M39" s="1">
        <f>[1]Results!P1400</f>
        <v>0.56904811904059382</v>
      </c>
      <c r="N39" s="1">
        <f>[1]Results!Q1400</f>
        <v>1.4086146150058099</v>
      </c>
      <c r="O39" s="1">
        <f>[1]Results!R1400</f>
        <v>2.4148480635004521</v>
      </c>
      <c r="P39" s="1">
        <f>[1]Results!S1400</f>
        <v>3.4719040493771391</v>
      </c>
      <c r="Q39" s="1">
        <f>[1]Results!T1400</f>
        <v>4.5283466953630613</v>
      </c>
      <c r="R39" s="1">
        <f>[1]Results!U1400</f>
        <v>5.5705773115777957</v>
      </c>
      <c r="S39" s="1">
        <f>[1]Results!V1400</f>
        <v>6.5832959316592499</v>
      </c>
      <c r="T39" s="1">
        <f>[1]Results!W1400</f>
        <v>7.5961530794983245</v>
      </c>
      <c r="U39" s="1">
        <f>[1]Results!X1400</f>
        <v>8.6320110410194282</v>
      </c>
      <c r="V39" s="1">
        <f>[1]Results!Y1400</f>
        <v>9.6986367185809996</v>
      </c>
      <c r="W39" s="1">
        <f>[1]Results!Z1400</f>
        <v>10.782023658317396</v>
      </c>
      <c r="X39" s="1">
        <f>[1]Results!AA1400</f>
        <v>11.861649293589238</v>
      </c>
      <c r="Y39" s="1">
        <f>[1]Results!AB1400</f>
        <v>12.887168525159431</v>
      </c>
      <c r="Z39" s="1">
        <f>[1]Results!AC1400</f>
        <v>13.823491925583141</v>
      </c>
      <c r="AA39" s="1">
        <f>[1]Results!AD1400</f>
        <v>14.64292040046522</v>
      </c>
      <c r="AB39" s="1">
        <f>[1]Results!AE1400</f>
        <v>15.337442279646197</v>
      </c>
      <c r="AC39" s="1">
        <f>[1]Results!AF1400</f>
        <v>15.887533267059517</v>
      </c>
      <c r="AD39" s="1">
        <f>[1]Results!AG1400</f>
        <v>16.290090940500669</v>
      </c>
      <c r="AE39" s="1">
        <f>[1]Results!AH1400</f>
        <v>16.552009180447392</v>
      </c>
      <c r="AF39" s="1">
        <f>[1]Results!AI1400</f>
        <v>16.684868656624285</v>
      </c>
      <c r="AG39" s="1">
        <f>[1]Results!AJ1400</f>
        <v>16.701742448679525</v>
      </c>
      <c r="AH39" s="1">
        <f>[1]Results!AK1400</f>
        <v>16.617074908636951</v>
      </c>
      <c r="AI39" s="1">
        <f>[1]Results!AL1400</f>
        <v>16.441398806604425</v>
      </c>
      <c r="AJ39" s="1">
        <f>[1]Results!AM1400</f>
        <v>16.194971759512544</v>
      </c>
      <c r="AK39" s="1">
        <f>[1]Results!AN1400</f>
        <v>15.900051010937432</v>
      </c>
      <c r="AL39" s="1">
        <f>[1]Results!AO1400</f>
        <v>15.6222629657379</v>
      </c>
    </row>
    <row r="40" spans="1:38" x14ac:dyDescent="0.35">
      <c r="A40" s="3" t="str">
        <f>[1]Results!E1401</f>
        <v>100*((C_L_2/PVA_2)/(C_L_0/PVA_0)-1)</v>
      </c>
      <c r="B40" t="str">
        <f>[1]Results!C1401</f>
        <v>Coût réel du travail (yc. Cotisations employeurs et employés, unitaire)</v>
      </c>
      <c r="C40" s="1">
        <f>[1]Results!F1401</f>
        <v>0</v>
      </c>
      <c r="D40" s="1">
        <f>[1]Results!G1401</f>
        <v>0</v>
      </c>
      <c r="E40" s="1">
        <f>[1]Results!H1401</f>
        <v>1.790927406375431E-8</v>
      </c>
      <c r="F40" s="1">
        <f>[1]Results!I1401</f>
        <v>3.4662628323189892E-8</v>
      </c>
      <c r="G40" s="1">
        <f>[1]Results!J1401</f>
        <v>-4.0594350103617671E-8</v>
      </c>
      <c r="H40" s="1">
        <f>[1]Results!K1401</f>
        <v>-9.605624073927288E-8</v>
      </c>
      <c r="I40" s="1">
        <f>[1]Results!L1401</f>
        <v>3.767337132207782E-2</v>
      </c>
      <c r="J40" s="1">
        <f>[1]Results!M1401</f>
        <v>-6.0562576319811434E-2</v>
      </c>
      <c r="K40" s="1">
        <f>[1]Results!N1401</f>
        <v>-0.35424494099558501</v>
      </c>
      <c r="L40" s="1">
        <f>[1]Results!O1401</f>
        <v>-0.77113179899798157</v>
      </c>
      <c r="M40" s="1">
        <f>[1]Results!P1401</f>
        <v>-1.3301504917183959</v>
      </c>
      <c r="N40" s="1">
        <f>[1]Results!Q1401</f>
        <v>-1.7471068838393888</v>
      </c>
      <c r="O40" s="1">
        <f>[1]Results!R1401</f>
        <v>-1.8390075057412303</v>
      </c>
      <c r="P40" s="1">
        <f>[1]Results!S1401</f>
        <v>-1.8027647344405318</v>
      </c>
      <c r="Q40" s="1">
        <f>[1]Results!T1401</f>
        <v>-1.7482733892781654</v>
      </c>
      <c r="R40" s="1">
        <f>[1]Results!U1401</f>
        <v>-1.7184218765218362</v>
      </c>
      <c r="S40" s="1">
        <f>[1]Results!V1401</f>
        <v>-1.745291280157335</v>
      </c>
      <c r="T40" s="1">
        <f>[1]Results!W1401</f>
        <v>-1.8152867439846787</v>
      </c>
      <c r="U40" s="1">
        <f>[1]Results!X1401</f>
        <v>-1.9141527745507148</v>
      </c>
      <c r="V40" s="1">
        <f>[1]Results!Y1401</f>
        <v>-2.0091692915727322</v>
      </c>
      <c r="W40" s="1">
        <f>[1]Results!Z1401</f>
        <v>-2.0760895422963777</v>
      </c>
      <c r="X40" s="1">
        <f>[1]Results!AA1401</f>
        <v>-2.0845861789949405</v>
      </c>
      <c r="Y40" s="1">
        <f>[1]Results!AB1401</f>
        <v>-2.0248397590594158</v>
      </c>
      <c r="Z40" s="1">
        <f>[1]Results!AC1401</f>
        <v>-1.9206890606740856</v>
      </c>
      <c r="AA40" s="1">
        <f>[1]Results!AD1401</f>
        <v>-1.7833861501156067</v>
      </c>
      <c r="AB40" s="1">
        <f>[1]Results!AE1401</f>
        <v>-1.6238908772295613</v>
      </c>
      <c r="AC40" s="1">
        <f>[1]Results!AF1401</f>
        <v>-1.448859652150547</v>
      </c>
      <c r="AD40" s="1">
        <f>[1]Results!AG1401</f>
        <v>-1.2653684335798943</v>
      </c>
      <c r="AE40" s="1">
        <f>[1]Results!AH1401</f>
        <v>-1.1021706349075844</v>
      </c>
      <c r="AF40" s="1">
        <f>[1]Results!AI1401</f>
        <v>-0.96228257186782296</v>
      </c>
      <c r="AG40" s="1">
        <f>[1]Results!AJ1401</f>
        <v>-0.84608005346283877</v>
      </c>
      <c r="AH40" s="1">
        <f>[1]Results!AK1401</f>
        <v>-0.75126540426987409</v>
      </c>
      <c r="AI40" s="1">
        <f>[1]Results!AL1401</f>
        <v>-0.67779552553753897</v>
      </c>
      <c r="AJ40" s="1">
        <f>[1]Results!AM1401</f>
        <v>-0.63522020156812076</v>
      </c>
      <c r="AK40" s="1">
        <f>[1]Results!AN1401</f>
        <v>-0.62452738205019953</v>
      </c>
      <c r="AL40" s="1">
        <f>[1]Results!AO1401</f>
        <v>-0.6637021032256718</v>
      </c>
    </row>
    <row r="41" spans="1:38" x14ac:dyDescent="0.35">
      <c r="A41" s="3" t="str">
        <f>[1]Results!E1402</f>
        <v>((F_L_2/F_L_0)-1)*100</v>
      </c>
      <c r="B41" t="str">
        <f>[1]Results!C1402</f>
        <v>Emploi en %</v>
      </c>
      <c r="C41" s="1">
        <f>[1]Results!F1402</f>
        <v>0</v>
      </c>
      <c r="D41" s="1">
        <f>[1]Results!G1402</f>
        <v>0</v>
      </c>
      <c r="E41" s="1">
        <f>[1]Results!H1402</f>
        <v>0</v>
      </c>
      <c r="F41" s="1">
        <f>[1]Results!I1402</f>
        <v>0</v>
      </c>
      <c r="G41" s="1">
        <f>[1]Results!J1402</f>
        <v>0</v>
      </c>
      <c r="H41" s="1">
        <f>[1]Results!K1402</f>
        <v>0</v>
      </c>
      <c r="I41" s="1">
        <f>[1]Results!L1402</f>
        <v>-0.16141721733979875</v>
      </c>
      <c r="J41" s="1">
        <f>[1]Results!M1402</f>
        <v>-0.45458470157986319</v>
      </c>
      <c r="K41" s="1">
        <f>[1]Results!N1402</f>
        <v>-0.83379049755483159</v>
      </c>
      <c r="L41" s="1">
        <f>[1]Results!O1402</f>
        <v>-1.2360222197498549</v>
      </c>
      <c r="M41" s="1">
        <f>[1]Results!P1402</f>
        <v>-1.586488424992516</v>
      </c>
      <c r="N41" s="1">
        <f>[1]Results!Q1402</f>
        <v>-1.8789771227741392</v>
      </c>
      <c r="O41" s="1">
        <f>[1]Results!R1402</f>
        <v>-2.0722728764513865</v>
      </c>
      <c r="P41" s="1">
        <f>[1]Results!S1402</f>
        <v>-2.1495230694693612</v>
      </c>
      <c r="Q41" s="1">
        <f>[1]Results!T1402</f>
        <v>-2.1253535110047128</v>
      </c>
      <c r="R41" s="1">
        <f>[1]Results!U1402</f>
        <v>-2.01696775531226</v>
      </c>
      <c r="S41" s="1">
        <f>[1]Results!V1402</f>
        <v>-1.8545924449443918</v>
      </c>
      <c r="T41" s="1">
        <f>[1]Results!W1402</f>
        <v>-1.6683201802269121</v>
      </c>
      <c r="U41" s="1">
        <f>[1]Results!X1402</f>
        <v>-1.4963395304097182</v>
      </c>
      <c r="V41" s="1">
        <f>[1]Results!Y1402</f>
        <v>-1.3647320847761213</v>
      </c>
      <c r="W41" s="1">
        <f>[1]Results!Z1402</f>
        <v>-1.2902166462477216</v>
      </c>
      <c r="X41" s="1">
        <f>[1]Results!AA1402</f>
        <v>-1.2806925713082729</v>
      </c>
      <c r="Y41" s="1">
        <f>[1]Results!AB1402</f>
        <v>-1.3357114667317815</v>
      </c>
      <c r="Z41" s="1">
        <f>[1]Results!AC1402</f>
        <v>-1.4536544552234187</v>
      </c>
      <c r="AA41" s="1">
        <f>[1]Results!AD1402</f>
        <v>-1.6316564601100425</v>
      </c>
      <c r="AB41" s="1">
        <f>[1]Results!AE1402</f>
        <v>-1.8229087214491013</v>
      </c>
      <c r="AC41" s="1">
        <f>[1]Results!AF1402</f>
        <v>-2.0325238969200798</v>
      </c>
      <c r="AD41" s="1">
        <f>[1]Results!AG1402</f>
        <v>-2.2261517673232256</v>
      </c>
      <c r="AE41" s="1">
        <f>[1]Results!AH1402</f>
        <v>-2.4107741507886637</v>
      </c>
      <c r="AF41" s="1">
        <f>[1]Results!AI1402</f>
        <v>-2.592619580560529</v>
      </c>
      <c r="AG41" s="1">
        <f>[1]Results!AJ1402</f>
        <v>-2.7735143829463293</v>
      </c>
      <c r="AH41" s="1">
        <f>[1]Results!AK1402</f>
        <v>-2.9521297140363556</v>
      </c>
      <c r="AI41" s="1">
        <f>[1]Results!AL1402</f>
        <v>-3.1235773560046032</v>
      </c>
      <c r="AJ41" s="1">
        <f>[1]Results!AM1402</f>
        <v>-3.2822930277714213</v>
      </c>
      <c r="AK41" s="1">
        <f>[1]Results!AN1402</f>
        <v>-3.4231944229453082</v>
      </c>
      <c r="AL41" s="1">
        <f>[1]Results!AO1402</f>
        <v>-3.4237196231272637</v>
      </c>
    </row>
    <row r="42" spans="1:38" x14ac:dyDescent="0.35">
      <c r="A42" s="3" t="str">
        <f>[1]Results!E1403</f>
        <v>F_L_2-F_L_0</v>
      </c>
      <c r="B42" t="str">
        <f>[1]Results!C1403</f>
        <v>Emploi en millier</v>
      </c>
      <c r="C42" s="1">
        <f>[1]Results!F1403</f>
        <v>0</v>
      </c>
      <c r="D42" s="1">
        <f>[1]Results!G1403</f>
        <v>0</v>
      </c>
      <c r="E42" s="1">
        <f>[1]Results!H1403</f>
        <v>0</v>
      </c>
      <c r="F42" s="1">
        <f>[1]Results!I1403</f>
        <v>0</v>
      </c>
      <c r="G42" s="1">
        <f>[1]Results!J1403</f>
        <v>0</v>
      </c>
      <c r="H42" s="1">
        <f>[1]Results!K1403</f>
        <v>0</v>
      </c>
      <c r="I42" s="1">
        <f>[1]Results!L1403</f>
        <v>-46.560690000002069</v>
      </c>
      <c r="J42" s="1">
        <f>[1]Results!M1403</f>
        <v>-132.91091999999844</v>
      </c>
      <c r="K42" s="1">
        <f>[1]Results!N1403</f>
        <v>-247.18539999999848</v>
      </c>
      <c r="L42" s="1">
        <f>[1]Results!O1403</f>
        <v>-371.38784999999916</v>
      </c>
      <c r="M42" s="1">
        <f>[1]Results!P1403</f>
        <v>-482.48898999999801</v>
      </c>
      <c r="N42" s="1">
        <f>[1]Results!Q1403</f>
        <v>-577.23843000000124</v>
      </c>
      <c r="O42" s="1">
        <f>[1]Results!R1403</f>
        <v>-641.67627999999968</v>
      </c>
      <c r="P42" s="1">
        <f>[1]Results!S1403</f>
        <v>-669.49923000000126</v>
      </c>
      <c r="Q42" s="1">
        <f>[1]Results!T1403</f>
        <v>-664.68188999999984</v>
      </c>
      <c r="R42" s="1">
        <f>[1]Results!U1403</f>
        <v>-632.5109999999986</v>
      </c>
      <c r="S42" s="1">
        <f>[1]Results!V1403</f>
        <v>-582.64370999999664</v>
      </c>
      <c r="T42" s="1">
        <f>[1]Results!W1403</f>
        <v>-524.79464000000007</v>
      </c>
      <c r="U42" s="1">
        <f>[1]Results!X1403</f>
        <v>-471.21321000000171</v>
      </c>
      <c r="V42" s="1">
        <f>[1]Results!Y1403</f>
        <v>-430.28749999999854</v>
      </c>
      <c r="W42" s="1">
        <f>[1]Results!Z1403</f>
        <v>-407.39362000000256</v>
      </c>
      <c r="X42" s="1">
        <f>[1]Results!AA1403</f>
        <v>-405.18110999999772</v>
      </c>
      <c r="Y42" s="1">
        <f>[1]Results!AB1403</f>
        <v>-423.68809999999939</v>
      </c>
      <c r="Z42" s="1">
        <f>[1]Results!AC1403</f>
        <v>-462.63777000000118</v>
      </c>
      <c r="AA42" s="1">
        <f>[1]Results!AD1403</f>
        <v>-521.42481000000043</v>
      </c>
      <c r="AB42" s="1">
        <f>[1]Results!AE1403</f>
        <v>-585.30349000000206</v>
      </c>
      <c r="AC42" s="1">
        <f>[1]Results!AF1403</f>
        <v>-655.83095999999932</v>
      </c>
      <c r="AD42" s="1">
        <f>[1]Results!AG1403</f>
        <v>-721.95403000000078</v>
      </c>
      <c r="AE42" s="1">
        <f>[1]Results!AH1403</f>
        <v>-785.95171000000119</v>
      </c>
      <c r="AF42" s="1">
        <f>[1]Results!AI1403</f>
        <v>-849.88664000000426</v>
      </c>
      <c r="AG42" s="1">
        <f>[1]Results!AJ1403</f>
        <v>-914.34698999999819</v>
      </c>
      <c r="AH42" s="1">
        <f>[1]Results!AK1403</f>
        <v>-978.81310999999914</v>
      </c>
      <c r="AI42" s="1">
        <f>[1]Results!AL1403</f>
        <v>-1041.5046900000016</v>
      </c>
      <c r="AJ42" s="1">
        <f>[1]Results!AM1403</f>
        <v>-1100.3285599999981</v>
      </c>
      <c r="AK42" s="1">
        <f>[1]Results!AN1403</f>
        <v>-1153.2818800000023</v>
      </c>
      <c r="AL42" s="1">
        <f>[1]Results!AO1403</f>
        <v>-1158.5634199999986</v>
      </c>
    </row>
    <row r="43" spans="1:38" x14ac:dyDescent="0.35">
      <c r="A43" s="3" t="str">
        <f>[1]Results!E1404</f>
        <v>100*(UnR_2-UnR_0)</v>
      </c>
      <c r="B43" t="str">
        <f>[1]Results!C1404</f>
        <v>Taux de chômage (en point)</v>
      </c>
      <c r="C43" s="1">
        <f>[1]Results!F1404</f>
        <v>0</v>
      </c>
      <c r="D43" s="1">
        <f>[1]Results!G1404</f>
        <v>0</v>
      </c>
      <c r="E43" s="1">
        <f>[1]Results!H1404</f>
        <v>0</v>
      </c>
      <c r="F43" s="1">
        <f>[1]Results!I1404</f>
        <v>0</v>
      </c>
      <c r="G43" s="1">
        <f>[1]Results!J1404</f>
        <v>1.000000082740371E-8</v>
      </c>
      <c r="H43" s="1">
        <f>[1]Results!K1404</f>
        <v>0</v>
      </c>
      <c r="I43" s="1">
        <f>[1]Results!L1404</f>
        <v>0.1202312300000008</v>
      </c>
      <c r="J43" s="1">
        <f>[1]Results!M1404</f>
        <v>0.3319981700000002</v>
      </c>
      <c r="K43" s="1">
        <f>[1]Results!N1404</f>
        <v>0.60065734000000059</v>
      </c>
      <c r="L43" s="1">
        <f>[1]Results!O1404</f>
        <v>0.88075033000000058</v>
      </c>
      <c r="M43" s="1">
        <f>[1]Results!P1404</f>
        <v>1.116984080000001</v>
      </c>
      <c r="N43" s="1">
        <f>[1]Results!Q1404</f>
        <v>1.3112161799999993</v>
      </c>
      <c r="O43" s="1">
        <f>[1]Results!R1404</f>
        <v>1.4316917599999992</v>
      </c>
      <c r="P43" s="1">
        <f>[1]Results!S1404</f>
        <v>1.4680633999999997</v>
      </c>
      <c r="Q43" s="1">
        <f>[1]Results!T1404</f>
        <v>1.4341210500000008</v>
      </c>
      <c r="R43" s="1">
        <f>[1]Results!U1404</f>
        <v>1.3439680800000007</v>
      </c>
      <c r="S43" s="1">
        <f>[1]Results!V1404</f>
        <v>1.2208623799999998</v>
      </c>
      <c r="T43" s="1">
        <f>[1]Results!W1404</f>
        <v>1.0865328699999997</v>
      </c>
      <c r="U43" s="1">
        <f>[1]Results!X1404</f>
        <v>0.96810852000000081</v>
      </c>
      <c r="V43" s="1">
        <f>[1]Results!Y1404</f>
        <v>0.88232637999999941</v>
      </c>
      <c r="W43" s="1">
        <f>[1]Results!Z1404</f>
        <v>0.83954820999999902</v>
      </c>
      <c r="X43" s="1">
        <f>[1]Results!AA1404</f>
        <v>0.8421287600000007</v>
      </c>
      <c r="Y43" s="1">
        <f>[1]Results!AB1404</f>
        <v>0.88906804000000039</v>
      </c>
      <c r="Z43" s="1">
        <f>[1]Results!AC1404</f>
        <v>0.97860503000000021</v>
      </c>
      <c r="AA43" s="1">
        <f>[1]Results!AD1404</f>
        <v>1.1086014499999992</v>
      </c>
      <c r="AB43" s="1">
        <f>[1]Results!AE1404</f>
        <v>1.2458707799999997</v>
      </c>
      <c r="AC43" s="1">
        <f>[1]Results!AF1404</f>
        <v>1.3931003900000003</v>
      </c>
      <c r="AD43" s="1">
        <f>[1]Results!AG1404</f>
        <v>1.5261795800000004</v>
      </c>
      <c r="AE43" s="1">
        <f>[1]Results!AH1404</f>
        <v>1.652930459999999</v>
      </c>
      <c r="AF43" s="1">
        <f>[1]Results!AI1404</f>
        <v>1.7788346099999992</v>
      </c>
      <c r="AG43" s="1">
        <f>[1]Results!AJ1404</f>
        <v>1.90516555</v>
      </c>
      <c r="AH43" s="1">
        <f>[1]Results!AK1404</f>
        <v>2.0305894199999992</v>
      </c>
      <c r="AI43" s="1">
        <f>[1]Results!AL1404</f>
        <v>2.15105134</v>
      </c>
      <c r="AJ43" s="1">
        <f>[1]Results!AM1404</f>
        <v>2.2621519899999996</v>
      </c>
      <c r="AK43" s="1">
        <f>[1]Results!AN1404</f>
        <v>2.3599662699999997</v>
      </c>
      <c r="AL43" s="1">
        <f>[1]Results!AO1404</f>
        <v>2.34756812</v>
      </c>
    </row>
    <row r="44" spans="1:38" x14ac:dyDescent="0.35">
      <c r="A44" s="3" t="str">
        <f>[1]Results!E1405</f>
        <v>100*(Bal_Trade_VAL_2/(GDP_2*PGDP_2)-Bal_Trade_VAL_0/(GDP_0*PGDP_0))</v>
      </c>
      <c r="B44" t="str">
        <f>[1]Results!C1405</f>
        <v>Balance commerciale</v>
      </c>
      <c r="C44" s="1">
        <f>[1]Results!F1405</f>
        <v>1.9265446876692849E-9</v>
      </c>
      <c r="D44" s="1">
        <f>[1]Results!G1405</f>
        <v>6.5256117350032117E-9</v>
      </c>
      <c r="E44" s="1">
        <f>[1]Results!H1405</f>
        <v>1.1284612046885689E-8</v>
      </c>
      <c r="F44" s="1">
        <f>[1]Results!I1405</f>
        <v>1.7204341597187867E-8</v>
      </c>
      <c r="G44" s="1">
        <f>[1]Results!J1405</f>
        <v>1.9165948342281247E-8</v>
      </c>
      <c r="H44" s="1">
        <f>[1]Results!K1405</f>
        <v>1.9023092476255776E-8</v>
      </c>
      <c r="I44" s="1">
        <f>[1]Results!L1405</f>
        <v>-0.21690210967916757</v>
      </c>
      <c r="J44" s="1">
        <f>[1]Results!M1405</f>
        <v>-0.42617822846204195</v>
      </c>
      <c r="K44" s="1">
        <f>[1]Results!N1405</f>
        <v>-0.46253771730516213</v>
      </c>
      <c r="L44" s="1">
        <f>[1]Results!O1405</f>
        <v>-0.35883865593872716</v>
      </c>
      <c r="M44" s="1">
        <f>[1]Results!P1405</f>
        <v>-9.1400846534115537E-2</v>
      </c>
      <c r="N44" s="1">
        <f>[1]Results!Q1405</f>
        <v>9.2715875904374884E-2</v>
      </c>
      <c r="O44" s="1">
        <f>[1]Results!R1405</f>
        <v>0.21899199764674956</v>
      </c>
      <c r="P44" s="1">
        <f>[1]Results!S1405</f>
        <v>0.30711492136143159</v>
      </c>
      <c r="Q44" s="1">
        <f>[1]Results!T1405</f>
        <v>0.37930802696101928</v>
      </c>
      <c r="R44" s="1">
        <f>[1]Results!U1405</f>
        <v>0.46491468718315232</v>
      </c>
      <c r="S44" s="1">
        <f>[1]Results!V1405</f>
        <v>0.55636566942908749</v>
      </c>
      <c r="T44" s="1">
        <f>[1]Results!W1405</f>
        <v>0.64552238867241829</v>
      </c>
      <c r="U44" s="1">
        <f>[1]Results!X1405</f>
        <v>0.72751903697349862</v>
      </c>
      <c r="V44" s="1">
        <f>[1]Results!Y1405</f>
        <v>0.80434543094534472</v>
      </c>
      <c r="W44" s="1">
        <f>[1]Results!Z1405</f>
        <v>0.87072973828161704</v>
      </c>
      <c r="X44" s="1">
        <f>[1]Results!AA1405</f>
        <v>0.90495464428657357</v>
      </c>
      <c r="Y44" s="1">
        <f>[1]Results!AB1405</f>
        <v>0.90974845368509416</v>
      </c>
      <c r="Z44" s="1">
        <f>[1]Results!AC1405</f>
        <v>0.89647535254942723</v>
      </c>
      <c r="AA44" s="1">
        <f>[1]Results!AD1405</f>
        <v>0.87162895071658664</v>
      </c>
      <c r="AB44" s="1">
        <f>[1]Results!AE1405</f>
        <v>0.88685952647181221</v>
      </c>
      <c r="AC44" s="1">
        <f>[1]Results!AF1405</f>
        <v>0.84366798227008677</v>
      </c>
      <c r="AD44" s="1">
        <f>[1]Results!AG1405</f>
        <v>0.82088155099122107</v>
      </c>
      <c r="AE44" s="1">
        <f>[1]Results!AH1405</f>
        <v>0.77634880443126919</v>
      </c>
      <c r="AF44" s="1">
        <f>[1]Results!AI1405</f>
        <v>0.72308277789829778</v>
      </c>
      <c r="AG44" s="1">
        <f>[1]Results!AJ1405</f>
        <v>0.66806056387258073</v>
      </c>
      <c r="AH44" s="1">
        <f>[1]Results!AK1405</f>
        <v>0.6060017822646826</v>
      </c>
      <c r="AI44" s="1">
        <f>[1]Results!AL1405</f>
        <v>0.54110470305101865</v>
      </c>
      <c r="AJ44" s="1">
        <f>[1]Results!AM1405</f>
        <v>0.48408128788795035</v>
      </c>
      <c r="AK44" s="1">
        <f>[1]Results!AN1405</f>
        <v>0.43872912883538145</v>
      </c>
      <c r="AL44" s="1">
        <f>[1]Results!AO1405</f>
        <v>0.5442246400185119</v>
      </c>
    </row>
    <row r="45" spans="1:38" x14ac:dyDescent="0.35">
      <c r="A45" s="3" t="str">
        <f>[1]Results!E1406</f>
        <v>100*(ENER_BILL_2/(GDP_2*PGDP_2)-ENER_BILL_0/(GDP_0*PGDP_0))</v>
      </c>
      <c r="B45" t="str">
        <f>[1]Results!C1406</f>
        <v>Facture énergétique</v>
      </c>
      <c r="C45" s="1">
        <f>[1]Results!F1406</f>
        <v>9.7128277642966054E-10</v>
      </c>
      <c r="D45" s="1">
        <f>[1]Results!G1406</f>
        <v>1.4453669164304905E-9</v>
      </c>
      <c r="E45" s="1">
        <f>[1]Results!H1406</f>
        <v>-1.8667499837587975E-9</v>
      </c>
      <c r="F45" s="1">
        <f>[1]Results!I1406</f>
        <v>-2.399395612751043E-9</v>
      </c>
      <c r="G45" s="1">
        <f>[1]Results!J1406</f>
        <v>-3.1191750571313293E-9</v>
      </c>
      <c r="H45" s="1">
        <f>[1]Results!K1406</f>
        <v>-4.0753293101269961E-9</v>
      </c>
      <c r="I45" s="1">
        <f>[1]Results!L1406</f>
        <v>5.8036211026702214E-3</v>
      </c>
      <c r="J45" s="1">
        <f>[1]Results!M1406</f>
        <v>-2.4983220100966222E-2</v>
      </c>
      <c r="K45" s="1">
        <f>[1]Results!N1406</f>
        <v>-0.10121463694539763</v>
      </c>
      <c r="L45" s="1">
        <f>[1]Results!O1406</f>
        <v>-0.20663444675936732</v>
      </c>
      <c r="M45" s="1">
        <f>[1]Results!P1406</f>
        <v>-0.33570677913746394</v>
      </c>
      <c r="N45" s="1">
        <f>[1]Results!Q1406</f>
        <v>-0.44447148397018077</v>
      </c>
      <c r="O45" s="1">
        <f>[1]Results!R1406</f>
        <v>-0.5333702170622221</v>
      </c>
      <c r="P45" s="1">
        <f>[1]Results!S1406</f>
        <v>-0.61033047279652197</v>
      </c>
      <c r="Q45" s="1">
        <f>[1]Results!T1406</f>
        <v>-0.68304012564610184</v>
      </c>
      <c r="R45" s="1">
        <f>[1]Results!U1406</f>
        <v>-0.75566676840949698</v>
      </c>
      <c r="S45" s="1">
        <f>[1]Results!V1406</f>
        <v>-0.83027946693257504</v>
      </c>
      <c r="T45" s="1">
        <f>[1]Results!W1406</f>
        <v>-0.88618235947378554</v>
      </c>
      <c r="U45" s="1">
        <f>[1]Results!X1406</f>
        <v>-0.93643901253164763</v>
      </c>
      <c r="V45" s="1">
        <f>[1]Results!Y1406</f>
        <v>-0.99004104132846116</v>
      </c>
      <c r="W45" s="1">
        <f>[1]Results!Z1406</f>
        <v>-1.0454527501157047</v>
      </c>
      <c r="X45" s="1">
        <f>[1]Results!AA1406</f>
        <v>-1.0992869112222481</v>
      </c>
      <c r="Y45" s="1">
        <f>[1]Results!AB1406</f>
        <v>-1.1487513773704761</v>
      </c>
      <c r="Z45" s="1">
        <f>[1]Results!AC1406</f>
        <v>-1.195888822615683</v>
      </c>
      <c r="AA45" s="1">
        <f>[1]Results!AD1406</f>
        <v>-1.2426774764866058</v>
      </c>
      <c r="AB45" s="1">
        <f>[1]Results!AE1406</f>
        <v>-1.2894723611079151</v>
      </c>
      <c r="AC45" s="1">
        <f>[1]Results!AF1406</f>
        <v>-1.3213583946408298</v>
      </c>
      <c r="AD45" s="1">
        <f>[1]Results!AG1406</f>
        <v>-1.3444299861021833</v>
      </c>
      <c r="AE45" s="1">
        <f>[1]Results!AH1406</f>
        <v>-1.3631031278699861</v>
      </c>
      <c r="AF45" s="1">
        <f>[1]Results!AI1406</f>
        <v>-1.3793527381697175</v>
      </c>
      <c r="AG45" s="1">
        <f>[1]Results!AJ1406</f>
        <v>-1.3937063458234893</v>
      </c>
      <c r="AH45" s="1">
        <f>[1]Results!AK1406</f>
        <v>-1.4050765842746691</v>
      </c>
      <c r="AI45" s="1">
        <f>[1]Results!AL1406</f>
        <v>-1.4132144784813159</v>
      </c>
      <c r="AJ45" s="1">
        <f>[1]Results!AM1406</f>
        <v>-1.4188070092642335</v>
      </c>
      <c r="AK45" s="1">
        <f>[1]Results!AN1406</f>
        <v>-1.422484456630678</v>
      </c>
      <c r="AL45" s="1">
        <f>[1]Results!AO1406</f>
        <v>-1.423713066923683</v>
      </c>
    </row>
    <row r="46" spans="1:38" x14ac:dyDescent="0.35">
      <c r="A46" s="3" t="str">
        <f>[1]Results!E1407</f>
        <v>100*((-Bal_G_prim_VAL_2)/(GDP_2*PGDP_2)-(-Bal_G_prim_VAL_0)/(GDP_0*PGDP_0))</v>
      </c>
      <c r="B46" t="str">
        <f>[1]Results!C1407</f>
        <v>Solde public primaire</v>
      </c>
      <c r="C46" s="1">
        <f>[1]Results!F1407</f>
        <v>-6.2896791941380314E-9</v>
      </c>
      <c r="D46" s="1">
        <f>[1]Results!G1407</f>
        <v>-7.1524734052141881E-9</v>
      </c>
      <c r="E46" s="1">
        <f>[1]Results!H1407</f>
        <v>-1.1125713024473516E-8</v>
      </c>
      <c r="F46" s="1">
        <f>[1]Results!I1407</f>
        <v>-1.6422066310972649E-8</v>
      </c>
      <c r="G46" s="1">
        <f>[1]Results!J1407</f>
        <v>-1.6401634564400247E-8</v>
      </c>
      <c r="H46" s="1">
        <f>[1]Results!K1407</f>
        <v>-1.6896623336593031E-8</v>
      </c>
      <c r="I46" s="1">
        <f>[1]Results!L1407</f>
        <v>9.9939615819547717E-2</v>
      </c>
      <c r="J46" s="1">
        <f>[1]Results!M1407</f>
        <v>0.19912356091341155</v>
      </c>
      <c r="K46" s="1">
        <f>[1]Results!N1407</f>
        <v>0.29679822271830164</v>
      </c>
      <c r="L46" s="1">
        <f>[1]Results!O1407</f>
        <v>0.32654076938808052</v>
      </c>
      <c r="M46" s="1">
        <f>[1]Results!P1407</f>
        <v>0.22956470924976047</v>
      </c>
      <c r="N46" s="1">
        <f>[1]Results!Q1407</f>
        <v>0.31314453256687386</v>
      </c>
      <c r="O46" s="1">
        <f>[1]Results!R1407</f>
        <v>0.27665617851327995</v>
      </c>
      <c r="P46" s="1">
        <f>[1]Results!S1407</f>
        <v>0.16219517253247689</v>
      </c>
      <c r="Q46" s="1">
        <f>[1]Results!T1407</f>
        <v>1.9638435542826405E-4</v>
      </c>
      <c r="R46" s="1">
        <f>[1]Results!U1407</f>
        <v>-0.19688467315067196</v>
      </c>
      <c r="S46" s="1">
        <f>[1]Results!V1407</f>
        <v>-0.42244461796936</v>
      </c>
      <c r="T46" s="1">
        <f>[1]Results!W1407</f>
        <v>-0.65233558090400656</v>
      </c>
      <c r="U46" s="1">
        <f>[1]Results!X1407</f>
        <v>-0.87417266965895757</v>
      </c>
      <c r="V46" s="1">
        <f>[1]Results!Y1407</f>
        <v>-1.0779911070949166</v>
      </c>
      <c r="W46" s="1">
        <f>[1]Results!Z1407</f>
        <v>-1.2553689022802961</v>
      </c>
      <c r="X46" s="1">
        <f>[1]Results!AA1407</f>
        <v>-1.3726407319120282</v>
      </c>
      <c r="Y46" s="1">
        <f>[1]Results!AB1407</f>
        <v>-1.4524704021146779</v>
      </c>
      <c r="Z46" s="1">
        <f>[1]Results!AC1407</f>
        <v>-1.4908190716295935</v>
      </c>
      <c r="AA46" s="1">
        <f>[1]Results!AD1407</f>
        <v>-1.4881969387212972</v>
      </c>
      <c r="AB46" s="1">
        <f>[1]Results!AE1407</f>
        <v>-1.4728004281843989</v>
      </c>
      <c r="AC46" s="1">
        <f>[1]Results!AF1407</f>
        <v>-1.4002756810720247</v>
      </c>
      <c r="AD46" s="1">
        <f>[1]Results!AG1407</f>
        <v>-1.3220426408582238</v>
      </c>
      <c r="AE46" s="1">
        <f>[1]Results!AH1407</f>
        <v>-1.2389117824873299</v>
      </c>
      <c r="AF46" s="1">
        <f>[1]Results!AI1407</f>
        <v>-1.1499541191103815</v>
      </c>
      <c r="AG46" s="1">
        <f>[1]Results!AJ1407</f>
        <v>-1.0555866877168418</v>
      </c>
      <c r="AH46" s="1">
        <f>[1]Results!AK1407</f>
        <v>-0.94445719171404874</v>
      </c>
      <c r="AI46" s="1">
        <f>[1]Results!AL1407</f>
        <v>-0.83065588016494885</v>
      </c>
      <c r="AJ46" s="1">
        <f>[1]Results!AM1407</f>
        <v>-0.71795720985755596</v>
      </c>
      <c r="AK46" s="1">
        <f>[1]Results!AN1407</f>
        <v>-0.61101004385994417</v>
      </c>
      <c r="AL46" s="1">
        <f>[1]Results!AO1407</f>
        <v>-0.58362157082490207</v>
      </c>
    </row>
    <row r="47" spans="1:38" x14ac:dyDescent="0.35">
      <c r="A47" s="3" t="str">
        <f>[1]Results!E1408</f>
        <v>100*((-Bal_G_tot_VAL_2)/(GDP_2*PGDP_2)-(-Bal_G_tot_VAL_0)/(GDP_0*PGDP_0))</v>
      </c>
      <c r="B47" t="str">
        <f>[1]Results!C1408</f>
        <v xml:space="preserve">Solde public </v>
      </c>
      <c r="C47" s="1">
        <f>[1]Results!F1408</f>
        <v>-8.7535138859617945E-9</v>
      </c>
      <c r="D47" s="1">
        <f>[1]Results!G1408</f>
        <v>3.8401209295768624E-9</v>
      </c>
      <c r="E47" s="1">
        <f>[1]Results!H1408</f>
        <v>1.1872062360973601E-9</v>
      </c>
      <c r="F47" s="1">
        <f>[1]Results!I1408</f>
        <v>-5.112941320328801E-10</v>
      </c>
      <c r="G47" s="1">
        <f>[1]Results!J1408</f>
        <v>3.6882535220383872E-9</v>
      </c>
      <c r="H47" s="1">
        <f>[1]Results!K1408</f>
        <v>-4.210755875921901E-10</v>
      </c>
      <c r="I47" s="1">
        <f>[1]Results!L1408</f>
        <v>0.10607513464455372</v>
      </c>
      <c r="J47" s="1">
        <f>[1]Results!M1408</f>
        <v>0.19216464900428873</v>
      </c>
      <c r="K47" s="1">
        <f>[1]Results!N1408</f>
        <v>0.47351667930417457</v>
      </c>
      <c r="L47" s="1">
        <f>[1]Results!O1408</f>
        <v>0.66659676461694806</v>
      </c>
      <c r="M47" s="1">
        <f>[1]Results!P1408</f>
        <v>0.73138225260792822</v>
      </c>
      <c r="N47" s="1">
        <f>[1]Results!Q1408</f>
        <v>1.0048080567040631</v>
      </c>
      <c r="O47" s="1">
        <f>[1]Results!R1408</f>
        <v>0.86588849469647555</v>
      </c>
      <c r="P47" s="1">
        <f>[1]Results!S1408</f>
        <v>0.63571362774915496</v>
      </c>
      <c r="Q47" s="1">
        <f>[1]Results!T1408</f>
        <v>0.37368491502387036</v>
      </c>
      <c r="R47" s="1">
        <f>[1]Results!U1408</f>
        <v>9.3123517587425514E-2</v>
      </c>
      <c r="S47" s="1">
        <f>[1]Results!V1408</f>
        <v>-0.20552632607059099</v>
      </c>
      <c r="T47" s="1">
        <f>[1]Results!W1408</f>
        <v>-0.49603720137866081</v>
      </c>
      <c r="U47" s="1">
        <f>[1]Results!X1408</f>
        <v>-0.77821578444973105</v>
      </c>
      <c r="V47" s="1">
        <f>[1]Results!Y1408</f>
        <v>-1.0485365873951089</v>
      </c>
      <c r="W47" s="1">
        <f>[1]Results!Z1408</f>
        <v>-1.297700082265165</v>
      </c>
      <c r="X47" s="1">
        <f>[1]Results!AA1408</f>
        <v>-1.4877442673252119</v>
      </c>
      <c r="Y47" s="1">
        <f>[1]Results!AB1408</f>
        <v>-1.6296654221848992</v>
      </c>
      <c r="Z47" s="1">
        <f>[1]Results!AC1408</f>
        <v>-1.7180023660983215</v>
      </c>
      <c r="AA47" s="1">
        <f>[1]Results!AD1408</f>
        <v>-1.7513263726152368</v>
      </c>
      <c r="AB47" s="1">
        <f>[1]Results!AE1408</f>
        <v>-1.7560327692527113</v>
      </c>
      <c r="AC47" s="1">
        <f>[1]Results!AF1408</f>
        <v>-1.6921582295621795</v>
      </c>
      <c r="AD47" s="1">
        <f>[1]Results!AG1408</f>
        <v>-1.5999356985984605</v>
      </c>
      <c r="AE47" s="1">
        <f>[1]Results!AH1408</f>
        <v>-1.5023086850927445</v>
      </c>
      <c r="AF47" s="1">
        <f>[1]Results!AI1408</f>
        <v>-1.397492508947358</v>
      </c>
      <c r="AG47" s="1">
        <f>[1]Results!AJ1408</f>
        <v>-1.2856021786890561</v>
      </c>
      <c r="AH47" s="1">
        <f>[1]Results!AK1408</f>
        <v>-1.1561096929829526</v>
      </c>
      <c r="AI47" s="1">
        <f>[1]Results!AL1408</f>
        <v>-1.0168765060075162</v>
      </c>
      <c r="AJ47" s="1">
        <f>[1]Results!AM1408</f>
        <v>-0.88615933268880598</v>
      </c>
      <c r="AK47" s="1">
        <f>[1]Results!AN1408</f>
        <v>-0.76785279586608501</v>
      </c>
      <c r="AL47" s="1">
        <f>[1]Results!AO1408</f>
        <v>-0.73073153606493524</v>
      </c>
    </row>
    <row r="48" spans="1:38" x14ac:dyDescent="0.35">
      <c r="A48" s="3" t="str">
        <f>[1]Results!E1409</f>
        <v>(DEBT_G_VAL_2/(PGDP_2*GDP_2)-DEBT_G_VAL_0/(PGDP_0*GDP_0))*100</v>
      </c>
      <c r="B48" t="str">
        <f>[1]Results!C1409</f>
        <v>Dette publique</v>
      </c>
      <c r="C48" s="1">
        <f>[1]Results!F1409</f>
        <v>-9.5235364039325532E-8</v>
      </c>
      <c r="D48" s="1">
        <f>[1]Results!G1409</f>
        <v>4.2294334701153957E-8</v>
      </c>
      <c r="E48" s="1">
        <f>[1]Results!H1409</f>
        <v>-8.8664797726067945E-8</v>
      </c>
      <c r="F48" s="1">
        <f>[1]Results!I1409</f>
        <v>-4.4967862766753797E-8</v>
      </c>
      <c r="G48" s="1">
        <f>[1]Results!J1409</f>
        <v>-7.9201745162293946E-8</v>
      </c>
      <c r="H48" s="1">
        <f>[1]Results!K1409</f>
        <v>-1.1363280316700752E-7</v>
      </c>
      <c r="I48" s="1">
        <f>[1]Results!L1409</f>
        <v>0.39236443228312101</v>
      </c>
      <c r="J48" s="1">
        <f>[1]Results!M1409</f>
        <v>0.64538386327323005</v>
      </c>
      <c r="K48" s="1">
        <f>[1]Results!N1409</f>
        <v>0.94232561988879526</v>
      </c>
      <c r="L48" s="1">
        <f>[1]Results!O1409</f>
        <v>1.1452445184633619</v>
      </c>
      <c r="M48" s="1">
        <f>[1]Results!P1409</f>
        <v>1.0491915306940158</v>
      </c>
      <c r="N48" s="1">
        <f>[1]Results!Q1409</f>
        <v>1.4929468088610287</v>
      </c>
      <c r="O48" s="1">
        <f>[1]Results!R1409</f>
        <v>1.8319365418967393</v>
      </c>
      <c r="P48" s="1">
        <f>[1]Results!S1409</f>
        <v>1.9607418908662688</v>
      </c>
      <c r="Q48" s="1">
        <f>[1]Results!T1409</f>
        <v>1.8650272755363795</v>
      </c>
      <c r="R48" s="1">
        <f>[1]Results!U1409</f>
        <v>1.5402595161454617</v>
      </c>
      <c r="S48" s="1">
        <f>[1]Results!V1409</f>
        <v>0.98804847117519023</v>
      </c>
      <c r="T48" s="1">
        <f>[1]Results!W1409</f>
        <v>0.23540057694450139</v>
      </c>
      <c r="U48" s="1">
        <f>[1]Results!X1409</f>
        <v>-0.69305311873398767</v>
      </c>
      <c r="V48" s="1">
        <f>[1]Results!Y1409</f>
        <v>-1.7807437796574108</v>
      </c>
      <c r="W48" s="1">
        <f>[1]Results!Z1409</f>
        <v>-3.0111190003958068</v>
      </c>
      <c r="X48" s="1">
        <f>[1]Results!AA1409</f>
        <v>-4.3418358103059775</v>
      </c>
      <c r="Y48" s="1">
        <f>[1]Results!AB1409</f>
        <v>-5.7445890857949991</v>
      </c>
      <c r="Z48" s="1">
        <f>[1]Results!AC1409</f>
        <v>-7.1868475018729612</v>
      </c>
      <c r="AA48" s="1">
        <f>[1]Results!AD1409</f>
        <v>-8.6356671370373554</v>
      </c>
      <c r="AB48" s="1">
        <f>[1]Results!AE1409</f>
        <v>-10.045926400251975</v>
      </c>
      <c r="AC48" s="1">
        <f>[1]Results!AF1409</f>
        <v>-11.431804053994965</v>
      </c>
      <c r="AD48" s="1">
        <f>[1]Results!AG1409</f>
        <v>-12.702211918115387</v>
      </c>
      <c r="AE48" s="1">
        <f>[1]Results!AH1409</f>
        <v>-13.882745947738639</v>
      </c>
      <c r="AF48" s="1">
        <f>[1]Results!AI1409</f>
        <v>-14.96774612732974</v>
      </c>
      <c r="AG48" s="1">
        <f>[1]Results!AJ1409</f>
        <v>-15.951850507096822</v>
      </c>
      <c r="AH48" s="1">
        <f>[1]Results!AK1409</f>
        <v>-16.835612170620884</v>
      </c>
      <c r="AI48" s="1">
        <f>[1]Results!AL1409</f>
        <v>-17.594176907206261</v>
      </c>
      <c r="AJ48" s="1">
        <f>[1]Results!AM1409</f>
        <v>-18.223165526958031</v>
      </c>
      <c r="AK48" s="1">
        <f>[1]Results!AN1409</f>
        <v>-18.723984707336029</v>
      </c>
      <c r="AL48" s="1">
        <f>[1]Results!AO1409</f>
        <v>-18.844349395979421</v>
      </c>
    </row>
    <row r="49" spans="1:38" x14ac:dyDescent="0.35">
      <c r="A49" s="3" t="str">
        <f>[1]Results!E1410</f>
        <v>GDP_2</v>
      </c>
      <c r="B49" t="str">
        <f>[1]Results!C1410</f>
        <v>PIB</v>
      </c>
      <c r="C49" s="1">
        <f>[1]Results!F1410</f>
        <v>2196058.7280000001</v>
      </c>
      <c r="D49" s="1">
        <f>[1]Results!G1410</f>
        <v>2234796.7149999999</v>
      </c>
      <c r="E49" s="1">
        <f>[1]Results!H1410</f>
        <v>2275554.4789999998</v>
      </c>
      <c r="F49" s="1">
        <f>[1]Results!I1410</f>
        <v>2318793.1359999999</v>
      </c>
      <c r="G49" s="1">
        <f>[1]Results!J1410</f>
        <v>2367706.034</v>
      </c>
      <c r="H49" s="1">
        <f>[1]Results!K1410</f>
        <v>2425258.6869999999</v>
      </c>
      <c r="I49" s="1">
        <f>[1]Results!L1410</f>
        <v>2477527.31</v>
      </c>
      <c r="J49" s="1">
        <f>[1]Results!M1410</f>
        <v>2528406.5970000001</v>
      </c>
      <c r="K49" s="1">
        <f>[1]Results!N1410</f>
        <v>2578883.1800000002</v>
      </c>
      <c r="L49" s="1">
        <f>[1]Results!O1410</f>
        <v>2628086.773</v>
      </c>
      <c r="M49" s="1">
        <f>[1]Results!P1410</f>
        <v>2675429.4810000001</v>
      </c>
      <c r="N49" s="1">
        <f>[1]Results!Q1410</f>
        <v>2721878.966</v>
      </c>
      <c r="O49" s="1">
        <f>[1]Results!R1410</f>
        <v>2769390.35</v>
      </c>
      <c r="P49" s="1">
        <f>[1]Results!S1410</f>
        <v>2817730.9479999999</v>
      </c>
      <c r="Q49" s="1">
        <f>[1]Results!T1410</f>
        <v>2866176.8059999999</v>
      </c>
      <c r="R49" s="1">
        <f>[1]Results!U1410</f>
        <v>2915232.8420000002</v>
      </c>
      <c r="S49" s="1">
        <f>[1]Results!V1410</f>
        <v>2963737.037</v>
      </c>
      <c r="T49" s="1">
        <f>[1]Results!W1410</f>
        <v>3012372.3820000002</v>
      </c>
      <c r="U49" s="1">
        <f>[1]Results!X1410</f>
        <v>3060459.2850000001</v>
      </c>
      <c r="V49" s="1">
        <f>[1]Results!Y1410</f>
        <v>3108466.423</v>
      </c>
      <c r="W49" s="1">
        <f>[1]Results!Z1410</f>
        <v>3156263.0329999998</v>
      </c>
      <c r="X49" s="1">
        <f>[1]Results!AA1410</f>
        <v>3205095.2230000002</v>
      </c>
      <c r="Y49" s="1">
        <f>[1]Results!AB1410</f>
        <v>3255193.64</v>
      </c>
      <c r="Z49" s="1">
        <f>[1]Results!AC1410</f>
        <v>3306633.7069999999</v>
      </c>
      <c r="AA49" s="1">
        <f>[1]Results!AD1410</f>
        <v>3359477.531</v>
      </c>
      <c r="AB49" s="1">
        <f>[1]Results!AE1410</f>
        <v>3415865.412</v>
      </c>
      <c r="AC49" s="1">
        <f>[1]Results!AF1410</f>
        <v>3472810.3059999999</v>
      </c>
      <c r="AD49" s="1">
        <f>[1]Results!AG1410</f>
        <v>3534474.9739999999</v>
      </c>
      <c r="AE49" s="1">
        <f>[1]Results!AH1410</f>
        <v>3598060.0520000001</v>
      </c>
      <c r="AF49" s="1">
        <f>[1]Results!AI1410</f>
        <v>3663597.7420000001</v>
      </c>
      <c r="AG49" s="1">
        <f>[1]Results!AJ1410</f>
        <v>3730946.7319999998</v>
      </c>
      <c r="AH49" s="1">
        <f>[1]Results!AK1410</f>
        <v>3799941.8339999998</v>
      </c>
      <c r="AI49" s="1">
        <f>[1]Results!AL1410</f>
        <v>3870328.7370000002</v>
      </c>
      <c r="AJ49" s="1">
        <f>[1]Results!AM1410</f>
        <v>3941846.0780000002</v>
      </c>
      <c r="AK49" s="1">
        <f>[1]Results!AN1410</f>
        <v>4014219.6869999999</v>
      </c>
      <c r="AL49" s="1">
        <f>[1]Results!AO1410</f>
        <v>4098034.2110000001</v>
      </c>
    </row>
    <row r="50" spans="1:38" x14ac:dyDescent="0.35">
      <c r="A50" s="3" t="str">
        <f>[1]Results!E1411</f>
        <v>(GDPter_2/GDPbis_2-1)*100</v>
      </c>
      <c r="B50" t="str">
        <f>[1]Results!C1411</f>
        <v>Ecart PIB</v>
      </c>
      <c r="C50" s="1">
        <f>[1]Results!F1411</f>
        <v>-4.5536130421908183E-8</v>
      </c>
      <c r="D50" s="1">
        <f>[1]Results!G1411</f>
        <v>4.4746806260320682E-8</v>
      </c>
      <c r="E50" s="1">
        <f>[1]Results!H1411</f>
        <v>0</v>
      </c>
      <c r="F50" s="1">
        <f>[1]Results!I1411</f>
        <v>4.3125880644367953E-8</v>
      </c>
      <c r="G50" s="1">
        <f>[1]Results!J1411</f>
        <v>0</v>
      </c>
      <c r="H50" s="1">
        <f>[1]Results!K1411</f>
        <v>0</v>
      </c>
      <c r="I50" s="1">
        <f>[1]Results!L1411</f>
        <v>0</v>
      </c>
      <c r="J50" s="1">
        <f>[1]Results!M1411</f>
        <v>3.9550607233707069E-8</v>
      </c>
      <c r="K50" s="1">
        <f>[1]Results!N1411</f>
        <v>0</v>
      </c>
      <c r="L50" s="1">
        <f>[1]Results!O1411</f>
        <v>0</v>
      </c>
      <c r="M50" s="1">
        <f>[1]Results!P1411</f>
        <v>0</v>
      </c>
      <c r="N50" s="1">
        <f>[1]Results!Q1411</f>
        <v>-3.6739333797441986E-8</v>
      </c>
      <c r="O50" s="1">
        <f>[1]Results!R1411</f>
        <v>0</v>
      </c>
      <c r="P50" s="1">
        <f>[1]Results!S1411</f>
        <v>0</v>
      </c>
      <c r="Q50" s="1">
        <f>[1]Results!T1411</f>
        <v>0</v>
      </c>
      <c r="R50" s="1">
        <f>[1]Results!U1411</f>
        <v>0</v>
      </c>
      <c r="S50" s="1">
        <f>[1]Results!V1411</f>
        <v>0</v>
      </c>
      <c r="T50" s="1">
        <f>[1]Results!W1411</f>
        <v>0</v>
      </c>
      <c r="U50" s="1">
        <f>[1]Results!X1411</f>
        <v>0</v>
      </c>
      <c r="V50" s="1">
        <f>[1]Results!Y1411</f>
        <v>0</v>
      </c>
      <c r="W50" s="1">
        <f>[1]Results!Z1411</f>
        <v>0</v>
      </c>
      <c r="X50" s="1">
        <f>[1]Results!AA1411</f>
        <v>0</v>
      </c>
      <c r="Y50" s="1">
        <f>[1]Results!AB1411</f>
        <v>0</v>
      </c>
      <c r="Z50" s="1">
        <f>[1]Results!AC1411</f>
        <v>0</v>
      </c>
      <c r="AA50" s="1">
        <f>[1]Results!AD1411</f>
        <v>0</v>
      </c>
      <c r="AB50" s="1">
        <f>[1]Results!AE1411</f>
        <v>0</v>
      </c>
      <c r="AC50" s="1">
        <f>[1]Results!AF1411</f>
        <v>0</v>
      </c>
      <c r="AD50" s="1">
        <f>[1]Results!AG1411</f>
        <v>0</v>
      </c>
      <c r="AE50" s="1">
        <f>[1]Results!AH1411</f>
        <v>0</v>
      </c>
      <c r="AF50" s="1">
        <f>[1]Results!AI1411</f>
        <v>0</v>
      </c>
      <c r="AG50" s="1">
        <f>[1]Results!AJ1411</f>
        <v>0</v>
      </c>
      <c r="AH50" s="1">
        <f>[1]Results!AK1411</f>
        <v>0</v>
      </c>
      <c r="AI50" s="1">
        <f>[1]Results!AL1411</f>
        <v>0</v>
      </c>
      <c r="AJ50" s="1">
        <f>[1]Results!AM1411</f>
        <v>0</v>
      </c>
      <c r="AK50" s="1">
        <f>[1]Results!AN1411</f>
        <v>0</v>
      </c>
      <c r="AL50" s="1">
        <f>[1]Results!AO1411</f>
        <v>-2.4401947129604196E-8</v>
      </c>
    </row>
    <row r="51" spans="1:38" x14ac:dyDescent="0.35">
      <c r="A51" s="3" t="str">
        <f>[1]Results!E1412</f>
        <v>SPEND_G_VAL_2</v>
      </c>
      <c r="B51" t="str">
        <f>[1]Results!C1412</f>
        <v>Dépenses publiques</v>
      </c>
      <c r="C51" s="1">
        <f>[1]Results!F1412</f>
        <v>1178774.5789999999</v>
      </c>
      <c r="D51" s="1">
        <f>[1]Results!G1412</f>
        <v>1219086.496</v>
      </c>
      <c r="E51" s="1">
        <f>[1]Results!H1412</f>
        <v>1258796.1780000001</v>
      </c>
      <c r="F51" s="1">
        <f>[1]Results!I1412</f>
        <v>1306190.1100000001</v>
      </c>
      <c r="G51" s="1">
        <f>[1]Results!J1412</f>
        <v>1353053.439</v>
      </c>
      <c r="H51" s="1">
        <f>[1]Results!K1412</f>
        <v>1388866.4609999999</v>
      </c>
      <c r="I51" s="1">
        <f>[1]Results!L1412</f>
        <v>1421562.362</v>
      </c>
      <c r="J51" s="1">
        <f>[1]Results!M1412</f>
        <v>1466422.36</v>
      </c>
      <c r="K51" s="1">
        <f>[1]Results!N1412</f>
        <v>1521008.6399999999</v>
      </c>
      <c r="L51" s="1">
        <f>[1]Results!O1412</f>
        <v>1581078.963</v>
      </c>
      <c r="M51" s="1">
        <f>[1]Results!P1412</f>
        <v>1650180.047</v>
      </c>
      <c r="N51" s="1">
        <f>[1]Results!Q1412</f>
        <v>1715321.2180000001</v>
      </c>
      <c r="O51" s="1">
        <f>[1]Results!R1412</f>
        <v>1768151.6950000001</v>
      </c>
      <c r="P51" s="1">
        <f>[1]Results!S1412</f>
        <v>1817402.743</v>
      </c>
      <c r="Q51" s="1">
        <f>[1]Results!T1412</f>
        <v>1864193.827</v>
      </c>
      <c r="R51" s="1">
        <f>[1]Results!U1412</f>
        <v>1908745.0719999999</v>
      </c>
      <c r="S51" s="1">
        <f>[1]Results!V1412</f>
        <v>1951822.1189999999</v>
      </c>
      <c r="T51" s="1">
        <f>[1]Results!W1412</f>
        <v>1993910.7990000001</v>
      </c>
      <c r="U51" s="1">
        <f>[1]Results!X1412</f>
        <v>2034542.453</v>
      </c>
      <c r="V51" s="1">
        <f>[1]Results!Y1412</f>
        <v>2073200.277</v>
      </c>
      <c r="W51" s="1">
        <f>[1]Results!Z1412</f>
        <v>2108400.3190000001</v>
      </c>
      <c r="X51" s="1">
        <f>[1]Results!AA1412</f>
        <v>2142325.3930000002</v>
      </c>
      <c r="Y51" s="1">
        <f>[1]Results!AB1412</f>
        <v>2174390.6370000001</v>
      </c>
      <c r="Z51" s="1">
        <f>[1]Results!AC1412</f>
        <v>2204675.4700000002</v>
      </c>
      <c r="AA51" s="1">
        <f>[1]Results!AD1412</f>
        <v>2233389.4369999999</v>
      </c>
      <c r="AB51" s="1">
        <f>[1]Results!AE1412</f>
        <v>2256023.7250000001</v>
      </c>
      <c r="AC51" s="1">
        <f>[1]Results!AF1412</f>
        <v>2279499.6439999999</v>
      </c>
      <c r="AD51" s="1">
        <f>[1]Results!AG1412</f>
        <v>2303027.5060000001</v>
      </c>
      <c r="AE51" s="1">
        <f>[1]Results!AH1412</f>
        <v>2325516.463</v>
      </c>
      <c r="AF51" s="1">
        <f>[1]Results!AI1412</f>
        <v>2347096.037</v>
      </c>
      <c r="AG51" s="1">
        <f>[1]Results!AJ1412</f>
        <v>2367990.3029999998</v>
      </c>
      <c r="AH51" s="1">
        <f>[1]Results!AK1412</f>
        <v>2388041.838</v>
      </c>
      <c r="AI51" s="1">
        <f>[1]Results!AL1412</f>
        <v>2408308.2620000001</v>
      </c>
      <c r="AJ51" s="1">
        <f>[1]Results!AM1412</f>
        <v>2427898.0729999999</v>
      </c>
      <c r="AK51" s="1">
        <f>[1]Results!AN1412</f>
        <v>2446974.111</v>
      </c>
      <c r="AL51" s="1">
        <f>[1]Results!AO1412</f>
        <v>2465362.8280000002</v>
      </c>
    </row>
    <row r="52" spans="1:38" x14ac:dyDescent="0.35">
      <c r="A52" s="3" t="str">
        <f>[1]Results!E1413</f>
        <v>INC_G_VAL_2</v>
      </c>
      <c r="B52" t="str">
        <f>[1]Results!C1413</f>
        <v>Recettes publiques</v>
      </c>
      <c r="C52" s="1">
        <f>[1]Results!F1413</f>
        <v>1013894.344</v>
      </c>
      <c r="D52" s="1">
        <f>[1]Results!G1413</f>
        <v>1051487.6410000001</v>
      </c>
      <c r="E52" s="1">
        <f>[1]Results!H1413</f>
        <v>1096363.987</v>
      </c>
      <c r="F52" s="1">
        <f>[1]Results!I1413</f>
        <v>1149332.254</v>
      </c>
      <c r="G52" s="1">
        <f>[1]Results!J1413</f>
        <v>1202965.8500000001</v>
      </c>
      <c r="H52" s="1">
        <f>[1]Results!K1413</f>
        <v>1257775.6880000001</v>
      </c>
      <c r="I52" s="1">
        <f>[1]Results!L1413</f>
        <v>1316451.2009999999</v>
      </c>
      <c r="J52" s="1">
        <f>[1]Results!M1413</f>
        <v>1383272.6240000001</v>
      </c>
      <c r="K52" s="1">
        <f>[1]Results!N1413</f>
        <v>1457680.5989999999</v>
      </c>
      <c r="L52" s="1">
        <f>[1]Results!O1413</f>
        <v>1542500.9180000001</v>
      </c>
      <c r="M52" s="1">
        <f>[1]Results!P1413</f>
        <v>1641069.166</v>
      </c>
      <c r="N52" s="1">
        <f>[1]Results!Q1413</f>
        <v>1729407.469</v>
      </c>
      <c r="O52" s="1">
        <f>[1]Results!R1413</f>
        <v>1819532.7879999999</v>
      </c>
      <c r="P52" s="1">
        <f>[1]Results!S1413</f>
        <v>1909575.52</v>
      </c>
      <c r="Q52" s="1">
        <f>[1]Results!T1413</f>
        <v>1998172.493</v>
      </c>
      <c r="R52" s="1">
        <f>[1]Results!U1413</f>
        <v>2084928.5789999999</v>
      </c>
      <c r="S52" s="1">
        <f>[1]Results!V1413</f>
        <v>2170864.1129999999</v>
      </c>
      <c r="T52" s="1">
        <f>[1]Results!W1413</f>
        <v>2255722.895</v>
      </c>
      <c r="U52" s="1">
        <f>[1]Results!X1413</f>
        <v>2339391.3709999998</v>
      </c>
      <c r="V52" s="1">
        <f>[1]Results!Y1413</f>
        <v>2421590.9780000001</v>
      </c>
      <c r="W52" s="1">
        <f>[1]Results!Z1413</f>
        <v>2502013.0329999998</v>
      </c>
      <c r="X52" s="1">
        <f>[1]Results!AA1413</f>
        <v>2578563.0970000001</v>
      </c>
      <c r="Y52" s="1">
        <f>[1]Results!AB1413</f>
        <v>2653170.9360000002</v>
      </c>
      <c r="Z52" s="1">
        <f>[1]Results!AC1413</f>
        <v>2726149.7910000002</v>
      </c>
      <c r="AA52" s="1">
        <f>[1]Results!AD1413</f>
        <v>2798093.9509999999</v>
      </c>
      <c r="AB52" s="1">
        <f>[1]Results!AE1413</f>
        <v>2870772.5610000002</v>
      </c>
      <c r="AC52" s="1">
        <f>[1]Results!AF1413</f>
        <v>2940572.7409999999</v>
      </c>
      <c r="AD52" s="1">
        <f>[1]Results!AG1413</f>
        <v>3012962.3659999999</v>
      </c>
      <c r="AE52" s="1">
        <f>[1]Results!AH1413</f>
        <v>3089217.4079999998</v>
      </c>
      <c r="AF52" s="1">
        <f>[1]Results!AI1413</f>
        <v>3170306.36</v>
      </c>
      <c r="AG52" s="1">
        <f>[1]Results!AJ1413</f>
        <v>3256833.9580000001</v>
      </c>
      <c r="AH52" s="1">
        <f>[1]Results!AK1413</f>
        <v>3347767.8050000002</v>
      </c>
      <c r="AI52" s="1">
        <f>[1]Results!AL1413</f>
        <v>3444578.372</v>
      </c>
      <c r="AJ52" s="1">
        <f>[1]Results!AM1413</f>
        <v>3547458.4709999999</v>
      </c>
      <c r="AK52" s="1">
        <f>[1]Results!AN1413</f>
        <v>3656494.6710000001</v>
      </c>
      <c r="AL52" s="1">
        <f>[1]Results!AO1413</f>
        <v>3779585.2540000002</v>
      </c>
    </row>
    <row r="53" spans="1:38" x14ac:dyDescent="0.35">
      <c r="A53" s="3" t="str">
        <f>[1]Results!E1414</f>
        <v>Bal_G_tot_VAL_2</v>
      </c>
      <c r="B53" t="str">
        <f>[1]Results!C1414</f>
        <v>Solde public</v>
      </c>
      <c r="C53" s="1">
        <f>[1]Results!F1414</f>
        <v>-62903.167379999999</v>
      </c>
      <c r="D53" s="1">
        <f>[1]Results!G1414</f>
        <v>-62476.628770000003</v>
      </c>
      <c r="E53" s="1">
        <f>[1]Results!H1414</f>
        <v>-54186.133710000002</v>
      </c>
      <c r="F53" s="1">
        <f>[1]Results!I1414</f>
        <v>-45902.492359999997</v>
      </c>
      <c r="G53" s="1">
        <f>[1]Results!J1414</f>
        <v>-36837.100579999998</v>
      </c>
      <c r="H53" s="1">
        <f>[1]Results!K1414</f>
        <v>-15998.4287</v>
      </c>
      <c r="I53" s="1">
        <f>[1]Results!L1414</f>
        <v>10781.10376</v>
      </c>
      <c r="J53" s="1">
        <f>[1]Results!M1414</f>
        <v>32203.474289999998</v>
      </c>
      <c r="K53" s="1">
        <f>[1]Results!N1414</f>
        <v>50414.995000000003</v>
      </c>
      <c r="L53" s="1">
        <f>[1]Results!O1414</f>
        <v>72644.241760000004</v>
      </c>
      <c r="M53" s="1">
        <f>[1]Results!P1414</f>
        <v>98479.193369999994</v>
      </c>
      <c r="N53" s="1">
        <f>[1]Results!Q1414</f>
        <v>116752.3652</v>
      </c>
      <c r="O53" s="1">
        <f>[1]Results!R1414</f>
        <v>148209.58960000001</v>
      </c>
      <c r="P53" s="1">
        <f>[1]Results!S1414</f>
        <v>181590.79430000001</v>
      </c>
      <c r="Q53" s="1">
        <f>[1]Results!T1414</f>
        <v>214317.1441</v>
      </c>
      <c r="R53" s="1">
        <f>[1]Results!U1414</f>
        <v>245806.1274</v>
      </c>
      <c r="S53" s="1">
        <f>[1]Results!V1414</f>
        <v>276374.30820000003</v>
      </c>
      <c r="T53" s="1">
        <f>[1]Results!W1414</f>
        <v>305325.69410000002</v>
      </c>
      <c r="U53" s="1">
        <f>[1]Results!X1414</f>
        <v>333096.2316</v>
      </c>
      <c r="V53" s="1">
        <f>[1]Results!Y1414</f>
        <v>359983.20260000002</v>
      </c>
      <c r="W53" s="1">
        <f>[1]Results!Z1414</f>
        <v>387206.05530000001</v>
      </c>
      <c r="X53" s="1">
        <f>[1]Results!AA1414</f>
        <v>410470.74420000002</v>
      </c>
      <c r="Y53" s="1">
        <f>[1]Results!AB1414</f>
        <v>432489.80109999998</v>
      </c>
      <c r="Z53" s="1">
        <f>[1]Results!AC1414</f>
        <v>453559.3334</v>
      </c>
      <c r="AA53" s="1">
        <f>[1]Results!AD1414</f>
        <v>474111.5601</v>
      </c>
      <c r="AB53" s="1">
        <f>[1]Results!AE1414</f>
        <v>500450.30290000001</v>
      </c>
      <c r="AC53" s="1">
        <f>[1]Results!AF1414</f>
        <v>521752.04920000001</v>
      </c>
      <c r="AD53" s="1">
        <f>[1]Results!AG1414</f>
        <v>544526.2095</v>
      </c>
      <c r="AE53" s="1">
        <f>[1]Results!AH1414</f>
        <v>571065.98470000003</v>
      </c>
      <c r="AF53" s="1">
        <f>[1]Results!AI1414</f>
        <v>602022.06319999998</v>
      </c>
      <c r="AG53" s="1">
        <f>[1]Results!AJ1414</f>
        <v>637554.29169999994</v>
      </c>
      <c r="AH53" s="1">
        <f>[1]Results!AK1414</f>
        <v>676558.88959999999</v>
      </c>
      <c r="AI53" s="1">
        <f>[1]Results!AL1414</f>
        <v>719275.08770000003</v>
      </c>
      <c r="AJ53" s="1">
        <f>[1]Results!AM1414</f>
        <v>766601.62190000003</v>
      </c>
      <c r="AK53" s="1">
        <f>[1]Results!AN1414</f>
        <v>818231.70259999996</v>
      </c>
      <c r="AL53" s="1">
        <f>[1]Results!AO1414</f>
        <v>882021.98340000003</v>
      </c>
    </row>
    <row r="54" spans="1:38" x14ac:dyDescent="0.35">
      <c r="A54" s="3" t="str">
        <f>[1]Results!E1415</f>
        <v>DEBT_G_VAL_2</v>
      </c>
      <c r="B54" t="str">
        <f>[1]Results!C1415</f>
        <v>Dette publique</v>
      </c>
      <c r="C54" s="1">
        <f>[1]Results!F1415</f>
        <v>2102444.5210000002</v>
      </c>
      <c r="D54" s="1">
        <f>[1]Results!G1415</f>
        <v>2164921.15</v>
      </c>
      <c r="E54" s="1">
        <f>[1]Results!H1415</f>
        <v>2219107.2829999998</v>
      </c>
      <c r="F54" s="1">
        <f>[1]Results!I1415</f>
        <v>2265009.7760000001</v>
      </c>
      <c r="G54" s="1">
        <f>[1]Results!J1415</f>
        <v>2301846.8760000002</v>
      </c>
      <c r="H54" s="1">
        <f>[1]Results!K1415</f>
        <v>2317845.3050000002</v>
      </c>
      <c r="I54" s="1">
        <f>[1]Results!L1415</f>
        <v>2307064.2009999999</v>
      </c>
      <c r="J54" s="1">
        <f>[1]Results!M1415</f>
        <v>2274860.727</v>
      </c>
      <c r="K54" s="1">
        <f>[1]Results!N1415</f>
        <v>2224445.7319999998</v>
      </c>
      <c r="L54" s="1">
        <f>[1]Results!O1415</f>
        <v>2151801.4900000002</v>
      </c>
      <c r="M54" s="1">
        <f>[1]Results!P1415</f>
        <v>2053322.297</v>
      </c>
      <c r="N54" s="1">
        <f>[1]Results!Q1415</f>
        <v>1936569.932</v>
      </c>
      <c r="O54" s="1">
        <f>[1]Results!R1415</f>
        <v>1788360.3419999999</v>
      </c>
      <c r="P54" s="1">
        <f>[1]Results!S1415</f>
        <v>1606769.548</v>
      </c>
      <c r="Q54" s="1">
        <f>[1]Results!T1415</f>
        <v>1392452.4040000001</v>
      </c>
      <c r="R54" s="1">
        <f>[1]Results!U1415</f>
        <v>1146646.2760000001</v>
      </c>
      <c r="S54" s="1">
        <f>[1]Results!V1415</f>
        <v>870271.96790000005</v>
      </c>
      <c r="T54" s="1">
        <f>[1]Results!W1415</f>
        <v>564946.27379999997</v>
      </c>
      <c r="U54" s="1">
        <f>[1]Results!X1415</f>
        <v>231850.0422</v>
      </c>
      <c r="V54" s="1">
        <f>[1]Results!Y1415</f>
        <v>-128133.16039999999</v>
      </c>
      <c r="W54" s="1">
        <f>[1]Results!Z1415</f>
        <v>-515339.21580000001</v>
      </c>
      <c r="X54" s="1">
        <f>[1]Results!AA1415</f>
        <v>-925809.95990000002</v>
      </c>
      <c r="Y54" s="1">
        <f>[1]Results!AB1415</f>
        <v>-1358299.7609999999</v>
      </c>
      <c r="Z54" s="1">
        <f>[1]Results!AC1415</f>
        <v>-1811859.094</v>
      </c>
      <c r="AA54" s="1">
        <f>[1]Results!AD1415</f>
        <v>-2285970.6540000001</v>
      </c>
      <c r="AB54" s="1">
        <f>[1]Results!AE1415</f>
        <v>-2786420.9569999999</v>
      </c>
      <c r="AC54" s="1">
        <f>[1]Results!AF1415</f>
        <v>-3308173.0070000002</v>
      </c>
      <c r="AD54" s="1">
        <f>[1]Results!AG1415</f>
        <v>-3852699.216</v>
      </c>
      <c r="AE54" s="1">
        <f>[1]Results!AH1415</f>
        <v>-4423765.2010000004</v>
      </c>
      <c r="AF54" s="1">
        <f>[1]Results!AI1415</f>
        <v>-5025787.2640000004</v>
      </c>
      <c r="AG54" s="1">
        <f>[1]Results!AJ1415</f>
        <v>-5663341.5559999999</v>
      </c>
      <c r="AH54" s="1">
        <f>[1]Results!AK1415</f>
        <v>-6339900.4450000003</v>
      </c>
      <c r="AI54" s="1">
        <f>[1]Results!AL1415</f>
        <v>-7059175.5329999998</v>
      </c>
      <c r="AJ54" s="1">
        <f>[1]Results!AM1415</f>
        <v>-7825777.1550000003</v>
      </c>
      <c r="AK54" s="1">
        <f>[1]Results!AN1415</f>
        <v>-8644008.8570000008</v>
      </c>
      <c r="AL54" s="1">
        <f>[1]Results!AO1415</f>
        <v>-9526030.841</v>
      </c>
    </row>
    <row r="55" spans="1:38" x14ac:dyDescent="0.35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x14ac:dyDescent="0.35">
      <c r="A56" s="9" t="s">
        <v>3</v>
      </c>
      <c r="B56" t="s">
        <v>4</v>
      </c>
      <c r="C56" s="1">
        <f>[1]Results!F1789</f>
        <v>1.0027426399999999</v>
      </c>
      <c r="D56" s="1">
        <f>[1]Results!G1789</f>
        <v>1.0226097679999999</v>
      </c>
      <c r="E56" s="1">
        <f>[1]Results!H1789</f>
        <v>1.046701503</v>
      </c>
      <c r="F56" s="1">
        <f>[1]Results!I1789</f>
        <v>1.074186866</v>
      </c>
      <c r="G56" s="1">
        <f>[1]Results!J1789</f>
        <v>1.097319393</v>
      </c>
      <c r="H56" s="1">
        <f>[1]Results!K1789</f>
        <v>1.115429043</v>
      </c>
      <c r="I56" s="1">
        <f>[1]Results!L1789</f>
        <v>1.1384927730000001</v>
      </c>
      <c r="J56" s="1">
        <f>[1]Results!M1789</f>
        <v>1.1623492660000001</v>
      </c>
      <c r="K56" s="1">
        <f>[1]Results!N1789</f>
        <v>1.1873838379999999</v>
      </c>
      <c r="L56" s="1">
        <f>[1]Results!O1789</f>
        <v>1.2132757110000001</v>
      </c>
      <c r="M56" s="1">
        <f>[1]Results!P1789</f>
        <v>1.2392828060000001</v>
      </c>
      <c r="N56" s="1">
        <f>[1]Results!Q1789</f>
        <v>1.265156022</v>
      </c>
      <c r="O56" s="1">
        <f>[1]Results!R1789</f>
        <v>1.2900925249999999</v>
      </c>
      <c r="P56" s="1">
        <f>[1]Results!S1789</f>
        <v>1.3136110780000001</v>
      </c>
      <c r="Q56" s="1">
        <f>[1]Results!T1789</f>
        <v>1.3354442179999999</v>
      </c>
      <c r="R56" s="1">
        <f>[1]Results!U1789</f>
        <v>1.3554543059999999</v>
      </c>
      <c r="S56" s="1">
        <f>[1]Results!V1789</f>
        <v>1.3735315020000001</v>
      </c>
      <c r="T56" s="1">
        <f>[1]Results!W1789</f>
        <v>1.3896339289999999</v>
      </c>
      <c r="U56" s="1">
        <f>[1]Results!X1789</f>
        <v>1.403890836</v>
      </c>
      <c r="V56" s="1">
        <f>[1]Results!Y1789</f>
        <v>1.4165399279999999</v>
      </c>
      <c r="W56" s="1">
        <f>[1]Results!Z1789</f>
        <v>1.427970642</v>
      </c>
      <c r="X56" s="1">
        <f>[1]Results!AA1789</f>
        <v>1.438479764</v>
      </c>
      <c r="Y56" s="1">
        <f>[1]Results!AB1789</f>
        <v>1.448440237</v>
      </c>
      <c r="Z56" s="1">
        <f>[1]Results!AC1789</f>
        <v>1.4582756079999999</v>
      </c>
      <c r="AA56" s="1">
        <f>[1]Results!AD1789</f>
        <v>1.46848811</v>
      </c>
      <c r="AB56" s="1">
        <f>[1]Results!AE1789</f>
        <v>1.4797684929999999</v>
      </c>
      <c r="AC56" s="1">
        <f>[1]Results!AF1789</f>
        <v>1.492219741</v>
      </c>
      <c r="AD56" s="1">
        <f>[1]Results!AG1789</f>
        <v>1.5061042469999999</v>
      </c>
      <c r="AE56" s="1">
        <f>[1]Results!AH1789</f>
        <v>1.5216691769999999</v>
      </c>
      <c r="AF56" s="1">
        <f>[1]Results!AI1789</f>
        <v>1.5390313250000001</v>
      </c>
      <c r="AG56" s="1">
        <f>[1]Results!AJ1789</f>
        <v>1.5582848979999999</v>
      </c>
      <c r="AH56" s="1">
        <f>[1]Results!AK1789</f>
        <v>1.5794652659999999</v>
      </c>
      <c r="AI56" s="1">
        <f>[1]Results!AL1789</f>
        <v>1.602546606</v>
      </c>
      <c r="AJ56" s="1">
        <f>[1]Results!AM1789</f>
        <v>1.6274440880000001</v>
      </c>
      <c r="AK56" s="1">
        <f>[1]Results!AN1789</f>
        <v>1.654015537</v>
      </c>
      <c r="AL56" s="1">
        <f>[1]Results!AO1789</f>
        <v>1.6820684800000001</v>
      </c>
    </row>
    <row r="57" spans="1:38" x14ac:dyDescent="0.35">
      <c r="A57" s="9"/>
      <c r="B57" t="s">
        <v>6</v>
      </c>
      <c r="C57" s="1">
        <f>[1]Results!F1760</f>
        <v>1.0027426399999999</v>
      </c>
      <c r="D57" s="1">
        <f>[1]Results!G1760</f>
        <v>1.0226097679999999</v>
      </c>
      <c r="E57" s="1">
        <f>[1]Results!H1760</f>
        <v>1.0467015040000001</v>
      </c>
      <c r="F57" s="1">
        <f>[1]Results!I1760</f>
        <v>1.0741868670000001</v>
      </c>
      <c r="G57" s="1">
        <f>[1]Results!J1760</f>
        <v>1.097319395</v>
      </c>
      <c r="H57" s="1">
        <f>[1]Results!K1760</f>
        <v>1.1154290440000001</v>
      </c>
      <c r="I57" s="1">
        <f>[1]Results!L1760</f>
        <v>1.138001107</v>
      </c>
      <c r="J57" s="1">
        <f>[1]Results!M1760</f>
        <v>1.1673680719999999</v>
      </c>
      <c r="K57" s="1">
        <f>[1]Results!N1760</f>
        <v>1.2013757789999999</v>
      </c>
      <c r="L57" s="1">
        <f>[1]Results!O1760</f>
        <v>1.241245264</v>
      </c>
      <c r="M57" s="1">
        <f>[1]Results!P1760</f>
        <v>1.2885588509999999</v>
      </c>
      <c r="N57" s="1">
        <f>[1]Results!Q1760</f>
        <v>1.3292155649999999</v>
      </c>
      <c r="O57" s="1">
        <f>[1]Results!R1760</f>
        <v>1.367376396</v>
      </c>
      <c r="P57" s="1">
        <f>[1]Results!S1760</f>
        <v>1.403456083</v>
      </c>
      <c r="Q57" s="1">
        <f>[1]Results!T1760</f>
        <v>1.437670684</v>
      </c>
      <c r="R57" s="1">
        <f>[1]Results!U1760</f>
        <v>1.470062523</v>
      </c>
      <c r="S57" s="1">
        <f>[1]Results!V1760</f>
        <v>1.5017422039999999</v>
      </c>
      <c r="T57" s="1">
        <f>[1]Results!W1760</f>
        <v>1.5327770089999999</v>
      </c>
      <c r="U57" s="1">
        <f>[1]Results!X1760</f>
        <v>1.562892572</v>
      </c>
      <c r="V57" s="1">
        <f>[1]Results!Y1760</f>
        <v>1.5916210669999999</v>
      </c>
      <c r="W57" s="1">
        <f>[1]Results!Z1760</f>
        <v>1.619037466</v>
      </c>
      <c r="X57" s="1">
        <f>[1]Results!AA1760</f>
        <v>1.643727787</v>
      </c>
      <c r="Y57" s="1">
        <f>[1]Results!AB1760</f>
        <v>1.6665693669999999</v>
      </c>
      <c r="Z57" s="1">
        <f>[1]Results!AC1760</f>
        <v>1.6877676800000001</v>
      </c>
      <c r="AA57" s="1">
        <f>[1]Results!AD1760</f>
        <v>1.7076412430000001</v>
      </c>
      <c r="AB57" s="1">
        <f>[1]Results!AE1760</f>
        <v>1.726994964</v>
      </c>
      <c r="AC57" s="1">
        <f>[1]Results!AF1760</f>
        <v>1.7452601160000001</v>
      </c>
      <c r="AD57" s="1">
        <f>[1]Results!AG1760</f>
        <v>1.763894539</v>
      </c>
      <c r="AE57" s="1">
        <f>[1]Results!AH1760</f>
        <v>1.7832401019999999</v>
      </c>
      <c r="AF57" s="1">
        <f>[1]Results!AI1760</f>
        <v>1.8035167540000001</v>
      </c>
      <c r="AG57" s="1">
        <f>[1]Results!AJ1760</f>
        <v>1.8249455779999999</v>
      </c>
      <c r="AH57" s="1">
        <f>[1]Results!AK1760</f>
        <v>1.8473981269999999</v>
      </c>
      <c r="AI57" s="1">
        <f>[1]Results!AL1760</f>
        <v>1.8714685760000001</v>
      </c>
      <c r="AJ57" s="1">
        <f>[1]Results!AM1760</f>
        <v>1.897256345</v>
      </c>
      <c r="AK57" s="1">
        <f>[1]Results!AN1760</f>
        <v>1.924799095</v>
      </c>
      <c r="AL57" s="1">
        <f>[1]Results!AO1760</f>
        <v>1.954747427</v>
      </c>
    </row>
    <row r="58" spans="1:38" x14ac:dyDescent="0.35"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x14ac:dyDescent="0.35">
      <c r="A59" s="9" t="s">
        <v>1</v>
      </c>
      <c r="B59" t="str">
        <f>B56</f>
        <v>Baseline</v>
      </c>
      <c r="D59" s="1" t="e">
        <f>(D56/#REF!-1)*100</f>
        <v>#REF!</v>
      </c>
      <c r="E59" s="1">
        <f t="shared" ref="E59:AL59" si="0">(E56/D56-1)*100</f>
        <v>2.3559069895370044</v>
      </c>
      <c r="F59" s="1">
        <f t="shared" si="0"/>
        <v>2.6259026973041388</v>
      </c>
      <c r="G59" s="1">
        <f t="shared" si="0"/>
        <v>2.1534918860197649</v>
      </c>
      <c r="H59" s="1">
        <f t="shared" si="0"/>
        <v>1.6503535903516164</v>
      </c>
      <c r="I59" s="1">
        <f t="shared" si="0"/>
        <v>2.06770032972865</v>
      </c>
      <c r="J59" s="1">
        <f t="shared" si="0"/>
        <v>2.0954452734150086</v>
      </c>
      <c r="K59" s="1">
        <f t="shared" si="0"/>
        <v>2.1537908382866178</v>
      </c>
      <c r="L59" s="1">
        <f t="shared" si="0"/>
        <v>2.1805815584968524</v>
      </c>
      <c r="M59" s="1">
        <f t="shared" si="0"/>
        <v>2.1435436944966524</v>
      </c>
      <c r="N59" s="1">
        <f t="shared" si="0"/>
        <v>2.0877571991424704</v>
      </c>
      <c r="O59" s="1">
        <f t="shared" si="0"/>
        <v>1.9710219582703692</v>
      </c>
      <c r="P59" s="1">
        <f t="shared" si="0"/>
        <v>1.8230128881647545</v>
      </c>
      <c r="Q59" s="1">
        <f t="shared" si="0"/>
        <v>1.6620703315962659</v>
      </c>
      <c r="R59" s="1">
        <f t="shared" si="0"/>
        <v>1.4983844124891732</v>
      </c>
      <c r="S59" s="1">
        <f t="shared" si="0"/>
        <v>1.3336632537135573</v>
      </c>
      <c r="T59" s="1">
        <f t="shared" si="0"/>
        <v>1.1723376549102049</v>
      </c>
      <c r="U59" s="1">
        <f t="shared" si="0"/>
        <v>1.0259469564232404</v>
      </c>
      <c r="V59" s="1">
        <f t="shared" si="0"/>
        <v>0.90100253350466897</v>
      </c>
      <c r="W59" s="1">
        <f t="shared" si="0"/>
        <v>0.80694612090030926</v>
      </c>
      <c r="X59" s="1">
        <f t="shared" si="0"/>
        <v>0.73594804339121023</v>
      </c>
      <c r="Y59" s="1">
        <f t="shared" si="0"/>
        <v>0.69243052625937995</v>
      </c>
      <c r="Z59" s="1">
        <f t="shared" si="0"/>
        <v>0.67903188193465525</v>
      </c>
      <c r="AA59" s="1">
        <f t="shared" si="0"/>
        <v>0.70031357200073252</v>
      </c>
      <c r="AB59" s="1">
        <f t="shared" si="0"/>
        <v>0.76816304627755905</v>
      </c>
      <c r="AC59" s="1">
        <f t="shared" si="0"/>
        <v>0.84143216042917857</v>
      </c>
      <c r="AD59" s="1">
        <f t="shared" si="0"/>
        <v>0.93045987923301432</v>
      </c>
      <c r="AE59" s="1">
        <f t="shared" si="0"/>
        <v>1.033456351444717</v>
      </c>
      <c r="AF59" s="1">
        <f t="shared" si="0"/>
        <v>1.1409936050771563</v>
      </c>
      <c r="AG59" s="1">
        <f t="shared" si="0"/>
        <v>1.2510189160704677</v>
      </c>
      <c r="AH59" s="1">
        <f t="shared" si="0"/>
        <v>1.3592102462896438</v>
      </c>
      <c r="AI59" s="1">
        <f t="shared" si="0"/>
        <v>1.4613388782175329</v>
      </c>
      <c r="AJ59" s="1">
        <f t="shared" si="0"/>
        <v>1.5536198389976885</v>
      </c>
      <c r="AK59" s="1">
        <f t="shared" si="0"/>
        <v>1.6327104074373544</v>
      </c>
      <c r="AL59" s="1">
        <f t="shared" si="0"/>
        <v>1.6960507548122283</v>
      </c>
    </row>
    <row r="60" spans="1:38" x14ac:dyDescent="0.35">
      <c r="A60" s="9"/>
      <c r="B60" t="str">
        <f>B57</f>
        <v>NZ50</v>
      </c>
      <c r="D60" s="1">
        <f t="shared" ref="D60:AL60" si="1">(D57/C57-1)*100</f>
        <v>1.9812788653327917</v>
      </c>
      <c r="E60" s="1">
        <f t="shared" si="1"/>
        <v>2.3559070873260257</v>
      </c>
      <c r="F60" s="1">
        <f t="shared" si="1"/>
        <v>2.6259026947954123</v>
      </c>
      <c r="G60" s="1">
        <f t="shared" si="1"/>
        <v>2.1534919771086569</v>
      </c>
      <c r="H60" s="1">
        <f t="shared" si="1"/>
        <v>1.6503534962124755</v>
      </c>
      <c r="I60" s="1">
        <f t="shared" si="1"/>
        <v>2.0236215939881896</v>
      </c>
      <c r="J60" s="1">
        <f t="shared" si="1"/>
        <v>2.5805743790018987</v>
      </c>
      <c r="K60" s="1">
        <f t="shared" si="1"/>
        <v>2.9131948882014758</v>
      </c>
      <c r="L60" s="1">
        <f t="shared" si="1"/>
        <v>3.3186523065403151</v>
      </c>
      <c r="M60" s="1">
        <f t="shared" si="1"/>
        <v>3.8117838893119815</v>
      </c>
      <c r="N60" s="1">
        <f t="shared" si="1"/>
        <v>3.1552081589791614</v>
      </c>
      <c r="O60" s="1">
        <f t="shared" si="1"/>
        <v>2.8709286894334607</v>
      </c>
      <c r="P60" s="1">
        <f t="shared" si="1"/>
        <v>2.6386068317066247</v>
      </c>
      <c r="Q60" s="1">
        <f t="shared" si="1"/>
        <v>2.4378818414370063</v>
      </c>
      <c r="R60" s="1">
        <f t="shared" si="1"/>
        <v>2.2530777987262551</v>
      </c>
      <c r="S60" s="1">
        <f t="shared" si="1"/>
        <v>2.1549886827500586</v>
      </c>
      <c r="T60" s="1">
        <f t="shared" si="1"/>
        <v>2.0665867228966794</v>
      </c>
      <c r="U60" s="1">
        <f t="shared" si="1"/>
        <v>1.9647713152774804</v>
      </c>
      <c r="V60" s="1">
        <f t="shared" si="1"/>
        <v>1.8381618490410201</v>
      </c>
      <c r="W60" s="1">
        <f t="shared" si="1"/>
        <v>1.7225456214698287</v>
      </c>
      <c r="X60" s="1">
        <f t="shared" si="1"/>
        <v>1.5249999779807455</v>
      </c>
      <c r="Y60" s="1">
        <f t="shared" si="1"/>
        <v>1.3896206038889636</v>
      </c>
      <c r="Z60" s="1">
        <f t="shared" si="1"/>
        <v>1.2719730375315486</v>
      </c>
      <c r="AA60" s="1">
        <f t="shared" si="1"/>
        <v>1.1775058401402694</v>
      </c>
      <c r="AB60" s="1">
        <f t="shared" si="1"/>
        <v>1.1333598950795443</v>
      </c>
      <c r="AC60" s="1">
        <f t="shared" si="1"/>
        <v>1.0576262456316154</v>
      </c>
      <c r="AD60" s="1">
        <f t="shared" si="1"/>
        <v>1.0677160859384527</v>
      </c>
      <c r="AE60" s="1">
        <f t="shared" si="1"/>
        <v>1.096752814426627</v>
      </c>
      <c r="AF60" s="1">
        <f t="shared" si="1"/>
        <v>1.1370679684277407</v>
      </c>
      <c r="AG60" s="1">
        <f t="shared" si="1"/>
        <v>1.1881688347209929</v>
      </c>
      <c r="AH60" s="1">
        <f t="shared" si="1"/>
        <v>1.2303133458152926</v>
      </c>
      <c r="AI60" s="1">
        <f t="shared" si="1"/>
        <v>1.3029378263519353</v>
      </c>
      <c r="AJ60" s="1">
        <f t="shared" si="1"/>
        <v>1.3779429337316351</v>
      </c>
      <c r="AK60" s="1">
        <f t="shared" si="1"/>
        <v>1.4517147391593044</v>
      </c>
      <c r="AL60" s="1">
        <f t="shared" si="1"/>
        <v>1.5559198919926853</v>
      </c>
    </row>
    <row r="61" spans="1:38" x14ac:dyDescent="0.35">
      <c r="A61" s="7"/>
    </row>
    <row r="62" spans="1:38" x14ac:dyDescent="0.35">
      <c r="A62" s="9" t="s">
        <v>2</v>
      </c>
      <c r="B62" t="str">
        <f>B59</f>
        <v>Baseline</v>
      </c>
      <c r="C62" s="6">
        <f>[1]Results!F911+[1]Results!F1283</f>
        <v>468.5194214</v>
      </c>
      <c r="D62" s="6">
        <f>[1]Results!G911+[1]Results!G1283</f>
        <v>470.93611109999995</v>
      </c>
      <c r="E62" s="6">
        <f>[1]Results!H911+[1]Results!H1283</f>
        <v>472.06996559999999</v>
      </c>
      <c r="F62" s="6">
        <f>[1]Results!I911+[1]Results!I1283</f>
        <v>473.12656670000001</v>
      </c>
      <c r="G62" s="6">
        <f>[1]Results!J911+[1]Results!J1283</f>
        <v>477.4343561</v>
      </c>
      <c r="H62" s="6">
        <f>[1]Results!K911+[1]Results!K1283</f>
        <v>485.6267072</v>
      </c>
      <c r="I62" s="6">
        <f>[1]Results!L911+[1]Results!L1283</f>
        <v>494.38630890000002</v>
      </c>
      <c r="J62" s="6">
        <f>[1]Results!M911+[1]Results!M1283</f>
        <v>504.54384759999999</v>
      </c>
      <c r="K62" s="6">
        <f>[1]Results!N911+[1]Results!N1283</f>
        <v>515.58266649999996</v>
      </c>
      <c r="L62" s="6">
        <f>[1]Results!O911+[1]Results!O1283</f>
        <v>526.81627649999996</v>
      </c>
      <c r="M62" s="6">
        <f>[1]Results!P911+[1]Results!P1283</f>
        <v>537.58267460000002</v>
      </c>
      <c r="N62" s="6">
        <f>[1]Results!Q911+[1]Results!Q1283</f>
        <v>548.62977430000001</v>
      </c>
      <c r="O62" s="6">
        <f>[1]Results!R911+[1]Results!R1283</f>
        <v>558.90215020000005</v>
      </c>
      <c r="P62" s="6">
        <f>[1]Results!S911+[1]Results!S1283</f>
        <v>568.49873300000002</v>
      </c>
      <c r="Q62" s="6">
        <f>[1]Results!T911+[1]Results!T1283</f>
        <v>577.574298</v>
      </c>
      <c r="R62" s="6">
        <f>[1]Results!U911+[1]Results!U1283</f>
        <v>586.32276909999996</v>
      </c>
      <c r="S62" s="6">
        <f>[1]Results!V911+[1]Results!V1283</f>
        <v>594.94832029999998</v>
      </c>
      <c r="T62" s="6">
        <f>[1]Results!W911+[1]Results!W1283</f>
        <v>603.71785670000008</v>
      </c>
      <c r="U62" s="6">
        <f>[1]Results!X911+[1]Results!X1283</f>
        <v>612.76507070000002</v>
      </c>
      <c r="V62" s="6">
        <f>[1]Results!Y911+[1]Results!Y1283</f>
        <v>622.22028490000002</v>
      </c>
      <c r="W62" s="6">
        <f>[1]Results!Z911+[1]Results!Z1283</f>
        <v>632.14057279999997</v>
      </c>
      <c r="X62" s="6">
        <f>[1]Results!AA911+[1]Results!AA1283</f>
        <v>642.77029710000011</v>
      </c>
      <c r="Y62" s="6">
        <f>[1]Results!AB911+[1]Results!AB1283</f>
        <v>654.23425380000003</v>
      </c>
      <c r="Z62" s="6">
        <f>[1]Results!AC911+[1]Results!AC1283</f>
        <v>666.65622829999995</v>
      </c>
      <c r="AA62" s="6">
        <f>[1]Results!AD911+[1]Results!AD1283</f>
        <v>680.16061630000002</v>
      </c>
      <c r="AB62" s="6">
        <f>[1]Results!AE911+[1]Results!AE1283</f>
        <v>694.65790149999998</v>
      </c>
      <c r="AC62" s="6">
        <f>[1]Results!AF911+[1]Results!AF1283</f>
        <v>706.65853340000001</v>
      </c>
      <c r="AD62" s="6">
        <f>[1]Results!AG911+[1]Results!AG1283</f>
        <v>718.29791890000001</v>
      </c>
      <c r="AE62" s="6">
        <f>[1]Results!AH911+[1]Results!AH1283</f>
        <v>730.51900550000005</v>
      </c>
      <c r="AF62" s="6">
        <f>[1]Results!AI911+[1]Results!AI1283</f>
        <v>743.5447891</v>
      </c>
      <c r="AG62" s="6">
        <f>[1]Results!AJ911+[1]Results!AJ1283</f>
        <v>757.32271689999993</v>
      </c>
      <c r="AH62" s="6">
        <f>[1]Results!AK911+[1]Results!AK1283</f>
        <v>771.71631279999997</v>
      </c>
      <c r="AI62" s="6">
        <f>[1]Results!AL911+[1]Results!AL1283</f>
        <v>786.5718134</v>
      </c>
      <c r="AJ62" s="6">
        <f>[1]Results!AM911+[1]Results!AM1283</f>
        <v>801.73227479999991</v>
      </c>
      <c r="AK62" s="6">
        <f>[1]Results!AN911+[1]Results!AN1283</f>
        <v>817.04444979999994</v>
      </c>
      <c r="AL62" s="6">
        <f>[1]Results!AO911+[1]Results!AO1283</f>
        <v>832.3574926</v>
      </c>
    </row>
    <row r="63" spans="1:38" x14ac:dyDescent="0.35">
      <c r="A63" s="9"/>
      <c r="B63" t="str">
        <f>B60</f>
        <v>NZ50</v>
      </c>
      <c r="C63" s="6">
        <f>[1]Results!F857+[1]Results!F485</f>
        <v>468.5194444</v>
      </c>
      <c r="D63" s="6">
        <f>[1]Results!G857+[1]Results!G485</f>
        <v>470.93613389999996</v>
      </c>
      <c r="E63" s="6">
        <f>[1]Results!H857+[1]Results!H485</f>
        <v>472.0699879</v>
      </c>
      <c r="F63" s="6">
        <f>[1]Results!I857+[1]Results!I485</f>
        <v>473.1265884</v>
      </c>
      <c r="G63" s="6">
        <f>[1]Results!J857+[1]Results!J485</f>
        <v>477.43437779999999</v>
      </c>
      <c r="H63" s="6">
        <f>[1]Results!K857+[1]Results!K485</f>
        <v>485.62672930000002</v>
      </c>
      <c r="I63" s="6">
        <f>[1]Results!L857+[1]Results!L485</f>
        <v>492.4320831</v>
      </c>
      <c r="J63" s="6">
        <f>[1]Results!M857+[1]Results!M485</f>
        <v>498.14458880000001</v>
      </c>
      <c r="K63" s="6">
        <f>[1]Results!N857+[1]Results!N485</f>
        <v>501.90355210000001</v>
      </c>
      <c r="L63" s="6">
        <f>[1]Results!O857+[1]Results!O485</f>
        <v>503.57451029999999</v>
      </c>
      <c r="M63" s="6">
        <f>[1]Results!P857+[1]Results!P485</f>
        <v>501.63896370000003</v>
      </c>
      <c r="N63" s="6">
        <f>[1]Results!Q857+[1]Results!Q485</f>
        <v>502.20913489999998</v>
      </c>
      <c r="O63" s="6">
        <f>[1]Results!R857+[1]Results!R485</f>
        <v>504.16825820000003</v>
      </c>
      <c r="P63" s="6">
        <f>[1]Results!S857+[1]Results!S485</f>
        <v>507.21094830000004</v>
      </c>
      <c r="Q63" s="6">
        <f>[1]Results!T857+[1]Results!T485</f>
        <v>510.98890219999998</v>
      </c>
      <c r="R63" s="6">
        <f>[1]Results!U857+[1]Results!U485</f>
        <v>515.29096630000004</v>
      </c>
      <c r="S63" s="6">
        <f>[1]Results!V857+[1]Results!V485</f>
        <v>518.1054345</v>
      </c>
      <c r="T63" s="6">
        <f>[1]Results!W857+[1]Results!W485</f>
        <v>520.61940079999999</v>
      </c>
      <c r="U63" s="6">
        <f>[1]Results!X857+[1]Results!X485</f>
        <v>521.71575480000001</v>
      </c>
      <c r="V63" s="6">
        <f>[1]Results!Y857+[1]Results!Y485</f>
        <v>519.45196899999996</v>
      </c>
      <c r="W63" s="6">
        <f>[1]Results!Z857+[1]Results!Z485</f>
        <v>516.27897129999997</v>
      </c>
      <c r="X63" s="6">
        <f>[1]Results!AA857+[1]Results!AA485</f>
        <v>512.69811679999998</v>
      </c>
      <c r="Y63" s="6">
        <f>[1]Results!AB857+[1]Results!AB485</f>
        <v>508.88041139999996</v>
      </c>
      <c r="Z63" s="6">
        <f>[1]Results!AC857+[1]Results!AC485</f>
        <v>505.01095592999997</v>
      </c>
      <c r="AA63" s="6">
        <f>[1]Results!AD857+[1]Results!AD485</f>
        <v>501.31580913000005</v>
      </c>
      <c r="AB63" s="6">
        <f>[1]Results!AE857+[1]Results!AE485</f>
        <v>498.07063697000001</v>
      </c>
      <c r="AC63" s="6">
        <f>[1]Results!AF857+[1]Results!AF485</f>
        <v>493.23894745999996</v>
      </c>
      <c r="AD63" s="6">
        <f>[1]Results!AG857+[1]Results!AG485</f>
        <v>488.74433155000003</v>
      </c>
      <c r="AE63" s="6">
        <f>[1]Results!AH857+[1]Results!AH485</f>
        <v>485.09170662999998</v>
      </c>
      <c r="AF63" s="6">
        <f>[1]Results!AI857+[1]Results!AI485</f>
        <v>482.37324584999999</v>
      </c>
      <c r="AG63" s="6">
        <f>[1]Results!AJ857+[1]Results!AJ485</f>
        <v>480.53300274000003</v>
      </c>
      <c r="AH63" s="6">
        <f>[1]Results!AK857+[1]Results!AK485</f>
        <v>479.57015252999997</v>
      </c>
      <c r="AI63" s="6">
        <f>[1]Results!AL857+[1]Results!AL485</f>
        <v>479.39533313999999</v>
      </c>
      <c r="AJ63" s="6">
        <f>[1]Results!AM857+[1]Results!AM485</f>
        <v>479.91644370000006</v>
      </c>
      <c r="AK63" s="6">
        <f>[1]Results!AN857+[1]Results!AN485</f>
        <v>481.05128486000001</v>
      </c>
      <c r="AL63" s="6">
        <f>[1]Results!AO857+[1]Results!AO485</f>
        <v>483.29300353000002</v>
      </c>
    </row>
    <row r="65" spans="1:38" x14ac:dyDescent="0.35">
      <c r="B65" t="s">
        <v>15</v>
      </c>
      <c r="C65" s="6">
        <f>[1]Results!F1551</f>
        <v>1965201.1370000001</v>
      </c>
      <c r="D65" s="6">
        <f>[1]Results!G1551</f>
        <v>2000383.2390000001</v>
      </c>
      <c r="E65" s="6">
        <f>[1]Results!H1551</f>
        <v>2037293.9509999999</v>
      </c>
      <c r="F65" s="6">
        <f>[1]Results!I1551</f>
        <v>2076467.7350000001</v>
      </c>
      <c r="G65" s="6">
        <f>[1]Results!J1551</f>
        <v>2120321.4530000002</v>
      </c>
      <c r="H65" s="6">
        <f>[1]Results!K1551</f>
        <v>2171191.9649999999</v>
      </c>
      <c r="I65" s="6">
        <f>[1]Results!L1551</f>
        <v>2223858.7910000002</v>
      </c>
      <c r="J65" s="6">
        <f>[1]Results!M1551</f>
        <v>2278353.5359999998</v>
      </c>
      <c r="K65" s="6">
        <f>[1]Results!N1551</f>
        <v>2334467.9219999998</v>
      </c>
      <c r="L65" s="6">
        <f>[1]Results!O1551</f>
        <v>2389853.2459999998</v>
      </c>
      <c r="M65" s="6">
        <f>[1]Results!P1551</f>
        <v>2442160.5759999999</v>
      </c>
      <c r="N65" s="6">
        <f>[1]Results!Q1551</f>
        <v>2490994.1970000002</v>
      </c>
      <c r="O65" s="6">
        <f>[1]Results!R1551</f>
        <v>2536514.4619999998</v>
      </c>
      <c r="P65" s="6">
        <f>[1]Results!S1551</f>
        <v>2579185.6630000002</v>
      </c>
      <c r="Q65" s="6">
        <f>[1]Results!T1551</f>
        <v>2619705.9670000002</v>
      </c>
      <c r="R65" s="6">
        <f>[1]Results!U1551</f>
        <v>2658898.466</v>
      </c>
      <c r="S65" s="6">
        <f>[1]Results!V1551</f>
        <v>2697511.46</v>
      </c>
      <c r="T65" s="6">
        <f>[1]Results!W1551</f>
        <v>2736279.6290000002</v>
      </c>
      <c r="U65" s="6">
        <f>[1]Results!X1551</f>
        <v>2775885.074</v>
      </c>
      <c r="V65" s="6">
        <f>[1]Results!Y1551</f>
        <v>2816855.1150000002</v>
      </c>
      <c r="W65" s="6">
        <f>[1]Results!Z1551</f>
        <v>2859275.4909999999</v>
      </c>
      <c r="X65" s="6">
        <f>[1]Results!AA1551</f>
        <v>2903970.233</v>
      </c>
      <c r="Y65" s="6">
        <f>[1]Results!AB1551</f>
        <v>2951184.94</v>
      </c>
      <c r="Z65" s="6">
        <f>[1]Results!AC1551</f>
        <v>3001129.3309999998</v>
      </c>
      <c r="AA65" s="6">
        <f>[1]Results!AD1551</f>
        <v>3053912.16</v>
      </c>
      <c r="AB65" s="6">
        <f>[1]Results!AE1551</f>
        <v>3108622.713</v>
      </c>
      <c r="AC65" s="6">
        <f>[1]Results!AF1551</f>
        <v>3166694.6519999998</v>
      </c>
      <c r="AD65" s="6">
        <f>[1]Results!AG1551</f>
        <v>3227452.4909999999</v>
      </c>
      <c r="AE65" s="6">
        <f>[1]Results!AH1551</f>
        <v>3290778.1069999998</v>
      </c>
      <c r="AF65" s="6">
        <f>[1]Results!AI1551</f>
        <v>3356524.4079999998</v>
      </c>
      <c r="AG65" s="6">
        <f>[1]Results!AJ1551</f>
        <v>3424398.929</v>
      </c>
      <c r="AH65" s="6">
        <f>[1]Results!AK1551</f>
        <v>3494036.682</v>
      </c>
      <c r="AI65" s="6">
        <f>[1]Results!AL1551</f>
        <v>3565045.41</v>
      </c>
      <c r="AJ65" s="6">
        <f>[1]Results!AM1551</f>
        <v>3637010.594</v>
      </c>
      <c r="AK65" s="6">
        <f>[1]Results!AN1551</f>
        <v>3709504.3859999999</v>
      </c>
      <c r="AL65" s="6">
        <f>[1]Results!AO1551</f>
        <v>3782088.7030000002</v>
      </c>
    </row>
    <row r="66" spans="1:38" x14ac:dyDescent="0.35">
      <c r="A66" t="s">
        <v>13</v>
      </c>
      <c r="B66" t="s">
        <v>7</v>
      </c>
      <c r="C66" s="6">
        <f>[1]Results!F1552</f>
        <v>36069.353340000001</v>
      </c>
      <c r="D66" s="6">
        <f>[1]Results!G1552</f>
        <v>36554.327239999999</v>
      </c>
      <c r="E66" s="6">
        <f>[1]Results!H1552</f>
        <v>37096.112659999999</v>
      </c>
      <c r="F66" s="6">
        <f>[1]Results!I1552</f>
        <v>37704.0455</v>
      </c>
      <c r="G66" s="6">
        <f>[1]Results!J1552</f>
        <v>38440.917430000001</v>
      </c>
      <c r="H66" s="6">
        <f>[1]Results!K1552</f>
        <v>39328.979319999999</v>
      </c>
      <c r="I66" s="6">
        <f>[1]Results!L1552</f>
        <v>40305.095880000001</v>
      </c>
      <c r="J66" s="6">
        <f>[1]Results!M1552</f>
        <v>41338.802309999999</v>
      </c>
      <c r="K66" s="6">
        <f>[1]Results!N1552</f>
        <v>42415.873019999999</v>
      </c>
      <c r="L66" s="6">
        <f>[1]Results!O1552</f>
        <v>43475.984669999998</v>
      </c>
      <c r="M66" s="6">
        <f>[1]Results!P1552</f>
        <v>44465.512159999998</v>
      </c>
      <c r="N66" s="6">
        <f>[1]Results!Q1552</f>
        <v>45369.693910000002</v>
      </c>
      <c r="O66" s="6">
        <f>[1]Results!R1552</f>
        <v>46196.167569999998</v>
      </c>
      <c r="P66" s="6">
        <f>[1]Results!S1552</f>
        <v>46958.046950000004</v>
      </c>
      <c r="Q66" s="6">
        <f>[1]Results!T1552</f>
        <v>47671.677680000001</v>
      </c>
      <c r="R66" s="6">
        <f>[1]Results!U1552</f>
        <v>48356.024039999997</v>
      </c>
      <c r="S66" s="6">
        <f>[1]Results!V1552</f>
        <v>49045.350019999998</v>
      </c>
      <c r="T66" s="6">
        <f>[1]Results!W1552</f>
        <v>49742.159449999999</v>
      </c>
      <c r="U66" s="6">
        <f>[1]Results!X1552</f>
        <v>50459.934569999998</v>
      </c>
      <c r="V66" s="6">
        <f>[1]Results!Y1552</f>
        <v>51210.343769999999</v>
      </c>
      <c r="W66" s="6">
        <f>[1]Results!Z1552</f>
        <v>51993.98558</v>
      </c>
      <c r="X66" s="6">
        <f>[1]Results!AA1552</f>
        <v>52833.492120000003</v>
      </c>
      <c r="Y66" s="6">
        <f>[1]Results!AB1552</f>
        <v>53734.460209999997</v>
      </c>
      <c r="Z66" s="6">
        <f>[1]Results!AC1552</f>
        <v>54702.77925</v>
      </c>
      <c r="AA66" s="6">
        <f>[1]Results!AD1552</f>
        <v>55742.752139999997</v>
      </c>
      <c r="AB66" s="6">
        <f>[1]Results!AE1552</f>
        <v>56831.728690000004</v>
      </c>
      <c r="AC66" s="6">
        <f>[1]Results!AF1552</f>
        <v>57865.555710000001</v>
      </c>
      <c r="AD66" s="6">
        <f>[1]Results!AG1552</f>
        <v>58928.662940000002</v>
      </c>
      <c r="AE66" s="6">
        <f>[1]Results!AH1552</f>
        <v>60049.718280000001</v>
      </c>
      <c r="AF66" s="6">
        <f>[1]Results!AI1552</f>
        <v>61232.142209999998</v>
      </c>
      <c r="AG66" s="6">
        <f>[1]Results!AJ1552</f>
        <v>62469.191919999997</v>
      </c>
      <c r="AH66" s="6">
        <f>[1]Results!AK1552</f>
        <v>63751.234190000003</v>
      </c>
      <c r="AI66" s="6">
        <f>[1]Results!AL1552</f>
        <v>65068.122920000002</v>
      </c>
      <c r="AJ66" s="6">
        <f>[1]Results!AM1552</f>
        <v>66409.489379999999</v>
      </c>
      <c r="AK66" s="6">
        <f>[1]Results!AN1552</f>
        <v>67764.915519999995</v>
      </c>
      <c r="AL66" s="6">
        <f>[1]Results!AO1552</f>
        <v>69123.947530000005</v>
      </c>
    </row>
    <row r="67" spans="1:38" x14ac:dyDescent="0.35">
      <c r="B67" t="s">
        <v>8</v>
      </c>
      <c r="C67" s="6">
        <f>[1]Results!F1555</f>
        <v>331483.16879999998</v>
      </c>
      <c r="D67" s="6">
        <f>[1]Results!G1555</f>
        <v>339437.18150000001</v>
      </c>
      <c r="E67" s="6">
        <f>[1]Results!H1555</f>
        <v>347360.19130000001</v>
      </c>
      <c r="F67" s="6">
        <f>[1]Results!I1555</f>
        <v>355509.45020000002</v>
      </c>
      <c r="G67" s="6">
        <f>[1]Results!J1555</f>
        <v>364457.24249999999</v>
      </c>
      <c r="H67" s="6">
        <f>[1]Results!K1555</f>
        <v>374737.37910000002</v>
      </c>
      <c r="I67" s="6">
        <f>[1]Results!L1555</f>
        <v>385519.76380000002</v>
      </c>
      <c r="J67" s="6">
        <f>[1]Results!M1555</f>
        <v>396796.98639999999</v>
      </c>
      <c r="K67" s="6">
        <f>[1]Results!N1555</f>
        <v>408538.815</v>
      </c>
      <c r="L67" s="6">
        <f>[1]Results!O1555</f>
        <v>420084.40639999998</v>
      </c>
      <c r="M67" s="6">
        <f>[1]Results!P1555</f>
        <v>430824.50459999999</v>
      </c>
      <c r="N67" s="6">
        <f>[1]Results!Q1555</f>
        <v>440887.65330000001</v>
      </c>
      <c r="O67" s="6">
        <f>[1]Results!R1555</f>
        <v>450405.44939999998</v>
      </c>
      <c r="P67" s="6">
        <f>[1]Results!S1555</f>
        <v>459550.4534</v>
      </c>
      <c r="Q67" s="6">
        <f>[1]Results!T1555</f>
        <v>468518.48050000001</v>
      </c>
      <c r="R67" s="6">
        <f>[1]Results!U1555</f>
        <v>477505.42239999998</v>
      </c>
      <c r="S67" s="6">
        <f>[1]Results!V1555</f>
        <v>486669.82949999999</v>
      </c>
      <c r="T67" s="6">
        <f>[1]Results!W1555</f>
        <v>496144.84620000003</v>
      </c>
      <c r="U67" s="6">
        <f>[1]Results!X1555</f>
        <v>506051.79109999997</v>
      </c>
      <c r="V67" s="6">
        <f>[1]Results!Y1555</f>
        <v>516475.32049999997</v>
      </c>
      <c r="W67" s="6">
        <f>[1]Results!Z1555</f>
        <v>527433.9118</v>
      </c>
      <c r="X67" s="6">
        <f>[1]Results!AA1555</f>
        <v>539045.02430000005</v>
      </c>
      <c r="Y67" s="6">
        <f>[1]Results!AB1555</f>
        <v>551354.39820000005</v>
      </c>
      <c r="Z67" s="6">
        <f>[1]Results!AC1555</f>
        <v>564398.28480000002</v>
      </c>
      <c r="AA67" s="6">
        <f>[1]Results!AD1555</f>
        <v>578191.58909999998</v>
      </c>
      <c r="AB67" s="6">
        <f>[1]Results!AE1555</f>
        <v>592602.30310000002</v>
      </c>
      <c r="AC67" s="6">
        <f>[1]Results!AF1555</f>
        <v>607213.89469999995</v>
      </c>
      <c r="AD67" s="6">
        <f>[1]Results!AG1555</f>
        <v>622105.26749999996</v>
      </c>
      <c r="AE67" s="6">
        <f>[1]Results!AH1555</f>
        <v>637370.41070000001</v>
      </c>
      <c r="AF67" s="6">
        <f>[1]Results!AI1555</f>
        <v>652999.32239999995</v>
      </c>
      <c r="AG67" s="6">
        <f>[1]Results!AJ1555</f>
        <v>668922.2084</v>
      </c>
      <c r="AH67" s="6">
        <f>[1]Results!AK1555</f>
        <v>685054.62609999999</v>
      </c>
      <c r="AI67" s="6">
        <f>[1]Results!AL1555</f>
        <v>701312.34259999997</v>
      </c>
      <c r="AJ67" s="6">
        <f>[1]Results!AM1555</f>
        <v>717610.42799999996</v>
      </c>
      <c r="AK67" s="6">
        <f>[1]Results!AN1555</f>
        <v>733864.52390000003</v>
      </c>
      <c r="AL67" s="6">
        <f>[1]Results!AO1555</f>
        <v>749990.42920000001</v>
      </c>
    </row>
    <row r="68" spans="1:38" x14ac:dyDescent="0.35">
      <c r="B68" t="s">
        <v>9</v>
      </c>
      <c r="C68" s="6">
        <f>[1]Results!F1567</f>
        <v>48440.90092</v>
      </c>
      <c r="D68" s="6">
        <f>[1]Results!G1567</f>
        <v>49419.967779999999</v>
      </c>
      <c r="E68" s="6">
        <f>[1]Results!H1567</f>
        <v>50353.65814</v>
      </c>
      <c r="F68" s="6">
        <f>[1]Results!I1567</f>
        <v>51281.360359999999</v>
      </c>
      <c r="G68" s="6">
        <f>[1]Results!J1567</f>
        <v>52341.196859999996</v>
      </c>
      <c r="H68" s="6">
        <f>[1]Results!K1567</f>
        <v>53623.399810000003</v>
      </c>
      <c r="I68" s="6">
        <f>[1]Results!L1567</f>
        <v>54971.010649999997</v>
      </c>
      <c r="J68" s="6">
        <f>[1]Results!M1567</f>
        <v>56377.240870000001</v>
      </c>
      <c r="K68" s="6">
        <f>[1]Results!N1567</f>
        <v>57832.65711</v>
      </c>
      <c r="L68" s="6">
        <f>[1]Results!O1567</f>
        <v>59245.34289</v>
      </c>
      <c r="M68" s="6">
        <f>[1]Results!P1567</f>
        <v>60530.354639999998</v>
      </c>
      <c r="N68" s="6">
        <f>[1]Results!Q1567</f>
        <v>61695.77231</v>
      </c>
      <c r="O68" s="6">
        <f>[1]Results!R1567</f>
        <v>62755.834410000003</v>
      </c>
      <c r="P68" s="6">
        <f>[1]Results!S1567</f>
        <v>63730.420209999997</v>
      </c>
      <c r="Q68" s="6">
        <f>[1]Results!T1567</f>
        <v>64644.857929999998</v>
      </c>
      <c r="R68" s="6">
        <f>[1]Results!U1567</f>
        <v>65526.840750000003</v>
      </c>
      <c r="S68" s="6">
        <f>[1]Results!V1567</f>
        <v>66399.827810000003</v>
      </c>
      <c r="T68" s="6">
        <f>[1]Results!W1567</f>
        <v>67284.990080000003</v>
      </c>
      <c r="U68" s="6">
        <f>[1]Results!X1567</f>
        <v>68202.167939999999</v>
      </c>
      <c r="V68" s="6">
        <f>[1]Results!Y1567</f>
        <v>69166.313739999998</v>
      </c>
      <c r="W68" s="6">
        <f>[1]Results!Z1567</f>
        <v>70181.831879999998</v>
      </c>
      <c r="X68" s="6">
        <f>[1]Results!AA1567</f>
        <v>71270.71789</v>
      </c>
      <c r="Y68" s="6">
        <f>[1]Results!AB1567</f>
        <v>72440.63609</v>
      </c>
      <c r="Z68" s="6">
        <f>[1]Results!AC1567</f>
        <v>73697.883029999997</v>
      </c>
      <c r="AA68" s="6">
        <f>[1]Results!AD1567</f>
        <v>75045.904020000002</v>
      </c>
      <c r="AB68" s="6">
        <f>[1]Results!AE1567</f>
        <v>76464.075209999995</v>
      </c>
      <c r="AC68" s="6">
        <f>[1]Results!AF1567</f>
        <v>77949.872059999994</v>
      </c>
      <c r="AD68" s="6">
        <f>[1]Results!AG1567</f>
        <v>79514.732690000004</v>
      </c>
      <c r="AE68" s="6">
        <f>[1]Results!AH1567</f>
        <v>81164.905769999998</v>
      </c>
      <c r="AF68" s="6">
        <f>[1]Results!AI1567</f>
        <v>82894.218380000006</v>
      </c>
      <c r="AG68" s="6">
        <f>[1]Results!AJ1567</f>
        <v>84689.918669999999</v>
      </c>
      <c r="AH68" s="6">
        <f>[1]Results!AK1567</f>
        <v>86538.027419999999</v>
      </c>
      <c r="AI68" s="6">
        <f>[1]Results!AL1567</f>
        <v>88424.916320000004</v>
      </c>
      <c r="AJ68" s="6">
        <f>[1]Results!AM1567</f>
        <v>90337.016499999998</v>
      </c>
      <c r="AK68" s="6">
        <f>[1]Results!AN1567</f>
        <v>92260.9179</v>
      </c>
      <c r="AL68" s="6">
        <f>[1]Results!AO1567</f>
        <v>94183.341969999994</v>
      </c>
    </row>
    <row r="69" spans="1:38" x14ac:dyDescent="0.35">
      <c r="B69" t="s">
        <v>10</v>
      </c>
      <c r="C69" s="6">
        <f>[1]Results!F1572</f>
        <v>1510701.8559999999</v>
      </c>
      <c r="D69" s="6">
        <f>[1]Results!G1572</f>
        <v>1536173.49</v>
      </c>
      <c r="E69" s="6">
        <f>[1]Results!H1572</f>
        <v>1563565.3729999999</v>
      </c>
      <c r="F69" s="6">
        <f>[1]Results!I1572</f>
        <v>1592850.7209999999</v>
      </c>
      <c r="G69" s="6">
        <f>[1]Results!J1572</f>
        <v>1625620.2279999999</v>
      </c>
      <c r="H69" s="6">
        <f>[1]Results!K1572</f>
        <v>1663548.24</v>
      </c>
      <c r="I69" s="6">
        <f>[1]Results!L1572</f>
        <v>1703109.7930000001</v>
      </c>
      <c r="J69" s="6">
        <f>[1]Results!M1572</f>
        <v>1744032.6070000001</v>
      </c>
      <c r="K69" s="6">
        <f>[1]Results!N1572</f>
        <v>1786079.638</v>
      </c>
      <c r="L69" s="6">
        <f>[1]Results!O1572</f>
        <v>1827751.463</v>
      </c>
      <c r="M69" s="6">
        <f>[1]Results!P1572</f>
        <v>1867495.1880000001</v>
      </c>
      <c r="N69" s="6">
        <f>[1]Results!Q1572</f>
        <v>1904560.344</v>
      </c>
      <c r="O69" s="6">
        <f>[1]Results!R1572</f>
        <v>1939114.0970000001</v>
      </c>
      <c r="P69" s="6">
        <f>[1]Results!S1572</f>
        <v>1971474.7139999999</v>
      </c>
      <c r="Q69" s="6">
        <f>[1]Results!T1572</f>
        <v>2002106.4380000001</v>
      </c>
      <c r="R69" s="6">
        <f>[1]Results!U1572</f>
        <v>2031580.325</v>
      </c>
      <c r="S69" s="6">
        <f>[1]Results!V1572</f>
        <v>2060474.071</v>
      </c>
      <c r="T69" s="6">
        <f>[1]Results!W1572</f>
        <v>2089330.6029999999</v>
      </c>
      <c r="U69" s="6">
        <f>[1]Results!X1572</f>
        <v>2118656.514</v>
      </c>
      <c r="V69" s="6">
        <f>[1]Results!Y1572</f>
        <v>2148861.8139999998</v>
      </c>
      <c r="W69" s="6">
        <f>[1]Results!Z1572</f>
        <v>2180019.3160000001</v>
      </c>
      <c r="X69" s="6">
        <f>[1]Results!AA1572</f>
        <v>2212791.8050000002</v>
      </c>
      <c r="Y69" s="6">
        <f>[1]Results!AB1572</f>
        <v>2247390.0639999998</v>
      </c>
      <c r="Z69" s="6">
        <f>[1]Results!AC1572</f>
        <v>2284005.7080000001</v>
      </c>
      <c r="AA69" s="6">
        <f>[1]Results!AD1572</f>
        <v>2322762.9920000001</v>
      </c>
      <c r="AB69" s="6">
        <f>[1]Results!AE1572</f>
        <v>2362989.5419999999</v>
      </c>
      <c r="AC69" s="6">
        <f>[1]Results!AF1572</f>
        <v>2404377.0789999999</v>
      </c>
      <c r="AD69" s="6">
        <f>[1]Results!AG1572</f>
        <v>2447318.9389999998</v>
      </c>
      <c r="AE69" s="6">
        <f>[1]Results!AH1572</f>
        <v>2492121.2799999998</v>
      </c>
      <c r="AF69" s="6">
        <f>[1]Results!AI1572</f>
        <v>2538821.2540000002</v>
      </c>
      <c r="AG69" s="6">
        <f>[1]Results!AJ1572</f>
        <v>2587256.7059999998</v>
      </c>
      <c r="AH69" s="6">
        <f>[1]Results!AK1572</f>
        <v>2637174.3769999999</v>
      </c>
      <c r="AI69" s="6">
        <f>[1]Results!AL1572</f>
        <v>2688285.54</v>
      </c>
      <c r="AJ69" s="6">
        <f>[1]Results!AM1572</f>
        <v>2740280.233</v>
      </c>
      <c r="AK69" s="6">
        <f>[1]Results!AN1572</f>
        <v>2792836.3420000002</v>
      </c>
      <c r="AL69" s="6">
        <f>[1]Results!AO1572</f>
        <v>2845623.0419999999</v>
      </c>
    </row>
    <row r="70" spans="1:38" x14ac:dyDescent="0.35">
      <c r="B70" t="s">
        <v>12</v>
      </c>
      <c r="C70" s="6">
        <f>[1]Results!F1575</f>
        <v>-2034.0159100000001</v>
      </c>
      <c r="D70" s="6">
        <f>[1]Results!G1575</f>
        <v>-2054.2307519999999</v>
      </c>
      <c r="E70" s="6">
        <f>[1]Results!H1575</f>
        <v>-2072.6282820000001</v>
      </c>
      <c r="F70" s="6">
        <f>[1]Results!I1575</f>
        <v>-2058.8314129999999</v>
      </c>
      <c r="G70" s="6">
        <f>[1]Results!J1575</f>
        <v>-2029.937674</v>
      </c>
      <c r="H70" s="6">
        <f>[1]Results!K1575</f>
        <v>-2017.287319</v>
      </c>
      <c r="I70" s="6">
        <f>[1]Results!L1575</f>
        <v>-1992.86599</v>
      </c>
      <c r="J70" s="6">
        <f>[1]Results!M1575</f>
        <v>-1989.0936879999999</v>
      </c>
      <c r="K70" s="6">
        <f>[1]Results!N1575</f>
        <v>-1994.438212</v>
      </c>
      <c r="L70" s="6">
        <f>[1]Results!O1575</f>
        <v>-2005.9721300000001</v>
      </c>
      <c r="M70" s="6">
        <f>[1]Results!P1575</f>
        <v>-2019.311254</v>
      </c>
      <c r="N70" s="6">
        <f>[1]Results!Q1575</f>
        <v>-2043.630269</v>
      </c>
      <c r="O70" s="6">
        <f>[1]Results!R1575</f>
        <v>-2065.8459440000001</v>
      </c>
      <c r="P70" s="6">
        <f>[1]Results!S1575</f>
        <v>-2083.8056120000001</v>
      </c>
      <c r="Q70" s="6">
        <f>[1]Results!T1575</f>
        <v>-2097.9562120000001</v>
      </c>
      <c r="R70" s="6">
        <f>[1]Results!U1575</f>
        <v>-2109.0924580000001</v>
      </c>
      <c r="S70" s="6">
        <f>[1]Results!V1575</f>
        <v>-2118.538399</v>
      </c>
      <c r="T70" s="6">
        <f>[1]Results!W1575</f>
        <v>-2125.6350360000001</v>
      </c>
      <c r="U70" s="6">
        <f>[1]Results!X1575</f>
        <v>-2132.5548170000002</v>
      </c>
      <c r="V70" s="6">
        <f>[1]Results!Y1575</f>
        <v>-2139.9438949999999</v>
      </c>
      <c r="W70" s="6">
        <f>[1]Results!Z1575</f>
        <v>-2148.2171389999999</v>
      </c>
      <c r="X70" s="6">
        <f>[1]Results!AA1575</f>
        <v>-2156.9044090000002</v>
      </c>
      <c r="Y70" s="6">
        <f>[1]Results!AB1575</f>
        <v>-2166.5124580000002</v>
      </c>
      <c r="Z70" s="6">
        <f>[1]Results!AC1575</f>
        <v>-2177.178265</v>
      </c>
      <c r="AA70" s="6">
        <f>[1]Results!AD1575</f>
        <v>-2188.8935729999998</v>
      </c>
      <c r="AB70" s="6">
        <f>[1]Results!AE1575</f>
        <v>-2202.1565660000001</v>
      </c>
      <c r="AC70" s="6">
        <f>[1]Results!AF1575</f>
        <v>-2236.8000569999999</v>
      </c>
      <c r="AD70" s="6">
        <f>[1]Results!AG1575</f>
        <v>-2271.1730990000001</v>
      </c>
      <c r="AE70" s="6">
        <f>[1]Results!AH1575</f>
        <v>-2304.9808549999998</v>
      </c>
      <c r="AF70" s="6">
        <f>[1]Results!AI1575</f>
        <v>-2340.4805179999998</v>
      </c>
      <c r="AG70" s="6">
        <f>[1]Results!AJ1575</f>
        <v>-2378.4993220000001</v>
      </c>
      <c r="AH70" s="6">
        <f>[1]Results!AK1575</f>
        <v>-2418.8678949999999</v>
      </c>
      <c r="AI70" s="6">
        <f>[1]Results!AL1575</f>
        <v>-2461.0829819999999</v>
      </c>
      <c r="AJ70" s="6">
        <f>[1]Results!AM1575</f>
        <v>-2504.6353089999998</v>
      </c>
      <c r="AK70" s="6">
        <f>[1]Results!AN1575</f>
        <v>-2549.0470319999999</v>
      </c>
      <c r="AL70" s="6">
        <f>[1]Results!AO1575</f>
        <v>-2593.881245</v>
      </c>
    </row>
    <row r="71" spans="1:38" x14ac:dyDescent="0.35">
      <c r="B71" t="s">
        <v>11</v>
      </c>
      <c r="C71" s="6">
        <f>[1]Results!F1580</f>
        <v>40539.87429</v>
      </c>
      <c r="D71" s="6">
        <f>[1]Results!G1580</f>
        <v>40852.503190000003</v>
      </c>
      <c r="E71" s="6">
        <f>[1]Results!H1580</f>
        <v>40991.244859999999</v>
      </c>
      <c r="F71" s="6">
        <f>[1]Results!I1580</f>
        <v>41180.989390000002</v>
      </c>
      <c r="G71" s="6">
        <f>[1]Results!J1580</f>
        <v>41491.805610000003</v>
      </c>
      <c r="H71" s="6">
        <f>[1]Results!K1580</f>
        <v>41971.254220000003</v>
      </c>
      <c r="I71" s="6">
        <f>[1]Results!L1580</f>
        <v>41945.994429999999</v>
      </c>
      <c r="J71" s="6">
        <f>[1]Results!M1580</f>
        <v>41796.993119999999</v>
      </c>
      <c r="K71" s="6">
        <f>[1]Results!N1580</f>
        <v>41595.377480000003</v>
      </c>
      <c r="L71" s="6">
        <f>[1]Results!O1580</f>
        <v>41302.021560000001</v>
      </c>
      <c r="M71" s="6">
        <f>[1]Results!P1580</f>
        <v>40864.327709999998</v>
      </c>
      <c r="N71" s="6">
        <f>[1]Results!Q1580</f>
        <v>40524.363660000003</v>
      </c>
      <c r="O71" s="6">
        <f>[1]Results!R1580</f>
        <v>40108.759919999997</v>
      </c>
      <c r="P71" s="6">
        <f>[1]Results!S1580</f>
        <v>39555.834569999999</v>
      </c>
      <c r="Q71" s="6">
        <f>[1]Results!T1580</f>
        <v>38862.469230000002</v>
      </c>
      <c r="R71" s="6">
        <f>[1]Results!U1580</f>
        <v>38038.946450000003</v>
      </c>
      <c r="S71" s="6">
        <f>[1]Results!V1580</f>
        <v>37040.919280000002</v>
      </c>
      <c r="T71" s="6">
        <f>[1]Results!W1580</f>
        <v>35902.665070000003</v>
      </c>
      <c r="U71" s="6">
        <f>[1]Results!X1580</f>
        <v>34647.220679999999</v>
      </c>
      <c r="V71" s="6">
        <f>[1]Results!Y1580</f>
        <v>33281.266900000002</v>
      </c>
      <c r="W71" s="6">
        <f>[1]Results!Z1580</f>
        <v>31794.662950000002</v>
      </c>
      <c r="X71" s="6">
        <f>[1]Results!AA1580</f>
        <v>30186.097829999999</v>
      </c>
      <c r="Y71" s="6">
        <f>[1]Results!AB1580</f>
        <v>28431.89429</v>
      </c>
      <c r="Z71" s="6">
        <f>[1]Results!AC1580</f>
        <v>26501.853609999998</v>
      </c>
      <c r="AA71" s="6">
        <f>[1]Results!AD1580</f>
        <v>24357.816879999998</v>
      </c>
      <c r="AB71" s="6">
        <f>[1]Results!AE1580</f>
        <v>21937.220600000001</v>
      </c>
      <c r="AC71" s="6">
        <f>[1]Results!AF1580</f>
        <v>21525.051100000001</v>
      </c>
      <c r="AD71" s="6">
        <f>[1]Results!AG1580</f>
        <v>21856.062440000002</v>
      </c>
      <c r="AE71" s="6">
        <f>[1]Results!AH1580</f>
        <v>22376.77332</v>
      </c>
      <c r="AF71" s="6">
        <f>[1]Results!AI1580</f>
        <v>22917.95146</v>
      </c>
      <c r="AG71" s="6">
        <f>[1]Results!AJ1580</f>
        <v>23439.403450000002</v>
      </c>
      <c r="AH71" s="6">
        <f>[1]Results!AK1580</f>
        <v>23937.284739999999</v>
      </c>
      <c r="AI71" s="6">
        <f>[1]Results!AL1580</f>
        <v>24415.57127</v>
      </c>
      <c r="AJ71" s="6">
        <f>[1]Results!AM1580</f>
        <v>24878.062119999999</v>
      </c>
      <c r="AK71" s="6">
        <f>[1]Results!AN1580</f>
        <v>25326.733810000002</v>
      </c>
      <c r="AL71" s="6">
        <f>[1]Results!AO1580</f>
        <v>25761.823520000002</v>
      </c>
    </row>
    <row r="73" spans="1:38" x14ac:dyDescent="0.35">
      <c r="B73" t="s">
        <v>15</v>
      </c>
      <c r="C73" s="6">
        <f>[1]Results!F1512</f>
        <v>1965201.1370000001</v>
      </c>
      <c r="D73" s="6">
        <f>[1]Results!G1512</f>
        <v>2000383.2390000001</v>
      </c>
      <c r="E73" s="6">
        <f>[1]Results!H1512</f>
        <v>2037293.9509999999</v>
      </c>
      <c r="F73" s="6">
        <f>[1]Results!I1512</f>
        <v>2076467.7339999999</v>
      </c>
      <c r="G73" s="6">
        <f>[1]Results!J1512</f>
        <v>2120321.452</v>
      </c>
      <c r="H73" s="6">
        <f>[1]Results!K1512</f>
        <v>2171191.9649999999</v>
      </c>
      <c r="I73" s="6">
        <f>[1]Results!L1512</f>
        <v>2217044.8280000002</v>
      </c>
      <c r="J73" s="6">
        <f>[1]Results!M1512</f>
        <v>2262003.4840000002</v>
      </c>
      <c r="K73" s="6">
        <f>[1]Results!N1512</f>
        <v>2306827.9580000001</v>
      </c>
      <c r="L73" s="6">
        <f>[1]Results!O1512</f>
        <v>2350568.3650000002</v>
      </c>
      <c r="M73" s="6">
        <f>[1]Results!P1512</f>
        <v>2392581.7919999999</v>
      </c>
      <c r="N73" s="6">
        <f>[1]Results!Q1512</f>
        <v>2433494.4440000001</v>
      </c>
      <c r="O73" s="6">
        <f>[1]Results!R1512</f>
        <v>2475030.7689999999</v>
      </c>
      <c r="P73" s="6">
        <f>[1]Results!S1512</f>
        <v>2517131.8670000001</v>
      </c>
      <c r="Q73" s="6">
        <f>[1]Results!T1512</f>
        <v>2559292.35</v>
      </c>
      <c r="R73" s="6">
        <f>[1]Results!U1512</f>
        <v>2602090.8339999998</v>
      </c>
      <c r="S73" s="6">
        <f>[1]Results!V1512</f>
        <v>2644504.5830000001</v>
      </c>
      <c r="T73" s="6">
        <f>[1]Results!W1512</f>
        <v>2687259.2310000001</v>
      </c>
      <c r="U73" s="6">
        <f>[1]Results!X1512</f>
        <v>2729659.986</v>
      </c>
      <c r="V73" s="6">
        <f>[1]Results!Y1512</f>
        <v>2772037.2149999999</v>
      </c>
      <c r="W73" s="6">
        <f>[1]Results!Z1512</f>
        <v>2814349.0079999999</v>
      </c>
      <c r="X73" s="6">
        <f>[1]Results!AA1512</f>
        <v>2857627.9219999998</v>
      </c>
      <c r="Y73" s="6">
        <f>[1]Results!AB1512</f>
        <v>2902086.9679999999</v>
      </c>
      <c r="Z73" s="6">
        <f>[1]Results!AC1512</f>
        <v>2947789.0720000002</v>
      </c>
      <c r="AA73" s="6">
        <f>[1]Results!AD1512</f>
        <v>2994780.4479999999</v>
      </c>
      <c r="AB73" s="6">
        <f>[1]Results!AE1512</f>
        <v>3045158.9109999998</v>
      </c>
      <c r="AC73" s="6">
        <f>[1]Results!AF1512</f>
        <v>3096510.6529999999</v>
      </c>
      <c r="AD73" s="6">
        <f>[1]Results!AG1512</f>
        <v>3152408.7039999999</v>
      </c>
      <c r="AE73" s="6">
        <f>[1]Results!AH1512</f>
        <v>3210039.8050000002</v>
      </c>
      <c r="AF73" s="6">
        <f>[1]Results!AI1512</f>
        <v>3269390.693</v>
      </c>
      <c r="AG73" s="6">
        <f>[1]Results!AJ1512</f>
        <v>3330312.57</v>
      </c>
      <c r="AH73" s="6">
        <f>[1]Results!AK1512</f>
        <v>3392652.8990000002</v>
      </c>
      <c r="AI73" s="6">
        <f>[1]Results!AL1512</f>
        <v>3456195.696</v>
      </c>
      <c r="AJ73" s="6">
        <f>[1]Results!AM1512</f>
        <v>3520711.65</v>
      </c>
      <c r="AK73" s="6">
        <f>[1]Results!AN1512</f>
        <v>3585955.9509999999</v>
      </c>
      <c r="AL73" s="6">
        <f>[1]Results!AO1512</f>
        <v>3661773.5959999999</v>
      </c>
    </row>
    <row r="74" spans="1:38" x14ac:dyDescent="0.35">
      <c r="A74" t="s">
        <v>14</v>
      </c>
      <c r="B74" t="s">
        <v>7</v>
      </c>
      <c r="C74" s="6">
        <f>[1]Results!F1513</f>
        <v>36069.353340000001</v>
      </c>
      <c r="D74" s="6">
        <f>[1]Results!G1513</f>
        <v>36554.327239999999</v>
      </c>
      <c r="E74" s="6">
        <f>[1]Results!H1513</f>
        <v>37096.112659999999</v>
      </c>
      <c r="F74" s="6">
        <f>[1]Results!I1513</f>
        <v>37704.0455</v>
      </c>
      <c r="G74" s="6">
        <f>[1]Results!J1513</f>
        <v>38440.917419999998</v>
      </c>
      <c r="H74" s="6">
        <f>[1]Results!K1513</f>
        <v>39328.979299999999</v>
      </c>
      <c r="I74" s="6">
        <f>[1]Results!L1513</f>
        <v>39920.523970000002</v>
      </c>
      <c r="J74" s="6">
        <f>[1]Results!M1513</f>
        <v>40519.428769999999</v>
      </c>
      <c r="K74" s="6">
        <f>[1]Results!N1513</f>
        <v>41088.855369999997</v>
      </c>
      <c r="L74" s="6">
        <f>[1]Results!O1513</f>
        <v>41619.148730000001</v>
      </c>
      <c r="M74" s="6">
        <f>[1]Results!P1513</f>
        <v>42109.965190000003</v>
      </c>
      <c r="N74" s="6">
        <f>[1]Results!Q1513</f>
        <v>42611.565889999998</v>
      </c>
      <c r="O74" s="6">
        <f>[1]Results!R1513</f>
        <v>43156.444069999998</v>
      </c>
      <c r="P74" s="6">
        <f>[1]Results!S1513</f>
        <v>43737.811970000002</v>
      </c>
      <c r="Q74" s="6">
        <f>[1]Results!T1513</f>
        <v>44336.82</v>
      </c>
      <c r="R74" s="6">
        <f>[1]Results!U1513</f>
        <v>44943.21703</v>
      </c>
      <c r="S74" s="6">
        <f>[1]Results!V1513</f>
        <v>45840.280149999999</v>
      </c>
      <c r="T74" s="6">
        <f>[1]Results!W1513</f>
        <v>46696.563390000003</v>
      </c>
      <c r="U74" s="6">
        <f>[1]Results!X1513</f>
        <v>47537.336369999997</v>
      </c>
      <c r="V74" s="6">
        <f>[1]Results!Y1513</f>
        <v>48372.036119999997</v>
      </c>
      <c r="W74" s="6">
        <f>[1]Results!Z1513</f>
        <v>49198.462599999999</v>
      </c>
      <c r="X74" s="6">
        <f>[1]Results!AA1513</f>
        <v>50042.390890000002</v>
      </c>
      <c r="Y74" s="6">
        <f>[1]Results!AB1513</f>
        <v>50909.711069999998</v>
      </c>
      <c r="Z74" s="6">
        <f>[1]Results!AC1513</f>
        <v>51802.796479999997</v>
      </c>
      <c r="AA74" s="6">
        <f>[1]Results!AD1513</f>
        <v>52723.400240000003</v>
      </c>
      <c r="AB74" s="6">
        <f>[1]Results!AE1513</f>
        <v>53662.067519999997</v>
      </c>
      <c r="AC74" s="6">
        <f>[1]Results!AF1513</f>
        <v>54389.586179999998</v>
      </c>
      <c r="AD74" s="6">
        <f>[1]Results!AG1513</f>
        <v>55141.20534</v>
      </c>
      <c r="AE74" s="6">
        <f>[1]Results!AH1513</f>
        <v>55926.524980000002</v>
      </c>
      <c r="AF74" s="6">
        <f>[1]Results!AI1513</f>
        <v>56747.707880000002</v>
      </c>
      <c r="AG74" s="6">
        <f>[1]Results!AJ1513</f>
        <v>57601.760240000003</v>
      </c>
      <c r="AH74" s="6">
        <f>[1]Results!AK1513</f>
        <v>58485.326760000004</v>
      </c>
      <c r="AI74" s="6">
        <f>[1]Results!AL1513</f>
        <v>59394.507919999996</v>
      </c>
      <c r="AJ74" s="6">
        <f>[1]Results!AM1513</f>
        <v>60324.310360000003</v>
      </c>
      <c r="AK74" s="6">
        <f>[1]Results!AN1513</f>
        <v>61269.937639999996</v>
      </c>
      <c r="AL74" s="6">
        <f>[1]Results!AO1513</f>
        <v>62276.208980000003</v>
      </c>
    </row>
    <row r="75" spans="1:38" x14ac:dyDescent="0.35">
      <c r="B75" t="s">
        <v>8</v>
      </c>
      <c r="C75" s="6">
        <f>[1]Results!F1516</f>
        <v>331483.16879999998</v>
      </c>
      <c r="D75" s="6">
        <f>[1]Results!G1516</f>
        <v>339437.18150000001</v>
      </c>
      <c r="E75" s="6">
        <f>[1]Results!H1516</f>
        <v>347360.19130000001</v>
      </c>
      <c r="F75" s="6">
        <f>[1]Results!I1516</f>
        <v>355509.45020000002</v>
      </c>
      <c r="G75" s="6">
        <f>[1]Results!J1516</f>
        <v>364457.24239999999</v>
      </c>
      <c r="H75" s="6">
        <f>[1]Results!K1516</f>
        <v>374737.37910000002</v>
      </c>
      <c r="I75" s="6">
        <f>[1]Results!L1516</f>
        <v>383634.44010000001</v>
      </c>
      <c r="J75" s="6">
        <f>[1]Results!M1516</f>
        <v>392594.67469999997</v>
      </c>
      <c r="K75" s="6">
        <f>[1]Results!N1516</f>
        <v>401796.78470000002</v>
      </c>
      <c r="L75" s="6">
        <f>[1]Results!O1516</f>
        <v>410738.5148</v>
      </c>
      <c r="M75" s="6">
        <f>[1]Results!P1516</f>
        <v>419067.21389999997</v>
      </c>
      <c r="N75" s="6">
        <f>[1]Results!Q1516</f>
        <v>427219.97289999999</v>
      </c>
      <c r="O75" s="6">
        <f>[1]Results!R1516</f>
        <v>435492.76760000002</v>
      </c>
      <c r="P75" s="6">
        <f>[1]Results!S1516</f>
        <v>443949.18300000002</v>
      </c>
      <c r="Q75" s="6">
        <f>[1]Results!T1516</f>
        <v>452580.63140000001</v>
      </c>
      <c r="R75" s="6">
        <f>[1]Results!U1516</f>
        <v>461794.64750000002</v>
      </c>
      <c r="S75" s="6">
        <f>[1]Results!V1516</f>
        <v>470740.61550000001</v>
      </c>
      <c r="T75" s="6">
        <f>[1]Results!W1516</f>
        <v>480295.81949999998</v>
      </c>
      <c r="U75" s="6">
        <f>[1]Results!X1516</f>
        <v>489951.84090000001</v>
      </c>
      <c r="V75" s="6">
        <f>[1]Results!Y1516</f>
        <v>499817.58970000001</v>
      </c>
      <c r="W75" s="6">
        <f>[1]Results!Z1516</f>
        <v>509906.59649999999</v>
      </c>
      <c r="X75" s="6">
        <f>[1]Results!AA1516</f>
        <v>520456.39980000001</v>
      </c>
      <c r="Y75" s="6">
        <f>[1]Results!AB1516</f>
        <v>531485.3321</v>
      </c>
      <c r="Z75" s="6">
        <f>[1]Results!AC1516</f>
        <v>543008.08050000004</v>
      </c>
      <c r="AA75" s="6">
        <f>[1]Results!AD1516</f>
        <v>555044.16799999995</v>
      </c>
      <c r="AB75" s="6">
        <f>[1]Results!AE1516</f>
        <v>568809.30130000005</v>
      </c>
      <c r="AC75" s="6">
        <f>[1]Results!AF1516</f>
        <v>580875.17119999998</v>
      </c>
      <c r="AD75" s="6">
        <f>[1]Results!AG1516</f>
        <v>594769.88890000002</v>
      </c>
      <c r="AE75" s="6">
        <f>[1]Results!AH1516</f>
        <v>608806.42009999999</v>
      </c>
      <c r="AF75" s="6">
        <f>[1]Results!AI1516</f>
        <v>623118.47349999996</v>
      </c>
      <c r="AG75" s="6">
        <f>[1]Results!AJ1516</f>
        <v>637669.60549999995</v>
      </c>
      <c r="AH75" s="6">
        <f>[1]Results!AK1516</f>
        <v>652427.59550000005</v>
      </c>
      <c r="AI75" s="6">
        <f>[1]Results!AL1516</f>
        <v>667312.96609999996</v>
      </c>
      <c r="AJ75" s="6">
        <f>[1]Results!AM1516</f>
        <v>682257.01989999996</v>
      </c>
      <c r="AK75" s="6">
        <f>[1]Results!AN1516</f>
        <v>697186.77729999996</v>
      </c>
      <c r="AL75" s="6">
        <f>[1]Results!AO1516</f>
        <v>716497.9166</v>
      </c>
    </row>
    <row r="76" spans="1:38" x14ac:dyDescent="0.35">
      <c r="B76" t="s">
        <v>9</v>
      </c>
      <c r="C76" s="6">
        <f>[1]Results!F1528</f>
        <v>48440.90092</v>
      </c>
      <c r="D76" s="6">
        <f>[1]Results!G1528</f>
        <v>49419.967779999999</v>
      </c>
      <c r="E76" s="6">
        <f>[1]Results!H1528</f>
        <v>50353.65814</v>
      </c>
      <c r="F76" s="6">
        <f>[1]Results!I1528</f>
        <v>51281.360350000003</v>
      </c>
      <c r="G76" s="6">
        <f>[1]Results!J1528</f>
        <v>52341.19685</v>
      </c>
      <c r="H76" s="6">
        <f>[1]Results!K1528</f>
        <v>53623.399799999999</v>
      </c>
      <c r="I76" s="6">
        <f>[1]Results!L1528</f>
        <v>54802.924359999997</v>
      </c>
      <c r="J76" s="6">
        <f>[1]Results!M1528</f>
        <v>55894.651660000003</v>
      </c>
      <c r="K76" s="6">
        <f>[1]Results!N1528</f>
        <v>56951.486900000004</v>
      </c>
      <c r="L76" s="6">
        <f>[1]Results!O1528</f>
        <v>57837.083590000002</v>
      </c>
      <c r="M76" s="6">
        <f>[1]Results!P1528</f>
        <v>58455.338620000002</v>
      </c>
      <c r="N76" s="6">
        <f>[1]Results!Q1528</f>
        <v>59056.55474</v>
      </c>
      <c r="O76" s="6">
        <f>[1]Results!R1528</f>
        <v>59712.233970000001</v>
      </c>
      <c r="P76" s="6">
        <f>[1]Results!S1528</f>
        <v>60414.204700000002</v>
      </c>
      <c r="Q76" s="6">
        <f>[1]Results!T1528</f>
        <v>61140.818189999998</v>
      </c>
      <c r="R76" s="6">
        <f>[1]Results!U1528</f>
        <v>61893.291010000001</v>
      </c>
      <c r="S76" s="6">
        <f>[1]Results!V1528</f>
        <v>62638.553650000002</v>
      </c>
      <c r="T76" s="6">
        <f>[1]Results!W1528</f>
        <v>63375.419099999999</v>
      </c>
      <c r="U76" s="6">
        <f>[1]Results!X1528</f>
        <v>64098.534979999997</v>
      </c>
      <c r="V76" s="6">
        <f>[1]Results!Y1528</f>
        <v>64834.213949999998</v>
      </c>
      <c r="W76" s="6">
        <f>[1]Results!Z1528</f>
        <v>65586.873449999999</v>
      </c>
      <c r="X76" s="6">
        <f>[1]Results!AA1528</f>
        <v>66411.645229999995</v>
      </c>
      <c r="Y76" s="6">
        <f>[1]Results!AB1528</f>
        <v>67310.387860000003</v>
      </c>
      <c r="Z76" s="6">
        <f>[1]Results!AC1528</f>
        <v>68282.592239999998</v>
      </c>
      <c r="AA76" s="6">
        <f>[1]Results!AD1528</f>
        <v>69330.353759999998</v>
      </c>
      <c r="AB76" s="6">
        <f>[1]Results!AE1528</f>
        <v>70489.735509999999</v>
      </c>
      <c r="AC76" s="6">
        <f>[1]Results!AF1528</f>
        <v>71699.902849999999</v>
      </c>
      <c r="AD76" s="6">
        <f>[1]Results!AG1528</f>
        <v>73055.262730000002</v>
      </c>
      <c r="AE76" s="6">
        <f>[1]Results!AH1528</f>
        <v>74518.487219999995</v>
      </c>
      <c r="AF76" s="6">
        <f>[1]Results!AI1528</f>
        <v>76082.395740000007</v>
      </c>
      <c r="AG76" s="6">
        <f>[1]Results!AJ1528</f>
        <v>77735.944589999999</v>
      </c>
      <c r="AH76" s="6">
        <f>[1]Results!AK1528</f>
        <v>79476.855100000001</v>
      </c>
      <c r="AI76" s="6">
        <f>[1]Results!AL1528</f>
        <v>81291.215320000003</v>
      </c>
      <c r="AJ76" s="6">
        <f>[1]Results!AM1528</f>
        <v>83166.160019999996</v>
      </c>
      <c r="AK76" s="6">
        <f>[1]Results!AN1528</f>
        <v>85086.14056</v>
      </c>
      <c r="AL76" s="6">
        <f>[1]Results!AO1528</f>
        <v>87220.106780000002</v>
      </c>
    </row>
    <row r="77" spans="1:38" x14ac:dyDescent="0.35">
      <c r="B77" t="s">
        <v>10</v>
      </c>
      <c r="C77" s="6">
        <f>[1]Results!F1533</f>
        <v>1510701.8559999999</v>
      </c>
      <c r="D77" s="6">
        <f>[1]Results!G1533</f>
        <v>1536173.49</v>
      </c>
      <c r="E77" s="6">
        <f>[1]Results!H1533</f>
        <v>1563565.372</v>
      </c>
      <c r="F77" s="6">
        <f>[1]Results!I1533</f>
        <v>1592850.7209999999</v>
      </c>
      <c r="G77" s="6">
        <f>[1]Results!J1533</f>
        <v>1625620.2279999999</v>
      </c>
      <c r="H77" s="6">
        <f>[1]Results!K1533</f>
        <v>1663548.24</v>
      </c>
      <c r="I77" s="6">
        <f>[1]Results!L1533</f>
        <v>1698952.6710000001</v>
      </c>
      <c r="J77" s="6">
        <f>[1]Results!M1533</f>
        <v>1733625.689</v>
      </c>
      <c r="K77" s="6">
        <f>[1]Results!N1533</f>
        <v>1768125.476</v>
      </c>
      <c r="L77" s="6">
        <f>[1]Results!O1533</f>
        <v>1802199.372</v>
      </c>
      <c r="M77" s="6">
        <f>[1]Results!P1533</f>
        <v>1835661.9029999999</v>
      </c>
      <c r="N77" s="6">
        <f>[1]Results!Q1533</f>
        <v>1868207.0249999999</v>
      </c>
      <c r="O77" s="6">
        <f>[1]Results!R1533</f>
        <v>1901170.4240000001</v>
      </c>
      <c r="P77" s="6">
        <f>[1]Results!S1533</f>
        <v>1934470.8529999999</v>
      </c>
      <c r="Q77" s="6">
        <f>[1]Results!T1533</f>
        <v>1967670.64</v>
      </c>
      <c r="R77" s="6">
        <f>[1]Results!U1533</f>
        <v>2000967.2960000001</v>
      </c>
      <c r="S77" s="6">
        <f>[1]Results!V1533</f>
        <v>2033871.1629999999</v>
      </c>
      <c r="T77" s="6">
        <f>[1]Results!W1533</f>
        <v>2066644.0290000001</v>
      </c>
      <c r="U77" s="6">
        <f>[1]Results!X1533</f>
        <v>2099073.2420000001</v>
      </c>
      <c r="V77" s="6">
        <f>[1]Results!Y1533</f>
        <v>2131378.8790000002</v>
      </c>
      <c r="W77" s="6">
        <f>[1]Results!Z1533</f>
        <v>2163522.9369999999</v>
      </c>
      <c r="X77" s="6">
        <f>[1]Results!AA1533</f>
        <v>2196197.2969999998</v>
      </c>
      <c r="Y77" s="6">
        <f>[1]Results!AB1533</f>
        <v>2229600.5830000001</v>
      </c>
      <c r="Z77" s="6">
        <f>[1]Results!AC1533</f>
        <v>2263815.6039999998</v>
      </c>
      <c r="AA77" s="6">
        <f>[1]Results!AD1533</f>
        <v>2298911.1140000001</v>
      </c>
      <c r="AB77" s="6">
        <f>[1]Results!AE1533</f>
        <v>2335796.5150000001</v>
      </c>
      <c r="AC77" s="6">
        <f>[1]Results!AF1533</f>
        <v>2373804.3289999999</v>
      </c>
      <c r="AD77" s="6">
        <f>[1]Results!AG1533</f>
        <v>2413745.8569999998</v>
      </c>
      <c r="AE77" s="6">
        <f>[1]Results!AH1533</f>
        <v>2455035.4700000002</v>
      </c>
      <c r="AF77" s="6">
        <f>[1]Results!AI1533</f>
        <v>2497685.2749999999</v>
      </c>
      <c r="AG77" s="6">
        <f>[1]Results!AJ1533</f>
        <v>2541629.2110000001</v>
      </c>
      <c r="AH77" s="6">
        <f>[1]Results!AK1533</f>
        <v>2586745.5520000001</v>
      </c>
      <c r="AI77" s="6">
        <f>[1]Results!AL1533</f>
        <v>2632897.091</v>
      </c>
      <c r="AJ77" s="6">
        <f>[1]Results!AM1533</f>
        <v>2679927.2719999999</v>
      </c>
      <c r="AK77" s="6">
        <f>[1]Results!AN1533</f>
        <v>2727672.1090000002</v>
      </c>
      <c r="AL77" s="6">
        <f>[1]Results!AO1533</f>
        <v>2781314.39</v>
      </c>
    </row>
    <row r="78" spans="1:38" x14ac:dyDescent="0.35">
      <c r="B78" t="s">
        <v>12</v>
      </c>
      <c r="C78" s="6">
        <f>[1]Results!F1537</f>
        <v>-2124.7840930000002</v>
      </c>
      <c r="D78" s="6">
        <f>[1]Results!G1537</f>
        <v>-2146.9809949999999</v>
      </c>
      <c r="E78" s="6">
        <f>[1]Results!H1537</f>
        <v>-2165.041557</v>
      </c>
      <c r="F78" s="6">
        <f>[1]Results!I1537</f>
        <v>-2152.720562</v>
      </c>
      <c r="G78" s="6">
        <f>[1]Results!J1537</f>
        <v>-2132.953019</v>
      </c>
      <c r="H78" s="6">
        <f>[1]Results!K1537</f>
        <v>-2131.1224430000002</v>
      </c>
      <c r="I78" s="6">
        <f>[1]Results!L1537</f>
        <v>-2128.8302239999998</v>
      </c>
      <c r="J78" s="6">
        <f>[1]Results!M1537</f>
        <v>-2145.4601579999999</v>
      </c>
      <c r="K78" s="6">
        <f>[1]Results!N1537</f>
        <v>-2170.1882070000001</v>
      </c>
      <c r="L78" s="6">
        <f>[1]Results!O1537</f>
        <v>-2205.0592980000001</v>
      </c>
      <c r="M78" s="6">
        <f>[1]Results!P1537</f>
        <v>-2250.695702</v>
      </c>
      <c r="N78" s="6">
        <f>[1]Results!Q1537</f>
        <v>-2293.639122</v>
      </c>
      <c r="O78" s="6">
        <f>[1]Results!R1537</f>
        <v>-2355.8199370000002</v>
      </c>
      <c r="P78" s="6">
        <f>[1]Results!S1537</f>
        <v>-2441.5424990000001</v>
      </c>
      <c r="Q78" s="6">
        <f>[1]Results!T1537</f>
        <v>-2553.8448669999998</v>
      </c>
      <c r="R78" s="6">
        <f>[1]Results!U1537</f>
        <v>-2699.0038129999998</v>
      </c>
      <c r="S78" s="6">
        <f>[1]Results!V1537</f>
        <v>-2882.6847579999999</v>
      </c>
      <c r="T78" s="6">
        <f>[1]Results!W1537</f>
        <v>-3061.2508670000002</v>
      </c>
      <c r="U78" s="6">
        <f>[1]Results!X1537</f>
        <v>-3215.3086520000002</v>
      </c>
      <c r="V78" s="6">
        <f>[1]Results!Y1537</f>
        <v>-3328.1607439999998</v>
      </c>
      <c r="W78" s="6">
        <f>[1]Results!Z1537</f>
        <v>-3375.417426</v>
      </c>
      <c r="X78" s="6">
        <f>[1]Results!AA1537</f>
        <v>-3396.0671400000001</v>
      </c>
      <c r="Y78" s="6">
        <f>[1]Results!AB1537</f>
        <v>-3393.8714460000001</v>
      </c>
      <c r="Z78" s="6">
        <f>[1]Results!AC1537</f>
        <v>-3371.2138530000002</v>
      </c>
      <c r="AA78" s="6">
        <f>[1]Results!AD1537</f>
        <v>-3331.5351409999998</v>
      </c>
      <c r="AB78" s="6">
        <f>[1]Results!AE1537</f>
        <v>-3278.3264829999998</v>
      </c>
      <c r="AC78" s="6">
        <f>[1]Results!AF1537</f>
        <v>-3217.4704849999998</v>
      </c>
      <c r="AD78" s="6">
        <f>[1]Results!AG1537</f>
        <v>-3147.3440329999999</v>
      </c>
      <c r="AE78" s="6">
        <f>[1]Results!AH1537</f>
        <v>-3072.921558</v>
      </c>
      <c r="AF78" s="6">
        <f>[1]Results!AI1537</f>
        <v>-2996.6550419999999</v>
      </c>
      <c r="AG78" s="6">
        <f>[1]Results!AJ1537</f>
        <v>-2919.601525</v>
      </c>
      <c r="AH78" s="6">
        <f>[1]Results!AK1537</f>
        <v>-2843.6553629999999</v>
      </c>
      <c r="AI78" s="6">
        <f>[1]Results!AL1537</f>
        <v>-2769.758722</v>
      </c>
      <c r="AJ78" s="6">
        <f>[1]Results!AM1537</f>
        <v>-2698.677322</v>
      </c>
      <c r="AK78" s="6">
        <f>[1]Results!AN1537</f>
        <v>-2631.1175189999999</v>
      </c>
      <c r="AL78" s="6">
        <f>[1]Results!AO1537</f>
        <v>-2567.491043</v>
      </c>
    </row>
    <row r="79" spans="1:38" x14ac:dyDescent="0.35">
      <c r="B79" t="s">
        <v>11</v>
      </c>
      <c r="C79" s="6">
        <f>[1]Results!F1541</f>
        <v>40539.874280000004</v>
      </c>
      <c r="D79" s="6">
        <f>[1]Results!G1541</f>
        <v>40852.50316</v>
      </c>
      <c r="E79" s="6">
        <f>[1]Results!H1541</f>
        <v>40991.244809999997</v>
      </c>
      <c r="F79" s="6">
        <f>[1]Results!I1541</f>
        <v>41180.989320000001</v>
      </c>
      <c r="G79" s="6">
        <f>[1]Results!J1541</f>
        <v>41491.805520000002</v>
      </c>
      <c r="H79" s="6">
        <f>[1]Results!K1541</f>
        <v>41971.254119999998</v>
      </c>
      <c r="I79" s="6">
        <f>[1]Results!L1541</f>
        <v>41733.500070000002</v>
      </c>
      <c r="J79" s="6">
        <f>[1]Results!M1541</f>
        <v>41368.29305</v>
      </c>
      <c r="K79" s="6">
        <f>[1]Results!N1541</f>
        <v>40872.534489999998</v>
      </c>
      <c r="L79" s="6">
        <f>[1]Results!O1541</f>
        <v>40199.855960000001</v>
      </c>
      <c r="M79" s="6">
        <f>[1]Results!P1541</f>
        <v>39312.450879999997</v>
      </c>
      <c r="N79" s="6">
        <f>[1]Results!Q1541</f>
        <v>38427.663119999997</v>
      </c>
      <c r="O79" s="6">
        <f>[1]Results!R1541</f>
        <v>37548.687299999998</v>
      </c>
      <c r="P79" s="6">
        <f>[1]Results!S1541</f>
        <v>36652.461069999998</v>
      </c>
      <c r="Q79" s="6">
        <f>[1]Results!T1541</f>
        <v>35723.250200000002</v>
      </c>
      <c r="R79" s="6">
        <f>[1]Results!U1541</f>
        <v>34749.788110000001</v>
      </c>
      <c r="S79" s="6">
        <f>[1]Results!V1541</f>
        <v>33734.398849999998</v>
      </c>
      <c r="T79" s="6">
        <f>[1]Results!W1541</f>
        <v>32612.3426</v>
      </c>
      <c r="U79" s="6">
        <f>[1]Results!X1541</f>
        <v>31385.463159999999</v>
      </c>
      <c r="V79" s="6">
        <f>[1]Results!Y1541</f>
        <v>30051.91632</v>
      </c>
      <c r="W79" s="6">
        <f>[1]Results!Z1541</f>
        <v>28599.36766</v>
      </c>
      <c r="X79" s="6">
        <f>[1]Results!AA1541</f>
        <v>27033.69457</v>
      </c>
      <c r="Y79" s="6">
        <f>[1]Results!AB1541</f>
        <v>25344.58642</v>
      </c>
      <c r="Z79" s="6">
        <f>[1]Results!AC1541</f>
        <v>23503.286960000001</v>
      </c>
      <c r="AA79" s="6">
        <f>[1]Results!AD1541</f>
        <v>21473.430209999999</v>
      </c>
      <c r="AB79" s="6">
        <f>[1]Results!AE1541</f>
        <v>19210.118320000001</v>
      </c>
      <c r="AC79" s="6">
        <f>[1]Results!AF1541</f>
        <v>18730.54724</v>
      </c>
      <c r="AD79" s="6">
        <f>[1]Results!AG1541</f>
        <v>18921.436310000001</v>
      </c>
      <c r="AE79" s="6">
        <f>[1]Results!AH1541</f>
        <v>19265.900379999999</v>
      </c>
      <c r="AF79" s="6">
        <f>[1]Results!AI1541</f>
        <v>19607.036929999998</v>
      </c>
      <c r="AG79" s="6">
        <f>[1]Results!AJ1541</f>
        <v>19908.04667</v>
      </c>
      <c r="AH79" s="6">
        <f>[1]Results!AK1541</f>
        <v>20170.028590000002</v>
      </c>
      <c r="AI79" s="6">
        <f>[1]Results!AL1541</f>
        <v>20404.134010000002</v>
      </c>
      <c r="AJ79" s="6">
        <f>[1]Results!AM1541</f>
        <v>20615.65755</v>
      </c>
      <c r="AK79" s="6">
        <f>[1]Results!AN1541</f>
        <v>20808.2533</v>
      </c>
      <c r="AL79" s="6">
        <f>[1]Results!AO1541</f>
        <v>21024.977930000001</v>
      </c>
    </row>
    <row r="81" spans="2:38" x14ac:dyDescent="0.35">
      <c r="B81" t="s">
        <v>16</v>
      </c>
      <c r="C81" s="8" t="s">
        <v>17</v>
      </c>
      <c r="D81" s="8" t="s">
        <v>18</v>
      </c>
      <c r="E81" s="8" t="s">
        <v>19</v>
      </c>
    </row>
    <row r="82" spans="2:38" x14ac:dyDescent="0.35">
      <c r="B82" t="s">
        <v>7</v>
      </c>
      <c r="C82" s="6">
        <f t="shared" ref="C82:C87" si="2">(R74-R66)/R73*100</f>
        <v>-0.13115633648936628</v>
      </c>
      <c r="D82" s="6">
        <f t="shared" ref="D82:D87" si="3">(AB74-AB66)/AB73*100</f>
        <v>-0.1040885307676479</v>
      </c>
      <c r="E82" s="6">
        <f t="shared" ref="E82:E87" si="4">(AL74-AL66)/AL73*100</f>
        <v>-0.18700606060080407</v>
      </c>
      <c r="Q82" s="5"/>
      <c r="U82" s="5"/>
      <c r="V82" s="5"/>
      <c r="Y82" s="5"/>
      <c r="Z82" s="5"/>
      <c r="AA82" s="5"/>
    </row>
    <row r="83" spans="2:38" x14ac:dyDescent="0.35">
      <c r="B83" t="s">
        <v>8</v>
      </c>
      <c r="C83" s="6">
        <f t="shared" si="2"/>
        <v>-34.956943312520053</v>
      </c>
      <c r="D83" s="6">
        <f t="shared" si="3"/>
        <v>-44.338585707925347</v>
      </c>
      <c r="E83" s="6">
        <f t="shared" si="4"/>
        <v>-53.780589969367163</v>
      </c>
      <c r="Q83" s="5"/>
      <c r="U83" s="5"/>
      <c r="V83" s="5"/>
      <c r="Y83" s="5"/>
      <c r="Z83" s="5"/>
      <c r="AA83" s="5"/>
    </row>
    <row r="84" spans="2:38" x14ac:dyDescent="0.35">
      <c r="B84" t="s">
        <v>9</v>
      </c>
      <c r="C84" s="6">
        <f t="shared" si="2"/>
        <v>-0.78683236362110542</v>
      </c>
      <c r="D84" s="6">
        <f t="shared" si="3"/>
        <v>-1.0503238407574886</v>
      </c>
      <c r="E84" s="6">
        <f t="shared" si="4"/>
        <v>-0.97184304778479402</v>
      </c>
      <c r="Q84" s="5"/>
      <c r="U84" s="5"/>
      <c r="V84" s="5"/>
      <c r="Y84" s="5"/>
      <c r="Z84" s="5"/>
      <c r="AA84" s="5"/>
    </row>
    <row r="85" spans="2:38" x14ac:dyDescent="0.35">
      <c r="B85" t="s">
        <v>10</v>
      </c>
      <c r="C85" s="6">
        <f t="shared" si="2"/>
        <v>-49.460981150693321</v>
      </c>
      <c r="D85" s="6">
        <f t="shared" si="3"/>
        <v>-38.577286186783951</v>
      </c>
      <c r="E85" s="6">
        <f t="shared" si="4"/>
        <v>-73.731452957526145</v>
      </c>
      <c r="Q85" s="5"/>
      <c r="U85" s="5"/>
      <c r="V85" s="5"/>
      <c r="Y85" s="5"/>
      <c r="Z85" s="5"/>
      <c r="AA85" s="5"/>
    </row>
    <row r="86" spans="2:38" x14ac:dyDescent="0.35">
      <c r="B86" t="s">
        <v>12</v>
      </c>
      <c r="C86" s="6">
        <f t="shared" si="2"/>
        <v>-2.9481309173780702E-2</v>
      </c>
      <c r="D86" s="6">
        <f t="shared" si="3"/>
        <v>-4.6072931014712118E-2</v>
      </c>
      <c r="E86" s="6">
        <f t="shared" si="4"/>
        <v>9.4883922849153498E-4</v>
      </c>
      <c r="Q86" s="5"/>
      <c r="U86" s="5"/>
      <c r="V86" s="5"/>
      <c r="Y86" s="5"/>
      <c r="Z86" s="5"/>
      <c r="AA86" s="5"/>
    </row>
    <row r="87" spans="2:38" x14ac:dyDescent="0.35">
      <c r="B87" t="s">
        <v>11</v>
      </c>
      <c r="C87" s="6">
        <f t="shared" si="2"/>
        <v>121.86564258106894</v>
      </c>
      <c r="D87" s="6">
        <f t="shared" si="3"/>
        <v>83.185805139957424</v>
      </c>
      <c r="E87" s="6">
        <f t="shared" si="4"/>
        <v>184.49316903809742</v>
      </c>
      <c r="Q87" s="5"/>
      <c r="U87" s="5"/>
      <c r="V87" s="5"/>
      <c r="Y87" s="5"/>
      <c r="Z87" s="5"/>
      <c r="AA87" s="5"/>
    </row>
    <row r="88" spans="2:38" x14ac:dyDescent="0.35"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</row>
    <row r="89" spans="2:38" x14ac:dyDescent="0.35">
      <c r="B89" t="s">
        <v>16</v>
      </c>
      <c r="C89" s="8" t="s">
        <v>17</v>
      </c>
      <c r="D89" s="8" t="s">
        <v>18</v>
      </c>
      <c r="E89" s="8" t="s">
        <v>19</v>
      </c>
    </row>
    <row r="90" spans="2:38" x14ac:dyDescent="0.35">
      <c r="B90" t="s">
        <v>7</v>
      </c>
      <c r="C90" s="4">
        <f t="shared" ref="C90:C95" si="5">R74/R66-1</f>
        <v>-7.0576667080339939E-2</v>
      </c>
      <c r="D90" s="4">
        <f t="shared" ref="D90:D95" si="6">AB74/AB66-1</f>
        <v>-5.5772738979832148E-2</v>
      </c>
      <c r="E90" s="4">
        <f t="shared" ref="E90:E95" si="7">AL74/AL66-1</f>
        <v>-9.9064633816349446E-2</v>
      </c>
    </row>
    <row r="91" spans="2:38" x14ac:dyDescent="0.35">
      <c r="B91" t="s">
        <v>8</v>
      </c>
      <c r="C91" s="4">
        <f t="shared" si="5"/>
        <v>-3.2901772761104398E-2</v>
      </c>
      <c r="D91" s="4">
        <f t="shared" si="6"/>
        <v>-4.0150032619743259E-2</v>
      </c>
      <c r="E91" s="4">
        <f t="shared" si="7"/>
        <v>-4.4657253340853686E-2</v>
      </c>
    </row>
    <row r="92" spans="2:38" x14ac:dyDescent="0.35">
      <c r="B92" t="s">
        <v>9</v>
      </c>
      <c r="C92" s="4">
        <f t="shared" si="5"/>
        <v>-5.5451318855167075E-2</v>
      </c>
      <c r="D92" s="4">
        <f t="shared" si="6"/>
        <v>-7.8132635274697826E-2</v>
      </c>
      <c r="E92" s="4">
        <f t="shared" si="7"/>
        <v>-7.3932768198201937E-2</v>
      </c>
    </row>
    <row r="93" spans="2:38" x14ac:dyDescent="0.35">
      <c r="B93" t="s">
        <v>10</v>
      </c>
      <c r="C93" s="4">
        <f t="shared" si="5"/>
        <v>-1.506857918600879E-2</v>
      </c>
      <c r="D93" s="4">
        <f t="shared" si="6"/>
        <v>-1.1507891387866231E-2</v>
      </c>
      <c r="E93" s="4">
        <f t="shared" si="7"/>
        <v>-2.259914649650907E-2</v>
      </c>
    </row>
    <row r="94" spans="2:38" x14ac:dyDescent="0.35">
      <c r="B94" t="s">
        <v>12</v>
      </c>
      <c r="C94" s="4">
        <f t="shared" si="5"/>
        <v>0.27969914394336137</v>
      </c>
      <c r="D94" s="4">
        <f t="shared" si="6"/>
        <v>0.48868910304354785</v>
      </c>
      <c r="E94" s="4">
        <f t="shared" si="7"/>
        <v>-1.0174020900482694E-2</v>
      </c>
    </row>
    <row r="95" spans="2:38" x14ac:dyDescent="0.35">
      <c r="B95" t="s">
        <v>11</v>
      </c>
      <c r="C95" s="4">
        <f t="shared" si="5"/>
        <v>-8.6468176617967352E-2</v>
      </c>
      <c r="D95" s="4">
        <f t="shared" si="6"/>
        <v>-0.12431393792885503</v>
      </c>
      <c r="E95" s="4">
        <f t="shared" si="7"/>
        <v>-0.1838707413829842</v>
      </c>
    </row>
  </sheetData>
  <mergeCells count="3">
    <mergeCell ref="A56:A57"/>
    <mergeCell ref="A62:A63"/>
    <mergeCell ref="A59:A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5</vt:i4>
      </vt:variant>
    </vt:vector>
  </HeadingPairs>
  <TitlesOfParts>
    <vt:vector size="6" baseType="lpstr">
      <vt:lpstr>Données</vt:lpstr>
      <vt:lpstr>Gr Macro</vt:lpstr>
      <vt:lpstr>Gr inflation</vt:lpstr>
      <vt:lpstr>Gr émissions</vt:lpstr>
      <vt:lpstr>Gr secteurs (% VA)</vt:lpstr>
      <vt:lpstr>Gr secteurs (%)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2021-11-29T23:20:22Z</dcterms:modified>
</cp:coreProperties>
</file>