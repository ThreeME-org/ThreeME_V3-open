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Données" sheetId="2" r:id="rId1"/>
    <sheet name="Gr Macro" sheetId="5" r:id="rId2"/>
    <sheet name="Gr inflation" sheetId="6" r:id="rId3"/>
    <sheet name="Gr émissions" sheetId="7" r:id="rId4"/>
    <sheet name="Gr secteurs (% VA)" sheetId="12" r:id="rId5"/>
    <sheet name="Gr secteurs (%)" sheetId="13" r:id="rId6"/>
  </sheets>
  <externalReferences>
    <externalReference r:id="rId7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79" i="2" l="1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D95" i="2" l="1"/>
  <c r="C94" i="2"/>
  <c r="C93" i="2"/>
  <c r="C92" i="2"/>
  <c r="D91" i="2"/>
  <c r="C91" i="2"/>
  <c r="C90" i="2"/>
  <c r="B60" i="2"/>
  <c r="B63" i="2" s="1"/>
  <c r="B59" i="2"/>
  <c r="B62" i="2" s="1"/>
  <c r="E59" i="2"/>
  <c r="F59" i="2"/>
  <c r="N59" i="2"/>
  <c r="U59" i="2"/>
  <c r="V59" i="2"/>
  <c r="AD59" i="2"/>
  <c r="AK59" i="2"/>
  <c r="AL59" i="2"/>
  <c r="K60" i="2"/>
  <c r="R60" i="2"/>
  <c r="S60" i="2"/>
  <c r="AA60" i="2"/>
  <c r="AH60" i="2"/>
  <c r="AI60" i="2"/>
  <c r="C87" i="2" l="1"/>
  <c r="D93" i="2"/>
  <c r="E95" i="2"/>
  <c r="C95" i="2"/>
  <c r="D94" i="2"/>
  <c r="D92" i="2"/>
  <c r="D90" i="2"/>
  <c r="E90" i="2"/>
  <c r="E93" i="2"/>
  <c r="E91" i="2"/>
  <c r="E94" i="2"/>
  <c r="C86" i="2"/>
  <c r="D82" i="2"/>
  <c r="E84" i="2"/>
  <c r="E83" i="2"/>
  <c r="E92" i="2"/>
  <c r="D86" i="2"/>
  <c r="D83" i="2"/>
  <c r="C82" i="2"/>
  <c r="D84" i="2"/>
  <c r="E86" i="2"/>
  <c r="C85" i="2"/>
  <c r="D87" i="2"/>
  <c r="E85" i="2"/>
  <c r="C83" i="2"/>
  <c r="D85" i="2"/>
  <c r="E87" i="2"/>
  <c r="E82" i="2"/>
  <c r="C84" i="2"/>
  <c r="AL60" i="2"/>
  <c r="AD60" i="2"/>
  <c r="V60" i="2"/>
  <c r="N60" i="2"/>
  <c r="F60" i="2"/>
  <c r="AG59" i="2"/>
  <c r="Y59" i="2"/>
  <c r="Q59" i="2"/>
  <c r="I59" i="2"/>
  <c r="AF60" i="2"/>
  <c r="X60" i="2"/>
  <c r="P60" i="2"/>
  <c r="H60" i="2"/>
  <c r="AI59" i="2"/>
  <c r="AA59" i="2"/>
  <c r="S59" i="2"/>
  <c r="K59" i="2"/>
  <c r="AK60" i="2"/>
  <c r="X59" i="2"/>
  <c r="AE60" i="2"/>
  <c r="W60" i="2"/>
  <c r="O60" i="2"/>
  <c r="G60" i="2"/>
  <c r="AH59" i="2"/>
  <c r="Z59" i="2"/>
  <c r="R59" i="2"/>
  <c r="J59" i="2"/>
  <c r="AB60" i="2"/>
  <c r="T60" i="2"/>
  <c r="L60" i="2"/>
  <c r="D60" i="2"/>
  <c r="AE59" i="2"/>
  <c r="O59" i="2"/>
  <c r="G59" i="2"/>
  <c r="Y60" i="2"/>
  <c r="I60" i="2"/>
  <c r="AB59" i="2"/>
  <c r="L59" i="2"/>
  <c r="H59" i="2"/>
  <c r="P59" i="2"/>
  <c r="AF59" i="2"/>
  <c r="E60" i="2"/>
  <c r="M60" i="2"/>
  <c r="U60" i="2"/>
  <c r="AC60" i="2"/>
  <c r="AG60" i="2"/>
  <c r="D59" i="2"/>
  <c r="T59" i="2"/>
  <c r="AJ59" i="2"/>
  <c r="Q60" i="2"/>
  <c r="M59" i="2"/>
  <c r="AC59" i="2"/>
  <c r="J60" i="2"/>
  <c r="Z60" i="2"/>
  <c r="W59" i="2"/>
  <c r="AJ60" i="2"/>
</calcChain>
</file>

<file path=xl/sharedStrings.xml><?xml version="1.0" encoding="utf-8"?>
<sst xmlns="http://schemas.openxmlformats.org/spreadsheetml/2006/main" count="44" uniqueCount="20">
  <si>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</si>
  <si>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</si>
  <si>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</si>
  <si>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</si>
  <si>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</si>
  <si>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</si>
  <si>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</si>
  <si>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</si>
  <si>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</si>
  <si>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</si>
  <si>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</si>
  <si>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</si>
  <si>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</si>
  <si>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Valeur ajoutée sectorielle baseline</t>
  </si>
  <si>
    <t>Valeur ajoutée sectorielle shock</t>
  </si>
  <si>
    <t>VA</t>
  </si>
  <si>
    <t>Année</t>
  </si>
  <si>
    <t>2030</t>
  </si>
  <si>
    <t>2040</t>
  </si>
  <si>
    <t>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</si>
</sst>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applyAlignment="1"/>
    <xf numFmtId="0" fontId="0" fillId="0" borderId="0" xfId="0" quotePrefix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chartsheet" Target="chartsheets/sheet2.xml"/><Relationship Id="rId7" Type="http://schemas.openxmlformats.org/officeDocument/2006/relationships/externalLink" Target="externalLinks/externalLink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alcChain" Target="calcChain.xml"/><Relationship Id="rId5" Type="http://schemas.openxmlformats.org/officeDocument/2006/relationships/chartsheet" Target="chartsheets/sheet4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Impact macroéconomique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Données!$B$6</c:f>
              <c:strCache>
                <c:ptCount val="1"/>
                <c:pt idx="0">
                  <c:v>Consommation des ménages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Données!$C$6:$AL$6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4.4196277476262082E-8</c:v>
                </c:pt>
                <c:pt idx="3">
                  <c:v>0</c:v>
                </c:pt>
                <c:pt idx="4">
                  <c:v>0</c:v>
                </c:pt>
                <c:pt idx="5">
                  <c:v>4.2080319383676182E-8</c:v>
                </c:pt>
                <c:pt idx="6">
                  <c:v>4.1232823927699385E-8</c:v>
                </c:pt>
                <c:pt idx="7">
                  <c:v>6.1580933476167492E-2</c:v>
                </c:pt>
                <c:pt idx="8">
                  <c:v>0.16398091390495173</c:v>
                </c:pt>
                <c:pt idx="9">
                  <c:v>0.32108689003141572</c:v>
                </c:pt>
                <c:pt idx="10">
                  <c:v>0.55340146794687461</c:v>
                </c:pt>
                <c:pt idx="11">
                  <c:v>0.66627595678616569</c:v>
                </c:pt>
                <c:pt idx="12">
                  <c:v>0.7771227338264689</c:v>
                </c:pt>
                <c:pt idx="13">
                  <c:v>0.89513833408712085</c:v>
                </c:pt>
                <c:pt idx="14">
                  <c:v>1.0070529120755765</c:v>
                </c:pt>
                <c:pt idx="15">
                  <c:v>1.1034036085969596</c:v>
                </c:pt>
                <c:pt idx="16">
                  <c:v>1.1911173090972851</c:v>
                </c:pt>
                <c:pt idx="17">
                  <c:v>1.2661582709992907</c:v>
                </c:pt>
                <c:pt idx="18">
                  <c:v>1.3308967856653526</c:v>
                </c:pt>
                <c:pt idx="19">
                  <c:v>1.3856794108098485</c:v>
                </c:pt>
                <c:pt idx="20">
                  <c:v>1.4355966533573103</c:v>
                </c:pt>
                <c:pt idx="21">
                  <c:v>1.4699900567291049</c:v>
                </c:pt>
                <c:pt idx="22">
                  <c:v>1.4972709056981282</c:v>
                </c:pt>
                <c:pt idx="23">
                  <c:v>1.5185337464158259</c:v>
                </c:pt>
                <c:pt idx="24">
                  <c:v>1.5331187077395521</c:v>
                </c:pt>
                <c:pt idx="25">
                  <c:v>1.5412641607340583</c:v>
                </c:pt>
                <c:pt idx="26">
                  <c:v>1.5407820262878167</c:v>
                </c:pt>
                <c:pt idx="27">
                  <c:v>1.5332148740158547</c:v>
                </c:pt>
                <c:pt idx="28">
                  <c:v>1.5213423393726369</c:v>
                </c:pt>
                <c:pt idx="29">
                  <c:v>1.5066606974437642</c:v>
                </c:pt>
                <c:pt idx="30">
                  <c:v>1.4901790350039132</c:v>
                </c:pt>
                <c:pt idx="31">
                  <c:v>1.4677989565802432</c:v>
                </c:pt>
                <c:pt idx="32">
                  <c:v>1.4442634856648888</c:v>
                </c:pt>
                <c:pt idx="33">
                  <c:v>1.4197035074791058</c:v>
                </c:pt>
                <c:pt idx="34">
                  <c:v>1.3940123967153135</c:v>
                </c:pt>
                <c:pt idx="35">
                  <c:v>1.3673327973781411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4"/>
          <c:order val="4"/>
          <c:tx>
            <c:strRef>
              <c:f>Données!$B$8</c:f>
              <c:strCache>
                <c:ptCount val="1"/>
                <c:pt idx="0">
                  <c:v>Dépenses publiques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Données!$C$8:$AL$8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DF-4FA2-B0C9-EB7B6F86A366}"/>
            </c:ext>
          </c:extLst>
        </c:ser>
        <c:ser>
          <c:idx val="5"/>
          <c:order val="5"/>
          <c:tx>
            <c:strRef>
              <c:f>Données!$B$9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Données!$C$9:$AL$9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-4.4196282621386305E-9</c:v>
                </c:pt>
                <c:pt idx="3">
                  <c:v>-8.721298037798094E-9</c:v>
                </c:pt>
                <c:pt idx="4">
                  <c:v>-1.2880559139328231E-8</c:v>
                </c:pt>
                <c:pt idx="5">
                  <c:v>-1.6832129712988176E-8</c:v>
                </c:pt>
                <c:pt idx="6">
                  <c:v>-1.6493131491132873E-8</c:v>
                </c:pt>
                <c:pt idx="7">
                  <c:v>-2.1258167479172828E-2</c:v>
                </c:pt>
                <c:pt idx="8">
                  <c:v>-7.0542610297359115E-2</c:v>
                </c:pt>
                <c:pt idx="9">
                  <c:v>-0.15150897251097042</c:v>
                </c:pt>
                <c:pt idx="10">
                  <c:v>-0.26501931878145374</c:v>
                </c:pt>
                <c:pt idx="11">
                  <c:v>-0.36924491913910024</c:v>
                </c:pt>
                <c:pt idx="12">
                  <c:v>-0.45529527094713512</c:v>
                </c:pt>
                <c:pt idx="13">
                  <c:v>-0.52113702589122735</c:v>
                </c:pt>
                <c:pt idx="14">
                  <c:v>-0.57006349768558717</c:v>
                </c:pt>
                <c:pt idx="15">
                  <c:v>-0.60682255192043566</c:v>
                </c:pt>
                <c:pt idx="16">
                  <c:v>-0.63721433873330824</c:v>
                </c:pt>
                <c:pt idx="17">
                  <c:v>-0.66345537935040066</c:v>
                </c:pt>
                <c:pt idx="18">
                  <c:v>-0.68651622257051792</c:v>
                </c:pt>
                <c:pt idx="19">
                  <c:v>-0.70601092100770191</c:v>
                </c:pt>
                <c:pt idx="20">
                  <c:v>-0.72188094352838938</c:v>
                </c:pt>
                <c:pt idx="21">
                  <c:v>-0.73320742499717573</c:v>
                </c:pt>
                <c:pt idx="22">
                  <c:v>-0.7400053293161063</c:v>
                </c:pt>
                <c:pt idx="23">
                  <c:v>-0.74301197777203087</c:v>
                </c:pt>
                <c:pt idx="24">
                  <c:v>-0.74312938943621332</c:v>
                </c:pt>
                <c:pt idx="25">
                  <c:v>-0.74116597978534593</c:v>
                </c:pt>
                <c:pt idx="26">
                  <c:v>-0.73901398842176058</c:v>
                </c:pt>
                <c:pt idx="27">
                  <c:v>-0.73589851408573115</c:v>
                </c:pt>
                <c:pt idx="28">
                  <c:v>-0.7327930697344206</c:v>
                </c:pt>
                <c:pt idx="29">
                  <c:v>-0.73024310344122045</c:v>
                </c:pt>
                <c:pt idx="30">
                  <c:v>-0.72856727865609017</c:v>
                </c:pt>
                <c:pt idx="31">
                  <c:v>-0.72664447098176144</c:v>
                </c:pt>
                <c:pt idx="32">
                  <c:v>-0.72526701808801119</c:v>
                </c:pt>
                <c:pt idx="33">
                  <c:v>-0.72423837517932321</c:v>
                </c:pt>
                <c:pt idx="34">
                  <c:v>-0.72365581335185492</c:v>
                </c:pt>
                <c:pt idx="35">
                  <c:v>-0.72372171750784942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6"/>
          <c:order val="6"/>
          <c:tx>
            <c:strRef>
              <c:f>Données!$B$10</c:f>
              <c:strCache>
                <c:ptCount val="1"/>
                <c:pt idx="0">
                  <c:v>Variations de stocks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DF-4FA2-B0C9-EB7B6F86A366}"/>
            </c:ext>
          </c:extLst>
        </c:ser>
        <c:ser>
          <c:idx val="7"/>
          <c:order val="7"/>
          <c:tx>
            <c:strRef>
              <c:f>Données!$B$11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Données!$C$11:$AL$11</c:f>
              <c:numCache>
                <c:formatCode>#\ ##0.0</c:formatCode>
                <c:ptCount val="36"/>
                <c:pt idx="0">
                  <c:v>-4.550762435400134E-9</c:v>
                </c:pt>
                <c:pt idx="1">
                  <c:v>0</c:v>
                </c:pt>
                <c:pt idx="2">
                  <c:v>-4.4196256895765199E-9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6.2230729008006924E-3</c:v>
                </c:pt>
                <c:pt idx="8">
                  <c:v>2.2474397822888983E-2</c:v>
                </c:pt>
                <c:pt idx="9">
                  <c:v>4.5348320951339456E-2</c:v>
                </c:pt>
                <c:pt idx="10">
                  <c:v>7.1749883647591953E-2</c:v>
                </c:pt>
                <c:pt idx="11">
                  <c:v>9.172520919564979E-2</c:v>
                </c:pt>
                <c:pt idx="12">
                  <c:v>9.2414533320499578E-2</c:v>
                </c:pt>
                <c:pt idx="13">
                  <c:v>8.1037458261317655E-2</c:v>
                </c:pt>
                <c:pt idx="14">
                  <c:v>6.5735136904645303E-2</c:v>
                </c:pt>
                <c:pt idx="15">
                  <c:v>5.1430076142303632E-2</c:v>
                </c:pt>
                <c:pt idx="16">
                  <c:v>4.2050123534072475E-2</c:v>
                </c:pt>
                <c:pt idx="17">
                  <c:v>3.6130322290154247E-2</c:v>
                </c:pt>
                <c:pt idx="18">
                  <c:v>3.3476760397849026E-2</c:v>
                </c:pt>
                <c:pt idx="19">
                  <c:v>3.549812825754313E-2</c:v>
                </c:pt>
                <c:pt idx="20">
                  <c:v>3.7290669659707239E-2</c:v>
                </c:pt>
                <c:pt idx="21">
                  <c:v>3.8826612519417505E-2</c:v>
                </c:pt>
                <c:pt idx="22">
                  <c:v>4.0117860677449053E-2</c:v>
                </c:pt>
                <c:pt idx="23">
                  <c:v>4.2059941879316186E-2</c:v>
                </c:pt>
                <c:pt idx="24">
                  <c:v>4.5446143714411316E-2</c:v>
                </c:pt>
                <c:pt idx="25">
                  <c:v>5.0624679097040201E-2</c:v>
                </c:pt>
                <c:pt idx="26">
                  <c:v>5.7581153010138567E-2</c:v>
                </c:pt>
                <c:pt idx="27">
                  <c:v>6.6358039125517423E-2</c:v>
                </c:pt>
                <c:pt idx="28">
                  <c:v>7.7005159353028818E-2</c:v>
                </c:pt>
                <c:pt idx="29">
                  <c:v>8.9368168342160645E-2</c:v>
                </c:pt>
                <c:pt idx="30">
                  <c:v>0.10317874647448429</c:v>
                </c:pt>
                <c:pt idx="31">
                  <c:v>0.11832529831276466</c:v>
                </c:pt>
                <c:pt idx="32">
                  <c:v>0.13410003792450492</c:v>
                </c:pt>
                <c:pt idx="33">
                  <c:v>0.15021521453839393</c:v>
                </c:pt>
                <c:pt idx="34">
                  <c:v>0.166533299193589</c:v>
                </c:pt>
                <c:pt idx="35">
                  <c:v>0.1828926724724419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Données!$B$5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Données!$C$5:$AL$5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-6.1670335504970808E-9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-5.7275295617387201E-9</c:v>
                      </c:pt>
                      <c:pt idx="7">
                        <c:v>5.1586012692617089E-2</c:v>
                      </c:pt>
                      <c:pt idx="8">
                        <c:v>0.12844702065619718</c:v>
                      </c:pt>
                      <c:pt idx="9">
                        <c:v>0.23710468844138077</c:v>
                      </c:pt>
                      <c:pt idx="10">
                        <c:v>0.39530951056898633</c:v>
                      </c:pt>
                      <c:pt idx="11">
                        <c:v>0.42330159256105393</c:v>
                      </c:pt>
                      <c:pt idx="12">
                        <c:v>0.44546721039975257</c:v>
                      </c:pt>
                      <c:pt idx="13">
                        <c:v>0.48382899602699148</c:v>
                      </c:pt>
                      <c:pt idx="14">
                        <c:v>0.53033591565303517</c:v>
                      </c:pt>
                      <c:pt idx="15">
                        <c:v>0.57524437319749211</c:v>
                      </c:pt>
                      <c:pt idx="16">
                        <c:v>0.62486127664755919</c:v>
                      </c:pt>
                      <c:pt idx="17">
                        <c:v>0.66996835450319203</c:v>
                      </c:pt>
                      <c:pt idx="18">
                        <c:v>0.71005937028449928</c:v>
                      </c:pt>
                      <c:pt idx="19">
                        <c:v>0.7444721177900071</c:v>
                      </c:pt>
                      <c:pt idx="20">
                        <c:v>0.7759663489428581</c:v>
                      </c:pt>
                      <c:pt idx="21">
                        <c:v>0.79433384034375276</c:v>
                      </c:pt>
                      <c:pt idx="22">
                        <c:v>0.80863545996632258</c:v>
                      </c:pt>
                      <c:pt idx="23">
                        <c:v>0.82028978120598506</c:v>
                      </c:pt>
                      <c:pt idx="24">
                        <c:v>0.82850087565398134</c:v>
                      </c:pt>
                      <c:pt idx="25">
                        <c:v>0.83306395905771158</c:v>
                      </c:pt>
                      <c:pt idx="26">
                        <c:v>0.82967799718696167</c:v>
                      </c:pt>
                      <c:pt idx="27">
                        <c:v>0.82067991142620311</c:v>
                      </c:pt>
                      <c:pt idx="28">
                        <c:v>0.80825545517360098</c:v>
                      </c:pt>
                      <c:pt idx="29">
                        <c:v>0.79348308684956681</c:v>
                      </c:pt>
                      <c:pt idx="30">
                        <c:v>0.77709905834815185</c:v>
                      </c:pt>
                      <c:pt idx="31">
                        <c:v>0.75599508508992219</c:v>
                      </c:pt>
                      <c:pt idx="32">
                        <c:v>0.73407176140818375</c:v>
                      </c:pt>
                      <c:pt idx="33">
                        <c:v>0.71177049139166115</c:v>
                      </c:pt>
                      <c:pt idx="34">
                        <c:v>0.68907063084731046</c:v>
                      </c:pt>
                      <c:pt idx="35">
                        <c:v>0.66598520686356188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Données!$B$7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Données!$C$7:$AL$7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4.4196295484196856E-10</c:v>
                      </c:pt>
                      <c:pt idx="3">
                        <c:v>1.3081944518465467E-9</c:v>
                      </c:pt>
                      <c:pt idx="4">
                        <c:v>2.1467598565547054E-9</c:v>
                      </c:pt>
                      <c:pt idx="5">
                        <c:v>2.5248195794180827E-9</c:v>
                      </c:pt>
                      <c:pt idx="6">
                        <c:v>2.473969843673251E-9</c:v>
                      </c:pt>
                      <c:pt idx="7">
                        <c:v>-1.4970577202568062E-2</c:v>
                      </c:pt>
                      <c:pt idx="8">
                        <c:v>-4.0054730106928928E-2</c:v>
                      </c:pt>
                      <c:pt idx="9">
                        <c:v>-7.0719064588730118E-2</c:v>
                      </c:pt>
                      <c:pt idx="10">
                        <c:v>-0.10783863037741589</c:v>
                      </c:pt>
                      <c:pt idx="11">
                        <c:v>-9.9211323565428514E-2</c:v>
                      </c:pt>
                      <c:pt idx="12">
                        <c:v>-6.8798451367197602E-2</c:v>
                      </c:pt>
                      <c:pt idx="13">
                        <c:v>-3.8905279915757096E-2</c:v>
                      </c:pt>
                      <c:pt idx="14">
                        <c:v>-1.7459030835918484E-2</c:v>
                      </c:pt>
                      <c:pt idx="15">
                        <c:v>-4.9551059857544551E-3</c:v>
                      </c:pt>
                      <c:pt idx="16">
                        <c:v>-2.9022303959294268E-3</c:v>
                      </c:pt>
                      <c:pt idx="17">
                        <c:v>-5.5383609088174744E-3</c:v>
                      </c:pt>
                      <c:pt idx="18">
                        <c:v>-8.4641129852355435E-3</c:v>
                      </c:pt>
                      <c:pt idx="19">
                        <c:v>-8.8607292953660696E-3</c:v>
                      </c:pt>
                      <c:pt idx="20">
                        <c:v>-8.2335546132060455E-3</c:v>
                      </c:pt>
                      <c:pt idx="21">
                        <c:v>-4.1321624042498601E-3</c:v>
                      </c:pt>
                      <c:pt idx="22">
                        <c:v>3.4698626370622057E-4</c:v>
                      </c:pt>
                      <c:pt idx="23">
                        <c:v>3.5356636738004396E-3</c:v>
                      </c:pt>
                      <c:pt idx="24">
                        <c:v>4.9883398715337727E-3</c:v>
                      </c:pt>
                      <c:pt idx="25">
                        <c:v>4.7801162606143392E-3</c:v>
                      </c:pt>
                      <c:pt idx="26">
                        <c:v>4.121142431168217E-3</c:v>
                      </c:pt>
                      <c:pt idx="27">
                        <c:v>2.3132154471448454E-3</c:v>
                      </c:pt>
                      <c:pt idx="28">
                        <c:v>-8.3759575730763273E-4</c:v>
                      </c:pt>
                      <c:pt idx="29">
                        <c:v>-5.1570404144423891E-3</c:v>
                      </c:pt>
                      <c:pt idx="30">
                        <c:v>-1.0372619221212895E-2</c:v>
                      </c:pt>
                      <c:pt idx="31">
                        <c:v>-1.5774014568344524E-2</c:v>
                      </c:pt>
                      <c:pt idx="32">
                        <c:v>-2.1562085140581153E-2</c:v>
                      </c:pt>
                      <c:pt idx="33">
                        <c:v>-2.7823007476262269E-2</c:v>
                      </c:pt>
                      <c:pt idx="34">
                        <c:v>-3.4485794928611764E-2</c:v>
                      </c:pt>
                      <c:pt idx="35">
                        <c:v>-4.1403680760889669E-2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Données!$B$4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Données!$C$4:$AL$4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4.6545826777766308E-2</c:v>
                </c:pt>
                <c:pt idx="8">
                  <c:v>0.115912681640018</c:v>
                </c:pt>
                <c:pt idx="9">
                  <c:v>0.21492622296304109</c:v>
                </c:pt>
                <c:pt idx="10">
                  <c:v>0.36013207077605358</c:v>
                </c:pt>
                <c:pt idx="11">
                  <c:v>0.38875624312577628</c:v>
                </c:pt>
                <c:pt idx="12">
                  <c:v>0.41424200711572823</c:v>
                </c:pt>
                <c:pt idx="13">
                  <c:v>0.45503878426440547</c:v>
                </c:pt>
                <c:pt idx="14">
                  <c:v>0.50272452689656966</c:v>
                </c:pt>
                <c:pt idx="15">
                  <c:v>0.54801111576536776</c:v>
                </c:pt>
                <c:pt idx="16">
                  <c:v>0.59595307051436563</c:v>
                </c:pt>
                <c:pt idx="17">
                  <c:v>0.63883318121817911</c:v>
                </c:pt>
                <c:pt idx="18">
                  <c:v>0.67785733951915006</c:v>
                </c:pt>
                <c:pt idx="19">
                  <c:v>0.71516662433974698</c:v>
                </c:pt>
                <c:pt idx="20">
                  <c:v>0.75100639179481732</c:v>
                </c:pt>
                <c:pt idx="21">
                  <c:v>0.77560928045334876</c:v>
                </c:pt>
                <c:pt idx="22">
                  <c:v>0.79738342818362895</c:v>
                </c:pt>
                <c:pt idx="23">
                  <c:v>0.81758170471952774</c:v>
                </c:pt>
                <c:pt idx="24">
                  <c:v>0.83543547055640044</c:v>
                </c:pt>
                <c:pt idx="25">
                  <c:v>0.85072281256963755</c:v>
                </c:pt>
                <c:pt idx="26">
                  <c:v>0.85934921013097743</c:v>
                </c:pt>
                <c:pt idx="27">
                  <c:v>0.86367437465564301</c:v>
                </c:pt>
                <c:pt idx="28">
                  <c:v>0.86555445572815692</c:v>
                </c:pt>
                <c:pt idx="29">
                  <c:v>0.86578579136233902</c:v>
                </c:pt>
                <c:pt idx="30">
                  <c:v>0.86479047939047593</c:v>
                </c:pt>
                <c:pt idx="31">
                  <c:v>0.85947978134672809</c:v>
                </c:pt>
                <c:pt idx="32">
                  <c:v>0.85309649792506548</c:v>
                </c:pt>
                <c:pt idx="33">
                  <c:v>0.84568031948861755</c:v>
                </c:pt>
                <c:pt idx="34">
                  <c:v>0.83688989234611544</c:v>
                </c:pt>
                <c:pt idx="35">
                  <c:v>0.82650376920156976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000"/>
              <a:t>Inflation</a:t>
            </a:r>
          </a:p>
        </c:rich>
      </c:tx>
      <c:layout>
        <c:manualLayout>
          <c:xMode val="edge"/>
          <c:yMode val="edge"/>
          <c:x val="0.44514160240616385"/>
          <c:y val="3.772455267690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7412752483037978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Données!$B$59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Données!$C$59:$AL$59</c:f>
              <c:numCache>
                <c:formatCode>#\ ##0.0</c:formatCode>
                <c:ptCount val="36"/>
                <c:pt idx="1">
                  <c:v>0</c:v>
                </c:pt>
                <c:pt idx="2">
                  <c:v>3.0285826858819309</c:v>
                </c:pt>
                <c:pt idx="3">
                  <c:v>3.8011284864113204</c:v>
                </c:pt>
                <c:pt idx="4">
                  <c:v>2.903343652874657</c:v>
                </c:pt>
                <c:pt idx="5">
                  <c:v>1.6199358630796024</c:v>
                </c:pt>
                <c:pt idx="6">
                  <c:v>3.0211090852326539</c:v>
                </c:pt>
                <c:pt idx="7">
                  <c:v>2.9639781015266431</c:v>
                </c:pt>
                <c:pt idx="8">
                  <c:v>3.1817626396554832</c:v>
                </c:pt>
                <c:pt idx="9">
                  <c:v>3.3819896132667671</c:v>
                </c:pt>
                <c:pt idx="10">
                  <c:v>3.5687852785591057</c:v>
                </c:pt>
                <c:pt idx="11">
                  <c:v>3.7589952309968533</c:v>
                </c:pt>
                <c:pt idx="12">
                  <c:v>3.9543521118099001</c:v>
                </c:pt>
                <c:pt idx="13">
                  <c:v>4.1544079875910134</c:v>
                </c:pt>
                <c:pt idx="14">
                  <c:v>4.3576393709376271</c:v>
                </c:pt>
                <c:pt idx="15">
                  <c:v>4.5623872090214679</c:v>
                </c:pt>
                <c:pt idx="16">
                  <c:v>4.7443497877723173</c:v>
                </c:pt>
                <c:pt idx="17">
                  <c:v>4.9145496846501935</c:v>
                </c:pt>
                <c:pt idx="18">
                  <c:v>5.0778750505018344</c:v>
                </c:pt>
                <c:pt idx="19">
                  <c:v>5.2361362638568165</c:v>
                </c:pt>
                <c:pt idx="20">
                  <c:v>5.3966815299668403</c:v>
                </c:pt>
                <c:pt idx="21">
                  <c:v>5.5291693348567206</c:v>
                </c:pt>
                <c:pt idx="22">
                  <c:v>5.6450599223736964</c:v>
                </c:pt>
                <c:pt idx="23">
                  <c:v>5.750104807394063</c:v>
                </c:pt>
                <c:pt idx="24">
                  <c:v>5.8468057471494639</c:v>
                </c:pt>
                <c:pt idx="25">
                  <c:v>5.9553992540097189</c:v>
                </c:pt>
                <c:pt idx="26">
                  <c:v>5.9708804070064625</c:v>
                </c:pt>
                <c:pt idx="27">
                  <c:v>5.9377507692415898</c:v>
                </c:pt>
                <c:pt idx="28">
                  <c:v>5.8764688350967598</c:v>
                </c:pt>
                <c:pt idx="29">
                  <c:v>5.7953854089966006</c:v>
                </c:pt>
                <c:pt idx="30">
                  <c:v>5.6974398969119822</c:v>
                </c:pt>
                <c:pt idx="31">
                  <c:v>5.6328263189118655</c:v>
                </c:pt>
                <c:pt idx="32">
                  <c:v>5.5764799177664637</c:v>
                </c:pt>
                <c:pt idx="33">
                  <c:v>5.5177755560078312</c:v>
                </c:pt>
                <c:pt idx="34">
                  <c:v>5.4531364411411154</c:v>
                </c:pt>
                <c:pt idx="35">
                  <c:v>5.3821392116093492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Données!$B$60</c:f>
              <c:strCache>
                <c:ptCount val="1"/>
                <c:pt idx="0">
                  <c:v>NZ50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Données!$C$60:$AL$60</c:f>
              <c:numCache>
                <c:formatCode>#\ ##0.0</c:formatCode>
                <c:ptCount val="36"/>
                <c:pt idx="1">
                  <c:v>1.8793672988381749</c:v>
                </c:pt>
                <c:pt idx="2">
                  <c:v>3.0285827837195578</c:v>
                </c:pt>
                <c:pt idx="3">
                  <c:v>3.8011284828017189</c:v>
                </c:pt>
                <c:pt idx="4">
                  <c:v>2.9033437417027574</c:v>
                </c:pt>
                <c:pt idx="5">
                  <c:v>1.6199358601992619</c:v>
                </c:pt>
                <c:pt idx="6">
                  <c:v>3.0211091674323898</c:v>
                </c:pt>
                <c:pt idx="7">
                  <c:v>3.3988915667044095</c:v>
                </c:pt>
                <c:pt idx="8">
                  <c:v>4.0331124335462931</c:v>
                </c:pt>
                <c:pt idx="9">
                  <c:v>4.7779269557385984</c:v>
                </c:pt>
                <c:pt idx="10">
                  <c:v>5.6639840610309911</c:v>
                </c:pt>
                <c:pt idx="11">
                  <c:v>5.453213537752255</c:v>
                </c:pt>
                <c:pt idx="12">
                  <c:v>5.6534791781409188</c:v>
                </c:pt>
                <c:pt idx="13">
                  <c:v>5.8886906852531951</c:v>
                </c:pt>
                <c:pt idx="14">
                  <c:v>6.1485533866866726</c:v>
                </c:pt>
                <c:pt idx="15">
                  <c:v>6.4194830129405744</c:v>
                </c:pt>
                <c:pt idx="16">
                  <c:v>6.7160440160430879</c:v>
                </c:pt>
                <c:pt idx="17">
                  <c:v>6.9735932829703806</c:v>
                </c:pt>
                <c:pt idx="18">
                  <c:v>7.2092750706091779</c:v>
                </c:pt>
                <c:pt idx="19">
                  <c:v>7.4140210860603073</c:v>
                </c:pt>
                <c:pt idx="20">
                  <c:v>7.6209708761983963</c:v>
                </c:pt>
                <c:pt idx="21">
                  <c:v>7.7367285753824344</c:v>
                </c:pt>
                <c:pt idx="22">
                  <c:v>7.8591199218848384</c:v>
                </c:pt>
                <c:pt idx="23">
                  <c:v>7.9700875919858083</c:v>
                </c:pt>
                <c:pt idx="24">
                  <c:v>8.0720361669249563</c:v>
                </c:pt>
                <c:pt idx="25">
                  <c:v>8.1844394303810972</c:v>
                </c:pt>
                <c:pt idx="26">
                  <c:v>8.1838354276758896</c:v>
                </c:pt>
                <c:pt idx="27">
                  <c:v>8.1476004827596871</c:v>
                </c:pt>
                <c:pt idx="28">
                  <c:v>8.0854605055320263</c:v>
                </c:pt>
                <c:pt idx="29">
                  <c:v>8.004906407869683</c:v>
                </c:pt>
                <c:pt idx="30">
                  <c:v>7.9084924607320417</c:v>
                </c:pt>
                <c:pt idx="31">
                  <c:v>7.8349420349480337</c:v>
                </c:pt>
                <c:pt idx="32">
                  <c:v>7.7736707024213869</c:v>
                </c:pt>
                <c:pt idx="33">
                  <c:v>7.7110418397034364</c:v>
                </c:pt>
                <c:pt idx="34">
                  <c:v>7.643714997005091</c:v>
                </c:pt>
                <c:pt idx="35">
                  <c:v>7.571160795370413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419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Emissions énergétiques</a:t>
            </a:r>
            <a:r>
              <a:rPr lang="fr-FR" baseline="0"/>
              <a:t> (MtCO2)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Données!$B$62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Données!$C$62:$AL$62</c:f>
              <c:numCache>
                <c:formatCode>#,##0</c:formatCode>
                <c:ptCount val="36"/>
                <c:pt idx="0">
                  <c:v>468.75054280000001</c:v>
                </c:pt>
                <c:pt idx="1">
                  <c:v>471.1930198</c:v>
                </c:pt>
                <c:pt idx="2">
                  <c:v>470.67240930000003</c:v>
                </c:pt>
                <c:pt idx="3">
                  <c:v>468.61064309999995</c:v>
                </c:pt>
                <c:pt idx="4">
                  <c:v>470.55108689999997</c:v>
                </c:pt>
                <c:pt idx="5">
                  <c:v>479.10827140000004</c:v>
                </c:pt>
                <c:pt idx="6">
                  <c:v>486.5413034</c:v>
                </c:pt>
                <c:pt idx="7">
                  <c:v>494.84545940000004</c:v>
                </c:pt>
                <c:pt idx="8">
                  <c:v>503.63174320000002</c:v>
                </c:pt>
                <c:pt idx="9">
                  <c:v>512.81088550000004</c:v>
                </c:pt>
                <c:pt idx="10">
                  <c:v>522.48916710000003</c:v>
                </c:pt>
                <c:pt idx="11">
                  <c:v>532.47922349999999</c:v>
                </c:pt>
                <c:pt idx="12">
                  <c:v>542.84874949999994</c:v>
                </c:pt>
                <c:pt idx="13">
                  <c:v>553.6261058</c:v>
                </c:pt>
                <c:pt idx="14">
                  <c:v>564.82671189999996</c:v>
                </c:pt>
                <c:pt idx="15">
                  <c:v>576.46245620000002</c:v>
                </c:pt>
                <c:pt idx="16">
                  <c:v>588.00112420000005</c:v>
                </c:pt>
                <c:pt idx="17">
                  <c:v>599.82513990000007</c:v>
                </c:pt>
                <c:pt idx="18">
                  <c:v>612.00404209999999</c:v>
                </c:pt>
                <c:pt idx="19">
                  <c:v>624.56462729999998</c:v>
                </c:pt>
                <c:pt idx="20">
                  <c:v>637.44447300000002</c:v>
                </c:pt>
                <c:pt idx="21">
                  <c:v>650.23124140000004</c:v>
                </c:pt>
                <c:pt idx="22">
                  <c:v>663.29602620000003</c:v>
                </c:pt>
                <c:pt idx="23">
                  <c:v>676.70373289999998</c:v>
                </c:pt>
                <c:pt idx="24">
                  <c:v>690.47908359999997</c:v>
                </c:pt>
                <c:pt idx="25">
                  <c:v>704.40604719999999</c:v>
                </c:pt>
                <c:pt idx="26">
                  <c:v>716.07985989999997</c:v>
                </c:pt>
                <c:pt idx="27">
                  <c:v>727.32889879999993</c:v>
                </c:pt>
                <c:pt idx="28">
                  <c:v>738.45613809999998</c:v>
                </c:pt>
                <c:pt idx="29">
                  <c:v>749.55548620000002</c:v>
                </c:pt>
                <c:pt idx="30">
                  <c:v>760.67576310000004</c:v>
                </c:pt>
                <c:pt idx="31">
                  <c:v>773.49407569999994</c:v>
                </c:pt>
                <c:pt idx="32">
                  <c:v>786.88485790000004</c:v>
                </c:pt>
                <c:pt idx="33">
                  <c:v>800.67398090000006</c:v>
                </c:pt>
                <c:pt idx="34">
                  <c:v>814.81392649999998</c:v>
                </c:pt>
                <c:pt idx="35">
                  <c:v>829.27916459999994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77-4536-83C1-10BD609DBC68}"/>
            </c:ext>
          </c:extLst>
        </c:ser>
        <c:ser>
          <c:idx val="1"/>
          <c:order val="1"/>
          <c:tx>
            <c:strRef>
              <c:f>Données!$B$63</c:f>
              <c:strCache>
                <c:ptCount val="1"/>
                <c:pt idx="0">
                  <c:v>NZ50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Données!$C$63:$AL$63</c:f>
              <c:numCache>
                <c:formatCode>#,##0</c:formatCode>
                <c:ptCount val="36"/>
                <c:pt idx="0">
                  <c:v>468.7505658</c:v>
                </c:pt>
                <c:pt idx="1">
                  <c:v>471.19304260000001</c:v>
                </c:pt>
                <c:pt idx="2">
                  <c:v>470.6724317</c:v>
                </c:pt>
                <c:pt idx="3">
                  <c:v>468.61066500000004</c:v>
                </c:pt>
                <c:pt idx="4">
                  <c:v>470.55110879999995</c:v>
                </c:pt>
                <c:pt idx="5">
                  <c:v>479.10829380000001</c:v>
                </c:pt>
                <c:pt idx="6">
                  <c:v>486.54132600000003</c:v>
                </c:pt>
                <c:pt idx="7">
                  <c:v>493.12885249999999</c:v>
                </c:pt>
                <c:pt idx="8">
                  <c:v>497.9170426</c:v>
                </c:pt>
                <c:pt idx="9">
                  <c:v>501.266321</c:v>
                </c:pt>
                <c:pt idx="10">
                  <c:v>502.36513479999996</c:v>
                </c:pt>
                <c:pt idx="11">
                  <c:v>505.45290979999999</c:v>
                </c:pt>
                <c:pt idx="12">
                  <c:v>510.34225459999999</c:v>
                </c:pt>
                <c:pt idx="13">
                  <c:v>516.67224539999995</c:v>
                </c:pt>
                <c:pt idx="14">
                  <c:v>524.08565239999996</c:v>
                </c:pt>
                <c:pt idx="15">
                  <c:v>532.30887229999996</c:v>
                </c:pt>
                <c:pt idx="16">
                  <c:v>538.22558249999997</c:v>
                </c:pt>
                <c:pt idx="17">
                  <c:v>544.01362419999998</c:v>
                </c:pt>
                <c:pt idx="18">
                  <c:v>548.71815040000001</c:v>
                </c:pt>
                <c:pt idx="19">
                  <c:v>550.14389830000005</c:v>
                </c:pt>
                <c:pt idx="20">
                  <c:v>550.89528240000004</c:v>
                </c:pt>
                <c:pt idx="21">
                  <c:v>550.74728340000001</c:v>
                </c:pt>
                <c:pt idx="22">
                  <c:v>550.08670649999999</c:v>
                </c:pt>
                <c:pt idx="23">
                  <c:v>549.04537760000005</c:v>
                </c:pt>
                <c:pt idx="24">
                  <c:v>547.75468832000001</c:v>
                </c:pt>
                <c:pt idx="25">
                  <c:v>546.19518808999999</c:v>
                </c:pt>
                <c:pt idx="26">
                  <c:v>542.71400840000001</c:v>
                </c:pt>
                <c:pt idx="27">
                  <c:v>538.96915783999998</c:v>
                </c:pt>
                <c:pt idx="28">
                  <c:v>535.31809098999997</c:v>
                </c:pt>
                <c:pt idx="29">
                  <c:v>531.93741131000002</c:v>
                </c:pt>
                <c:pt idx="30">
                  <c:v>528.95216997</c:v>
                </c:pt>
                <c:pt idx="31">
                  <c:v>527.68177102000004</c:v>
                </c:pt>
                <c:pt idx="32">
                  <c:v>527.33765617000006</c:v>
                </c:pt>
                <c:pt idx="33">
                  <c:v>527.84568324999998</c:v>
                </c:pt>
                <c:pt idx="34">
                  <c:v>529.21106911999993</c:v>
                </c:pt>
                <c:pt idx="35">
                  <c:v>531.44835585999999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77-4536-83C1-10BD609DB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pts de VA)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Données!$B$82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Données!$C$82:$E$82</c:f>
              <c:numCache>
                <c:formatCode>#,##0</c:formatCode>
                <c:ptCount val="3"/>
                <c:pt idx="0">
                  <c:v>2.1762581696104372E-2</c:v>
                </c:pt>
                <c:pt idx="1">
                  <c:v>3.5082690436128952E-2</c:v>
                </c:pt>
                <c:pt idx="2">
                  <c:v>2.9111390835012976E-2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Données!$B$83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Données!$C$83:$E$83</c:f>
              <c:numCache>
                <c:formatCode>#,##0</c:formatCode>
                <c:ptCount val="3"/>
                <c:pt idx="0">
                  <c:v>-3.9000060378345225</c:v>
                </c:pt>
                <c:pt idx="1">
                  <c:v>-5.6467127071240633</c:v>
                </c:pt>
                <c:pt idx="2">
                  <c:v>-7.2847296678266877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Données!$B$84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Données!$C$84:$E$84</c:f>
              <c:numCache>
                <c:formatCode>#,##0</c:formatCode>
                <c:ptCount val="3"/>
                <c:pt idx="0">
                  <c:v>0.35061229202004968</c:v>
                </c:pt>
                <c:pt idx="1">
                  <c:v>0.43398482747506373</c:v>
                </c:pt>
                <c:pt idx="2">
                  <c:v>0.31987873786554266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Données!$B$85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Données!$C$85:$E$85</c:f>
              <c:numCache>
                <c:formatCode>#,##0</c:formatCode>
                <c:ptCount val="3"/>
                <c:pt idx="0">
                  <c:v>20.20702625561163</c:v>
                </c:pt>
                <c:pt idx="1">
                  <c:v>28.938908309950762</c:v>
                </c:pt>
                <c:pt idx="2">
                  <c:v>29.565392756740355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Données!$B$86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Données!$C$86:$E$86</c:f>
              <c:numCache>
                <c:formatCode>#,##0</c:formatCode>
                <c:ptCount val="3"/>
                <c:pt idx="0">
                  <c:v>-4.5337385451904745E-4</c:v>
                </c:pt>
                <c:pt idx="1">
                  <c:v>1.4221769127828134E-2</c:v>
                </c:pt>
                <c:pt idx="2">
                  <c:v>5.1653850349118582E-2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Données!$B$87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Données!$C$87:$E$87</c:f>
              <c:numCache>
                <c:formatCode>#,##0</c:formatCode>
                <c:ptCount val="3"/>
                <c:pt idx="0">
                  <c:v>1.76390811680627</c:v>
                </c:pt>
                <c:pt idx="1">
                  <c:v>-17.784210181715594</c:v>
                </c:pt>
                <c:pt idx="2">
                  <c:v>-46.824596730095053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Données!$B$90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Données!$C$90:$E$90</c:f>
              <c:numCache>
                <c:formatCode>0.0%</c:formatCode>
                <c:ptCount val="3"/>
                <c:pt idx="0">
                  <c:v>1.2012140186810072E-2</c:v>
                </c:pt>
                <c:pt idx="1">
                  <c:v>1.9345083423935483E-2</c:v>
                </c:pt>
                <c:pt idx="2">
                  <c:v>1.6183022680983372E-2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Données!$B$91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Données!$C$91:$E$91</c:f>
              <c:numCache>
                <c:formatCode>0.0%</c:formatCode>
                <c:ptCount val="3"/>
                <c:pt idx="0">
                  <c:v>-4.1008951478656019E-3</c:v>
                </c:pt>
                <c:pt idx="1">
                  <c:v>-5.8514480390837731E-3</c:v>
                </c:pt>
                <c:pt idx="2">
                  <c:v>-7.3433286581084944E-3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Données!$B$92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Données!$C$92:$E$92</c:f>
              <c:numCache>
                <c:formatCode>0.0%</c:formatCode>
                <c:ptCount val="3"/>
                <c:pt idx="0">
                  <c:v>2.4314068055155902E-2</c:v>
                </c:pt>
                <c:pt idx="1">
                  <c:v>3.102065316990088E-2</c:v>
                </c:pt>
                <c:pt idx="2">
                  <c:v>2.372189602584629E-2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Données!$B$93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Données!$C$93:$E$93</c:f>
              <c:numCache>
                <c:formatCode>0.0%</c:formatCode>
                <c:ptCount val="3"/>
                <c:pt idx="0">
                  <c:v>6.8218380641218435E-3</c:v>
                </c:pt>
                <c:pt idx="1">
                  <c:v>9.8071245130852969E-3</c:v>
                </c:pt>
                <c:pt idx="2">
                  <c:v>9.7343846927719913E-3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Données!$B$94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Données!$C$94:$E$94</c:f>
              <c:numCache>
                <c:formatCode>0.0%</c:formatCode>
                <c:ptCount val="3"/>
                <c:pt idx="0">
                  <c:v>3.7514831662439629E-3</c:v>
                </c:pt>
                <c:pt idx="1">
                  <c:v>-0.10408768470526886</c:v>
                </c:pt>
                <c:pt idx="2">
                  <c:v>-0.32633505593903078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Données!$B$95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Données!$C$95:$E$95</c:f>
              <c:numCache>
                <c:formatCode>0.0%</c:formatCode>
                <c:ptCount val="3"/>
                <c:pt idx="0">
                  <c:v>-8.982085405181417E-4</c:v>
                </c:pt>
                <c:pt idx="1">
                  <c:v>9.6978726657841463E-3</c:v>
                </c:pt>
                <c:pt idx="2">
                  <c:v>2.3021427275558226E-2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0.00879</cdr:x>
      <cdr:y>0.03443</cdr:y>
    </cdr:from>
    <cdr:to>
      <cdr:x>0.15528</cdr:x>
      <cdr:y>0.0988</cdr:y>
    </cdr:to>
    <cdr:sp macro="" textlink="">
      <cdr:nvSpPr>
        <cdr:cNvPr id="3" name="ZoneTexte 2"/>
        <cdr:cNvSpPr txBox="1"/>
      </cdr:nvSpPr>
      <cdr:spPr>
        <a:xfrm xmlns:a="http://schemas.openxmlformats.org/drawingml/2006/main">
          <a:off x="81619" y="208637"/>
          <a:ext cx="1360767" cy="3900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100"/>
            <a:t>%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11-23_14-31-52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 refreshError="1"/>
      <sheetData sheetId="4">
        <row r="485">
          <cell r="F485">
            <v>129.1535824</v>
          </cell>
          <cell r="G485">
            <v>128.5268059</v>
          </cell>
          <cell r="H485">
            <v>126.4835667</v>
          </cell>
          <cell r="I485">
            <v>124.12401389999999</v>
          </cell>
          <cell r="J485">
            <v>123.2356235</v>
          </cell>
          <cell r="K485">
            <v>123.7409157</v>
          </cell>
          <cell r="L485">
            <v>123.3512152</v>
          </cell>
          <cell r="M485">
            <v>122.8377203</v>
          </cell>
          <cell r="N485">
            <v>121.8659383</v>
          </cell>
          <cell r="O485">
            <v>120.61913819999999</v>
          </cell>
          <cell r="P485">
            <v>118.9135308</v>
          </cell>
          <cell r="Q485">
            <v>118.1807159</v>
          </cell>
          <cell r="R485">
            <v>117.9044751</v>
          </cell>
          <cell r="S485">
            <v>117.8414427</v>
          </cell>
          <cell r="T485">
            <v>117.8690167</v>
          </cell>
          <cell r="U485">
            <v>117.9254792</v>
          </cell>
          <cell r="V485">
            <v>117.4338908</v>
          </cell>
          <cell r="W485">
            <v>116.8520139</v>
          </cell>
          <cell r="X485">
            <v>115.7611634</v>
          </cell>
          <cell r="Y485">
            <v>113.24451089999999</v>
          </cell>
          <cell r="Z485">
            <v>110.3917654</v>
          </cell>
          <cell r="AA485">
            <v>107.2655017</v>
          </cell>
          <cell r="AB485">
            <v>103.8836659</v>
          </cell>
          <cell r="AC485">
            <v>100.2821277</v>
          </cell>
          <cell r="AD485">
            <v>96.510933420000001</v>
          </cell>
          <cell r="AE485">
            <v>92.574259589999997</v>
          </cell>
          <cell r="AF485">
            <v>88.589784600000002</v>
          </cell>
          <cell r="AG485">
            <v>84.618300939999997</v>
          </cell>
          <cell r="AH485">
            <v>80.721067189999999</v>
          </cell>
          <cell r="AI485">
            <v>76.955254510000003</v>
          </cell>
          <cell r="AJ485">
            <v>73.370916570000006</v>
          </cell>
          <cell r="AK485">
            <v>70.012351319999993</v>
          </cell>
          <cell r="AL485">
            <v>66.912483469999998</v>
          </cell>
          <cell r="AM485">
            <v>64.092323550000003</v>
          </cell>
          <cell r="AN485">
            <v>61.562648119999999</v>
          </cell>
          <cell r="AO485">
            <v>59.325225860000003</v>
          </cell>
        </row>
        <row r="857">
          <cell r="F857">
            <v>339.5969834</v>
          </cell>
          <cell r="G857">
            <v>342.66623670000001</v>
          </cell>
          <cell r="H857">
            <v>344.18886500000002</v>
          </cell>
          <cell r="I857">
            <v>344.48665110000002</v>
          </cell>
          <cell r="J857">
            <v>347.31548529999998</v>
          </cell>
          <cell r="K857">
            <v>355.3673781</v>
          </cell>
          <cell r="L857">
            <v>363.19011080000001</v>
          </cell>
          <cell r="M857">
            <v>370.29113219999999</v>
          </cell>
          <cell r="N857">
            <v>376.05110430000002</v>
          </cell>
          <cell r="O857">
            <v>380.6471828</v>
          </cell>
          <cell r="P857">
            <v>383.45160399999997</v>
          </cell>
          <cell r="Q857">
            <v>387.27219389999999</v>
          </cell>
          <cell r="R857">
            <v>392.43777949999998</v>
          </cell>
          <cell r="S857">
            <v>398.83080269999999</v>
          </cell>
          <cell r="T857">
            <v>406.21663569999998</v>
          </cell>
          <cell r="U857">
            <v>414.38339309999998</v>
          </cell>
          <cell r="V857">
            <v>420.7916917</v>
          </cell>
          <cell r="W857">
            <v>427.16161030000001</v>
          </cell>
          <cell r="X857">
            <v>432.95698700000003</v>
          </cell>
          <cell r="Y857">
            <v>436.89938740000002</v>
          </cell>
          <cell r="Z857">
            <v>440.50351699999999</v>
          </cell>
          <cell r="AA857">
            <v>443.4817817</v>
          </cell>
          <cell r="AB857">
            <v>446.20304060000001</v>
          </cell>
          <cell r="AC857">
            <v>448.76324990000001</v>
          </cell>
          <cell r="AD857">
            <v>451.2437549</v>
          </cell>
          <cell r="AE857">
            <v>453.62092849999999</v>
          </cell>
          <cell r="AF857">
            <v>454.12422379999998</v>
          </cell>
          <cell r="AG857">
            <v>454.3508569</v>
          </cell>
          <cell r="AH857">
            <v>454.59702379999999</v>
          </cell>
          <cell r="AI857">
            <v>454.98215679999998</v>
          </cell>
          <cell r="AJ857">
            <v>455.58125339999998</v>
          </cell>
          <cell r="AK857">
            <v>457.66941969999999</v>
          </cell>
          <cell r="AL857">
            <v>460.42517270000002</v>
          </cell>
          <cell r="AM857">
            <v>463.75335969999998</v>
          </cell>
          <cell r="AN857">
            <v>467.64842099999998</v>
          </cell>
          <cell r="AO857">
            <v>472.12313</v>
          </cell>
        </row>
        <row r="911">
          <cell r="F911">
            <v>129.1535753</v>
          </cell>
          <cell r="G911">
            <v>128.52679900000001</v>
          </cell>
          <cell r="H911">
            <v>126.48356010000001</v>
          </cell>
          <cell r="I911">
            <v>124.1240076</v>
          </cell>
          <cell r="J911">
            <v>123.2356173</v>
          </cell>
          <cell r="K911">
            <v>123.74090940000001</v>
          </cell>
          <cell r="L911">
            <v>123.351209</v>
          </cell>
          <cell r="M911">
            <v>123.3908129</v>
          </cell>
          <cell r="N911">
            <v>123.6081003</v>
          </cell>
          <cell r="O911">
            <v>123.9132066</v>
          </cell>
          <cell r="P911">
            <v>124.312262</v>
          </cell>
          <cell r="Q911">
            <v>124.7220025</v>
          </cell>
          <cell r="R911">
            <v>125.1478144</v>
          </cell>
          <cell r="S911">
            <v>125.59212789999999</v>
          </cell>
          <cell r="T911">
            <v>126.05535980000001</v>
          </cell>
          <cell r="U911">
            <v>126.536897</v>
          </cell>
          <cell r="V911">
            <v>127.03259130000001</v>
          </cell>
          <cell r="W911">
            <v>127.5394113</v>
          </cell>
          <cell r="X911">
            <v>128.05565060000001</v>
          </cell>
          <cell r="Y911">
            <v>128.58047020000001</v>
          </cell>
          <cell r="Z911">
            <v>129.08396619999999</v>
          </cell>
          <cell r="AA911">
            <v>129.6083491</v>
          </cell>
          <cell r="AB911">
            <v>130.14386830000001</v>
          </cell>
          <cell r="AC911">
            <v>130.68621450000001</v>
          </cell>
          <cell r="AD911">
            <v>131.23371560000001</v>
          </cell>
          <cell r="AE911">
            <v>131.7043242</v>
          </cell>
          <cell r="AF911">
            <v>132.17035000000001</v>
          </cell>
          <cell r="AG911">
            <v>132.62100229999999</v>
          </cell>
          <cell r="AH911">
            <v>133.05188100000001</v>
          </cell>
          <cell r="AI911">
            <v>133.46207609999999</v>
          </cell>
          <cell r="AJ911">
            <v>133.85224310000001</v>
          </cell>
          <cell r="AK911">
            <v>134.23145239999999</v>
          </cell>
          <cell r="AL911">
            <v>134.60582289999999</v>
          </cell>
          <cell r="AM911">
            <v>134.97838659999999</v>
          </cell>
          <cell r="AN911">
            <v>135.3503657</v>
          </cell>
          <cell r="AO911">
            <v>135.72193580000001</v>
          </cell>
        </row>
        <row r="1283">
          <cell r="F1283">
            <v>339.59696750000001</v>
          </cell>
          <cell r="G1283">
            <v>342.66622080000002</v>
          </cell>
          <cell r="H1283">
            <v>344.18884919999999</v>
          </cell>
          <cell r="I1283">
            <v>344.48663549999998</v>
          </cell>
          <cell r="J1283">
            <v>347.31546959999997</v>
          </cell>
          <cell r="K1283">
            <v>355.36736200000001</v>
          </cell>
          <cell r="L1283">
            <v>363.19009440000002</v>
          </cell>
          <cell r="M1283">
            <v>371.45464650000002</v>
          </cell>
          <cell r="N1283">
            <v>380.02364290000003</v>
          </cell>
          <cell r="O1283">
            <v>388.89767890000002</v>
          </cell>
          <cell r="P1283">
            <v>398.1769051</v>
          </cell>
          <cell r="Q1283">
            <v>407.75722100000002</v>
          </cell>
          <cell r="R1283">
            <v>417.70093509999998</v>
          </cell>
          <cell r="S1283">
            <v>428.03397790000002</v>
          </cell>
          <cell r="T1283">
            <v>438.7713521</v>
          </cell>
          <cell r="U1283">
            <v>449.92555920000001</v>
          </cell>
          <cell r="V1283">
            <v>460.96853290000001</v>
          </cell>
          <cell r="W1283">
            <v>472.28572860000003</v>
          </cell>
          <cell r="X1283">
            <v>483.94839150000001</v>
          </cell>
          <cell r="Y1283">
            <v>495.9841571</v>
          </cell>
          <cell r="Z1283">
            <v>508.3605068</v>
          </cell>
          <cell r="AA1283">
            <v>520.62289229999999</v>
          </cell>
          <cell r="AB1283">
            <v>533.15215790000002</v>
          </cell>
          <cell r="AC1283">
            <v>546.01751839999997</v>
          </cell>
          <cell r="AD1283">
            <v>559.24536799999998</v>
          </cell>
          <cell r="AE1283">
            <v>572.70172300000002</v>
          </cell>
          <cell r="AF1283">
            <v>583.90950989999999</v>
          </cell>
          <cell r="AG1283">
            <v>594.70789649999995</v>
          </cell>
          <cell r="AH1283">
            <v>605.4042571</v>
          </cell>
          <cell r="AI1283">
            <v>616.09341010000003</v>
          </cell>
          <cell r="AJ1283">
            <v>626.82352000000003</v>
          </cell>
          <cell r="AK1283">
            <v>639.26262329999997</v>
          </cell>
          <cell r="AL1283">
            <v>652.27903500000002</v>
          </cell>
          <cell r="AM1283">
            <v>665.69559430000004</v>
          </cell>
          <cell r="AN1283">
            <v>679.46356079999998</v>
          </cell>
          <cell r="AO1283">
            <v>693.55722879999996</v>
          </cell>
        </row>
        <row r="1365">
          <cell r="C1365" t="str">
            <v>PIB</v>
          </cell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4.6545826777766308E-2</v>
          </cell>
          <cell r="N1365">
            <v>0.115912681640018</v>
          </cell>
          <cell r="O1365">
            <v>0.21492622296304109</v>
          </cell>
          <cell r="P1365">
            <v>0.36013207077605358</v>
          </cell>
          <cell r="Q1365">
            <v>0.38875624312577628</v>
          </cell>
          <cell r="R1365">
            <v>0.41424200711572823</v>
          </cell>
          <cell r="S1365">
            <v>0.45503878426440547</v>
          </cell>
          <cell r="T1365">
            <v>0.50272452689656966</v>
          </cell>
          <cell r="U1365">
            <v>0.54801111576536776</v>
          </cell>
          <cell r="V1365">
            <v>0.59595307051436563</v>
          </cell>
          <cell r="W1365">
            <v>0.63883318121817911</v>
          </cell>
          <cell r="X1365">
            <v>0.67785733951915006</v>
          </cell>
          <cell r="Y1365">
            <v>0.71516662433974698</v>
          </cell>
          <cell r="Z1365">
            <v>0.75100639179481732</v>
          </cell>
          <cell r="AA1365">
            <v>0.77560928045334876</v>
          </cell>
          <cell r="AB1365">
            <v>0.79738342818362895</v>
          </cell>
          <cell r="AC1365">
            <v>0.81758170471952774</v>
          </cell>
          <cell r="AD1365">
            <v>0.83543547055640044</v>
          </cell>
          <cell r="AE1365">
            <v>0.85072281256963755</v>
          </cell>
          <cell r="AF1365">
            <v>0.85934921013097743</v>
          </cell>
          <cell r="AG1365">
            <v>0.86367437465564301</v>
          </cell>
          <cell r="AH1365">
            <v>0.86555445572815692</v>
          </cell>
          <cell r="AI1365">
            <v>0.86578579136233902</v>
          </cell>
          <cell r="AJ1365">
            <v>0.86479047939047593</v>
          </cell>
          <cell r="AK1365">
            <v>0.85947978134672809</v>
          </cell>
          <cell r="AL1365">
            <v>0.85309649792506548</v>
          </cell>
          <cell r="AM1365">
            <v>0.84568031948861755</v>
          </cell>
          <cell r="AN1365">
            <v>0.83688989234611544</v>
          </cell>
          <cell r="AO1365">
            <v>0.82650376920156976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-6.1670335504970808E-9</v>
          </cell>
          <cell r="I1366">
            <v>0</v>
          </cell>
          <cell r="J1366">
            <v>0</v>
          </cell>
          <cell r="K1366">
            <v>0</v>
          </cell>
          <cell r="L1366">
            <v>-5.7275295617387201E-9</v>
          </cell>
          <cell r="M1366">
            <v>5.1586012692617089E-2</v>
          </cell>
          <cell r="N1366">
            <v>0.12844702065619718</v>
          </cell>
          <cell r="O1366">
            <v>0.23710468844138077</v>
          </cell>
          <cell r="P1366">
            <v>0.39530951056898633</v>
          </cell>
          <cell r="Q1366">
            <v>0.42330159256105393</v>
          </cell>
          <cell r="R1366">
            <v>0.44546721039975257</v>
          </cell>
          <cell r="S1366">
            <v>0.48382899602699148</v>
          </cell>
          <cell r="T1366">
            <v>0.53033591565303517</v>
          </cell>
          <cell r="U1366">
            <v>0.57524437319749211</v>
          </cell>
          <cell r="V1366">
            <v>0.62486127664755919</v>
          </cell>
          <cell r="W1366">
            <v>0.66996835450319203</v>
          </cell>
          <cell r="X1366">
            <v>0.71005937028449928</v>
          </cell>
          <cell r="Y1366">
            <v>0.7444721177900071</v>
          </cell>
          <cell r="Z1366">
            <v>0.7759663489428581</v>
          </cell>
          <cell r="AA1366">
            <v>0.79433384034375276</v>
          </cell>
          <cell r="AB1366">
            <v>0.80863545996632258</v>
          </cell>
          <cell r="AC1366">
            <v>0.82028978120598506</v>
          </cell>
          <cell r="AD1366">
            <v>0.82850087565398134</v>
          </cell>
          <cell r="AE1366">
            <v>0.83306395905771158</v>
          </cell>
          <cell r="AF1366">
            <v>0.82967799718696167</v>
          </cell>
          <cell r="AG1366">
            <v>0.82067991142620311</v>
          </cell>
          <cell r="AH1366">
            <v>0.80825545517360098</v>
          </cell>
          <cell r="AI1366">
            <v>0.79348308684956681</v>
          </cell>
          <cell r="AJ1366">
            <v>0.77709905834815185</v>
          </cell>
          <cell r="AK1366">
            <v>0.75599508508992219</v>
          </cell>
          <cell r="AL1366">
            <v>0.73407176140818375</v>
          </cell>
          <cell r="AM1366">
            <v>0.71177049139166115</v>
          </cell>
          <cell r="AN1366">
            <v>0.68907063084731046</v>
          </cell>
          <cell r="AO1366">
            <v>0.66598520686356188</v>
          </cell>
        </row>
        <row r="1367">
          <cell r="C1367" t="str">
            <v>Consommation des ménages</v>
          </cell>
          <cell r="E1367" t="str">
            <v>100*((CH_2-CH_0)/GDP_0)</v>
          </cell>
          <cell r="F1367">
            <v>0</v>
          </cell>
          <cell r="G1367">
            <v>0</v>
          </cell>
          <cell r="H1367">
            <v>4.4196277476262082E-8</v>
          </cell>
          <cell r="I1367">
            <v>0</v>
          </cell>
          <cell r="J1367">
            <v>0</v>
          </cell>
          <cell r="K1367">
            <v>4.2080319383676182E-8</v>
          </cell>
          <cell r="L1367">
            <v>4.1232823927699385E-8</v>
          </cell>
          <cell r="M1367">
            <v>6.1580933476167492E-2</v>
          </cell>
          <cell r="N1367">
            <v>0.16398091390495173</v>
          </cell>
          <cell r="O1367">
            <v>0.32108689003141572</v>
          </cell>
          <cell r="P1367">
            <v>0.55340146794687461</v>
          </cell>
          <cell r="Q1367">
            <v>0.66627595678616569</v>
          </cell>
          <cell r="R1367">
            <v>0.7771227338264689</v>
          </cell>
          <cell r="S1367">
            <v>0.89513833408712085</v>
          </cell>
          <cell r="T1367">
            <v>1.0070529120755765</v>
          </cell>
          <cell r="U1367">
            <v>1.1034036085969596</v>
          </cell>
          <cell r="V1367">
            <v>1.1911173090972851</v>
          </cell>
          <cell r="W1367">
            <v>1.2661582709992907</v>
          </cell>
          <cell r="X1367">
            <v>1.3308967856653526</v>
          </cell>
          <cell r="Y1367">
            <v>1.3856794108098485</v>
          </cell>
          <cell r="Z1367">
            <v>1.4355966533573103</v>
          </cell>
          <cell r="AA1367">
            <v>1.4699900567291049</v>
          </cell>
          <cell r="AB1367">
            <v>1.4972709056981282</v>
          </cell>
          <cell r="AC1367">
            <v>1.5185337464158259</v>
          </cell>
          <cell r="AD1367">
            <v>1.5331187077395521</v>
          </cell>
          <cell r="AE1367">
            <v>1.5412641607340583</v>
          </cell>
          <cell r="AF1367">
            <v>1.5407820262878167</v>
          </cell>
          <cell r="AG1367">
            <v>1.5332148740158547</v>
          </cell>
          <cell r="AH1367">
            <v>1.5213423393726369</v>
          </cell>
          <cell r="AI1367">
            <v>1.5066606974437642</v>
          </cell>
          <cell r="AJ1367">
            <v>1.4901790350039132</v>
          </cell>
          <cell r="AK1367">
            <v>1.4677989565802432</v>
          </cell>
          <cell r="AL1367">
            <v>1.4442634856648888</v>
          </cell>
          <cell r="AM1367">
            <v>1.4197035074791058</v>
          </cell>
          <cell r="AN1367">
            <v>1.3940123967153135</v>
          </cell>
          <cell r="AO1367">
            <v>1.3673327973781411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4.4196295484196856E-10</v>
          </cell>
          <cell r="I1368">
            <v>1.3081944518465467E-9</v>
          </cell>
          <cell r="J1368">
            <v>2.1467598565547054E-9</v>
          </cell>
          <cell r="K1368">
            <v>2.5248195794180827E-9</v>
          </cell>
          <cell r="L1368">
            <v>2.473969843673251E-9</v>
          </cell>
          <cell r="M1368">
            <v>-1.4970577202568062E-2</v>
          </cell>
          <cell r="N1368">
            <v>-4.0054730106928928E-2</v>
          </cell>
          <cell r="O1368">
            <v>-7.0719064588730118E-2</v>
          </cell>
          <cell r="P1368">
            <v>-0.10783863037741589</v>
          </cell>
          <cell r="Q1368">
            <v>-9.9211323565428514E-2</v>
          </cell>
          <cell r="R1368">
            <v>-6.8798451367197602E-2</v>
          </cell>
          <cell r="S1368">
            <v>-3.8905279915757096E-2</v>
          </cell>
          <cell r="T1368">
            <v>-1.7459030835918484E-2</v>
          </cell>
          <cell r="U1368">
            <v>-4.9551059857544551E-3</v>
          </cell>
          <cell r="V1368">
            <v>-2.9022303959294268E-3</v>
          </cell>
          <cell r="W1368">
            <v>-5.5383609088174744E-3</v>
          </cell>
          <cell r="X1368">
            <v>-8.4641129852355435E-3</v>
          </cell>
          <cell r="Y1368">
            <v>-8.8607292953660696E-3</v>
          </cell>
          <cell r="Z1368">
            <v>-8.2335546132060455E-3</v>
          </cell>
          <cell r="AA1368">
            <v>-4.1321624042498601E-3</v>
          </cell>
          <cell r="AB1368">
            <v>3.4698626370622057E-4</v>
          </cell>
          <cell r="AC1368">
            <v>3.5356636738004396E-3</v>
          </cell>
          <cell r="AD1368">
            <v>4.9883398715337727E-3</v>
          </cell>
          <cell r="AE1368">
            <v>4.7801162606143392E-3</v>
          </cell>
          <cell r="AF1368">
            <v>4.121142431168217E-3</v>
          </cell>
          <cell r="AG1368">
            <v>2.3132154471448454E-3</v>
          </cell>
          <cell r="AH1368">
            <v>-8.3759575730763273E-4</v>
          </cell>
          <cell r="AI1368">
            <v>-5.1570404144423891E-3</v>
          </cell>
          <cell r="AJ1368">
            <v>-1.0372619221212895E-2</v>
          </cell>
          <cell r="AK1368">
            <v>-1.5774014568344524E-2</v>
          </cell>
          <cell r="AL1368">
            <v>-2.1562085140581153E-2</v>
          </cell>
          <cell r="AM1368">
            <v>-2.7823007476262269E-2</v>
          </cell>
          <cell r="AN1368">
            <v>-3.4485794928611764E-2</v>
          </cell>
          <cell r="AO1368">
            <v>-4.1403680760889669E-2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C1370" t="str">
            <v>Investissement</v>
          </cell>
          <cell r="E1370" t="str">
            <v>100*((I_2-I_0)/GDP_0)</v>
          </cell>
          <cell r="F1370">
            <v>0</v>
          </cell>
          <cell r="G1370">
            <v>0</v>
          </cell>
          <cell r="H1370">
            <v>-4.4196282621386305E-9</v>
          </cell>
          <cell r="I1370">
            <v>-8.721298037798094E-9</v>
          </cell>
          <cell r="J1370">
            <v>-1.2880559139328231E-8</v>
          </cell>
          <cell r="K1370">
            <v>-1.6832129712988176E-8</v>
          </cell>
          <cell r="L1370">
            <v>-1.6493131491132873E-8</v>
          </cell>
          <cell r="M1370">
            <v>-2.1258167479172828E-2</v>
          </cell>
          <cell r="N1370">
            <v>-7.0542610297359115E-2</v>
          </cell>
          <cell r="O1370">
            <v>-0.15150897251097042</v>
          </cell>
          <cell r="P1370">
            <v>-0.26501931878145374</v>
          </cell>
          <cell r="Q1370">
            <v>-0.36924491913910024</v>
          </cell>
          <cell r="R1370">
            <v>-0.45529527094713512</v>
          </cell>
          <cell r="S1370">
            <v>-0.52113702589122735</v>
          </cell>
          <cell r="T1370">
            <v>-0.57006349768558717</v>
          </cell>
          <cell r="U1370">
            <v>-0.60682255192043566</v>
          </cell>
          <cell r="V1370">
            <v>-0.63721433873330824</v>
          </cell>
          <cell r="W1370">
            <v>-0.66345537935040066</v>
          </cell>
          <cell r="X1370">
            <v>-0.68651622257051792</v>
          </cell>
          <cell r="Y1370">
            <v>-0.70601092100770191</v>
          </cell>
          <cell r="Z1370">
            <v>-0.72188094352838938</v>
          </cell>
          <cell r="AA1370">
            <v>-0.73320742499717573</v>
          </cell>
          <cell r="AB1370">
            <v>-0.7400053293161063</v>
          </cell>
          <cell r="AC1370">
            <v>-0.74301197777203087</v>
          </cell>
          <cell r="AD1370">
            <v>-0.74312938943621332</v>
          </cell>
          <cell r="AE1370">
            <v>-0.74116597978534593</v>
          </cell>
          <cell r="AF1370">
            <v>-0.73901398842176058</v>
          </cell>
          <cell r="AG1370">
            <v>-0.73589851408573115</v>
          </cell>
          <cell r="AH1370">
            <v>-0.7327930697344206</v>
          </cell>
          <cell r="AI1370">
            <v>-0.73024310344122045</v>
          </cell>
          <cell r="AJ1370">
            <v>-0.72856727865609017</v>
          </cell>
          <cell r="AK1370">
            <v>-0.72664447098176144</v>
          </cell>
          <cell r="AL1370">
            <v>-0.72526701808801119</v>
          </cell>
          <cell r="AM1370">
            <v>-0.72423837517932321</v>
          </cell>
          <cell r="AN1370">
            <v>-0.72365581335185492</v>
          </cell>
          <cell r="AO1370">
            <v>-0.72372171750784942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C1372" t="str">
            <v>Exportations nettes</v>
          </cell>
          <cell r="E1372" t="str">
            <v>100*((X_2-X_0)/GDP_0)-100*((M_2-M_0)/GDP_0)</v>
          </cell>
          <cell r="F1372">
            <v>-4.550762435400134E-9</v>
          </cell>
          <cell r="G1372">
            <v>0</v>
          </cell>
          <cell r="H1372">
            <v>-4.4196256895765199E-9</v>
          </cell>
          <cell r="I1372">
            <v>0</v>
          </cell>
          <cell r="J1372">
            <v>0</v>
          </cell>
          <cell r="K1372">
            <v>0</v>
          </cell>
          <cell r="L1372">
            <v>0</v>
          </cell>
          <cell r="M1372">
            <v>6.2230729008006924E-3</v>
          </cell>
          <cell r="N1372">
            <v>2.2474397822888983E-2</v>
          </cell>
          <cell r="O1372">
            <v>4.5348320951339456E-2</v>
          </cell>
          <cell r="P1372">
            <v>7.1749883647591953E-2</v>
          </cell>
          <cell r="Q1372">
            <v>9.172520919564979E-2</v>
          </cell>
          <cell r="R1372">
            <v>9.2414533320499578E-2</v>
          </cell>
          <cell r="S1372">
            <v>8.1037458261317655E-2</v>
          </cell>
          <cell r="T1372">
            <v>6.5735136904645303E-2</v>
          </cell>
          <cell r="U1372">
            <v>5.1430076142303632E-2</v>
          </cell>
          <cell r="V1372">
            <v>4.2050123534072475E-2</v>
          </cell>
          <cell r="W1372">
            <v>3.6130322290154247E-2</v>
          </cell>
          <cell r="X1372">
            <v>3.3476760397849026E-2</v>
          </cell>
          <cell r="Y1372">
            <v>3.549812825754313E-2</v>
          </cell>
          <cell r="Z1372">
            <v>3.7290669659707239E-2</v>
          </cell>
          <cell r="AA1372">
            <v>3.8826612519417505E-2</v>
          </cell>
          <cell r="AB1372">
            <v>4.0117860677449053E-2</v>
          </cell>
          <cell r="AC1372">
            <v>4.2059941879316186E-2</v>
          </cell>
          <cell r="AD1372">
            <v>4.5446143714411316E-2</v>
          </cell>
          <cell r="AE1372">
            <v>5.0624679097040201E-2</v>
          </cell>
          <cell r="AF1372">
            <v>5.7581153010138567E-2</v>
          </cell>
          <cell r="AG1372">
            <v>6.6358039125517423E-2</v>
          </cell>
          <cell r="AH1372">
            <v>7.7005159353028818E-2</v>
          </cell>
          <cell r="AI1372">
            <v>8.9368168342160645E-2</v>
          </cell>
          <cell r="AJ1372">
            <v>0.10317874647448429</v>
          </cell>
          <cell r="AK1372">
            <v>0.11832529831276466</v>
          </cell>
          <cell r="AL1372">
            <v>0.13410003792450492</v>
          </cell>
          <cell r="AM1372">
            <v>0.15021521453839393</v>
          </cell>
          <cell r="AN1372">
            <v>0.166533299193589</v>
          </cell>
          <cell r="AO1372">
            <v>0.1828926724724419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4.4196277476262082E-8</v>
          </cell>
          <cell r="I1373">
            <v>0</v>
          </cell>
          <cell r="J1373">
            <v>0</v>
          </cell>
          <cell r="K1373">
            <v>4.2080319383676182E-8</v>
          </cell>
          <cell r="L1373">
            <v>4.1232823927699385E-8</v>
          </cell>
          <cell r="M1373">
            <v>6.1162494080176252E-2</v>
          </cell>
          <cell r="N1373">
            <v>0.16337581762882281</v>
          </cell>
          <cell r="O1373">
            <v>0.32034887852006072</v>
          </cell>
          <cell r="P1373">
            <v>0.55214462156655719</v>
          </cell>
          <cell r="Q1373">
            <v>0.66592330926420573</v>
          </cell>
          <cell r="R1373">
            <v>0.77640165340261491</v>
          </cell>
          <cell r="S1373">
            <v>0.89266613211004486</v>
          </cell>
          <cell r="T1373">
            <v>1.0021064954642753</v>
          </cell>
          <cell r="U1373">
            <v>1.0958758349067776</v>
          </cell>
          <cell r="V1373">
            <v>1.1811519753310304</v>
          </cell>
          <cell r="W1373">
            <v>1.2541706971845095</v>
          </cell>
          <cell r="X1373">
            <v>1.3173218305769441</v>
          </cell>
          <cell r="Y1373">
            <v>1.3709112819495313</v>
          </cell>
          <cell r="Z1373">
            <v>1.4198616553152068</v>
          </cell>
          <cell r="AA1373">
            <v>1.4536093311904423</v>
          </cell>
          <cell r="AB1373">
            <v>1.4803739660907029</v>
          </cell>
          <cell r="AC1373">
            <v>1.5012360860903768</v>
          </cell>
          <cell r="AD1373">
            <v>1.5155680503963271</v>
          </cell>
          <cell r="AE1373">
            <v>1.5236134312147307</v>
          </cell>
          <cell r="AF1373">
            <v>1.5232438081645963</v>
          </cell>
          <cell r="AG1373">
            <v>1.5159576317755488</v>
          </cell>
          <cell r="AH1373">
            <v>1.5044927603788414</v>
          </cell>
          <cell r="AI1373">
            <v>1.4903162348237324</v>
          </cell>
          <cell r="AJ1373">
            <v>1.4744084180411554</v>
          </cell>
          <cell r="AK1373">
            <v>1.4526880965964377</v>
          </cell>
          <cell r="AL1373">
            <v>1.429809392383411</v>
          </cell>
          <cell r="AM1373">
            <v>1.4058906195209482</v>
          </cell>
          <cell r="AN1373">
            <v>1.3808295483541269</v>
          </cell>
          <cell r="AO1373">
            <v>1.3547744088128104</v>
          </cell>
        </row>
        <row r="1374">
          <cell r="C1374" t="str">
            <v>Investissement</v>
          </cell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-4.4196282621386305E-9</v>
          </cell>
          <cell r="I1374">
            <v>-8.721298037798094E-9</v>
          </cell>
          <cell r="J1374">
            <v>-1.2880559139328231E-8</v>
          </cell>
          <cell r="K1374">
            <v>-1.6832129712988176E-8</v>
          </cell>
          <cell r="L1374">
            <v>-1.6493131491132873E-8</v>
          </cell>
          <cell r="M1374">
            <v>-2.0839728083181585E-2</v>
          </cell>
          <cell r="N1374">
            <v>-6.9937514021225583E-2</v>
          </cell>
          <cell r="O1374">
            <v>-0.1507709609996154</v>
          </cell>
          <cell r="P1374">
            <v>-0.26376247240112743</v>
          </cell>
          <cell r="Q1374">
            <v>-0.36889227161713606</v>
          </cell>
          <cell r="R1374">
            <v>-0.45457419052327686</v>
          </cell>
          <cell r="S1374">
            <v>-0.51866482391415569</v>
          </cell>
          <cell r="T1374">
            <v>-0.56511708107429026</v>
          </cell>
          <cell r="U1374">
            <v>-0.59929477823025368</v>
          </cell>
          <cell r="V1374">
            <v>-0.6272490049670536</v>
          </cell>
          <cell r="W1374">
            <v>-0.65146780553561578</v>
          </cell>
          <cell r="X1374">
            <v>-0.67294126748210559</v>
          </cell>
          <cell r="Y1374">
            <v>-0.69124279214738826</v>
          </cell>
          <cell r="Z1374">
            <v>-0.70614594548628207</v>
          </cell>
          <cell r="AA1374">
            <v>-0.71682669945851651</v>
          </cell>
          <cell r="AB1374">
            <v>-0.72310838970868108</v>
          </cell>
          <cell r="AC1374">
            <v>-0.72571431744658188</v>
          </cell>
          <cell r="AD1374">
            <v>-0.72557873209298851</v>
          </cell>
          <cell r="AE1374">
            <v>-0.72351525026602159</v>
          </cell>
          <cell r="AF1374">
            <v>-0.72147577029854026</v>
          </cell>
          <cell r="AG1374">
            <v>-0.71864127184542514</v>
          </cell>
          <cell r="AH1374">
            <v>-0.71594349074062202</v>
          </cell>
          <cell r="AI1374">
            <v>-0.71389864082119492</v>
          </cell>
          <cell r="AJ1374">
            <v>-0.71279666169333211</v>
          </cell>
          <cell r="AK1374">
            <v>-0.71153361099795609</v>
          </cell>
          <cell r="AL1374">
            <v>-0.71081292480652747</v>
          </cell>
          <cell r="AM1374">
            <v>-0.71042548722117149</v>
          </cell>
          <cell r="AN1374">
            <v>-0.71047296499066526</v>
          </cell>
          <cell r="AO1374">
            <v>-0.71116332894251599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4.4821681925473263E-10</v>
          </cell>
          <cell r="H1375">
            <v>-3.535701066173638E-9</v>
          </cell>
          <cell r="I1375">
            <v>-7.4131035859515465E-9</v>
          </cell>
          <cell r="J1375">
            <v>-1.159250097615386E-8</v>
          </cell>
          <cell r="K1375">
            <v>-1.5569720229453777E-8</v>
          </cell>
          <cell r="L1375">
            <v>-1.5256146869304548E-8</v>
          </cell>
          <cell r="M1375">
            <v>-1.8987660125099972E-2</v>
          </cell>
          <cell r="N1375">
            <v>-6.346727400431032E-2</v>
          </cell>
          <cell r="O1375">
            <v>-0.13696375407640099</v>
          </cell>
          <cell r="P1375">
            <v>-0.24033401300089249</v>
          </cell>
          <cell r="Q1375">
            <v>-0.33661686188089684</v>
          </cell>
          <cell r="R1375">
            <v>-0.41684672018296143</v>
          </cell>
          <cell r="S1375">
            <v>-0.47865051796033892</v>
          </cell>
          <cell r="T1375">
            <v>-0.52486795877515646</v>
          </cell>
          <cell r="U1375">
            <v>-0.55984887129185201</v>
          </cell>
          <cell r="V1375">
            <v>-0.58891560334667892</v>
          </cell>
          <cell r="W1375">
            <v>-0.6141738098941123</v>
          </cell>
          <cell r="X1375">
            <v>-0.6365449946599383</v>
          </cell>
          <cell r="Y1375">
            <v>-0.65567545614814604</v>
          </cell>
          <cell r="Z1375">
            <v>-0.67147701267005155</v>
          </cell>
          <cell r="AA1375">
            <v>-0.68311426383181606</v>
          </cell>
          <cell r="AB1375">
            <v>-0.69054092024747582</v>
          </cell>
          <cell r="AC1375">
            <v>-0.69440311314483438</v>
          </cell>
          <cell r="AD1375">
            <v>-0.69552008447809333</v>
          </cell>
          <cell r="AE1375">
            <v>-0.69463217094476348</v>
          </cell>
          <cell r="AF1375">
            <v>-0.69345005593325981</v>
          </cell>
          <cell r="AG1375">
            <v>-0.69124560132283086</v>
          </cell>
          <cell r="AH1375">
            <v>-0.68893343108357841</v>
          </cell>
          <cell r="AI1375">
            <v>-0.6870313202391245</v>
          </cell>
          <cell r="AJ1375">
            <v>-0.68584706972699183</v>
          </cell>
          <cell r="AK1375">
            <v>-0.68439332684591347</v>
          </cell>
          <cell r="AL1375">
            <v>-0.68341278963777263</v>
          </cell>
          <cell r="AM1375">
            <v>-0.68271961167045825</v>
          </cell>
          <cell r="AN1375">
            <v>-0.68240885458250944</v>
          </cell>
          <cell r="AO1375">
            <v>-0.6826777152940835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4.1843939599344907E-4</v>
          </cell>
          <cell r="N1376">
            <v>6.0509627613165981E-4</v>
          </cell>
          <cell r="O1376">
            <v>7.3801151135363576E-4</v>
          </cell>
          <cell r="P1376">
            <v>1.2568463803239386E-3</v>
          </cell>
          <cell r="Q1376">
            <v>3.5264752196420237E-4</v>
          </cell>
          <cell r="R1376">
            <v>7.2108042386008866E-4</v>
          </cell>
          <cell r="S1376">
            <v>2.4722019770707154E-3</v>
          </cell>
          <cell r="T1376">
            <v>4.9464166112976066E-3</v>
          </cell>
          <cell r="U1376">
            <v>7.5277736901817622E-3</v>
          </cell>
          <cell r="V1376">
            <v>9.9653337662548667E-3</v>
          </cell>
          <cell r="W1376">
            <v>1.1987573814784186E-2</v>
          </cell>
          <cell r="X1376">
            <v>1.3574955088409276E-2</v>
          </cell>
          <cell r="Y1376">
            <v>1.4768128860314138E-2</v>
          </cell>
          <cell r="Z1376">
            <v>1.5734998042105965E-2</v>
          </cell>
          <cell r="AA1376">
            <v>1.6380725538659272E-2</v>
          </cell>
          <cell r="AB1376">
            <v>1.6896939607426661E-2</v>
          </cell>
          <cell r="AC1376">
            <v>1.7297660325447412E-2</v>
          </cell>
          <cell r="AD1376">
            <v>1.7550657343224176E-2</v>
          </cell>
          <cell r="AE1376">
            <v>1.7650729519325444E-2</v>
          </cell>
          <cell r="AF1376">
            <v>1.7538218123220949E-2</v>
          </cell>
          <cell r="AG1376">
            <v>1.7257242240303332E-2</v>
          </cell>
          <cell r="AH1376">
            <v>1.6849578993798239E-2</v>
          </cell>
          <cell r="AI1376">
            <v>1.634446262002678E-2</v>
          </cell>
          <cell r="AJ1376">
            <v>1.5770616962757202E-2</v>
          </cell>
          <cell r="AK1376">
            <v>1.5110859983803683E-2</v>
          </cell>
          <cell r="AL1376">
            <v>1.4454093281484472E-2</v>
          </cell>
          <cell r="AM1376">
            <v>1.3812887958152751E-2</v>
          </cell>
          <cell r="AN1376">
            <v>1.3182848361190025E-2</v>
          </cell>
          <cell r="AO1376">
            <v>1.2558388565332836E-2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-4.482158408945139E-10</v>
          </cell>
          <cell r="H1377">
            <v>-8.8392590968393713E-10</v>
          </cell>
          <cell r="I1377">
            <v>-1.3081944518465467E-9</v>
          </cell>
          <cell r="J1377">
            <v>-1.2880556640170954E-9</v>
          </cell>
          <cell r="K1377">
            <v>-1.2624097897090414E-9</v>
          </cell>
          <cell r="L1377">
            <v>-1.2369849218366255E-9</v>
          </cell>
          <cell r="M1377">
            <v>-2.2705073540728537E-3</v>
          </cell>
          <cell r="N1377">
            <v>-7.075336293050228E-3</v>
          </cell>
          <cell r="O1377">
            <v>-1.4545218434568324E-2</v>
          </cell>
          <cell r="P1377">
            <v>-2.468530578056154E-2</v>
          </cell>
          <cell r="Q1377">
            <v>-3.2628057258201233E-2</v>
          </cell>
          <cell r="R1377">
            <v>-3.8448550764174534E-2</v>
          </cell>
          <cell r="S1377">
            <v>-4.2486507930885362E-2</v>
          </cell>
          <cell r="T1377">
            <v>-4.5195538910430981E-2</v>
          </cell>
          <cell r="U1377">
            <v>-4.6973680628585569E-2</v>
          </cell>
          <cell r="V1377">
            <v>-4.8298735386631389E-2</v>
          </cell>
          <cell r="W1377">
            <v>-4.9281569456289087E-2</v>
          </cell>
          <cell r="X1377">
            <v>-4.9971227910579709E-2</v>
          </cell>
          <cell r="Y1377">
            <v>-5.0335464859556922E-2</v>
          </cell>
          <cell r="Z1377">
            <v>-5.0403930858339309E-2</v>
          </cell>
          <cell r="AA1377">
            <v>-5.0093161165360237E-2</v>
          </cell>
          <cell r="AB1377">
            <v>-4.9464409068629582E-2</v>
          </cell>
          <cell r="AC1377">
            <v>-4.8608864627194166E-2</v>
          </cell>
          <cell r="AD1377">
            <v>-4.7609304958119346E-2</v>
          </cell>
          <cell r="AE1377">
            <v>-4.6533808840584889E-2</v>
          </cell>
          <cell r="AF1377">
            <v>-4.5563932488502989E-2</v>
          </cell>
          <cell r="AG1377">
            <v>-4.4652912762902938E-2</v>
          </cell>
          <cell r="AH1377">
            <v>-4.3859638650843552E-2</v>
          </cell>
          <cell r="AI1377">
            <v>-4.3211783202098147E-2</v>
          </cell>
          <cell r="AJ1377">
            <v>-4.2720208929100383E-2</v>
          </cell>
          <cell r="AK1377">
            <v>-4.2251144135848823E-2</v>
          </cell>
          <cell r="AL1377">
            <v>-4.1854228450237896E-2</v>
          </cell>
          <cell r="AM1377">
            <v>-4.1518763508864853E-2</v>
          </cell>
          <cell r="AN1377">
            <v>-4.124695876934667E-2</v>
          </cell>
          <cell r="AO1377">
            <v>-4.1044002213765675E-2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8.0806050739568036E-8</v>
          </cell>
          <cell r="I1378">
            <v>0</v>
          </cell>
          <cell r="J1378">
            <v>0</v>
          </cell>
          <cell r="K1378">
            <v>7.6829764772412545E-8</v>
          </cell>
          <cell r="L1378">
            <v>7.525109424477705E-8</v>
          </cell>
          <cell r="M1378">
            <v>0.11241232215206676</v>
          </cell>
          <cell r="N1378">
            <v>0.29949264805679832</v>
          </cell>
          <cell r="O1378">
            <v>0.58676927149803326</v>
          </cell>
          <cell r="P1378">
            <v>1.011603516271431</v>
          </cell>
          <cell r="Q1378">
            <v>1.2182706320149839</v>
          </cell>
          <cell r="R1378">
            <v>1.4213674322562042</v>
          </cell>
          <cell r="S1378">
            <v>1.6377438543015543</v>
          </cell>
          <cell r="T1378">
            <v>1.8431853567412837</v>
          </cell>
          <cell r="U1378">
            <v>2.0204165981512867</v>
          </cell>
          <cell r="V1378">
            <v>2.1806091563144836</v>
          </cell>
          <cell r="W1378">
            <v>2.3180618008877385</v>
          </cell>
          <cell r="X1378">
            <v>2.437138483749357</v>
          </cell>
          <cell r="Y1378">
            <v>2.5384608950455023</v>
          </cell>
          <cell r="Z1378">
            <v>2.6316966895225224</v>
          </cell>
          <cell r="AA1378">
            <v>2.6950140742708184</v>
          </cell>
          <cell r="AB1378">
            <v>2.7458116484377459</v>
          </cell>
          <cell r="AC1378">
            <v>2.786026235438932</v>
          </cell>
          <cell r="AD1378">
            <v>2.8143594255633841</v>
          </cell>
          <cell r="AE1378">
            <v>2.8322469419620688</v>
          </cell>
          <cell r="AF1378">
            <v>2.8269052258202532</v>
          </cell>
          <cell r="AG1378">
            <v>2.8104323492447403</v>
          </cell>
          <cell r="AH1378">
            <v>2.7875572992043463</v>
          </cell>
          <cell r="AI1378">
            <v>2.7606516985945184</v>
          </cell>
          <cell r="AJ1378">
            <v>2.7312165538757815</v>
          </cell>
          <cell r="AK1378">
            <v>2.6955639315630497</v>
          </cell>
          <cell r="AL1378">
            <v>2.6570164594223789</v>
          </cell>
          <cell r="AM1378">
            <v>2.6158629654025933</v>
          </cell>
          <cell r="AN1378">
            <v>2.5719996175241899</v>
          </cell>
          <cell r="AO1378">
            <v>2.5258204488951774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1.4195111752712819E-8</v>
          </cell>
          <cell r="I1379">
            <v>4.1960568353260896E-8</v>
          </cell>
          <cell r="J1379">
            <v>6.6712746438213344E-8</v>
          </cell>
          <cell r="K1379">
            <v>7.2664274597400436E-8</v>
          </cell>
          <cell r="L1379">
            <v>7.0615224778691754E-8</v>
          </cell>
          <cell r="M1379">
            <v>-0.42857151395845339</v>
          </cell>
          <cell r="N1379">
            <v>-1.1547488906697878</v>
          </cell>
          <cell r="O1379">
            <v>-2.0558009891594509</v>
          </cell>
          <cell r="P1379">
            <v>-3.1595577853848478</v>
          </cell>
          <cell r="Q1379">
            <v>-2.9304878455864825</v>
          </cell>
          <cell r="R1379">
            <v>-2.0488145040021832</v>
          </cell>
          <cell r="S1379">
            <v>-1.1682274926035574</v>
          </cell>
          <cell r="T1379">
            <v>-0.52872718925073281</v>
          </cell>
          <cell r="U1379">
            <v>-0.15138389066212676</v>
          </cell>
          <cell r="V1379">
            <v>-8.9427911844286445E-2</v>
          </cell>
          <cell r="W1379">
            <v>-0.17219355636323153</v>
          </cell>
          <cell r="X1379">
            <v>-0.26559027433918914</v>
          </cell>
          <cell r="Y1379">
            <v>-0.28064111797145852</v>
          </cell>
          <cell r="Z1379">
            <v>-0.26332865000393557</v>
          </cell>
          <cell r="AA1379">
            <v>-0.13335093740975967</v>
          </cell>
          <cell r="AB1379">
            <v>1.1299665054442798E-2</v>
          </cell>
          <cell r="AC1379">
            <v>0.11618529701304947</v>
          </cell>
          <cell r="AD1379">
            <v>0.16540338278239197</v>
          </cell>
          <cell r="AE1379">
            <v>0.16007011143057692</v>
          </cell>
          <cell r="AF1379">
            <v>0.13903992103243556</v>
          </cell>
          <cell r="AG1379">
            <v>7.8663545693435921E-2</v>
          </cell>
          <cell r="AH1379">
            <v>-2.8707498367819273E-2</v>
          </cell>
          <cell r="AI1379">
            <v>-0.17809382460736156</v>
          </cell>
          <cell r="AJ1379">
            <v>-0.36082540364430482</v>
          </cell>
          <cell r="AK1379">
            <v>-0.55321255741099806</v>
          </cell>
          <cell r="AL1379">
            <v>-0.76200123091275662</v>
          </cell>
          <cell r="AM1379">
            <v>-0.99066353415412367</v>
          </cell>
          <cell r="AN1379">
            <v>-1.2372071311881561</v>
          </cell>
          <cell r="AO1379">
            <v>-1.496862338492666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-2.0622092922195634E-8</v>
          </cell>
          <cell r="I1381">
            <v>-4.0871561690636327E-8</v>
          </cell>
          <cell r="J1381">
            <v>-6.0586258232575574E-8</v>
          </cell>
          <cell r="K1381">
            <v>-7.9184536705412256E-8</v>
          </cell>
          <cell r="L1381">
            <v>-7.7586281843622373E-8</v>
          </cell>
          <cell r="M1381">
            <v>-9.9934108585675308E-2</v>
          </cell>
          <cell r="N1381">
            <v>-0.33135298553689241</v>
          </cell>
          <cell r="O1381">
            <v>-0.71110624833652381</v>
          </cell>
          <cell r="P1381">
            <v>-1.2429902937313941</v>
          </cell>
          <cell r="Q1381">
            <v>-1.7302379076905239</v>
          </cell>
          <cell r="R1381">
            <v>-2.1312030983663743</v>
          </cell>
          <cell r="S1381">
            <v>-2.4363998679805765</v>
          </cell>
          <cell r="T1381">
            <v>-2.6613447100948262</v>
          </cell>
          <cell r="U1381">
            <v>-2.8283599994157416</v>
          </cell>
          <cell r="V1381">
            <v>-2.9636889610588191</v>
          </cell>
          <cell r="W1381">
            <v>-3.0792093214224159</v>
          </cell>
          <cell r="X1381">
            <v>-3.1791044085830777</v>
          </cell>
          <cell r="Y1381">
            <v>-3.2615393847202134</v>
          </cell>
          <cell r="Z1381">
            <v>-3.3261458565574942</v>
          </cell>
          <cell r="AA1381">
            <v>-3.3683372910048193</v>
          </cell>
          <cell r="AB1381">
            <v>-3.3897732365965938</v>
          </cell>
          <cell r="AC1381">
            <v>-3.3935853506394498</v>
          </cell>
          <cell r="AD1381">
            <v>-3.3839310754097518</v>
          </cell>
          <cell r="AE1381">
            <v>-3.3641056015013882</v>
          </cell>
          <cell r="AF1381">
            <v>-3.3396858095726123</v>
          </cell>
          <cell r="AG1381">
            <v>-3.3138019055297563</v>
          </cell>
          <cell r="AH1381">
            <v>-3.2889806818128919</v>
          </cell>
          <cell r="AI1381">
            <v>-3.2670785643775235</v>
          </cell>
          <cell r="AJ1381">
            <v>-3.2493365929979978</v>
          </cell>
          <cell r="AK1381">
            <v>-3.2329465165258142</v>
          </cell>
          <cell r="AL1381">
            <v>-3.2177001966877339</v>
          </cell>
          <cell r="AM1381">
            <v>-3.2037387102769266</v>
          </cell>
          <cell r="AN1381">
            <v>-3.1917856294547686</v>
          </cell>
          <cell r="AO1381">
            <v>-3.1827704472004226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2.2773560814925986E-9</v>
          </cell>
          <cell r="H1382">
            <v>-1.7991463874267311E-8</v>
          </cell>
          <cell r="I1382">
            <v>-3.7873826297385449E-8</v>
          </cell>
          <cell r="J1382">
            <v>-5.9425520060329973E-8</v>
          </cell>
          <cell r="K1382">
            <v>-7.9786444118212785E-8</v>
          </cell>
          <cell r="L1382">
            <v>-7.8122908142574943E-8</v>
          </cell>
          <cell r="M1382">
            <v>-9.709217153812677E-2</v>
          </cell>
          <cell r="N1382">
            <v>-0.32401709601078688</v>
          </cell>
          <cell r="O1382">
            <v>-0.69810522445020728</v>
          </cell>
          <cell r="P1382">
            <v>-1.2230701742371397</v>
          </cell>
          <cell r="Q1382">
            <v>-1.7099827774415433</v>
          </cell>
          <cell r="R1382">
            <v>-2.1134099356956093</v>
          </cell>
          <cell r="S1382">
            <v>-2.4215601136346798</v>
          </cell>
          <cell r="T1382">
            <v>-2.649153337471466</v>
          </cell>
          <cell r="U1382">
            <v>-2.8184998425668684</v>
          </cell>
          <cell r="V1382">
            <v>-2.9558806309439745</v>
          </cell>
          <cell r="W1382">
            <v>-3.0734643026788633</v>
          </cell>
          <cell r="X1382">
            <v>-3.1755707553515089</v>
          </cell>
          <cell r="Y1382">
            <v>-3.2604190216333206</v>
          </cell>
          <cell r="Z1382">
            <v>-3.3275192839400169</v>
          </cell>
          <cell r="AA1382">
            <v>-3.3725417101624577</v>
          </cell>
          <cell r="AB1382">
            <v>-3.3968456113304901</v>
          </cell>
          <cell r="AC1382">
            <v>-3.4033813026856707</v>
          </cell>
          <cell r="AD1382">
            <v>-3.3962240446004377</v>
          </cell>
          <cell r="AE1382">
            <v>-3.3786413517782776</v>
          </cell>
          <cell r="AF1382">
            <v>-3.35644764025953</v>
          </cell>
          <cell r="AG1382">
            <v>-3.3325556433219883</v>
          </cell>
          <cell r="AH1382">
            <v>-3.3093987549556614</v>
          </cell>
          <cell r="AI1382">
            <v>-3.288810880011217</v>
          </cell>
          <cell r="AJ1382">
            <v>-3.2720444521901482</v>
          </cell>
          <cell r="AK1382">
            <v>-3.2562928804031332</v>
          </cell>
          <cell r="AL1382">
            <v>-3.2414314580262005</v>
          </cell>
          <cell r="AM1382">
            <v>-3.2276455774964297</v>
          </cell>
          <cell r="AN1382">
            <v>-3.2157001279987107</v>
          </cell>
          <cell r="AO1382">
            <v>-3.2065699522601632</v>
          </cell>
        </row>
        <row r="1383">
          <cell r="C1383" t="str">
            <v>Exportations</v>
          </cell>
          <cell r="E1383" t="str">
            <v>100*(X_2/X_0-1)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-1.5710618020858824E-3</v>
          </cell>
          <cell r="N1383">
            <v>-5.7934225315081633E-3</v>
          </cell>
          <cell r="O1383">
            <v>-1.3598020723004645E-2</v>
          </cell>
          <cell r="P1383">
            <v>-2.5987046605191466E-2</v>
          </cell>
          <cell r="Q1383">
            <v>-3.921524822845246E-2</v>
          </cell>
          <cell r="R1383">
            <v>-5.1641184500306192E-2</v>
          </cell>
          <cell r="S1383">
            <v>-6.2771653897542024E-2</v>
          </cell>
          <cell r="T1383">
            <v>-7.2655133861698751E-2</v>
          </cell>
          <cell r="U1383">
            <v>-8.1542047055915834E-2</v>
          </cell>
          <cell r="V1383">
            <v>-9.0293253885631586E-2</v>
          </cell>
          <cell r="W1383">
            <v>-9.8992517387197498E-2</v>
          </cell>
          <cell r="X1383">
            <v>-0.10809335039483337</v>
          </cell>
          <cell r="Y1383">
            <v>-0.11845456002310684</v>
          </cell>
          <cell r="Z1383">
            <v>-0.12994265808854433</v>
          </cell>
          <cell r="AA1383">
            <v>-0.14248580873210681</v>
          </cell>
          <cell r="AB1383">
            <v>-0.15550214742944268</v>
          </cell>
          <cell r="AC1383">
            <v>-0.16882555644450736</v>
          </cell>
          <cell r="AD1383">
            <v>-0.18234157000918128</v>
          </cell>
          <cell r="AE1383">
            <v>-0.19595321193308646</v>
          </cell>
          <cell r="AF1383">
            <v>-0.21184628177344234</v>
          </cell>
          <cell r="AG1383">
            <v>-0.22785504152388336</v>
          </cell>
          <cell r="AH1383">
            <v>-0.24388897886346017</v>
          </cell>
          <cell r="AI1383">
            <v>-0.25985624179959421</v>
          </cell>
          <cell r="AJ1383">
            <v>-0.27565656443414577</v>
          </cell>
          <cell r="AK1383">
            <v>-0.28922904677592953</v>
          </cell>
          <cell r="AL1383">
            <v>-0.30216068389987694</v>
          </cell>
          <cell r="AM1383">
            <v>-0.31436179738616454</v>
          </cell>
          <cell r="AN1383">
            <v>-0.32576602195102389</v>
          </cell>
          <cell r="AO1383">
            <v>-0.33632722320493524</v>
          </cell>
        </row>
        <row r="1384">
          <cell r="C1384" t="str">
            <v>Importations</v>
          </cell>
          <cell r="E1384" t="str">
            <v>100*(M_2/M_0-1)</v>
          </cell>
          <cell r="F1384">
            <v>1.5264589592334232E-8</v>
          </cell>
          <cell r="G1384">
            <v>0</v>
          </cell>
          <cell r="H1384">
            <v>1.482503009242464E-8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-2.236192831710504E-2</v>
          </cell>
          <cell r="N1384">
            <v>-8.0836526570693401E-2</v>
          </cell>
          <cell r="O1384">
            <v>-0.16500850785902133</v>
          </cell>
          <cell r="P1384">
            <v>-0.26563199844649166</v>
          </cell>
          <cell r="Q1384">
            <v>-0.34575797863880542</v>
          </cell>
          <cell r="R1384">
            <v>-0.36115117340096425</v>
          </cell>
          <cell r="S1384">
            <v>-0.3354079871989657</v>
          </cell>
          <cell r="T1384">
            <v>-0.29561344846642523</v>
          </cell>
          <cell r="U1384">
            <v>-0.25830375560087493</v>
          </cell>
          <cell r="V1384">
            <v>-0.23714177068819842</v>
          </cell>
          <cell r="W1384">
            <v>-0.22750449181512256</v>
          </cell>
          <cell r="X1384">
            <v>-0.2291789489524132</v>
          </cell>
          <cell r="Y1384">
            <v>-0.24769031451447043</v>
          </cell>
          <cell r="Z1384">
            <v>-0.26681297991857367</v>
          </cell>
          <cell r="AA1384">
            <v>-0.28612670138259411</v>
          </cell>
          <cell r="AB1384">
            <v>-0.3052963324624236</v>
          </cell>
          <cell r="AC1384">
            <v>-0.32703612298509155</v>
          </cell>
          <cell r="AD1384">
            <v>-0.35378794352921572</v>
          </cell>
          <cell r="AE1384">
            <v>-0.38662633239137101</v>
          </cell>
          <cell r="AF1384">
            <v>-0.42635726795808848</v>
          </cell>
          <cell r="AG1384">
            <v>-0.47241377677018637</v>
          </cell>
          <cell r="AH1384">
            <v>-0.5246903654319901</v>
          </cell>
          <cell r="AI1384">
            <v>-0.58253120068945119</v>
          </cell>
          <cell r="AJ1384">
            <v>-0.64492588083476798</v>
          </cell>
          <cell r="AK1384">
            <v>-0.71035614119258073</v>
          </cell>
          <cell r="AL1384">
            <v>-0.77682789349849957</v>
          </cell>
          <cell r="AM1384">
            <v>-0.8434535561726797</v>
          </cell>
          <cell r="AN1384">
            <v>-0.90974883235447335</v>
          </cell>
          <cell r="AO1384">
            <v>-0.97515227741868937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8.2019391278720377E-8</v>
          </cell>
          <cell r="I1385">
            <v>0</v>
          </cell>
          <cell r="J1385">
            <v>0</v>
          </cell>
          <cell r="K1385">
            <v>7.7972139855830846E-8</v>
          </cell>
          <cell r="L1385">
            <v>7.6372352886266981E-8</v>
          </cell>
          <cell r="M1385">
            <v>0.11331432433610011</v>
          </cell>
          <cell r="N1385">
            <v>0.30284062596235284</v>
          </cell>
          <cell r="O1385">
            <v>0.59415187046090168</v>
          </cell>
          <cell r="P1385">
            <v>1.0243421454339874</v>
          </cell>
          <cell r="Q1385">
            <v>1.23574165131346</v>
          </cell>
          <cell r="R1385">
            <v>1.441148403966408</v>
          </cell>
          <cell r="S1385">
            <v>1.657458186699623</v>
          </cell>
          <cell r="T1385">
            <v>1.8613205583877024</v>
          </cell>
          <cell r="U1385">
            <v>2.0363479936575279</v>
          </cell>
          <cell r="V1385">
            <v>2.1943587079576554</v>
          </cell>
          <cell r="W1385">
            <v>2.3300633227061107</v>
          </cell>
          <cell r="X1385">
            <v>2.4479269150885719</v>
          </cell>
          <cell r="Y1385">
            <v>2.5485051361348932</v>
          </cell>
          <cell r="Z1385">
            <v>2.6412923291912138</v>
          </cell>
          <cell r="AA1385">
            <v>2.7043363758301187</v>
          </cell>
          <cell r="AB1385">
            <v>2.7549163038282698</v>
          </cell>
          <cell r="AC1385">
            <v>2.7949728478318114</v>
          </cell>
          <cell r="AD1385">
            <v>2.8232491364454271</v>
          </cell>
          <cell r="AE1385">
            <v>2.8411995113317046</v>
          </cell>
          <cell r="AF1385">
            <v>2.8360667753527302</v>
          </cell>
          <cell r="AG1385">
            <v>2.8199435473727608</v>
          </cell>
          <cell r="AH1385">
            <v>2.797558719309623</v>
          </cell>
          <cell r="AI1385">
            <v>2.7712687277880121</v>
          </cell>
          <cell r="AJ1385">
            <v>2.7425446542195919</v>
          </cell>
          <cell r="AK1385">
            <v>2.7076284769424586</v>
          </cell>
          <cell r="AL1385">
            <v>2.6697777903756048</v>
          </cell>
          <cell r="AM1385">
            <v>2.6292560676510313</v>
          </cell>
          <cell r="AN1385">
            <v>2.5859627017520648</v>
          </cell>
          <cell r="AO1385">
            <v>2.5403066465174984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-1.9871859713305184E-8</v>
          </cell>
          <cell r="I1386">
            <v>-3.9389003170242631E-8</v>
          </cell>
          <cell r="J1386">
            <v>-5.8390303703248492E-8</v>
          </cell>
          <cell r="K1386">
            <v>-7.6304029761331549E-8</v>
          </cell>
          <cell r="L1386">
            <v>-7.4757255941193534E-8</v>
          </cell>
          <cell r="M1386">
            <v>-9.439340254097095E-2</v>
          </cell>
          <cell r="N1386">
            <v>-0.3165398750953563</v>
          </cell>
          <cell r="O1386">
            <v>-0.6819055223517223</v>
          </cell>
          <cell r="P1386">
            <v>-1.1921942727474266</v>
          </cell>
          <cell r="Q1386">
            <v>-1.6659953032807984</v>
          </cell>
          <cell r="R1386">
            <v>-2.0509773601199988</v>
          </cell>
          <cell r="S1386">
            <v>-2.3374972124740601</v>
          </cell>
          <cell r="T1386">
            <v>-2.5434858516012682</v>
          </cell>
          <cell r="U1386">
            <v>-2.6932345889678189</v>
          </cell>
          <cell r="V1386">
            <v>-2.813140239623102</v>
          </cell>
          <cell r="W1386">
            <v>-2.915874843851074</v>
          </cell>
          <cell r="X1386">
            <v>-3.0055623197710157</v>
          </cell>
          <cell r="Y1386">
            <v>-3.0802428320456654</v>
          </cell>
          <cell r="Z1386">
            <v>-3.1388262217832863</v>
          </cell>
          <cell r="AA1386">
            <v>-3.177228606877236</v>
          </cell>
          <cell r="AB1386">
            <v>-3.1961896911945065</v>
          </cell>
          <cell r="AC1386">
            <v>-3.1986765436878617</v>
          </cell>
          <cell r="AD1386">
            <v>-3.188836902421599</v>
          </cell>
          <cell r="AE1386">
            <v>-3.1699334007716184</v>
          </cell>
          <cell r="AF1386">
            <v>-3.1474269334279326</v>
          </cell>
          <cell r="AG1386">
            <v>-3.1241129430063963</v>
          </cell>
          <cell r="AH1386">
            <v>-3.1023231203615942</v>
          </cell>
          <cell r="AI1386">
            <v>-3.0837377967845025</v>
          </cell>
          <cell r="AJ1386">
            <v>-3.0694315611878964</v>
          </cell>
          <cell r="AK1386">
            <v>-3.0568175501389128</v>
          </cell>
          <cell r="AL1386">
            <v>-3.0453227312882358</v>
          </cell>
          <cell r="AM1386">
            <v>-3.0349881889340735</v>
          </cell>
          <cell r="AN1386">
            <v>-3.026523947078863</v>
          </cell>
          <cell r="AO1386">
            <v>-3.0208534326040759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5.1957970057658898E-2</v>
          </cell>
          <cell r="N1387">
            <v>7.5156625690753209E-2</v>
          </cell>
          <cell r="O1387">
            <v>9.1775695077145336E-2</v>
          </cell>
          <cell r="P1387">
            <v>0.15651707386090674</v>
          </cell>
          <cell r="Q1387">
            <v>4.3984532594265602E-2</v>
          </cell>
          <cell r="R1387">
            <v>9.0080348073695582E-2</v>
          </cell>
          <cell r="S1387">
            <v>0.30931079239433501</v>
          </cell>
          <cell r="T1387">
            <v>0.61978797586113021</v>
          </cell>
          <cell r="U1387">
            <v>0.94459268144027053</v>
          </cell>
          <cell r="V1387">
            <v>1.2513048205210264</v>
          </cell>
          <cell r="W1387">
            <v>1.506328159294168</v>
          </cell>
          <cell r="X1387">
            <v>1.7070687385251082</v>
          </cell>
          <cell r="Y1387">
            <v>1.8585067388564358</v>
          </cell>
          <cell r="Z1387">
            <v>1.9819664305169127</v>
          </cell>
          <cell r="AA1387">
            <v>2.0637243785964099</v>
          </cell>
          <cell r="AB1387">
            <v>2.1292845244482939</v>
          </cell>
          <cell r="AC1387">
            <v>2.1803190682623264</v>
          </cell>
          <cell r="AD1387">
            <v>2.2127083889358135</v>
          </cell>
          <cell r="AE1387">
            <v>2.2266210799971597</v>
          </cell>
          <cell r="AF1387">
            <v>2.2075420051643757</v>
          </cell>
          <cell r="AG1387">
            <v>2.1680657724300501</v>
          </cell>
          <cell r="AH1387">
            <v>2.1130421976859326</v>
          </cell>
          <cell r="AI1387">
            <v>2.0459471235575233</v>
          </cell>
          <cell r="AJ1387">
            <v>1.9703406694998593</v>
          </cell>
          <cell r="AK1387">
            <v>1.8871790386785658</v>
          </cell>
          <cell r="AL1387">
            <v>1.8040169757102653</v>
          </cell>
          <cell r="AM1387">
            <v>1.7227077328446194</v>
          </cell>
          <cell r="AN1387">
            <v>1.6428470260864581</v>
          </cell>
          <cell r="AO1387">
            <v>1.5638024214572166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-2.5049806673393959E-8</v>
          </cell>
          <cell r="H1388">
            <v>-4.9674753199724364E-8</v>
          </cell>
          <cell r="I1388">
            <v>-7.4112593839714691E-8</v>
          </cell>
          <cell r="J1388">
            <v>-7.3508510389785897E-8</v>
          </cell>
          <cell r="K1388">
            <v>-7.244413957607776E-8</v>
          </cell>
          <cell r="L1388">
            <v>-7.1526784495290485E-8</v>
          </cell>
          <cell r="M1388">
            <v>-0.13232478055738017</v>
          </cell>
          <cell r="N1388">
            <v>-0.41579702333608415</v>
          </cell>
          <cell r="O1388">
            <v>-0.86232812461857211</v>
          </cell>
          <cell r="P1388">
            <v>-1.4772331374987013</v>
          </cell>
          <cell r="Q1388">
            <v>-1.9711177915207823</v>
          </cell>
          <cell r="R1388">
            <v>-2.3452749596672207</v>
          </cell>
          <cell r="S1388">
            <v>-2.6170824815115568</v>
          </cell>
          <cell r="T1388">
            <v>-2.8116086865355605</v>
          </cell>
          <cell r="U1388">
            <v>-2.9514188550885057</v>
          </cell>
          <cell r="V1388">
            <v>-3.0623259931539248</v>
          </cell>
          <cell r="W1388">
            <v>-3.1526515785756382</v>
          </cell>
          <cell r="X1388">
            <v>-3.2248149130934434</v>
          </cell>
          <cell r="Y1388">
            <v>-3.2762040162428008</v>
          </cell>
          <cell r="Z1388">
            <v>-3.3079567367204188</v>
          </cell>
          <cell r="AA1388">
            <v>-3.312030864357951</v>
          </cell>
          <cell r="AB1388">
            <v>-3.2940288227705339</v>
          </cell>
          <cell r="AC1388">
            <v>-3.2595587398134285</v>
          </cell>
          <cell r="AD1388">
            <v>-3.2139809113622686</v>
          </cell>
          <cell r="AE1388">
            <v>-3.1610947884326057</v>
          </cell>
          <cell r="AF1388">
            <v>-3.1037861311631665</v>
          </cell>
          <cell r="AG1388">
            <v>-3.0482532749346425</v>
          </cell>
          <cell r="AH1388">
            <v>-2.9983995746757919</v>
          </cell>
          <cell r="AI1388">
            <v>-2.9564690284546002</v>
          </cell>
          <cell r="AJ1388">
            <v>-2.9235984340132859</v>
          </cell>
          <cell r="AK1388">
            <v>-2.8965551197190909</v>
          </cell>
          <cell r="AL1388">
            <v>-2.8741168103080805</v>
          </cell>
          <cell r="AM1388">
            <v>-2.8559000844819216</v>
          </cell>
          <cell r="AN1388">
            <v>-2.8420999812597159</v>
          </cell>
          <cell r="AO1388">
            <v>-2.8330310441990414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7.0807693042240771E-8</v>
          </cell>
          <cell r="H1389">
            <v>1.3606946680511101E-7</v>
          </cell>
          <cell r="I1389">
            <v>1.2987051434265595E-7</v>
          </cell>
          <cell r="J1389">
            <v>1.8599297657573288E-7</v>
          </cell>
          <cell r="K1389">
            <v>2.369352491982113E-7</v>
          </cell>
          <cell r="L1389">
            <v>2.8262634454989666E-7</v>
          </cell>
          <cell r="M1389">
            <v>0.58816516048927348</v>
          </cell>
          <cell r="N1389">
            <v>1.6281750350366053</v>
          </cell>
          <cell r="O1389">
            <v>3.3214374689096271</v>
          </cell>
          <cell r="P1389">
            <v>5.8923631991579128</v>
          </cell>
          <cell r="Q1389">
            <v>7.6989020551777365</v>
          </cell>
          <cell r="R1389">
            <v>9.6801218043943713</v>
          </cell>
          <cell r="S1389">
            <v>11.752081616619714</v>
          </cell>
          <cell r="T1389">
            <v>13.891769423396006</v>
          </cell>
          <cell r="U1389">
            <v>16.10080994661358</v>
          </cell>
          <cell r="V1389">
            <v>18.466335819048354</v>
          </cell>
          <cell r="W1389">
            <v>20.946614303236611</v>
          </cell>
          <cell r="X1389">
            <v>23.540764498562304</v>
          </cell>
          <cell r="Y1389">
            <v>26.220738287827139</v>
          </cell>
          <cell r="Z1389">
            <v>29.006265403052932</v>
          </cell>
          <cell r="AA1389">
            <v>31.776868893152098</v>
          </cell>
          <cell r="AB1389">
            <v>34.608632626862779</v>
          </cell>
          <cell r="AC1389">
            <v>37.491893316081516</v>
          </cell>
          <cell r="AD1389">
            <v>40.422930283084838</v>
          </cell>
          <cell r="AE1389">
            <v>43.404297936139713</v>
          </cell>
          <cell r="AF1389">
            <v>46.38496448661791</v>
          </cell>
          <cell r="AG1389">
            <v>49.418004261797186</v>
          </cell>
          <cell r="AH1389">
            <v>52.507239887901449</v>
          </cell>
          <cell r="AI1389">
            <v>55.657487692330321</v>
          </cell>
          <cell r="AJ1389">
            <v>58.873592746422077</v>
          </cell>
          <cell r="AK1389">
            <v>62.130506970105294</v>
          </cell>
          <cell r="AL1389">
            <v>65.445895129024521</v>
          </cell>
          <cell r="AM1389">
            <v>68.819855636074806</v>
          </cell>
          <cell r="AN1389">
            <v>72.255095483405469</v>
          </cell>
          <cell r="AO1389">
            <v>75.755910857933088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7.0807693042240771E-8</v>
          </cell>
          <cell r="H1390">
            <v>4.1107806048046314E-8</v>
          </cell>
          <cell r="I1390">
            <v>3.8386294143322175E-8</v>
          </cell>
          <cell r="J1390">
            <v>8.1868734014278743E-9</v>
          </cell>
          <cell r="K1390">
            <v>6.1963567610234804E-8</v>
          </cell>
          <cell r="L1390">
            <v>2.7865443286145819E-8</v>
          </cell>
          <cell r="M1390">
            <v>0.16577109936544154</v>
          </cell>
          <cell r="N1390">
            <v>0.37719865181640166</v>
          </cell>
          <cell r="O1390">
            <v>0.70329820341374916</v>
          </cell>
          <cell r="P1390">
            <v>1.1982567407446076</v>
          </cell>
          <cell r="Q1390">
            <v>1.2953084204829324</v>
          </cell>
          <cell r="R1390">
            <v>1.5373684113362049</v>
          </cell>
          <cell r="S1390">
            <v>1.808635293604377</v>
          </cell>
          <cell r="T1390">
            <v>2.0615493083847802</v>
          </cell>
          <cell r="U1390">
            <v>2.284412602195939</v>
          </cell>
          <cell r="V1390">
            <v>2.5074731847964511</v>
          </cell>
          <cell r="W1390">
            <v>2.7119533693854798</v>
          </cell>
          <cell r="X1390">
            <v>2.9078312493386207</v>
          </cell>
          <cell r="Y1390">
            <v>3.091280140324713</v>
          </cell>
          <cell r="Z1390">
            <v>3.2782857652236643</v>
          </cell>
          <cell r="AA1390">
            <v>3.418792145760527</v>
          </cell>
          <cell r="AB1390">
            <v>3.5604870437925698</v>
          </cell>
          <cell r="AC1390">
            <v>3.6926901555558658</v>
          </cell>
          <cell r="AD1390">
            <v>3.8108500129205893</v>
          </cell>
          <cell r="AE1390">
            <v>3.918236560304301</v>
          </cell>
          <cell r="AF1390">
            <v>3.9860615957406864</v>
          </cell>
          <cell r="AG1390">
            <v>4.0486760742365746</v>
          </cell>
          <cell r="AH1390">
            <v>4.1049465983101143</v>
          </cell>
          <cell r="AI1390">
            <v>4.155834425584537</v>
          </cell>
          <cell r="AJ1390">
            <v>4.2027225222445423</v>
          </cell>
          <cell r="AK1390">
            <v>4.2352304131335217</v>
          </cell>
          <cell r="AL1390">
            <v>4.2646021519018049</v>
          </cell>
          <cell r="AM1390">
            <v>4.2882883228375306</v>
          </cell>
          <cell r="AN1390">
            <v>4.3057130602284559</v>
          </cell>
          <cell r="AO1390">
            <v>4.3178459516130943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7.0807693042240771E-8</v>
          </cell>
          <cell r="H1391">
            <v>1.3606946680511101E-7</v>
          </cell>
          <cell r="I1391">
            <v>9.3851881821649386E-8</v>
          </cell>
          <cell r="J1391">
            <v>1.5020051868930295E-7</v>
          </cell>
          <cell r="K1391">
            <v>2.0138719580842235E-7</v>
          </cell>
          <cell r="L1391">
            <v>2.473747873210641E-7</v>
          </cell>
          <cell r="M1391">
            <v>0.51984369410080777</v>
          </cell>
          <cell r="N1391">
            <v>1.3959507363504375</v>
          </cell>
          <cell r="O1391">
            <v>2.8111441945239513</v>
          </cell>
          <cell r="P1391">
            <v>4.9691923972710939</v>
          </cell>
          <cell r="Q1391">
            <v>6.4248966826490728</v>
          </cell>
          <cell r="R1391">
            <v>8.1556252735522925</v>
          </cell>
          <cell r="S1391">
            <v>10.064130181367915</v>
          </cell>
          <cell r="T1391">
            <v>12.106182837040436</v>
          </cell>
          <cell r="U1391">
            <v>14.265385417287057</v>
          </cell>
          <cell r="V1391">
            <v>16.60628980255159</v>
          </cell>
          <cell r="W1391">
            <v>19.076173677747477</v>
          </cell>
          <cell r="X1391">
            <v>21.667989534278128</v>
          </cell>
          <cell r="Y1391">
            <v>24.35114060223189</v>
          </cell>
          <cell r="Z1391">
            <v>27.14337358258776</v>
          </cell>
          <cell r="AA1391">
            <v>29.933410320992902</v>
          </cell>
          <cell r="AB1391">
            <v>32.795151118884448</v>
          </cell>
          <cell r="AC1391">
            <v>35.714404796378645</v>
          </cell>
          <cell r="AD1391">
            <v>38.683668604668611</v>
          </cell>
          <cell r="AE1391">
            <v>41.702880623447179</v>
          </cell>
          <cell r="AF1391">
            <v>44.722969370995052</v>
          </cell>
          <cell r="AG1391">
            <v>47.794634117923863</v>
          </cell>
          <cell r="AH1391">
            <v>50.918685528551435</v>
          </cell>
          <cell r="AI1391">
            <v>54.097810937146271</v>
          </cell>
          <cell r="AJ1391">
            <v>57.335871115085737</v>
          </cell>
          <cell r="AK1391">
            <v>60.610622762475089</v>
          </cell>
          <cell r="AL1391">
            <v>63.940493254208896</v>
          </cell>
          <cell r="AM1391">
            <v>67.326117010656702</v>
          </cell>
          <cell r="AN1391">
            <v>70.77083005825088</v>
          </cell>
          <cell r="AO1391">
            <v>74.279551977571401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7.0807693042240771E-8</v>
          </cell>
          <cell r="H1392">
            <v>4.1107806048046314E-8</v>
          </cell>
          <cell r="I1392">
            <v>2.3676616223156088E-9</v>
          </cell>
          <cell r="J1392">
            <v>-2.7605584485002055E-8</v>
          </cell>
          <cell r="K1392">
            <v>2.6415514220445857E-8</v>
          </cell>
          <cell r="L1392">
            <v>-7.3861139426867339E-9</v>
          </cell>
          <cell r="M1392">
            <v>9.7449632976975842E-2</v>
          </cell>
          <cell r="N1392">
            <v>0.14497435313023388</v>
          </cell>
          <cell r="O1392">
            <v>0.19300492902807331</v>
          </cell>
          <cell r="P1392">
            <v>0.27508593885778865</v>
          </cell>
          <cell r="Q1392">
            <v>2.1303047954268628E-2</v>
          </cell>
          <cell r="R1392">
            <v>1.2871880494126131E-2</v>
          </cell>
          <cell r="S1392">
            <v>0.120683858352578</v>
          </cell>
          <cell r="T1392">
            <v>0.27596272202920957</v>
          </cell>
          <cell r="U1392">
            <v>0.44898807286941533</v>
          </cell>
          <cell r="V1392">
            <v>0.64742716829968749</v>
          </cell>
          <cell r="W1392">
            <v>0.84151274389634523</v>
          </cell>
          <cell r="X1392">
            <v>1.0350562850544449</v>
          </cell>
          <cell r="Y1392">
            <v>1.2216824547294642</v>
          </cell>
          <cell r="Z1392">
            <v>1.4153939447584918</v>
          </cell>
          <cell r="AA1392">
            <v>1.5753335736013305</v>
          </cell>
          <cell r="AB1392">
            <v>1.7470055358142389</v>
          </cell>
          <cell r="AC1392">
            <v>1.9152016358529949</v>
          </cell>
          <cell r="AD1392">
            <v>2.0715883345043622</v>
          </cell>
          <cell r="AE1392">
            <v>2.2168192476117667</v>
          </cell>
          <cell r="AF1392">
            <v>2.3240664801178283</v>
          </cell>
          <cell r="AG1392">
            <v>2.4253059303632512</v>
          </cell>
          <cell r="AH1392">
            <v>2.5163922389601012</v>
          </cell>
          <cell r="AI1392">
            <v>2.5961576704004869</v>
          </cell>
          <cell r="AJ1392">
            <v>2.6650008909082032</v>
          </cell>
          <cell r="AK1392">
            <v>2.715346205503316</v>
          </cell>
          <cell r="AL1392">
            <v>2.7592002770861797</v>
          </cell>
          <cell r="AM1392">
            <v>2.794549697419427</v>
          </cell>
          <cell r="AN1392">
            <v>2.8214476350738664</v>
          </cell>
          <cell r="AO1392">
            <v>2.8414870712514073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7.0807693042240771E-8</v>
          </cell>
          <cell r="H1394">
            <v>4.1107806048046314E-8</v>
          </cell>
          <cell r="I1394">
            <v>3.8386294143322175E-8</v>
          </cell>
          <cell r="J1394">
            <v>8.1868734014278743E-9</v>
          </cell>
          <cell r="K1394">
            <v>6.1963567610234804E-8</v>
          </cell>
          <cell r="L1394">
            <v>2.7865443286145819E-8</v>
          </cell>
          <cell r="M1394">
            <v>0.16577109936544154</v>
          </cell>
          <cell r="N1394">
            <v>0.37719865181640166</v>
          </cell>
          <cell r="O1394">
            <v>0.70329820341374916</v>
          </cell>
          <cell r="P1394">
            <v>1.1982567407446076</v>
          </cell>
          <cell r="Q1394">
            <v>1.2953084204829324</v>
          </cell>
          <cell r="R1394">
            <v>1.5373684113362049</v>
          </cell>
          <cell r="S1394">
            <v>1.808635293604377</v>
          </cell>
          <cell r="T1394">
            <v>2.0615493083847802</v>
          </cell>
          <cell r="U1394">
            <v>2.284412602195939</v>
          </cell>
          <cell r="V1394">
            <v>2.5074731847964511</v>
          </cell>
          <cell r="W1394">
            <v>2.7119533693854798</v>
          </cell>
          <cell r="X1394">
            <v>2.9078312493386207</v>
          </cell>
          <cell r="Y1394">
            <v>3.091280140324713</v>
          </cell>
          <cell r="Z1394">
            <v>3.2782857652236643</v>
          </cell>
          <cell r="AA1394">
            <v>3.418792145760527</v>
          </cell>
          <cell r="AB1394">
            <v>3.5604870437925698</v>
          </cell>
          <cell r="AC1394">
            <v>3.6926901555558658</v>
          </cell>
          <cell r="AD1394">
            <v>3.8108500129205893</v>
          </cell>
          <cell r="AE1394">
            <v>3.918236560304301</v>
          </cell>
          <cell r="AF1394">
            <v>3.9860615957406864</v>
          </cell>
          <cell r="AG1394">
            <v>4.0486760742365746</v>
          </cell>
          <cell r="AH1394">
            <v>4.1049465983101143</v>
          </cell>
          <cell r="AI1394">
            <v>4.155834425584537</v>
          </cell>
          <cell r="AJ1394">
            <v>4.2027225222445423</v>
          </cell>
          <cell r="AK1394">
            <v>4.2352304131335217</v>
          </cell>
          <cell r="AL1394">
            <v>4.2646021519018049</v>
          </cell>
          <cell r="AM1394">
            <v>4.2882883228375306</v>
          </cell>
          <cell r="AN1394">
            <v>4.3057130602284559</v>
          </cell>
          <cell r="AO1394">
            <v>4.3178459516130943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9.5184726767172378E-8</v>
          </cell>
          <cell r="I1395">
            <v>9.1997942597288329E-8</v>
          </cell>
          <cell r="J1395">
            <v>1.7850787514817057E-7</v>
          </cell>
          <cell r="K1395">
            <v>1.7489203418818988E-7</v>
          </cell>
          <cell r="L1395">
            <v>2.5515634050066183E-7</v>
          </cell>
          <cell r="M1395">
            <v>0.28368376986753763</v>
          </cell>
          <cell r="N1395">
            <v>0.9329450489283353</v>
          </cell>
          <cell r="O1395">
            <v>2.0609018136126922</v>
          </cell>
          <cell r="P1395">
            <v>3.8178299232590751</v>
          </cell>
          <cell r="Q1395">
            <v>5.5420359045962542</v>
          </cell>
          <cell r="R1395">
            <v>7.2766612863382596</v>
          </cell>
          <cell r="S1395">
            <v>9.0652662613850854</v>
          </cell>
          <cell r="T1395">
            <v>10.939471095593545</v>
          </cell>
          <cell r="U1395">
            <v>12.916138106725672</v>
          </cell>
          <cell r="V1395">
            <v>15.03517586637868</v>
          </cell>
          <cell r="W1395">
            <v>17.29392610530731</v>
          </cell>
          <cell r="X1395">
            <v>19.683757480408758</v>
          </cell>
          <cell r="Y1395">
            <v>22.187433204516616</v>
          </cell>
          <cell r="Z1395">
            <v>24.798722498313385</v>
          </cell>
          <cell r="AA1395">
            <v>27.468994999968377</v>
          </cell>
          <cell r="AB1395">
            <v>30.200646936246866</v>
          </cell>
          <cell r="AC1395">
            <v>32.995013817852524</v>
          </cell>
          <cell r="AD1395">
            <v>35.852649857533002</v>
          </cell>
          <cell r="AE1395">
            <v>38.772174872080598</v>
          </cell>
          <cell r="AF1395">
            <v>41.737078949837979</v>
          </cell>
          <cell r="AG1395">
            <v>44.756407857958472</v>
          </cell>
          <cell r="AH1395">
            <v>47.835372272021637</v>
          </cell>
          <cell r="AI1395">
            <v>50.977749621265424</v>
          </cell>
          <cell r="AJ1395">
            <v>54.186816426900485</v>
          </cell>
          <cell r="AK1395">
            <v>57.4521212720555</v>
          </cell>
          <cell r="AL1395">
            <v>60.774301409920284</v>
          </cell>
          <cell r="AM1395">
            <v>64.156355398999182</v>
          </cell>
          <cell r="AN1395">
            <v>67.602041993251191</v>
          </cell>
          <cell r="AO1395">
            <v>71.115162597476484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9.1304275251502531E-8</v>
          </cell>
          <cell r="J1396">
            <v>1.7703403187852018E-7</v>
          </cell>
          <cell r="K1396">
            <v>1.7441903477077858E-7</v>
          </cell>
          <cell r="L1396">
            <v>2.5414090831787917E-7</v>
          </cell>
          <cell r="M1396">
            <v>0.32867613462204126</v>
          </cell>
          <cell r="N1396">
            <v>1.0741137673600187</v>
          </cell>
          <cell r="O1396">
            <v>2.3572289266760693</v>
          </cell>
          <cell r="P1396">
            <v>4.340754236171418</v>
          </cell>
          <cell r="Q1396">
            <v>6.2247407054168757</v>
          </cell>
          <cell r="R1396">
            <v>8.0586940104523386</v>
          </cell>
          <cell r="S1396">
            <v>9.9003559105214087</v>
          </cell>
          <cell r="T1396">
            <v>11.796675104471532</v>
          </cell>
          <cell r="U1396">
            <v>13.777630670928476</v>
          </cell>
          <cell r="V1396">
            <v>15.900858749408432</v>
          </cell>
          <cell r="W1396">
            <v>18.167085136822124</v>
          </cell>
          <cell r="X1396">
            <v>20.568914690566963</v>
          </cell>
          <cell r="Y1396">
            <v>23.088498565144565</v>
          </cell>
          <cell r="Z1396">
            <v>25.717586669225877</v>
          </cell>
          <cell r="AA1396">
            <v>28.397253725384751</v>
          </cell>
          <cell r="AB1396">
            <v>31.13196911200502</v>
          </cell>
          <cell r="AC1396">
            <v>33.92545584355706</v>
          </cell>
          <cell r="AD1396">
            <v>36.780244843617993</v>
          </cell>
          <cell r="AE1396">
            <v>39.696321542458904</v>
          </cell>
          <cell r="AF1396">
            <v>42.655321242848409</v>
          </cell>
          <cell r="AG1396">
            <v>45.666263522262263</v>
          </cell>
          <cell r="AH1396">
            <v>48.736206333897236</v>
          </cell>
          <cell r="AI1396">
            <v>51.870243596079966</v>
          </cell>
          <cell r="AJ1396">
            <v>55.072434180902327</v>
          </cell>
          <cell r="AK1396">
            <v>58.328500663793001</v>
          </cell>
          <cell r="AL1396">
            <v>61.641842892209574</v>
          </cell>
          <cell r="AM1396">
            <v>65.015939113856973</v>
          </cell>
          <cell r="AN1396">
            <v>68.454776585506977</v>
          </cell>
          <cell r="AO1396">
            <v>71.962251323736609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9.8293573280727742E-8</v>
          </cell>
          <cell r="H1397">
            <v>9.4188767896241643E-8</v>
          </cell>
          <cell r="I1397">
            <v>8.985683308537773E-8</v>
          </cell>
          <cell r="J1397">
            <v>8.8032248157787762E-8</v>
          </cell>
          <cell r="K1397">
            <v>1.7745835911853192E-7</v>
          </cell>
          <cell r="L1397">
            <v>1.7011103636832559E-7</v>
          </cell>
          <cell r="M1397">
            <v>0.29158419631176713</v>
          </cell>
          <cell r="N1397">
            <v>0.96076835658363002</v>
          </cell>
          <cell r="O1397">
            <v>2.1231806392061126</v>
          </cell>
          <cell r="P1397">
            <v>3.9331280200114005</v>
          </cell>
          <cell r="Q1397">
            <v>5.6950291695401889</v>
          </cell>
          <cell r="R1397">
            <v>7.442782488762556</v>
          </cell>
          <cell r="S1397">
            <v>9.219133994643137</v>
          </cell>
          <cell r="T1397">
            <v>11.06063802985766</v>
          </cell>
          <cell r="U1397">
            <v>12.991343738768911</v>
          </cell>
          <cell r="V1397">
            <v>15.061576259481191</v>
          </cell>
          <cell r="W1397">
            <v>17.272776090848964</v>
          </cell>
          <cell r="X1397">
            <v>19.622010495010088</v>
          </cell>
          <cell r="Y1397">
            <v>22.099680838724534</v>
          </cell>
          <cell r="Z1397">
            <v>24.694134009487477</v>
          </cell>
          <cell r="AA1397">
            <v>27.352227536344699</v>
          </cell>
          <cell r="AB1397">
            <v>30.076453317774245</v>
          </cell>
          <cell r="AC1397">
            <v>32.869418259219742</v>
          </cell>
          <cell r="AD1397">
            <v>35.733311124060194</v>
          </cell>
          <cell r="AE1397">
            <v>38.668532474859241</v>
          </cell>
          <cell r="AF1397">
            <v>41.656126186606301</v>
          </cell>
          <cell r="AG1397">
            <v>44.703956357126117</v>
          </cell>
          <cell r="AH1397">
            <v>47.818078331858871</v>
          </cell>
          <cell r="AI1397">
            <v>51.003067707909636</v>
          </cell>
          <cell r="AJ1397">
            <v>54.262426793604533</v>
          </cell>
          <cell r="AK1397">
            <v>57.58337198830894</v>
          </cell>
          <cell r="AL1397">
            <v>60.967289263573463</v>
          </cell>
          <cell r="AM1397">
            <v>64.416247063899363</v>
          </cell>
          <cell r="AN1397">
            <v>67.932654407653231</v>
          </cell>
          <cell r="AO1397">
            <v>71.518882885352483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2.3532620296862206E-8</v>
          </cell>
          <cell r="H1398">
            <v>2.2818413825120842E-8</v>
          </cell>
          <cell r="I1398">
            <v>4.4117398623200188E-8</v>
          </cell>
          <cell r="J1398">
            <v>8.4864137939177908E-8</v>
          </cell>
          <cell r="K1398">
            <v>1.0182905629818606E-7</v>
          </cell>
          <cell r="L1398">
            <v>1.5675589715158367E-7</v>
          </cell>
          <cell r="M1398">
            <v>1.0366835586461676E-2</v>
          </cell>
          <cell r="N1398">
            <v>0.16083526693466688</v>
          </cell>
          <cell r="O1398">
            <v>0.57220110878590802</v>
          </cell>
          <cell r="P1398">
            <v>1.3737764718454892</v>
          </cell>
          <cell r="Q1398">
            <v>2.6824434425789967</v>
          </cell>
          <cell r="R1398">
            <v>4.2911223000867027</v>
          </cell>
          <cell r="S1398">
            <v>6.0827010393100345</v>
          </cell>
          <cell r="T1398">
            <v>7.9955371294795796</v>
          </cell>
          <cell r="U1398">
            <v>10.001693335109984</v>
          </cell>
          <cell r="V1398">
            <v>12.093010655929692</v>
          </cell>
          <cell r="W1398">
            <v>14.284097977105725</v>
          </cell>
          <cell r="X1398">
            <v>16.586272923994461</v>
          </cell>
          <cell r="Y1398">
            <v>19.005806660559998</v>
          </cell>
          <cell r="Z1398">
            <v>21.538496511451079</v>
          </cell>
          <cell r="AA1398">
            <v>24.177732293921437</v>
          </cell>
          <cell r="AB1398">
            <v>26.89969811944777</v>
          </cell>
          <cell r="AC1398">
            <v>29.690664015813795</v>
          </cell>
          <cell r="AD1398">
            <v>32.543046095619133</v>
          </cell>
          <cell r="AE1398">
            <v>35.453736816325623</v>
          </cell>
          <cell r="AF1398">
            <v>38.418622909511903</v>
          </cell>
          <cell r="AG1398">
            <v>41.430332343139533</v>
          </cell>
          <cell r="AH1398">
            <v>44.488252712538909</v>
          </cell>
          <cell r="AI1398">
            <v>47.59533862192913</v>
          </cell>
          <cell r="AJ1398">
            <v>50.756084975393549</v>
          </cell>
          <cell r="AK1398">
            <v>53.975055340510416</v>
          </cell>
          <cell r="AL1398">
            <v>57.25162694816683</v>
          </cell>
          <cell r="AM1398">
            <v>60.585998313740895</v>
          </cell>
          <cell r="AN1398">
            <v>63.979195122223054</v>
          </cell>
          <cell r="AO1398">
            <v>67.433067887024166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2.3532598092401713E-8</v>
          </cell>
          <cell r="H1399">
            <v>-7.2143235829713603E-8</v>
          </cell>
          <cell r="I1399">
            <v>-4.7366832678363835E-8</v>
          </cell>
          <cell r="J1399">
            <v>-9.2941954132896853E-8</v>
          </cell>
          <cell r="K1399">
            <v>-7.3142614187560184E-8</v>
          </cell>
          <cell r="L1399">
            <v>-9.8004993009936925E-8</v>
          </cell>
          <cell r="M1399">
            <v>-0.41029416734136293</v>
          </cell>
          <cell r="N1399">
            <v>-1.076672201322304</v>
          </cell>
          <cell r="O1399">
            <v>-1.9937392856214986</v>
          </cell>
          <cell r="P1399">
            <v>-3.1714583550954023</v>
          </cell>
          <cell r="Q1399">
            <v>-3.4972034919151906</v>
          </cell>
          <cell r="R1399">
            <v>-3.5616173734473455</v>
          </cell>
          <cell r="S1399">
            <v>-3.5115738252941342</v>
          </cell>
          <cell r="T1399">
            <v>-3.4290221208434168</v>
          </cell>
          <cell r="U1399">
            <v>-3.3516295527823203</v>
          </cell>
          <cell r="V1399">
            <v>-3.3338132942158594</v>
          </cell>
          <cell r="W1399">
            <v>-3.3412900460344841</v>
          </cell>
          <cell r="X1399">
            <v>-3.3545236911954768</v>
          </cell>
          <cell r="Y1399">
            <v>-3.3490373051122457</v>
          </cell>
          <cell r="Z1399">
            <v>-3.3321804251101095</v>
          </cell>
          <cell r="AA1399">
            <v>-3.256783335650193</v>
          </cell>
          <cell r="AB1399">
            <v>-3.1655903600656288</v>
          </cell>
          <cell r="AC1399">
            <v>-3.0706753460875369</v>
          </cell>
          <cell r="AD1399">
            <v>-2.9785317422135638</v>
          </cell>
          <cell r="AE1399">
            <v>-2.8908440884605535</v>
          </cell>
          <cell r="AF1399">
            <v>-2.7951619714482567</v>
          </cell>
          <cell r="AG1399">
            <v>-2.7096471405156586</v>
          </cell>
          <cell r="AH1399">
            <v>-2.6374528926009111</v>
          </cell>
          <cell r="AI1399">
            <v>-2.5783973709771257</v>
          </cell>
          <cell r="AJ1399">
            <v>-2.5310423631223822</v>
          </cell>
          <cell r="AK1399">
            <v>-2.4827982837389517</v>
          </cell>
          <cell r="AL1399">
            <v>-2.4380410135521391</v>
          </cell>
          <cell r="AM1399">
            <v>-2.3980620034967259</v>
          </cell>
          <cell r="AN1399">
            <v>-2.3639189639592884</v>
          </cell>
          <cell r="AO1399">
            <v>-2.3361188902151331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1.8477552821138943E-8</v>
          </cell>
          <cell r="H1400">
            <v>1.7916734762479791E-8</v>
          </cell>
          <cell r="I1400">
            <v>3.4640446067157882E-8</v>
          </cell>
          <cell r="J1400">
            <v>8.3292883701346909E-8</v>
          </cell>
          <cell r="K1400">
            <v>1.1193694859912284E-7</v>
          </cell>
          <cell r="L1400">
            <v>1.6923895618248253E-7</v>
          </cell>
          <cell r="M1400">
            <v>1.0366846926745943E-2</v>
          </cell>
          <cell r="N1400">
            <v>0.16083526966197415</v>
          </cell>
          <cell r="O1400">
            <v>0.57220112067142281</v>
          </cell>
          <cell r="P1400">
            <v>1.3737764688946497</v>
          </cell>
          <cell r="Q1400">
            <v>2.6824434491727223</v>
          </cell>
          <cell r="R1400">
            <v>4.2911222855344766</v>
          </cell>
          <cell r="S1400">
            <v>6.0827010351590882</v>
          </cell>
          <cell r="T1400">
            <v>7.9955371333858993</v>
          </cell>
          <cell r="U1400">
            <v>10.001693369694653</v>
          </cell>
          <cell r="V1400">
            <v>12.093010587350239</v>
          </cell>
          <cell r="W1400">
            <v>14.284097999727429</v>
          </cell>
          <cell r="X1400">
            <v>16.586272946159152</v>
          </cell>
          <cell r="Y1400">
            <v>19.005806680130412</v>
          </cell>
          <cell r="Z1400">
            <v>21.538496578343857</v>
          </cell>
          <cell r="AA1400">
            <v>24.177732275773423</v>
          </cell>
          <cell r="AB1400">
            <v>26.899698085050751</v>
          </cell>
          <cell r="AC1400">
            <v>29.690664093691787</v>
          </cell>
          <cell r="AD1400">
            <v>32.543046111790439</v>
          </cell>
          <cell r="AE1400">
            <v>35.453736899734253</v>
          </cell>
          <cell r="AF1400">
            <v>38.418622889629425</v>
          </cell>
          <cell r="AG1400">
            <v>41.430332321447217</v>
          </cell>
          <cell r="AH1400">
            <v>44.488252764263713</v>
          </cell>
          <cell r="AI1400">
            <v>47.595338582915801</v>
          </cell>
          <cell r="AJ1400">
            <v>50.756085003155874</v>
          </cell>
          <cell r="AK1400">
            <v>53.975055323451528</v>
          </cell>
          <cell r="AL1400">
            <v>57.251626941959756</v>
          </cell>
          <cell r="AM1400">
            <v>60.585998313894443</v>
          </cell>
          <cell r="AN1400">
            <v>63.97919515886101</v>
          </cell>
          <cell r="AO1400">
            <v>67.433067895308724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1.8477552821138943E-8</v>
          </cell>
          <cell r="H1401">
            <v>1.7916734762479791E-8</v>
          </cell>
          <cell r="I1401">
            <v>-5.8479299180902444E-8</v>
          </cell>
          <cell r="J1401">
            <v>-6.7612360155067108E-9</v>
          </cell>
          <cell r="K1401">
            <v>2.4558444167155358E-8</v>
          </cell>
          <cell r="L1401">
            <v>-1.4340750809083147E-9</v>
          </cell>
          <cell r="M1401">
            <v>-8.5032444311305966E-2</v>
          </cell>
          <cell r="N1401">
            <v>-0.32118249739396809</v>
          </cell>
          <cell r="O1401">
            <v>-0.66945022365234585</v>
          </cell>
          <cell r="P1401">
            <v>-1.1115018908610663</v>
          </cell>
          <cell r="Q1401">
            <v>-1.4759727978159165</v>
          </cell>
          <cell r="R1401">
            <v>-1.5564826427561407</v>
          </cell>
          <cell r="S1401">
            <v>-1.5155145235444922</v>
          </cell>
          <cell r="T1401">
            <v>-1.4439929618939362</v>
          </cell>
          <cell r="U1401">
            <v>-1.3835740324859902</v>
          </cell>
          <cell r="V1401">
            <v>-1.3522234887958118</v>
          </cell>
          <cell r="W1401">
            <v>-1.356416283862738</v>
          </cell>
          <cell r="X1401">
            <v>-1.379627396558436</v>
          </cell>
          <cell r="Y1401">
            <v>-1.4070499904600076</v>
          </cell>
          <cell r="Z1401">
            <v>-1.4299068580919116</v>
          </cell>
          <cell r="AA1401">
            <v>-1.4478710862777522</v>
          </cell>
          <cell r="AB1401">
            <v>-1.4498696220553442</v>
          </cell>
          <cell r="AC1401">
            <v>-1.4472535544351128</v>
          </cell>
          <cell r="AD1401">
            <v>-1.4453499743508624</v>
          </cell>
          <cell r="AE1401">
            <v>-1.4443458524346697</v>
          </cell>
          <cell r="AF1401">
            <v>-1.4482919084315315</v>
          </cell>
          <cell r="AG1401">
            <v>-1.4541792808744014</v>
          </cell>
          <cell r="AH1401">
            <v>-1.4644491891844802</v>
          </cell>
          <cell r="AI1401">
            <v>-1.4786978253371164</v>
          </cell>
          <cell r="AJ1401">
            <v>-1.4954875884169661</v>
          </cell>
          <cell r="AK1401">
            <v>-1.5122084975519035</v>
          </cell>
          <cell r="AL1401">
            <v>-1.5225109958105776</v>
          </cell>
          <cell r="AM1401">
            <v>-1.5288134526091235</v>
          </cell>
          <cell r="AN1401">
            <v>-1.5332527476498381</v>
          </cell>
          <cell r="AO1401">
            <v>-1.5374096703221318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3.6018632521006566E-8</v>
          </cell>
          <cell r="J1402">
            <v>3.5792457886429929E-8</v>
          </cell>
          <cell r="K1402">
            <v>3.5548053389788947E-8</v>
          </cell>
          <cell r="L1402">
            <v>3.5251557228832553E-8</v>
          </cell>
          <cell r="M1402">
            <v>6.8321466388465701E-2</v>
          </cell>
          <cell r="N1402">
            <v>0.23222429868616778</v>
          </cell>
          <cell r="O1402">
            <v>0.51029327438567584</v>
          </cell>
          <cell r="P1402">
            <v>0.92317080188681899</v>
          </cell>
          <cell r="Q1402">
            <v>1.2740053725286637</v>
          </cell>
          <cell r="R1402">
            <v>1.5244965308420788</v>
          </cell>
          <cell r="S1402">
            <v>1.6879514352517999</v>
          </cell>
          <cell r="T1402">
            <v>1.7855865863555698</v>
          </cell>
          <cell r="U1402">
            <v>1.8354245293265237</v>
          </cell>
          <cell r="V1402">
            <v>1.8600460164967636</v>
          </cell>
          <cell r="W1402">
            <v>1.8704406254891337</v>
          </cell>
          <cell r="X1402">
            <v>1.872774964284174</v>
          </cell>
          <cell r="Y1402">
            <v>1.8695976855952479</v>
          </cell>
          <cell r="Z1402">
            <v>1.8628918204651734</v>
          </cell>
          <cell r="AA1402">
            <v>1.8434585721591956</v>
          </cell>
          <cell r="AB1402">
            <v>1.8134815079783317</v>
          </cell>
          <cell r="AC1402">
            <v>1.7774885197028745</v>
          </cell>
          <cell r="AD1402">
            <v>1.7392616784162263</v>
          </cell>
          <cell r="AE1402">
            <v>1.7014173126925325</v>
          </cell>
          <cell r="AF1402">
            <v>1.6619951156228607</v>
          </cell>
          <cell r="AG1402">
            <v>1.6233701438733261</v>
          </cell>
          <cell r="AH1402">
            <v>1.588554359350014</v>
          </cell>
          <cell r="AI1402">
            <v>1.5596767551840474</v>
          </cell>
          <cell r="AJ1402">
            <v>1.5377216313363418</v>
          </cell>
          <cell r="AK1402">
            <v>1.5198842076302066</v>
          </cell>
          <cell r="AL1402">
            <v>1.5054018748156262</v>
          </cell>
          <cell r="AM1402">
            <v>1.4937386254181062</v>
          </cell>
          <cell r="AN1402">
            <v>1.484265425154585</v>
          </cell>
          <cell r="AO1402">
            <v>1.4763588803616834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9.9999997473787516E-6</v>
          </cell>
          <cell r="J1403">
            <v>1.0000003385357559E-5</v>
          </cell>
          <cell r="K1403">
            <v>9.9999997473787516E-6</v>
          </cell>
          <cell r="L1403">
            <v>9.9999997473787516E-6</v>
          </cell>
          <cell r="M1403">
            <v>19.561430000001565</v>
          </cell>
          <cell r="N1403">
            <v>67.141630000001896</v>
          </cell>
          <cell r="O1403">
            <v>149.03074999999808</v>
          </cell>
          <cell r="P1403">
            <v>272.42007999999987</v>
          </cell>
          <cell r="Q1403">
            <v>379.89976000000024</v>
          </cell>
          <cell r="R1403">
            <v>459.38216000000102</v>
          </cell>
          <cell r="S1403">
            <v>513.9826499999981</v>
          </cell>
          <cell r="T1403">
            <v>549.39673000000039</v>
          </cell>
          <cell r="U1403">
            <v>570.58608999999706</v>
          </cell>
          <cell r="V1403">
            <v>583.85202000000208</v>
          </cell>
          <cell r="W1403">
            <v>592.47257999999783</v>
          </cell>
          <cell r="X1403">
            <v>598.34125999999742</v>
          </cell>
          <cell r="Y1403">
            <v>602.25576000000365</v>
          </cell>
          <cell r="Z1403">
            <v>604.81540999999925</v>
          </cell>
          <cell r="AA1403">
            <v>602.75464999999895</v>
          </cell>
          <cell r="AB1403">
            <v>596.79778999999689</v>
          </cell>
          <cell r="AC1403">
            <v>588.46709000000556</v>
          </cell>
          <cell r="AD1403">
            <v>579.05717999999615</v>
          </cell>
          <cell r="AE1403">
            <v>569.39355000000069</v>
          </cell>
          <cell r="AF1403">
            <v>557.72854999999981</v>
          </cell>
          <cell r="AG1403">
            <v>545.19952000000194</v>
          </cell>
          <cell r="AH1403">
            <v>533.15267999999924</v>
          </cell>
          <cell r="AI1403">
            <v>522.55697999999393</v>
          </cell>
          <cell r="AJ1403">
            <v>513.91831999999704</v>
          </cell>
          <cell r="AK1403">
            <v>507.02582999999868</v>
          </cell>
          <cell r="AL1403">
            <v>501.56817999999475</v>
          </cell>
          <cell r="AM1403">
            <v>497.28000999999495</v>
          </cell>
          <cell r="AN1403">
            <v>493.87462999999843</v>
          </cell>
          <cell r="AO1403">
            <v>491.08085000000574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-1.000000082740371E-8</v>
          </cell>
          <cell r="G1404">
            <v>0</v>
          </cell>
          <cell r="H1404">
            <v>-1.000000082740371E-8</v>
          </cell>
          <cell r="I1404">
            <v>-1.9999998879249858E-8</v>
          </cell>
          <cell r="J1404">
            <v>-1.9999998879249858E-8</v>
          </cell>
          <cell r="K1404">
            <v>-1.9999998879249858E-8</v>
          </cell>
          <cell r="L1404">
            <v>-1.9999998879249858E-8</v>
          </cell>
          <cell r="M1404">
            <v>-5.0487739999999226E-2</v>
          </cell>
          <cell r="N1404">
            <v>-0.16851955000000141</v>
          </cell>
          <cell r="O1404">
            <v>-0.36558496999999912</v>
          </cell>
          <cell r="P1404">
            <v>-0.6548320900000002</v>
          </cell>
          <cell r="Q1404">
            <v>-0.88868666000000007</v>
          </cell>
          <cell r="R1404">
            <v>-1.0473635400000001</v>
          </cell>
          <cell r="S1404">
            <v>-1.1466314400000011</v>
          </cell>
          <cell r="T1404">
            <v>-1.2039108399999998</v>
          </cell>
          <cell r="U1404">
            <v>-1.2320419699999987</v>
          </cell>
          <cell r="V1404">
            <v>-1.2461976799999996</v>
          </cell>
          <cell r="W1404">
            <v>-1.2529566599999999</v>
          </cell>
          <cell r="X1404">
            <v>-1.2556779700000007</v>
          </cell>
          <cell r="Y1404">
            <v>-1.2554019399999992</v>
          </cell>
          <cell r="Z1404">
            <v>-1.2540286299999994</v>
          </cell>
          <cell r="AA1404">
            <v>-1.2416516700000004</v>
          </cell>
          <cell r="AB1404">
            <v>-1.2216616800000004</v>
          </cell>
          <cell r="AC1404">
            <v>-1.1976915399999997</v>
          </cell>
          <cell r="AD1404">
            <v>-1.1724996699999997</v>
          </cell>
          <cell r="AE1404">
            <v>-1.1500604500000005</v>
          </cell>
          <cell r="AF1404">
            <v>-1.1229026399999995</v>
          </cell>
          <cell r="AG1404">
            <v>-1.0952376899999998</v>
          </cell>
          <cell r="AH1404">
            <v>-1.0697760700000003</v>
          </cell>
          <cell r="AI1404">
            <v>-1.0482424300000002</v>
          </cell>
          <cell r="AJ1404">
            <v>-1.0313467100000002</v>
          </cell>
          <cell r="AK1404">
            <v>-1.0177870699999993</v>
          </cell>
          <cell r="AL1404">
            <v>-1.0068205500000009</v>
          </cell>
          <cell r="AM1404">
            <v>-0.99792978000000088</v>
          </cell>
          <cell r="AN1404">
            <v>-0.99057036000000098</v>
          </cell>
          <cell r="AO1404">
            <v>-0.98423963000000003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-2.7231243301950592E-9</v>
          </cell>
          <cell r="G1405">
            <v>-8.7608418783413633E-10</v>
          </cell>
          <cell r="H1405">
            <v>6.4234980182154011E-10</v>
          </cell>
          <cell r="I1405">
            <v>8.2757837041591564E-10</v>
          </cell>
          <cell r="J1405">
            <v>2.007736186505904E-9</v>
          </cell>
          <cell r="K1405">
            <v>2.9091154832294741E-9</v>
          </cell>
          <cell r="L1405">
            <v>3.4323279461678791E-9</v>
          </cell>
          <cell r="M1405">
            <v>1.6335059956387038E-2</v>
          </cell>
          <cell r="N1405">
            <v>5.3421578034606142E-2</v>
          </cell>
          <cell r="O1405">
            <v>0.10850772695981045</v>
          </cell>
          <cell r="P1405">
            <v>0.17924773396281352</v>
          </cell>
          <cell r="Q1405">
            <v>0.23230029171814498</v>
          </cell>
          <cell r="R1405">
            <v>0.25458604872560797</v>
          </cell>
          <cell r="S1405">
            <v>0.25723576959132755</v>
          </cell>
          <cell r="T1405">
            <v>0.25154835623882876</v>
          </cell>
          <cell r="U1405">
            <v>0.24447338063535889</v>
          </cell>
          <cell r="V1405">
            <v>0.24186256970680012</v>
          </cell>
          <cell r="W1405">
            <v>0.24252968362679997</v>
          </cell>
          <cell r="X1405">
            <v>0.2453297901798393</v>
          </cell>
          <cell r="Y1405">
            <v>0.24987339429854497</v>
          </cell>
          <cell r="Z1405">
            <v>0.25212896075470292</v>
          </cell>
          <cell r="AA1405">
            <v>0.25184317082134755</v>
          </cell>
          <cell r="AB1405">
            <v>0.24855911785646792</v>
          </cell>
          <cell r="AC1405">
            <v>0.2436258994674867</v>
          </cell>
          <cell r="AD1405">
            <v>0.23813759709669646</v>
          </cell>
          <cell r="AE1405">
            <v>0.23248010342202113</v>
          </cell>
          <cell r="AF1405">
            <v>0.22855725407764371</v>
          </cell>
          <cell r="AG1405">
            <v>0.22477340035142596</v>
          </cell>
          <cell r="AH1405">
            <v>0.22167144611497172</v>
          </cell>
          <cell r="AI1405">
            <v>0.21936951160560075</v>
          </cell>
          <cell r="AJ1405">
            <v>0.21783104197121705</v>
          </cell>
          <cell r="AK1405">
            <v>0.21614389537904163</v>
          </cell>
          <cell r="AL1405">
            <v>0.21485019538107844</v>
          </cell>
          <cell r="AM1405">
            <v>0.21388446466785588</v>
          </cell>
          <cell r="AN1405">
            <v>0.2134018237484589</v>
          </cell>
          <cell r="AO1405">
            <v>0.21350645967160437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2.2692703618987231E-9</v>
          </cell>
          <cell r="G1406">
            <v>8.7608410109796253E-10</v>
          </cell>
          <cell r="H1406">
            <v>-1.458797145581503E-9</v>
          </cell>
          <cell r="I1406">
            <v>-2.4004999377158498E-9</v>
          </cell>
          <cell r="J1406">
            <v>-3.6333866471061071E-9</v>
          </cell>
          <cell r="K1406">
            <v>-3.456999703860264E-9</v>
          </cell>
          <cell r="L1406">
            <v>-4.9087713061002347E-9</v>
          </cell>
          <cell r="M1406">
            <v>-1.3859934443454999E-2</v>
          </cell>
          <cell r="N1406">
            <v>-4.1463711202851562E-2</v>
          </cell>
          <cell r="O1406">
            <v>-8.3318510481621672E-2</v>
          </cell>
          <cell r="P1406">
            <v>-0.14025344448648017</v>
          </cell>
          <cell r="Q1406">
            <v>-0.17971814939706424</v>
          </cell>
          <cell r="R1406">
            <v>-0.2081624082169089</v>
          </cell>
          <cell r="S1406">
            <v>-0.22933017059439562</v>
          </cell>
          <cell r="T1406">
            <v>-0.24581210152133268</v>
          </cell>
          <cell r="U1406">
            <v>-0.259208469261618</v>
          </cell>
          <cell r="V1406">
            <v>-0.27235622185753816</v>
          </cell>
          <cell r="W1406">
            <v>-0.28452687141159061</v>
          </cell>
          <cell r="X1406">
            <v>-0.29706535187410271</v>
          </cell>
          <cell r="Y1406">
            <v>-0.31215212619151278</v>
          </cell>
          <cell r="Z1406">
            <v>-0.32577999130284035</v>
          </cell>
          <cell r="AA1406">
            <v>-0.33674075084891414</v>
          </cell>
          <cell r="AB1406">
            <v>-0.34557148008058475</v>
          </cell>
          <cell r="AC1406">
            <v>-0.35269416363373945</v>
          </cell>
          <cell r="AD1406">
            <v>-0.35837753538623568</v>
          </cell>
          <cell r="AE1406">
            <v>-0.36274303252593049</v>
          </cell>
          <cell r="AF1406">
            <v>-0.36577070246240123</v>
          </cell>
          <cell r="AG1406">
            <v>-0.36778706438132691</v>
          </cell>
          <cell r="AH1406">
            <v>-0.36926196051036225</v>
          </cell>
          <cell r="AI1406">
            <v>-0.37033217375515304</v>
          </cell>
          <cell r="AJ1406">
            <v>-0.37103198805646359</v>
          </cell>
          <cell r="AK1406">
            <v>-0.37099661009978097</v>
          </cell>
          <cell r="AL1406">
            <v>-0.37031464339679182</v>
          </cell>
          <cell r="AM1406">
            <v>-0.36888814513514662</v>
          </cell>
          <cell r="AN1406">
            <v>-0.36676297724710494</v>
          </cell>
          <cell r="AO1406">
            <v>-0.36401654360053565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2.7231245036674068E-9</v>
          </cell>
          <cell r="G1407">
            <v>3.0662946140513903E-9</v>
          </cell>
          <cell r="H1407">
            <v>8.876796867007819E-10</v>
          </cell>
          <cell r="I1407">
            <v>1.9206598117493812E-10</v>
          </cell>
          <cell r="J1407">
            <v>-3.0328367421617042E-9</v>
          </cell>
          <cell r="K1407">
            <v>-5.408266304414433E-9</v>
          </cell>
          <cell r="L1407">
            <v>-8.0123566635614818E-9</v>
          </cell>
          <cell r="M1407">
            <v>2.9326834941537441E-2</v>
          </cell>
          <cell r="N1407">
            <v>4.7896623041586775E-2</v>
          </cell>
          <cell r="O1407">
            <v>4.6903090524559252E-2</v>
          </cell>
          <cell r="P1407">
            <v>2.186461269541029E-2</v>
          </cell>
          <cell r="Q1407">
            <v>-0.11897604337710449</v>
          </cell>
          <cell r="R1407">
            <v>-0.25362595238384367</v>
          </cell>
          <cell r="S1407">
            <v>-0.36191248570713042</v>
          </cell>
          <cell r="T1407">
            <v>-0.44204616198601082</v>
          </cell>
          <cell r="U1407">
            <v>-0.49982242028093693</v>
          </cell>
          <cell r="V1407">
            <v>-0.54050190112611485</v>
          </cell>
          <cell r="W1407">
            <v>-0.5768054259819112</v>
          </cell>
          <cell r="X1407">
            <v>-0.61638119749918419</v>
          </cell>
          <cell r="Y1407">
            <v>-0.66604860779822805</v>
          </cell>
          <cell r="Z1407">
            <v>-0.71866808056999798</v>
          </cell>
          <cell r="AA1407">
            <v>-0.77912815219706999</v>
          </cell>
          <cell r="AB1407">
            <v>-0.83681239220227133</v>
          </cell>
          <cell r="AC1407">
            <v>-0.88997768409840861</v>
          </cell>
          <cell r="AD1407">
            <v>-0.93821855237892904</v>
          </cell>
          <cell r="AE1407">
            <v>-0.98093628057167037</v>
          </cell>
          <cell r="AF1407">
            <v>-1.027146691720672</v>
          </cell>
          <cell r="AG1407">
            <v>-1.0702755823791459</v>
          </cell>
          <cell r="AH1407">
            <v>-1.1105739998280266</v>
          </cell>
          <cell r="AI1407">
            <v>-1.1486037713308861</v>
          </cell>
          <cell r="AJ1407">
            <v>-1.1847150187957345</v>
          </cell>
          <cell r="AK1407">
            <v>-1.2163761153577466</v>
          </cell>
          <cell r="AL1407">
            <v>-1.2439440848043839</v>
          </cell>
          <cell r="AM1407">
            <v>-1.2670764872927232</v>
          </cell>
          <cell r="AN1407">
            <v>-1.285811387024334</v>
          </cell>
          <cell r="AO1407">
            <v>-1.3005028567893553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2.7231245036674068E-9</v>
          </cell>
          <cell r="G1408">
            <v>1.4893431973805882E-8</v>
          </cell>
          <cell r="H1408">
            <v>1.7928156181845623E-8</v>
          </cell>
          <cell r="I1408">
            <v>2.2478980829521156E-8</v>
          </cell>
          <cell r="J1408">
            <v>2.5016724108928301E-8</v>
          </cell>
          <cell r="K1408">
            <v>2.4938144257968808E-8</v>
          </cell>
          <cell r="L1408">
            <v>2.3190837791786656E-8</v>
          </cell>
          <cell r="M1408">
            <v>1.9344349047022147E-2</v>
          </cell>
          <cell r="N1408">
            <v>0.1936685700470375</v>
          </cell>
          <cell r="O1408">
            <v>0.39826997186799767</v>
          </cell>
          <cell r="P1408">
            <v>0.61881289931613481</v>
          </cell>
          <cell r="Q1408">
            <v>0.79362210933808375</v>
          </cell>
          <cell r="R1408">
            <v>0.62801986082364125</v>
          </cell>
          <cell r="S1408">
            <v>0.44704695192191585</v>
          </cell>
          <cell r="T1408">
            <v>0.27505904653577984</v>
          </cell>
          <cell r="U1408">
            <v>0.11381093101600348</v>
          </cell>
          <cell r="V1408">
            <v>-4.2497037281118838E-2</v>
          </cell>
          <cell r="W1408">
            <v>-0.19960006026436272</v>
          </cell>
          <cell r="X1408">
            <v>-0.37666714557467312</v>
          </cell>
          <cell r="Y1408">
            <v>-0.58220654359875601</v>
          </cell>
          <cell r="Z1408">
            <v>-0.80969833227489274</v>
          </cell>
          <cell r="AA1408">
            <v>-1.0615647074687804</v>
          </cell>
          <cell r="AB1408">
            <v>-1.323630004814512</v>
          </cell>
          <cell r="AC1408">
            <v>-1.5893696966938653</v>
          </cell>
          <cell r="AD1408">
            <v>-1.8570824339843917</v>
          </cell>
          <cell r="AE1408">
            <v>-2.1254983496343609</v>
          </cell>
          <cell r="AF1408">
            <v>-2.4112781602423055</v>
          </cell>
          <cell r="AG1408">
            <v>-2.6938960207397695</v>
          </cell>
          <cell r="AH1408">
            <v>-2.9747156349156132</v>
          </cell>
          <cell r="AI1408">
            <v>-3.2536613706285245</v>
          </cell>
          <cell r="AJ1408">
            <v>-3.5305603635172709</v>
          </cell>
          <cell r="AK1408">
            <v>-3.796389661257535</v>
          </cell>
          <cell r="AL1408">
            <v>-4.0529441415668943</v>
          </cell>
          <cell r="AM1408">
            <v>-4.3032625587917286</v>
          </cell>
          <cell r="AN1408">
            <v>-4.5478341001091689</v>
          </cell>
          <cell r="AO1408">
            <v>-4.7873121015832218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4.3804215810183678E-8</v>
          </cell>
          <cell r="H1409">
            <v>-4.7993797824830153E-8</v>
          </cell>
          <cell r="I1409">
            <v>-4.5871217935200548E-8</v>
          </cell>
          <cell r="J1409">
            <v>-4.990898805345978E-8</v>
          </cell>
          <cell r="K1409">
            <v>-4.8827042409271826E-8</v>
          </cell>
          <cell r="L1409">
            <v>-8.6316853664669679E-8</v>
          </cell>
          <cell r="M1409">
            <v>-0.33102174892563063</v>
          </cell>
          <cell r="N1409">
            <v>-0.79237509614479285</v>
          </cell>
          <cell r="O1409">
            <v>-1.4006292916600271</v>
          </cell>
          <cell r="P1409">
            <v>-2.1854601014606012</v>
          </cell>
          <cell r="Q1409">
            <v>-2.4002315848100864</v>
          </cell>
          <cell r="R1409">
            <v>-2.6714523756712572</v>
          </cell>
          <cell r="S1409">
            <v>-3.0378225677645809</v>
          </cell>
          <cell r="T1409">
            <v>-3.4805870020160503</v>
          </cell>
          <cell r="U1409">
            <v>-3.9694333797522905</v>
          </cell>
          <cell r="V1409">
            <v>-4.5028554413974682</v>
          </cell>
          <cell r="W1409">
            <v>-5.0468209942434559</v>
          </cell>
          <cell r="X1409">
            <v>-5.5998198571518802</v>
          </cell>
          <cell r="Y1409">
            <v>-6.1702707084230539</v>
          </cell>
          <cell r="Z1409">
            <v>-6.7665779896179252</v>
          </cell>
          <cell r="AA1409">
            <v>-7.4030825095563513</v>
          </cell>
          <cell r="AB1409">
            <v>-8.0809650139000926</v>
          </cell>
          <cell r="AC1409">
            <v>-8.7963567479915401</v>
          </cell>
          <cell r="AD1409">
            <v>-9.5443207425058372</v>
          </cell>
          <cell r="AE1409">
            <v>-10.321007600817383</v>
          </cell>
          <cell r="AF1409">
            <v>-11.182636584243483</v>
          </cell>
          <cell r="AG1409">
            <v>-12.092096552372261</v>
          </cell>
          <cell r="AH1409">
            <v>-13.044691062252046</v>
          </cell>
          <cell r="AI1409">
            <v>-14.036098551154797</v>
          </cell>
          <cell r="AJ1409">
            <v>-15.062900979478878</v>
          </cell>
          <cell r="AK1409">
            <v>-16.092068741883704</v>
          </cell>
          <cell r="AL1409">
            <v>-17.135416047179042</v>
          </cell>
          <cell r="AM1409">
            <v>-18.18755370226026</v>
          </cell>
          <cell r="AN1409">
            <v>-19.244517623372293</v>
          </cell>
          <cell r="AO1409">
            <v>-20.302956650447879</v>
          </cell>
        </row>
        <row r="1410">
          <cell r="C1410" t="str">
            <v>PIB</v>
          </cell>
          <cell r="E1410" t="str">
            <v>GDP_2</v>
          </cell>
          <cell r="F1410">
            <v>2197432.8029999998</v>
          </cell>
          <cell r="G1410">
            <v>2231067.088</v>
          </cell>
          <cell r="H1410">
            <v>2262633.8420000002</v>
          </cell>
          <cell r="I1410">
            <v>2293236.7250000001</v>
          </cell>
          <cell r="J1410">
            <v>2329091.548</v>
          </cell>
          <cell r="K1410">
            <v>2376407.6549999998</v>
          </cell>
          <cell r="L1410">
            <v>2425252.1069999998</v>
          </cell>
          <cell r="M1410">
            <v>2476392.287</v>
          </cell>
          <cell r="N1410">
            <v>2529397.5249999999</v>
          </cell>
          <cell r="O1410">
            <v>2584732.12</v>
          </cell>
          <cell r="P1410">
            <v>2643626.1239999998</v>
          </cell>
          <cell r="Q1410">
            <v>2700842.3220000002</v>
          </cell>
          <cell r="R1410">
            <v>2759668.8369999998</v>
          </cell>
          <cell r="S1410">
            <v>2820631.5520000001</v>
          </cell>
          <cell r="T1410">
            <v>2883504.997</v>
          </cell>
          <cell r="U1410">
            <v>2948027.1529999999</v>
          </cell>
          <cell r="V1410">
            <v>3011380.17</v>
          </cell>
          <cell r="W1410">
            <v>3075677.7540000002</v>
          </cell>
          <cell r="X1410">
            <v>3140985.7740000002</v>
          </cell>
          <cell r="Y1410">
            <v>3207462.8870000001</v>
          </cell>
          <cell r="Z1410">
            <v>3274806.3169999998</v>
          </cell>
          <cell r="AA1410">
            <v>3340443.5759999999</v>
          </cell>
          <cell r="AB1410">
            <v>3406912.1359999999</v>
          </cell>
          <cell r="AC1410">
            <v>3474325.8420000002</v>
          </cell>
          <cell r="AD1410">
            <v>3542785.8859999999</v>
          </cell>
          <cell r="AE1410">
            <v>3611209.8730000001</v>
          </cell>
          <cell r="AF1410">
            <v>3666701.673</v>
          </cell>
          <cell r="AG1410">
            <v>3720380.534</v>
          </cell>
          <cell r="AH1410">
            <v>3772518.4929999998</v>
          </cell>
          <cell r="AI1410">
            <v>3823618.486</v>
          </cell>
          <cell r="AJ1410">
            <v>3874144.602</v>
          </cell>
          <cell r="AK1410">
            <v>3932905.449</v>
          </cell>
          <cell r="AL1410">
            <v>3993486.679</v>
          </cell>
          <cell r="AM1410">
            <v>4056016.6669999999</v>
          </cell>
          <cell r="AN1410">
            <v>4120386.9</v>
          </cell>
          <cell r="AO1410">
            <v>4186444.4670000002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1.2624097323055139E-7</v>
          </cell>
          <cell r="L1411">
            <v>0</v>
          </cell>
          <cell r="M1411">
            <v>0</v>
          </cell>
          <cell r="N1411">
            <v>3.9535108520283302E-8</v>
          </cell>
          <cell r="O1411">
            <v>3.8688718895230068E-8</v>
          </cell>
          <cell r="P1411">
            <v>0</v>
          </cell>
          <cell r="Q1411">
            <v>0</v>
          </cell>
          <cell r="R1411">
            <v>3.6236236233833097E-8</v>
          </cell>
          <cell r="S1411">
            <v>0</v>
          </cell>
          <cell r="T1411">
            <v>0</v>
          </cell>
          <cell r="U1411">
            <v>0</v>
          </cell>
          <cell r="V1411">
            <v>3.320737018697173E-8</v>
          </cell>
          <cell r="W1411">
            <v>3.2513147729673619E-8</v>
          </cell>
          <cell r="X1411">
            <v>0</v>
          </cell>
          <cell r="Y1411">
            <v>3.1177282977523646E-8</v>
          </cell>
          <cell r="Z1411">
            <v>3.0536151385263111E-8</v>
          </cell>
          <cell r="AA1411">
            <v>5.9872307112129874E-8</v>
          </cell>
          <cell r="AB1411">
            <v>5.870417485454027E-8</v>
          </cell>
          <cell r="AC1411">
            <v>5.7565130440195844E-8</v>
          </cell>
          <cell r="AD1411">
            <v>5.6452753582902915E-8</v>
          </cell>
          <cell r="AE1411">
            <v>5.5383098107597561E-8</v>
          </cell>
          <cell r="AF1411">
            <v>2.7272473168693523E-8</v>
          </cell>
          <cell r="AG1411">
            <v>5.3757931439690765E-8</v>
          </cell>
          <cell r="AH1411">
            <v>2.6507485095805805E-8</v>
          </cell>
          <cell r="AI1411">
            <v>2.615323513310841E-8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-2.4269553033917646E-8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1179114.7169999999</v>
          </cell>
          <cell r="G1412">
            <v>1220157.0490000001</v>
          </cell>
          <cell r="H1412">
            <v>1264334.6399999999</v>
          </cell>
          <cell r="I1412">
            <v>1330761.7790000001</v>
          </cell>
          <cell r="J1412">
            <v>1399347.7069999999</v>
          </cell>
          <cell r="K1412">
            <v>1443895.2439999999</v>
          </cell>
          <cell r="L1412">
            <v>1483136.82</v>
          </cell>
          <cell r="M1412">
            <v>1552031.939</v>
          </cell>
          <cell r="N1412">
            <v>1630460.2450000001</v>
          </cell>
          <cell r="O1412">
            <v>1724111.784</v>
          </cell>
          <cell r="P1412">
            <v>1838117.2890000001</v>
          </cell>
          <cell r="Q1412">
            <v>1961218.774</v>
          </cell>
          <cell r="R1412">
            <v>2081905.3389999999</v>
          </cell>
          <cell r="S1412">
            <v>2211391.557</v>
          </cell>
          <cell r="T1412">
            <v>2351129.1690000002</v>
          </cell>
          <cell r="U1412">
            <v>2501993.6140000001</v>
          </cell>
          <cell r="V1412">
            <v>2665045.125</v>
          </cell>
          <cell r="W1412">
            <v>2840526.1540000001</v>
          </cell>
          <cell r="X1412">
            <v>3027850.395</v>
          </cell>
          <cell r="Y1412">
            <v>3226603.9160000002</v>
          </cell>
          <cell r="Z1412">
            <v>3434216.5079999999</v>
          </cell>
          <cell r="AA1412">
            <v>3654042.0789999999</v>
          </cell>
          <cell r="AB1412">
            <v>3883175.7459999998</v>
          </cell>
          <cell r="AC1412">
            <v>4121058.8870000001</v>
          </cell>
          <cell r="AD1412">
            <v>4366644.5</v>
          </cell>
          <cell r="AE1412">
            <v>4608546.875</v>
          </cell>
          <cell r="AF1412">
            <v>4858944.1960000005</v>
          </cell>
          <cell r="AG1412">
            <v>5113857.3760000002</v>
          </cell>
          <cell r="AH1412">
            <v>5372875.7359999996</v>
          </cell>
          <cell r="AI1412">
            <v>5635558.682</v>
          </cell>
          <cell r="AJ1412">
            <v>5901226.2549999999</v>
          </cell>
          <cell r="AK1412">
            <v>6168411.4939999999</v>
          </cell>
          <cell r="AL1412">
            <v>6432228.051</v>
          </cell>
          <cell r="AM1412">
            <v>6688116.7000000002</v>
          </cell>
          <cell r="AN1412">
            <v>6932841.2920000004</v>
          </cell>
          <cell r="AO1412">
            <v>7163296.0269999998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1011633.231</v>
          </cell>
          <cell r="G1413">
            <v>1044090.282</v>
          </cell>
          <cell r="H1413">
            <v>1087862.3770000001</v>
          </cell>
          <cell r="I1413">
            <v>1141484.514</v>
          </cell>
          <cell r="J1413">
            <v>1195138.902</v>
          </cell>
          <cell r="K1413">
            <v>1243497.892</v>
          </cell>
          <cell r="L1413">
            <v>1308642.905</v>
          </cell>
          <cell r="M1413">
            <v>1379045.0419999999</v>
          </cell>
          <cell r="N1413">
            <v>1461566.7169999999</v>
          </cell>
          <cell r="O1413">
            <v>1559809.0789999999</v>
          </cell>
          <cell r="P1413">
            <v>1679092.348</v>
          </cell>
          <cell r="Q1413">
            <v>1814243.2509999999</v>
          </cell>
          <cell r="R1413">
            <v>1966049.1270000001</v>
          </cell>
          <cell r="S1413">
            <v>2135681.0320000001</v>
          </cell>
          <cell r="T1413">
            <v>2325183.6090000002</v>
          </cell>
          <cell r="U1413">
            <v>2537237.0529999998</v>
          </cell>
          <cell r="V1413">
            <v>2773479.4190000002</v>
          </cell>
          <cell r="W1413">
            <v>3037552.9539999999</v>
          </cell>
          <cell r="X1413">
            <v>3333365.3960000002</v>
          </cell>
          <cell r="Y1413">
            <v>3665146.443</v>
          </cell>
          <cell r="Z1413">
            <v>4036552.7990000001</v>
          </cell>
          <cell r="AA1413">
            <v>4449551.1469999999</v>
          </cell>
          <cell r="AB1413">
            <v>4908305.9189999998</v>
          </cell>
          <cell r="AC1413">
            <v>5417935.4510000004</v>
          </cell>
          <cell r="AD1413">
            <v>5984188.6639999999</v>
          </cell>
          <cell r="AE1413">
            <v>6611093.3090000004</v>
          </cell>
          <cell r="AF1413">
            <v>7287083.3969999999</v>
          </cell>
          <cell r="AG1413">
            <v>8015862.5920000002</v>
          </cell>
          <cell r="AH1413">
            <v>8801178.6699999999</v>
          </cell>
          <cell r="AI1413">
            <v>9646899.7530000005</v>
          </cell>
          <cell r="AJ1413">
            <v>10556875.949999999</v>
          </cell>
          <cell r="AK1413">
            <v>11553823.460000001</v>
          </cell>
          <cell r="AL1413">
            <v>12642947.59</v>
          </cell>
          <cell r="AM1413">
            <v>13830869.15</v>
          </cell>
          <cell r="AN1413">
            <v>15124186.84</v>
          </cell>
          <cell r="AO1413">
            <v>16529473.18</v>
          </cell>
        </row>
        <row r="1414">
          <cell r="C1414" t="str">
            <v>Solde public</v>
          </cell>
          <cell r="E1414" t="str">
            <v>Bal_G_tot_VAL_2</v>
          </cell>
          <cell r="F1414">
            <v>-65504.418189999997</v>
          </cell>
          <cell r="G1414">
            <v>-70814.479019999999</v>
          </cell>
          <cell r="H1414">
            <v>-67679.251399999994</v>
          </cell>
          <cell r="I1414">
            <v>-77100.290219999995</v>
          </cell>
          <cell r="J1414">
            <v>-88176.814559999999</v>
          </cell>
          <cell r="K1414">
            <v>-79956.521410000001</v>
          </cell>
          <cell r="L1414">
            <v>-50055.258849999998</v>
          </cell>
          <cell r="M1414">
            <v>-46045.477400000003</v>
          </cell>
          <cell r="N1414">
            <v>-39649.835140000003</v>
          </cell>
          <cell r="O1414">
            <v>-33076.519240000001</v>
          </cell>
          <cell r="P1414">
            <v>-26144.930550000001</v>
          </cell>
          <cell r="Q1414">
            <v>-12788.266149999999</v>
          </cell>
          <cell r="R1414">
            <v>18970.458689999999</v>
          </cell>
          <cell r="S1414">
            <v>58167.623299999999</v>
          </cell>
          <cell r="T1414">
            <v>105024.2068</v>
          </cell>
          <cell r="U1414">
            <v>160961.995</v>
          </cell>
          <cell r="V1414">
            <v>226104.7507</v>
          </cell>
          <cell r="W1414">
            <v>303392.01870000002</v>
          </cell>
          <cell r="X1414">
            <v>396710.61959999998</v>
          </cell>
          <cell r="Y1414">
            <v>509902.614</v>
          </cell>
          <cell r="Z1414">
            <v>648201.24800000002</v>
          </cell>
          <cell r="AA1414">
            <v>808963.96200000006</v>
          </cell>
          <cell r="AB1414">
            <v>998136.86880000005</v>
          </cell>
          <cell r="AC1414">
            <v>1219976.416</v>
          </cell>
          <cell r="AD1414">
            <v>1479645.1950000001</v>
          </cell>
          <cell r="AE1414">
            <v>1790665.206</v>
          </cell>
          <cell r="AF1414">
            <v>2126724.713</v>
          </cell>
          <cell r="AG1414">
            <v>2494254.4929999998</v>
          </cell>
          <cell r="AH1414">
            <v>2895839.4849999999</v>
          </cell>
          <cell r="AI1414">
            <v>3334085.6490000002</v>
          </cell>
          <cell r="AJ1414">
            <v>3811689.9920000001</v>
          </cell>
          <cell r="AK1414">
            <v>4350867.7620000001</v>
          </cell>
          <cell r="AL1414">
            <v>4958631.9450000003</v>
          </cell>
          <cell r="AM1414">
            <v>5642733.2589999996</v>
          </cell>
          <cell r="AN1414">
            <v>6409189.6909999996</v>
          </cell>
          <cell r="AO1414">
            <v>7263561.8150000004</v>
          </cell>
        </row>
        <row r="1415">
          <cell r="C1415" t="str">
            <v>Dette publique</v>
          </cell>
          <cell r="E1415" t="str">
            <v>DEBT_G_VAL_2</v>
          </cell>
          <cell r="F1415">
            <v>2105045.7719999999</v>
          </cell>
          <cell r="G1415">
            <v>2175860.2510000002</v>
          </cell>
          <cell r="H1415">
            <v>2243539.5019999999</v>
          </cell>
          <cell r="I1415">
            <v>2320639.7919999999</v>
          </cell>
          <cell r="J1415">
            <v>2408816.6069999998</v>
          </cell>
          <cell r="K1415">
            <v>2488773.128</v>
          </cell>
          <cell r="L1415">
            <v>2538828.3870000001</v>
          </cell>
          <cell r="M1415">
            <v>2584873.8640000001</v>
          </cell>
          <cell r="N1415">
            <v>2624523.7000000002</v>
          </cell>
          <cell r="O1415">
            <v>2657600.219</v>
          </cell>
          <cell r="P1415">
            <v>2683745.1490000002</v>
          </cell>
          <cell r="Q1415">
            <v>2696533.4160000002</v>
          </cell>
          <cell r="R1415">
            <v>2677562.9569999999</v>
          </cell>
          <cell r="S1415">
            <v>2619395.3339999998</v>
          </cell>
          <cell r="T1415">
            <v>2514371.1269999999</v>
          </cell>
          <cell r="U1415">
            <v>2353409.1320000002</v>
          </cell>
          <cell r="V1415">
            <v>2127304.3810000001</v>
          </cell>
          <cell r="W1415">
            <v>1823912.362</v>
          </cell>
          <cell r="X1415">
            <v>1427201.743</v>
          </cell>
          <cell r="Y1415">
            <v>917299.12879999995</v>
          </cell>
          <cell r="Z1415">
            <v>269097.88079999998</v>
          </cell>
          <cell r="AA1415">
            <v>-539866.08120000002</v>
          </cell>
          <cell r="AB1415">
            <v>-1538002.95</v>
          </cell>
          <cell r="AC1415">
            <v>-2757979.3659999999</v>
          </cell>
          <cell r="AD1415">
            <v>-4237624.5609999998</v>
          </cell>
          <cell r="AE1415">
            <v>-6028289.767</v>
          </cell>
          <cell r="AF1415">
            <v>-8155014.4790000003</v>
          </cell>
          <cell r="AG1415">
            <v>-10649268.970000001</v>
          </cell>
          <cell r="AH1415">
            <v>-13545108.460000001</v>
          </cell>
          <cell r="AI1415">
            <v>-16879194.109999999</v>
          </cell>
          <cell r="AJ1415">
            <v>-20690884.100000001</v>
          </cell>
          <cell r="AK1415">
            <v>-25041751.859999999</v>
          </cell>
          <cell r="AL1415">
            <v>-30000383.800000001</v>
          </cell>
          <cell r="AM1415">
            <v>-35643117.060000002</v>
          </cell>
          <cell r="AN1415">
            <v>-42052306.75</v>
          </cell>
          <cell r="AO1415">
            <v>-49315868.57</v>
          </cell>
        </row>
        <row r="1512">
          <cell r="F1512">
            <v>1966350.94</v>
          </cell>
          <cell r="G1512">
            <v>1996530.013</v>
          </cell>
          <cell r="H1512">
            <v>2025301.577</v>
          </cell>
          <cell r="I1512">
            <v>2053628.2109999999</v>
          </cell>
          <cell r="J1512">
            <v>2086126.3729999999</v>
          </cell>
          <cell r="K1512">
            <v>2127752.1189999999</v>
          </cell>
          <cell r="L1512">
            <v>2171423.6889999998</v>
          </cell>
          <cell r="M1512">
            <v>2217249.3429999999</v>
          </cell>
          <cell r="N1512">
            <v>2264830.0839999998</v>
          </cell>
          <cell r="O1512">
            <v>2314528.7310000001</v>
          </cell>
          <cell r="P1512">
            <v>2367362.7880000002</v>
          </cell>
          <cell r="Q1512">
            <v>2418720.5</v>
          </cell>
          <cell r="R1512">
            <v>2471415.1680000001</v>
          </cell>
          <cell r="S1512">
            <v>2525947.142</v>
          </cell>
          <cell r="T1512">
            <v>2582166.0040000002</v>
          </cell>
          <cell r="U1512">
            <v>2639870.986</v>
          </cell>
          <cell r="V1512">
            <v>2696421.6209999998</v>
          </cell>
          <cell r="W1512">
            <v>2753884.3250000002</v>
          </cell>
          <cell r="X1512">
            <v>2812261.0219999999</v>
          </cell>
          <cell r="Y1512">
            <v>2871608.1639999999</v>
          </cell>
          <cell r="Z1512">
            <v>2931740.182</v>
          </cell>
          <cell r="AA1512">
            <v>2990181.5819999999</v>
          </cell>
          <cell r="AB1512">
            <v>3049366.9369999999</v>
          </cell>
          <cell r="AC1512">
            <v>3109385.2250000001</v>
          </cell>
          <cell r="AD1512">
            <v>3170322.7579999999</v>
          </cell>
          <cell r="AE1512">
            <v>3231294.966</v>
          </cell>
          <cell r="AF1512">
            <v>3280035.5320000001</v>
          </cell>
          <cell r="AG1512">
            <v>3327311.8339999998</v>
          </cell>
          <cell r="AH1512">
            <v>3373302.28</v>
          </cell>
          <cell r="AI1512">
            <v>3418430.378</v>
          </cell>
          <cell r="AJ1512">
            <v>3463094.1970000002</v>
          </cell>
          <cell r="AK1512">
            <v>3515551.8339999998</v>
          </cell>
          <cell r="AL1512">
            <v>3569553.5830000001</v>
          </cell>
          <cell r="AM1512">
            <v>3625256.64</v>
          </cell>
          <cell r="AN1512">
            <v>3682587</v>
          </cell>
          <cell r="AO1512">
            <v>3741428.179</v>
          </cell>
        </row>
        <row r="1513">
          <cell r="F1513">
            <v>36113.07531</v>
          </cell>
          <cell r="G1513">
            <v>36467.500910000002</v>
          </cell>
          <cell r="H1513">
            <v>36862.952920000003</v>
          </cell>
          <cell r="I1513">
            <v>37310.565970000003</v>
          </cell>
          <cell r="J1513">
            <v>37845.585950000001</v>
          </cell>
          <cell r="K1513">
            <v>38518.621800000001</v>
          </cell>
          <cell r="L1513">
            <v>39302.84474</v>
          </cell>
          <cell r="M1513">
            <v>40140.196830000001</v>
          </cell>
          <cell r="N1513">
            <v>41027.331890000001</v>
          </cell>
          <cell r="O1513">
            <v>41974.416680000002</v>
          </cell>
          <cell r="P1513">
            <v>43006.858610000003</v>
          </cell>
          <cell r="Q1513">
            <v>44014.515590000003</v>
          </cell>
          <cell r="R1513">
            <v>45055.814010000002</v>
          </cell>
          <cell r="S1513">
            <v>46138.338739999999</v>
          </cell>
          <cell r="T1513">
            <v>47255.661619999999</v>
          </cell>
          <cell r="U1513">
            <v>48401.458400000003</v>
          </cell>
          <cell r="V1513">
            <v>49511.062030000001</v>
          </cell>
          <cell r="W1513">
            <v>50638.313889999998</v>
          </cell>
          <cell r="X1513">
            <v>51780.038710000001</v>
          </cell>
          <cell r="Y1513">
            <v>52935.207470000001</v>
          </cell>
          <cell r="Z1513">
            <v>54098.75576</v>
          </cell>
          <cell r="AA1513">
            <v>55209.759030000001</v>
          </cell>
          <cell r="AB1513">
            <v>56330.832779999997</v>
          </cell>
          <cell r="AC1513">
            <v>57461.880819999998</v>
          </cell>
          <cell r="AD1513">
            <v>58604.353230000001</v>
          </cell>
          <cell r="AE1513">
            <v>59733.796900000001</v>
          </cell>
          <cell r="AF1513">
            <v>60560.306129999997</v>
          </cell>
          <cell r="AG1513">
            <v>61360.424899999998</v>
          </cell>
          <cell r="AH1513">
            <v>62127.521529999998</v>
          </cell>
          <cell r="AI1513">
            <v>62869.083579999999</v>
          </cell>
          <cell r="AJ1513">
            <v>63594.374020000003</v>
          </cell>
          <cell r="AK1513">
            <v>64499.493210000001</v>
          </cell>
          <cell r="AL1513">
            <v>65425.088479999999</v>
          </cell>
          <cell r="AM1513">
            <v>66382.568329999995</v>
          </cell>
          <cell r="AN1513">
            <v>67372.553060000006</v>
          </cell>
          <cell r="AO1513">
            <v>68393.158389999997</v>
          </cell>
        </row>
        <row r="1516">
          <cell r="F1516">
            <v>331552.6373</v>
          </cell>
          <cell r="G1516">
            <v>337843.72129999998</v>
          </cell>
          <cell r="H1516">
            <v>343527.10129999998</v>
          </cell>
          <cell r="I1516">
            <v>348799.7487</v>
          </cell>
          <cell r="J1516">
            <v>354936.57130000001</v>
          </cell>
          <cell r="K1516">
            <v>362959.56410000002</v>
          </cell>
          <cell r="L1516">
            <v>371340.40470000001</v>
          </cell>
          <cell r="M1516">
            <v>380001.88569999998</v>
          </cell>
          <cell r="N1516">
            <v>388872.99099999998</v>
          </cell>
          <cell r="O1516">
            <v>397966.41519999999</v>
          </cell>
          <cell r="P1516">
            <v>407381.62290000002</v>
          </cell>
          <cell r="Q1516">
            <v>416782.55190000002</v>
          </cell>
          <cell r="R1516">
            <v>426570.39020000002</v>
          </cell>
          <cell r="S1516">
            <v>436787.76010000001</v>
          </cell>
          <cell r="T1516">
            <v>447412.54369999998</v>
          </cell>
          <cell r="U1516">
            <v>458416.67180000001</v>
          </cell>
          <cell r="V1516">
            <v>468982.55339999998</v>
          </cell>
          <cell r="W1516">
            <v>479882.43770000001</v>
          </cell>
          <cell r="X1516">
            <v>491053.29969999997</v>
          </cell>
          <cell r="Y1516">
            <v>502507.22700000001</v>
          </cell>
          <cell r="Z1516">
            <v>514220.804</v>
          </cell>
          <cell r="AA1516">
            <v>525454.83070000005</v>
          </cell>
          <cell r="AB1516">
            <v>536999.2622</v>
          </cell>
          <cell r="AC1516">
            <v>548798.40029999998</v>
          </cell>
          <cell r="AD1516">
            <v>560859.32050000003</v>
          </cell>
          <cell r="AE1516">
            <v>573064.81530000002</v>
          </cell>
          <cell r="AF1516">
            <v>581761.38879999996</v>
          </cell>
          <cell r="AG1516">
            <v>590644.77679999999</v>
          </cell>
          <cell r="AH1516">
            <v>599406.40090000001</v>
          </cell>
          <cell r="AI1516">
            <v>608070.2844</v>
          </cell>
          <cell r="AJ1516">
            <v>616692.23730000004</v>
          </cell>
          <cell r="AK1516">
            <v>627620.07889999996</v>
          </cell>
          <cell r="AL1516">
            <v>638625.44180000003</v>
          </cell>
          <cell r="AM1516">
            <v>649935.21539999999</v>
          </cell>
          <cell r="AN1516">
            <v>661562.17559999996</v>
          </cell>
          <cell r="AO1516">
            <v>673491.62509999995</v>
          </cell>
        </row>
        <row r="1528">
          <cell r="F1528">
            <v>48538.648500000003</v>
          </cell>
          <cell r="G1528">
            <v>49310.805999999997</v>
          </cell>
          <cell r="H1528">
            <v>50148.536670000001</v>
          </cell>
          <cell r="I1528">
            <v>51130.406069999997</v>
          </cell>
          <cell r="J1528">
            <v>52161.179989999997</v>
          </cell>
          <cell r="K1528">
            <v>53135.13379</v>
          </cell>
          <cell r="L1528">
            <v>54282.727890000002</v>
          </cell>
          <cell r="M1528">
            <v>55524.109640000002</v>
          </cell>
          <cell r="N1528">
            <v>56862.627009999997</v>
          </cell>
          <cell r="O1528">
            <v>58314.732490000002</v>
          </cell>
          <cell r="P1528">
            <v>59907.883470000001</v>
          </cell>
          <cell r="Q1528">
            <v>61441.724629999997</v>
          </cell>
          <cell r="R1528">
            <v>62984.640820000001</v>
          </cell>
          <cell r="S1528">
            <v>64545.863770000004</v>
          </cell>
          <cell r="T1528">
            <v>66122.386259999999</v>
          </cell>
          <cell r="U1528">
            <v>67711.596090000006</v>
          </cell>
          <cell r="V1528">
            <v>69213.699189999999</v>
          </cell>
          <cell r="W1528">
            <v>70732.809269999998</v>
          </cell>
          <cell r="X1528">
            <v>72263.499590000007</v>
          </cell>
          <cell r="Y1528">
            <v>73807.054489999995</v>
          </cell>
          <cell r="Z1528">
            <v>75359.245590000006</v>
          </cell>
          <cell r="AA1528">
            <v>76812.485140000004</v>
          </cell>
          <cell r="AB1528">
            <v>78273.888879999999</v>
          </cell>
          <cell r="AC1528">
            <v>79738.124379999994</v>
          </cell>
          <cell r="AD1528">
            <v>81207.20968</v>
          </cell>
          <cell r="AE1528">
            <v>82659.870039999994</v>
          </cell>
          <cell r="AF1528">
            <v>83608.605590000006</v>
          </cell>
          <cell r="AG1528">
            <v>84546.004579999993</v>
          </cell>
          <cell r="AH1528">
            <v>85439.597290000005</v>
          </cell>
          <cell r="AI1528">
            <v>86297.560660000003</v>
          </cell>
          <cell r="AJ1528">
            <v>87132.165420000005</v>
          </cell>
          <cell r="AK1528">
            <v>88256.141740000006</v>
          </cell>
          <cell r="AL1528">
            <v>89382.274090000006</v>
          </cell>
          <cell r="AM1528">
            <v>90541.807790000006</v>
          </cell>
          <cell r="AN1528">
            <v>91738.437720000002</v>
          </cell>
          <cell r="AO1528">
            <v>92971.570600000006</v>
          </cell>
        </row>
        <row r="1533">
          <cell r="F1533">
            <v>1511595.7439999999</v>
          </cell>
          <cell r="G1533">
            <v>1534025.828</v>
          </cell>
          <cell r="H1533">
            <v>1555666.2819999999</v>
          </cell>
          <cell r="I1533">
            <v>1577023.949</v>
          </cell>
          <cell r="J1533">
            <v>1601501.987</v>
          </cell>
          <cell r="K1533">
            <v>1633047.24</v>
          </cell>
          <cell r="L1533">
            <v>1665852.4920000001</v>
          </cell>
          <cell r="M1533">
            <v>1700366.7579999999</v>
          </cell>
          <cell r="N1533">
            <v>1736271.9339999999</v>
          </cell>
          <cell r="O1533">
            <v>1773894.5179999999</v>
          </cell>
          <cell r="P1533">
            <v>1814052.88</v>
          </cell>
          <cell r="Q1533">
            <v>1852945.72</v>
          </cell>
          <cell r="R1533">
            <v>1892727.1</v>
          </cell>
          <cell r="S1533">
            <v>1933809.2439999999</v>
          </cell>
          <cell r="T1533">
            <v>1976076.8289999999</v>
          </cell>
          <cell r="U1533">
            <v>2019373.6159999999</v>
          </cell>
          <cell r="V1533">
            <v>2062026.824</v>
          </cell>
          <cell r="W1533">
            <v>2105183.551</v>
          </cell>
          <cell r="X1533">
            <v>2148941.2149999999</v>
          </cell>
          <cell r="Y1533">
            <v>2193383.0630000001</v>
          </cell>
          <cell r="Z1533">
            <v>2238370.605</v>
          </cell>
          <cell r="AA1533">
            <v>2282360.273</v>
          </cell>
          <cell r="AB1533">
            <v>2326775.5750000002</v>
          </cell>
          <cell r="AC1533">
            <v>2371769.7940000002</v>
          </cell>
          <cell r="AD1533">
            <v>2417425.1269999999</v>
          </cell>
          <cell r="AE1533">
            <v>2463052.1269999999</v>
          </cell>
          <cell r="AF1533">
            <v>2501029.2439999999</v>
          </cell>
          <cell r="AG1533">
            <v>2537443.8429999999</v>
          </cell>
          <cell r="AH1533">
            <v>2572813.5610000002</v>
          </cell>
          <cell r="AI1533">
            <v>2607514.0970000001</v>
          </cell>
          <cell r="AJ1533">
            <v>2641855.2599999998</v>
          </cell>
          <cell r="AK1533">
            <v>2681090.0550000002</v>
          </cell>
          <cell r="AL1533">
            <v>2721760.5189999999</v>
          </cell>
          <cell r="AM1533">
            <v>2763743.1869999999</v>
          </cell>
          <cell r="AN1533">
            <v>2806936.0970000001</v>
          </cell>
          <cell r="AO1533">
            <v>2851231.372</v>
          </cell>
        </row>
        <row r="1537">
          <cell r="F1537">
            <v>-2123.8939789999999</v>
          </cell>
          <cell r="G1537">
            <v>-2181.756359</v>
          </cell>
          <cell r="H1537">
            <v>-2177.87282</v>
          </cell>
          <cell r="I1537">
            <v>-2110.823817</v>
          </cell>
          <cell r="J1537">
            <v>-2066.2548870000001</v>
          </cell>
          <cell r="K1537">
            <v>-2139.1511860000001</v>
          </cell>
          <cell r="L1537">
            <v>-2120.8187039999998</v>
          </cell>
          <cell r="M1537">
            <v>-2144.147281</v>
          </cell>
          <cell r="N1537">
            <v>-2175.2430979999999</v>
          </cell>
          <cell r="O1537">
            <v>-2206.2664949999998</v>
          </cell>
          <cell r="P1537">
            <v>-2234.548515</v>
          </cell>
          <cell r="Q1537">
            <v>-2253.5196000000001</v>
          </cell>
          <cell r="R1537">
            <v>-2283.040176</v>
          </cell>
          <cell r="S1537">
            <v>-2326.4109779999999</v>
          </cell>
          <cell r="T1537">
            <v>-2382.5843460000001</v>
          </cell>
          <cell r="U1537">
            <v>-2449.60662</v>
          </cell>
          <cell r="V1537">
            <v>-2528.0847100000001</v>
          </cell>
          <cell r="W1537">
            <v>-2601.9838749999999</v>
          </cell>
          <cell r="X1537">
            <v>-2681.6361889999998</v>
          </cell>
          <cell r="Y1537">
            <v>-2759.7893279999998</v>
          </cell>
          <cell r="Z1537">
            <v>-2806.3083740000002</v>
          </cell>
          <cell r="AA1537">
            <v>-2853.0191629999999</v>
          </cell>
          <cell r="AB1537">
            <v>-2896.470112</v>
          </cell>
          <cell r="AC1537">
            <v>-2938.3261560000001</v>
          </cell>
          <cell r="AD1537">
            <v>-2978.0473219999999</v>
          </cell>
          <cell r="AE1537">
            <v>-3015.0421329999999</v>
          </cell>
          <cell r="AF1537">
            <v>-3050.249386</v>
          </cell>
          <cell r="AG1537">
            <v>-3062.615577</v>
          </cell>
          <cell r="AH1537">
            <v>-3065.6327809999998</v>
          </cell>
          <cell r="AI1537">
            <v>-3062.4670700000001</v>
          </cell>
          <cell r="AJ1537">
            <v>-3054.0046649999999</v>
          </cell>
          <cell r="AK1537">
            <v>-3041.1599350000001</v>
          </cell>
          <cell r="AL1537">
            <v>-3037.384493</v>
          </cell>
          <cell r="AM1537">
            <v>-3035.9288649999999</v>
          </cell>
          <cell r="AN1537">
            <v>-3036.4523039999999</v>
          </cell>
          <cell r="AO1537">
            <v>-3040.2925799999998</v>
          </cell>
        </row>
        <row r="1541">
          <cell r="F1541">
            <v>40582.389519999997</v>
          </cell>
          <cell r="G1541">
            <v>40972.372750000002</v>
          </cell>
          <cell r="H1541">
            <v>41181.612059999999</v>
          </cell>
          <cell r="I1541">
            <v>41373.918420000002</v>
          </cell>
          <cell r="J1541">
            <v>41633.425410000003</v>
          </cell>
          <cell r="K1541">
            <v>42108.962760000002</v>
          </cell>
          <cell r="L1541">
            <v>42639.679510000002</v>
          </cell>
          <cell r="M1541">
            <v>43235.367919999997</v>
          </cell>
          <cell r="N1541">
            <v>43845.381939999999</v>
          </cell>
          <cell r="O1541">
            <v>44457.738799999999</v>
          </cell>
          <cell r="P1541">
            <v>45088.83556</v>
          </cell>
          <cell r="Q1541">
            <v>45593.078529999999</v>
          </cell>
          <cell r="R1541">
            <v>46125.120490000001</v>
          </cell>
          <cell r="S1541">
            <v>46717.858699999997</v>
          </cell>
          <cell r="T1541">
            <v>47366.802730000003</v>
          </cell>
          <cell r="U1541">
            <v>48062.334669999997</v>
          </cell>
          <cell r="V1541">
            <v>48759.105329999999</v>
          </cell>
          <cell r="W1541">
            <v>49481.065629999997</v>
          </cell>
          <cell r="X1541">
            <v>50227.707569999999</v>
          </cell>
          <cell r="Y1541">
            <v>51000.009010000002</v>
          </cell>
          <cell r="Z1541">
            <v>51789.90292</v>
          </cell>
          <cell r="AA1541">
            <v>52554.489580000001</v>
          </cell>
          <cell r="AB1541">
            <v>53339.772279999997</v>
          </cell>
          <cell r="AC1541">
            <v>54151.087050000002</v>
          </cell>
          <cell r="AD1541">
            <v>54988.763780000001</v>
          </cell>
          <cell r="AE1541">
            <v>55826.82531</v>
          </cell>
          <cell r="AF1541">
            <v>56464.167439999997</v>
          </cell>
          <cell r="AG1541">
            <v>57084.608460000003</v>
          </cell>
          <cell r="AH1541">
            <v>57707.903789999997</v>
          </cell>
          <cell r="AI1541">
            <v>58339.59532</v>
          </cell>
          <cell r="AJ1541">
            <v>58982.467199999999</v>
          </cell>
          <cell r="AK1541">
            <v>59771.331610000001</v>
          </cell>
          <cell r="AL1541">
            <v>60599.983520000002</v>
          </cell>
          <cell r="AM1541">
            <v>61459.09633</v>
          </cell>
          <cell r="AN1541">
            <v>62346.645960000002</v>
          </cell>
          <cell r="AO1541">
            <v>63261.853210000001</v>
          </cell>
        </row>
        <row r="1551">
          <cell r="F1551">
            <v>1966350.94</v>
          </cell>
          <cell r="G1551">
            <v>1996530.013</v>
          </cell>
          <cell r="H1551">
            <v>2025301.577</v>
          </cell>
          <cell r="I1551">
            <v>2053628.2109999999</v>
          </cell>
          <cell r="J1551">
            <v>2086126.3729999999</v>
          </cell>
          <cell r="K1551">
            <v>2127752.1189999999</v>
          </cell>
          <cell r="L1551">
            <v>2171423.6889999998</v>
          </cell>
          <cell r="M1551">
            <v>2216216.2030000002</v>
          </cell>
          <cell r="N1551">
            <v>2262168.4640000002</v>
          </cell>
          <cell r="O1551">
            <v>2309470.8020000001</v>
          </cell>
          <cell r="P1551">
            <v>2358723.4950000001</v>
          </cell>
          <cell r="Q1551">
            <v>2409126.6779999998</v>
          </cell>
          <cell r="R1551">
            <v>2461011.9640000002</v>
          </cell>
          <cell r="S1551">
            <v>2514389.2349999999</v>
          </cell>
          <cell r="T1551">
            <v>2569249.6839999999</v>
          </cell>
          <cell r="U1551">
            <v>2625591.8250000002</v>
          </cell>
          <cell r="V1551">
            <v>2680637.9249999998</v>
          </cell>
          <cell r="W1551">
            <v>2736649.1880000001</v>
          </cell>
          <cell r="X1551">
            <v>2793645.1680000001</v>
          </cell>
          <cell r="Y1551">
            <v>2851706.199</v>
          </cell>
          <cell r="Z1551">
            <v>2910583.889</v>
          </cell>
          <cell r="AA1551">
            <v>2968099.7910000002</v>
          </cell>
          <cell r="AB1551">
            <v>3026448.034</v>
          </cell>
          <cell r="AC1551">
            <v>3085681.9730000002</v>
          </cell>
          <cell r="AD1551">
            <v>3145910.87</v>
          </cell>
          <cell r="AE1551">
            <v>3206267.3939999999</v>
          </cell>
          <cell r="AF1551">
            <v>3254719.0860000001</v>
          </cell>
          <cell r="AG1551">
            <v>3301881.8930000002</v>
          </cell>
          <cell r="AH1551">
            <v>3347873.531</v>
          </cell>
          <cell r="AI1551">
            <v>3393084.7749999999</v>
          </cell>
          <cell r="AJ1551">
            <v>3437890.6869999999</v>
          </cell>
          <cell r="AK1551">
            <v>3490584.3990000002</v>
          </cell>
          <cell r="AL1551">
            <v>3544853.969</v>
          </cell>
          <cell r="AM1551">
            <v>3600844.5189999999</v>
          </cell>
          <cell r="AN1551">
            <v>3658485.84</v>
          </cell>
          <cell r="AO1551">
            <v>3717664.22</v>
          </cell>
        </row>
        <row r="1552">
          <cell r="F1552">
            <v>36113.07531</v>
          </cell>
          <cell r="G1552">
            <v>36467.500910000002</v>
          </cell>
          <cell r="H1552">
            <v>36862.95291</v>
          </cell>
          <cell r="I1552">
            <v>37310.565970000003</v>
          </cell>
          <cell r="J1552">
            <v>37845.585950000001</v>
          </cell>
          <cell r="K1552">
            <v>38518.621789999997</v>
          </cell>
          <cell r="L1552">
            <v>39302.844729999997</v>
          </cell>
          <cell r="M1552">
            <v>40119.279170000002</v>
          </cell>
          <cell r="N1552">
            <v>40967.152840000002</v>
          </cell>
          <cell r="O1552">
            <v>41848.404670000004</v>
          </cell>
          <cell r="P1552">
            <v>42776.430560000001</v>
          </cell>
          <cell r="Q1552">
            <v>43726.394610000003</v>
          </cell>
          <cell r="R1552">
            <v>44706.785580000003</v>
          </cell>
          <cell r="S1552">
            <v>45717.372369999997</v>
          </cell>
          <cell r="T1552">
            <v>46757.56093</v>
          </cell>
          <cell r="U1552">
            <v>47826.954319999997</v>
          </cell>
          <cell r="V1552">
            <v>48858.782590000003</v>
          </cell>
          <cell r="W1552">
            <v>49910.47784</v>
          </cell>
          <cell r="X1552">
            <v>50979.678229999998</v>
          </cell>
          <cell r="Y1552">
            <v>52067.333729999998</v>
          </cell>
          <cell r="Z1552">
            <v>53165.909659999998</v>
          </cell>
          <cell r="AA1552">
            <v>54225.900289999998</v>
          </cell>
          <cell r="AB1552">
            <v>55302.183949999999</v>
          </cell>
          <cell r="AC1552">
            <v>56393.151720000002</v>
          </cell>
          <cell r="AD1552">
            <v>57500.565219999997</v>
          </cell>
          <cell r="AE1552">
            <v>58600.171690000003</v>
          </cell>
          <cell r="AF1552">
            <v>59411.859190000003</v>
          </cell>
          <cell r="AG1552">
            <v>60205.31222</v>
          </cell>
          <cell r="AH1552">
            <v>60971.256099999999</v>
          </cell>
          <cell r="AI1552">
            <v>61715.777750000001</v>
          </cell>
          <cell r="AJ1552">
            <v>62447.086199999998</v>
          </cell>
          <cell r="AK1552">
            <v>63361.635199999997</v>
          </cell>
          <cell r="AL1552">
            <v>64298.440909999998</v>
          </cell>
          <cell r="AM1552">
            <v>65268.131840000002</v>
          </cell>
          <cell r="AN1552">
            <v>66270.801800000001</v>
          </cell>
          <cell r="AO1552">
            <v>67303.976609999998</v>
          </cell>
        </row>
        <row r="1555">
          <cell r="F1555">
            <v>331552.6373</v>
          </cell>
          <cell r="G1555">
            <v>337843.72129999998</v>
          </cell>
          <cell r="H1555">
            <v>343527.10129999998</v>
          </cell>
          <cell r="I1555">
            <v>348799.7487</v>
          </cell>
          <cell r="J1555">
            <v>354936.57130000001</v>
          </cell>
          <cell r="K1555">
            <v>362959.56420000002</v>
          </cell>
          <cell r="L1555">
            <v>371340.40470000001</v>
          </cell>
          <cell r="M1555">
            <v>379987.22840000002</v>
          </cell>
          <cell r="N1555">
            <v>388911.39189999999</v>
          </cell>
          <cell r="O1555">
            <v>398131.65659999999</v>
          </cell>
          <cell r="P1555">
            <v>407731.92869999999</v>
          </cell>
          <cell r="Q1555">
            <v>417570.60009999998</v>
          </cell>
          <cell r="R1555">
            <v>427746.3713</v>
          </cell>
          <cell r="S1555">
            <v>438258.53320000001</v>
          </cell>
          <cell r="T1555">
            <v>449109.71260000003</v>
          </cell>
          <cell r="U1555">
            <v>460304.33159999998</v>
          </cell>
          <cell r="V1555">
            <v>471040.58380000002</v>
          </cell>
          <cell r="W1555">
            <v>482108.4314</v>
          </cell>
          <cell r="X1555">
            <v>493444.57319999998</v>
          </cell>
          <cell r="Y1555">
            <v>505056.4204</v>
          </cell>
          <cell r="Z1555">
            <v>516913.06530000002</v>
          </cell>
          <cell r="AA1555">
            <v>528303.85010000004</v>
          </cell>
          <cell r="AB1555">
            <v>539994.10080000001</v>
          </cell>
          <cell r="AC1555">
            <v>551926.9105</v>
          </cell>
          <cell r="AD1555">
            <v>564113.64489999996</v>
          </cell>
          <cell r="AE1555">
            <v>576437.8112</v>
          </cell>
          <cell r="AF1555">
            <v>585277.89179999998</v>
          </cell>
          <cell r="AG1555">
            <v>594310.28870000003</v>
          </cell>
          <cell r="AH1555">
            <v>603223.47840000002</v>
          </cell>
          <cell r="AI1555">
            <v>612041.23759999999</v>
          </cell>
          <cell r="AJ1555">
            <v>620819.64009999996</v>
          </cell>
          <cell r="AK1555">
            <v>631910.62100000004</v>
          </cell>
          <cell r="AL1555">
            <v>643082.57369999995</v>
          </cell>
          <cell r="AM1555">
            <v>654561.96479999996</v>
          </cell>
          <cell r="AN1555">
            <v>666363.24800000002</v>
          </cell>
          <cell r="AO1555">
            <v>678473.88179999997</v>
          </cell>
        </row>
        <row r="1567">
          <cell r="F1567">
            <v>48538.648500000003</v>
          </cell>
          <cell r="G1567">
            <v>49310.805999999997</v>
          </cell>
          <cell r="H1567">
            <v>50148.536659999998</v>
          </cell>
          <cell r="I1567">
            <v>51130.406060000001</v>
          </cell>
          <cell r="J1567">
            <v>52161.179980000001</v>
          </cell>
          <cell r="K1567">
            <v>53135.133779999996</v>
          </cell>
          <cell r="L1567">
            <v>54282.727879999999</v>
          </cell>
          <cell r="M1567">
            <v>55455.704089999999</v>
          </cell>
          <cell r="N1567">
            <v>56659.349459999998</v>
          </cell>
          <cell r="O1567">
            <v>57899.211219999997</v>
          </cell>
          <cell r="P1567">
            <v>59189.042959999999</v>
          </cell>
          <cell r="Q1567">
            <v>60503.307610000003</v>
          </cell>
          <cell r="R1567">
            <v>61853.482770000002</v>
          </cell>
          <cell r="S1567">
            <v>63237.837549999997</v>
          </cell>
          <cell r="T1567">
            <v>64655.071880000003</v>
          </cell>
          <cell r="U1567">
            <v>66104.330889999997</v>
          </cell>
          <cell r="V1567">
            <v>67477.265509999997</v>
          </cell>
          <cell r="W1567">
            <v>68876.294190000001</v>
          </cell>
          <cell r="X1567">
            <v>70293.011599999998</v>
          </cell>
          <cell r="Y1567">
            <v>71728.099170000001</v>
          </cell>
          <cell r="Z1567">
            <v>73175.203840000002</v>
          </cell>
          <cell r="AA1567">
            <v>74543.955260000002</v>
          </cell>
          <cell r="AB1567">
            <v>75933.842139999993</v>
          </cell>
          <cell r="AC1567">
            <v>77337.950079999995</v>
          </cell>
          <cell r="AD1567">
            <v>78758.127949999995</v>
          </cell>
          <cell r="AE1567">
            <v>80172.855689999997</v>
          </cell>
          <cell r="AF1567">
            <v>81114.189419999995</v>
          </cell>
          <cell r="AG1567">
            <v>82060.616120000006</v>
          </cell>
          <cell r="AH1567">
            <v>82975.098880000005</v>
          </cell>
          <cell r="AI1567">
            <v>83863.103950000004</v>
          </cell>
          <cell r="AJ1567">
            <v>84734.679650000005</v>
          </cell>
          <cell r="AK1567">
            <v>85899.481610000003</v>
          </cell>
          <cell r="AL1567">
            <v>87071.773639999999</v>
          </cell>
          <cell r="AM1567">
            <v>88281.476729999995</v>
          </cell>
          <cell r="AN1567">
            <v>89530.71183</v>
          </cell>
          <cell r="AO1567">
            <v>90817.214089999994</v>
          </cell>
        </row>
        <row r="1572">
          <cell r="F1572">
            <v>1511595.7439999999</v>
          </cell>
          <cell r="G1572">
            <v>1534025.828</v>
          </cell>
          <cell r="H1572">
            <v>1555666.2819999999</v>
          </cell>
          <cell r="I1572">
            <v>1577023.949</v>
          </cell>
          <cell r="J1572">
            <v>1601501.987</v>
          </cell>
          <cell r="K1572">
            <v>1633047.24</v>
          </cell>
          <cell r="L1572">
            <v>1665852.4909999999</v>
          </cell>
          <cell r="M1572">
            <v>1699489.37</v>
          </cell>
          <cell r="N1572">
            <v>1733948.1669999999</v>
          </cell>
          <cell r="O1572">
            <v>1769385.5859999999</v>
          </cell>
          <cell r="P1572">
            <v>1806271.7720000001</v>
          </cell>
          <cell r="Q1572">
            <v>1844020.8289999999</v>
          </cell>
          <cell r="R1572">
            <v>1882835.0530000001</v>
          </cell>
          <cell r="S1572">
            <v>1922724.3810000001</v>
          </cell>
          <cell r="T1572">
            <v>1963678.1780000001</v>
          </cell>
          <cell r="U1572">
            <v>2005691.1159999999</v>
          </cell>
          <cell r="V1572">
            <v>2047011.5730000001</v>
          </cell>
          <cell r="W1572">
            <v>2088905.129</v>
          </cell>
          <cell r="X1572">
            <v>2131464.1770000001</v>
          </cell>
          <cell r="Y1572">
            <v>2174759.4939999999</v>
          </cell>
          <cell r="Z1572">
            <v>2218596.264</v>
          </cell>
          <cell r="AA1572">
            <v>2261680.298</v>
          </cell>
          <cell r="AB1572">
            <v>2305244.3480000002</v>
          </cell>
          <cell r="AC1572">
            <v>2349407.057</v>
          </cell>
          <cell r="AD1572">
            <v>2394262.5610000002</v>
          </cell>
          <cell r="AE1572">
            <v>2439131.2629999998</v>
          </cell>
          <cell r="AF1572">
            <v>2476552.9780000001</v>
          </cell>
          <cell r="AG1572">
            <v>2512507.1329999999</v>
          </cell>
          <cell r="AH1572">
            <v>2547465.8990000002</v>
          </cell>
          <cell r="AI1572">
            <v>2581783.0299999998</v>
          </cell>
          <cell r="AJ1572">
            <v>2615756.9649999999</v>
          </cell>
          <cell r="AK1572">
            <v>2654679.73</v>
          </cell>
          <cell r="AL1572">
            <v>2695048.284</v>
          </cell>
          <cell r="AM1572">
            <v>2736741.4219999998</v>
          </cell>
          <cell r="AN1572">
            <v>2779672.0040000002</v>
          </cell>
          <cell r="AO1572">
            <v>2823743.9619999998</v>
          </cell>
        </row>
        <row r="1575">
          <cell r="F1575">
            <v>-2031.554826</v>
          </cell>
          <cell r="G1575">
            <v>-2090.2161249999999</v>
          </cell>
          <cell r="H1575">
            <v>-2084.9082039999998</v>
          </cell>
          <cell r="I1575">
            <v>-2010.3771119999999</v>
          </cell>
          <cell r="J1575">
            <v>-1952.3768689999999</v>
          </cell>
          <cell r="K1575">
            <v>-2017.403157</v>
          </cell>
          <cell r="L1575">
            <v>-1994.4589120000001</v>
          </cell>
          <cell r="M1575">
            <v>-2016.5510059999999</v>
          </cell>
          <cell r="N1575">
            <v>-2051.3646440000002</v>
          </cell>
          <cell r="O1575">
            <v>-2093.1586090000001</v>
          </cell>
          <cell r="P1575">
            <v>-2139.5857540000002</v>
          </cell>
          <cell r="Q1575">
            <v>-2191.1579080000001</v>
          </cell>
          <cell r="R1575">
            <v>-2246.6788740000002</v>
          </cell>
          <cell r="S1575">
            <v>-2306.5580580000001</v>
          </cell>
          <cell r="T1575">
            <v>-2371.080966</v>
          </cell>
          <cell r="U1575">
            <v>-2440.4513080000002</v>
          </cell>
          <cell r="V1575">
            <v>-2516.6729249999999</v>
          </cell>
          <cell r="W1575">
            <v>-2593.3069150000001</v>
          </cell>
          <cell r="X1575">
            <v>-2673.7076310000002</v>
          </cell>
          <cell r="Y1575">
            <v>-2758.8554899999999</v>
          </cell>
          <cell r="Z1575">
            <v>-2849.343335</v>
          </cell>
          <cell r="AA1575">
            <v>-2946.3859520000001</v>
          </cell>
          <cell r="AB1575">
            <v>-3044.1049520000001</v>
          </cell>
          <cell r="AC1575">
            <v>-3145.8574939999999</v>
          </cell>
          <cell r="AD1575">
            <v>-3252.5840760000001</v>
          </cell>
          <cell r="AE1575">
            <v>-3365.3317200000001</v>
          </cell>
          <cell r="AF1575">
            <v>-3489.7391659999998</v>
          </cell>
          <cell r="AG1575">
            <v>-3595.6385839999998</v>
          </cell>
          <cell r="AH1575">
            <v>-3698.7808359999999</v>
          </cell>
          <cell r="AI1575">
            <v>-3802.9155270000001</v>
          </cell>
          <cell r="AJ1575">
            <v>-3908.4182190000001</v>
          </cell>
          <cell r="AK1575">
            <v>-4011.3717270000002</v>
          </cell>
          <cell r="AL1575">
            <v>-4130.3431049999999</v>
          </cell>
          <cell r="AM1575">
            <v>-4255.0763639999996</v>
          </cell>
          <cell r="AN1575">
            <v>-4382.8447509999996</v>
          </cell>
          <cell r="AO1575">
            <v>-4513.0633660000003</v>
          </cell>
        </row>
        <row r="1580">
          <cell r="F1580">
            <v>40582.389519999997</v>
          </cell>
          <cell r="G1580">
            <v>40972.372750000002</v>
          </cell>
          <cell r="H1580">
            <v>41181.612070000003</v>
          </cell>
          <cell r="I1580">
            <v>41373.918429999998</v>
          </cell>
          <cell r="J1580">
            <v>41633.425430000003</v>
          </cell>
          <cell r="K1580">
            <v>42108.962789999998</v>
          </cell>
          <cell r="L1580">
            <v>42639.679530000001</v>
          </cell>
          <cell r="M1580">
            <v>43181.172919999997</v>
          </cell>
          <cell r="N1580">
            <v>43733.767650000002</v>
          </cell>
          <cell r="O1580">
            <v>44299.101710000003</v>
          </cell>
          <cell r="P1580">
            <v>44893.906159999999</v>
          </cell>
          <cell r="Q1580">
            <v>45496.705090000003</v>
          </cell>
          <cell r="R1580">
            <v>46116.950680000002</v>
          </cell>
          <cell r="S1580">
            <v>46757.668239999999</v>
          </cell>
          <cell r="T1580">
            <v>47420.242010000002</v>
          </cell>
          <cell r="U1580">
            <v>48105.54348</v>
          </cell>
          <cell r="V1580">
            <v>48766.393499999998</v>
          </cell>
          <cell r="W1580">
            <v>49442.161970000001</v>
          </cell>
          <cell r="X1580">
            <v>50137.436119999998</v>
          </cell>
          <cell r="Y1580">
            <v>50853.707719999999</v>
          </cell>
          <cell r="Z1580">
            <v>51582.78976</v>
          </cell>
          <cell r="AA1580">
            <v>52292.173730000002</v>
          </cell>
          <cell r="AB1580">
            <v>53017.6639</v>
          </cell>
          <cell r="AC1580">
            <v>53762.761339999997</v>
          </cell>
          <cell r="AD1580">
            <v>54528.555439999996</v>
          </cell>
          <cell r="AE1580">
            <v>55290.623879999999</v>
          </cell>
          <cell r="AF1580">
            <v>55851.907090000001</v>
          </cell>
          <cell r="AG1580">
            <v>56394.181470000003</v>
          </cell>
          <cell r="AH1580">
            <v>56936.580119999999</v>
          </cell>
          <cell r="AI1580">
            <v>57484.541790000003</v>
          </cell>
          <cell r="AJ1580">
            <v>58040.734190000003</v>
          </cell>
          <cell r="AK1580">
            <v>58744.303189999999</v>
          </cell>
          <cell r="AL1580">
            <v>59483.2399</v>
          </cell>
          <cell r="AM1580">
            <v>60246.600550000003</v>
          </cell>
          <cell r="AN1580">
            <v>61031.919009999998</v>
          </cell>
          <cell r="AO1580">
            <v>61838.248469999999</v>
          </cell>
        </row>
        <row r="1760">
          <cell r="F1760">
            <v>1.0032468379999999</v>
          </cell>
          <cell r="G1760">
            <v>1.0221015309999999</v>
          </cell>
          <cell r="H1760">
            <v>1.053056722</v>
          </cell>
          <cell r="I1760">
            <v>1.0930847610000001</v>
          </cell>
          <cell r="J1760">
            <v>1.1248207690000001</v>
          </cell>
          <cell r="K1760">
            <v>1.143042144</v>
          </cell>
          <cell r="L1760">
            <v>1.1775746949999999</v>
          </cell>
          <cell r="M1760">
            <v>1.2175991820000001</v>
          </cell>
          <cell r="N1760">
            <v>1.266706326</v>
          </cell>
          <cell r="O1760">
            <v>1.3272286289999999</v>
          </cell>
          <cell r="P1760">
            <v>1.4024026469999999</v>
          </cell>
          <cell r="Q1760">
            <v>1.478878658</v>
          </cell>
          <cell r="R1760">
            <v>1.5624867549999999</v>
          </cell>
          <cell r="S1760">
            <v>1.6544967669999999</v>
          </cell>
          <cell r="T1760">
            <v>1.756224384</v>
          </cell>
          <cell r="U1760">
            <v>1.8689649100000001</v>
          </cell>
          <cell r="V1760">
            <v>1.9944854160000001</v>
          </cell>
          <cell r="W1760">
            <v>2.1335727169999998</v>
          </cell>
          <cell r="X1760">
            <v>2.2873878429999999</v>
          </cell>
          <cell r="Y1760">
            <v>2.4569752600000001</v>
          </cell>
          <cell r="Z1760">
            <v>2.6442206289999999</v>
          </cell>
          <cell r="AA1760">
            <v>2.8487968019999999</v>
          </cell>
          <cell r="AB1760">
            <v>3.072687159</v>
          </cell>
          <cell r="AC1760">
            <v>3.317583017</v>
          </cell>
          <cell r="AD1760">
            <v>3.5853795179999999</v>
          </cell>
          <cell r="AE1760">
            <v>3.8788227329999998</v>
          </cell>
          <cell r="AF1760">
            <v>4.1962592020000002</v>
          </cell>
          <cell r="AG1760">
            <v>4.5381536369999997</v>
          </cell>
          <cell r="AH1760">
            <v>4.9050842570000004</v>
          </cell>
          <cell r="AI1760">
            <v>5.2977316610000003</v>
          </cell>
          <cell r="AJ1760">
            <v>5.7167023700000001</v>
          </cell>
          <cell r="AK1760">
            <v>6.1646026870000004</v>
          </cell>
          <cell r="AL1760">
            <v>6.6438186000000004</v>
          </cell>
          <cell r="AM1760">
            <v>7.1561262320000001</v>
          </cell>
          <cell r="AN1760">
            <v>7.703120126</v>
          </cell>
          <cell r="AO1760">
            <v>8.2863357369999999</v>
          </cell>
        </row>
        <row r="1789">
          <cell r="F1789">
            <v>1.0032468379999999</v>
          </cell>
          <cell r="G1789">
            <v>1.0221015309999999</v>
          </cell>
          <cell r="H1789">
            <v>1.0530567209999999</v>
          </cell>
          <cell r="I1789">
            <v>1.09308476</v>
          </cell>
          <cell r="J1789">
            <v>1.1248207670000001</v>
          </cell>
          <cell r="K1789">
            <v>1.1430421420000001</v>
          </cell>
          <cell r="L1789">
            <v>1.1775746920000001</v>
          </cell>
          <cell r="M1789">
            <v>1.212477748</v>
          </cell>
          <cell r="N1789">
            <v>1.251055912</v>
          </cell>
          <cell r="O1789">
            <v>1.293366493</v>
          </cell>
          <cell r="P1789">
            <v>1.339523966</v>
          </cell>
          <cell r="Q1789">
            <v>1.389876608</v>
          </cell>
          <cell r="R1789">
            <v>1.4448372229999999</v>
          </cell>
          <cell r="S1789">
            <v>1.5048616560000001</v>
          </cell>
          <cell r="T1789">
            <v>1.5704381000000001</v>
          </cell>
          <cell r="U1789">
            <v>1.6420875669999999</v>
          </cell>
          <cell r="V1789">
            <v>1.7199939449999999</v>
          </cell>
          <cell r="W1789">
            <v>1.8045239019999999</v>
          </cell>
          <cell r="X1789">
            <v>1.8961553710000001</v>
          </cell>
          <cell r="Y1789">
            <v>1.9954406499999999</v>
          </cell>
          <cell r="Z1789">
            <v>2.103128227</v>
          </cell>
          <cell r="AA1789">
            <v>2.219413748</v>
          </cell>
          <cell r="AB1789">
            <v>2.3447009840000002</v>
          </cell>
          <cell r="AC1789">
            <v>2.4795237480000001</v>
          </cell>
          <cell r="AD1789">
            <v>2.624496685</v>
          </cell>
          <cell r="AE1789">
            <v>2.780795941</v>
          </cell>
          <cell r="AF1789">
            <v>2.946833941</v>
          </cell>
          <cell r="AG1789">
            <v>3.1218095959999999</v>
          </cell>
          <cell r="AH1789">
            <v>3.3052617639999999</v>
          </cell>
          <cell r="AI1789">
            <v>3.4968144219999999</v>
          </cell>
          <cell r="AJ1789">
            <v>3.696043322</v>
          </cell>
          <cell r="AK1789">
            <v>3.904235023</v>
          </cell>
          <cell r="AL1789">
            <v>4.1219539049999998</v>
          </cell>
          <cell r="AM1789">
            <v>4.3493940699999998</v>
          </cell>
          <cell r="AN1789">
            <v>4.5865724630000004</v>
          </cell>
          <cell r="AO1789">
            <v>4.8334281780000001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95"/>
  <sheetViews>
    <sheetView tabSelected="1" topLeftCell="A48" workbookViewId="0">
      <selection activeCell="V56" sqref="V56"/>
    </sheetView>
  </sheetViews>
  <sheetFormatPr baseColWidth="10" defaultRowHeight="14.5" x14ac:dyDescent="0.35"/>
  <cols>
    <col min="3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3" spans="1:38" x14ac:dyDescent="0.35">
      <c r="B3" t="s">
        <v>0</v>
      </c>
      <c r="C3" s="2">
        <v>42005</v>
      </c>
      <c r="D3" s="2">
        <v>42370</v>
      </c>
      <c r="E3" s="2">
        <v>42736</v>
      </c>
      <c r="F3" s="2">
        <v>43101</v>
      </c>
      <c r="G3" s="2">
        <v>43466</v>
      </c>
      <c r="H3" s="2">
        <v>43831</v>
      </c>
      <c r="I3" s="2">
        <v>44197</v>
      </c>
      <c r="J3" s="2">
        <v>44562</v>
      </c>
      <c r="K3" s="2">
        <v>44927</v>
      </c>
      <c r="L3" s="2">
        <v>45292</v>
      </c>
      <c r="M3" s="2">
        <v>45658</v>
      </c>
      <c r="N3" s="2">
        <v>46023</v>
      </c>
      <c r="O3" s="2">
        <v>46388</v>
      </c>
      <c r="P3" s="2">
        <v>46753</v>
      </c>
      <c r="Q3" s="2">
        <v>47119</v>
      </c>
      <c r="R3" s="2">
        <v>47484</v>
      </c>
      <c r="S3" s="2">
        <v>47849</v>
      </c>
      <c r="T3" s="2">
        <v>48214</v>
      </c>
      <c r="U3" s="2">
        <v>48580</v>
      </c>
      <c r="V3" s="2">
        <v>48945</v>
      </c>
      <c r="W3" s="2">
        <v>49310</v>
      </c>
      <c r="X3" s="2">
        <v>49675</v>
      </c>
      <c r="Y3" s="2">
        <v>50041</v>
      </c>
      <c r="Z3" s="2">
        <v>50406</v>
      </c>
      <c r="AA3" s="2">
        <v>50771</v>
      </c>
      <c r="AB3" s="2">
        <v>51136</v>
      </c>
      <c r="AC3" s="2">
        <v>51502</v>
      </c>
      <c r="AD3" s="2">
        <v>51867</v>
      </c>
      <c r="AE3" s="2">
        <v>52232</v>
      </c>
      <c r="AF3" s="2">
        <v>52597</v>
      </c>
      <c r="AG3" s="2">
        <v>52963</v>
      </c>
      <c r="AH3" s="2">
        <v>53328</v>
      </c>
      <c r="AI3" s="2">
        <v>53693</v>
      </c>
      <c r="AJ3" s="2">
        <v>54058</v>
      </c>
      <c r="AK3" s="2">
        <v>54424</v>
      </c>
      <c r="AL3" s="2">
        <v>54789</v>
      </c>
    </row>
    <row r="4" spans="1:38" x14ac:dyDescent="0.35">
      <c r="A4" s="3" t="str">
        <f>[1]Results!E1365</f>
        <v>100*(GDP_2/GDP_0-1)</v>
      </c>
      <c r="B4" t="str">
        <f>[1]Results!C1365</f>
        <v>PIB</v>
      </c>
      <c r="C4" s="1">
        <f>[1]Results!F1365</f>
        <v>0</v>
      </c>
      <c r="D4" s="1">
        <f>[1]Results!G1365</f>
        <v>0</v>
      </c>
      <c r="E4" s="1">
        <f>[1]Results!H1365</f>
        <v>0</v>
      </c>
      <c r="F4" s="1">
        <f>[1]Results!I1365</f>
        <v>0</v>
      </c>
      <c r="G4" s="1">
        <f>[1]Results!J1365</f>
        <v>0</v>
      </c>
      <c r="H4" s="1">
        <f>[1]Results!K1365</f>
        <v>0</v>
      </c>
      <c r="I4" s="1">
        <f>[1]Results!L1365</f>
        <v>0</v>
      </c>
      <c r="J4" s="1">
        <f>[1]Results!M1365</f>
        <v>4.6545826777766308E-2</v>
      </c>
      <c r="K4" s="1">
        <f>[1]Results!N1365</f>
        <v>0.115912681640018</v>
      </c>
      <c r="L4" s="1">
        <f>[1]Results!O1365</f>
        <v>0.21492622296304109</v>
      </c>
      <c r="M4" s="1">
        <f>[1]Results!P1365</f>
        <v>0.36013207077605358</v>
      </c>
      <c r="N4" s="1">
        <f>[1]Results!Q1365</f>
        <v>0.38875624312577628</v>
      </c>
      <c r="O4" s="1">
        <f>[1]Results!R1365</f>
        <v>0.41424200711572823</v>
      </c>
      <c r="P4" s="1">
        <f>[1]Results!S1365</f>
        <v>0.45503878426440547</v>
      </c>
      <c r="Q4" s="1">
        <f>[1]Results!T1365</f>
        <v>0.50272452689656966</v>
      </c>
      <c r="R4" s="1">
        <f>[1]Results!U1365</f>
        <v>0.54801111576536776</v>
      </c>
      <c r="S4" s="1">
        <f>[1]Results!V1365</f>
        <v>0.59595307051436563</v>
      </c>
      <c r="T4" s="1">
        <f>[1]Results!W1365</f>
        <v>0.63883318121817911</v>
      </c>
      <c r="U4" s="1">
        <f>[1]Results!X1365</f>
        <v>0.67785733951915006</v>
      </c>
      <c r="V4" s="1">
        <f>[1]Results!Y1365</f>
        <v>0.71516662433974698</v>
      </c>
      <c r="W4" s="1">
        <f>[1]Results!Z1365</f>
        <v>0.75100639179481732</v>
      </c>
      <c r="X4" s="1">
        <f>[1]Results!AA1365</f>
        <v>0.77560928045334876</v>
      </c>
      <c r="Y4" s="1">
        <f>[1]Results!AB1365</f>
        <v>0.79738342818362895</v>
      </c>
      <c r="Z4" s="1">
        <f>[1]Results!AC1365</f>
        <v>0.81758170471952774</v>
      </c>
      <c r="AA4" s="1">
        <f>[1]Results!AD1365</f>
        <v>0.83543547055640044</v>
      </c>
      <c r="AB4" s="1">
        <f>[1]Results!AE1365</f>
        <v>0.85072281256963755</v>
      </c>
      <c r="AC4" s="1">
        <f>[1]Results!AF1365</f>
        <v>0.85934921013097743</v>
      </c>
      <c r="AD4" s="1">
        <f>[1]Results!AG1365</f>
        <v>0.86367437465564301</v>
      </c>
      <c r="AE4" s="1">
        <f>[1]Results!AH1365</f>
        <v>0.86555445572815692</v>
      </c>
      <c r="AF4" s="1">
        <f>[1]Results!AI1365</f>
        <v>0.86578579136233902</v>
      </c>
      <c r="AG4" s="1">
        <f>[1]Results!AJ1365</f>
        <v>0.86479047939047593</v>
      </c>
      <c r="AH4" s="1">
        <f>[1]Results!AK1365</f>
        <v>0.85947978134672809</v>
      </c>
      <c r="AI4" s="1">
        <f>[1]Results!AL1365</f>
        <v>0.85309649792506548</v>
      </c>
      <c r="AJ4" s="1">
        <f>[1]Results!AM1365</f>
        <v>0.84568031948861755</v>
      </c>
      <c r="AK4" s="1">
        <f>[1]Results!AN1365</f>
        <v>0.83688989234611544</v>
      </c>
      <c r="AL4" s="1">
        <f>[1]Results!AO1365</f>
        <v>0.82650376920156976</v>
      </c>
    </row>
    <row r="5" spans="1:38" x14ac:dyDescent="0.35">
      <c r="A5" s="3" t="str">
        <f>[1]Results!E1366</f>
        <v>100*((VA_2-VA_spub_2)/(VA_0-VA_spub_0)-1)</v>
      </c>
      <c r="B5" t="str">
        <f>[1]Results!C1366</f>
        <v>VA du secteur marchand</v>
      </c>
      <c r="C5" s="1">
        <f>[1]Results!F1366</f>
        <v>0</v>
      </c>
      <c r="D5" s="1">
        <f>[1]Results!G1366</f>
        <v>0</v>
      </c>
      <c r="E5" s="1">
        <f>[1]Results!H1366</f>
        <v>-6.1670335504970808E-9</v>
      </c>
      <c r="F5" s="1">
        <f>[1]Results!I1366</f>
        <v>0</v>
      </c>
      <c r="G5" s="1">
        <f>[1]Results!J1366</f>
        <v>0</v>
      </c>
      <c r="H5" s="1">
        <f>[1]Results!K1366</f>
        <v>0</v>
      </c>
      <c r="I5" s="1">
        <f>[1]Results!L1366</f>
        <v>-5.7275295617387201E-9</v>
      </c>
      <c r="J5" s="1">
        <f>[1]Results!M1366</f>
        <v>5.1586012692617089E-2</v>
      </c>
      <c r="K5" s="1">
        <f>[1]Results!N1366</f>
        <v>0.12844702065619718</v>
      </c>
      <c r="L5" s="1">
        <f>[1]Results!O1366</f>
        <v>0.23710468844138077</v>
      </c>
      <c r="M5" s="1">
        <f>[1]Results!P1366</f>
        <v>0.39530951056898633</v>
      </c>
      <c r="N5" s="1">
        <f>[1]Results!Q1366</f>
        <v>0.42330159256105393</v>
      </c>
      <c r="O5" s="1">
        <f>[1]Results!R1366</f>
        <v>0.44546721039975257</v>
      </c>
      <c r="P5" s="1">
        <f>[1]Results!S1366</f>
        <v>0.48382899602699148</v>
      </c>
      <c r="Q5" s="1">
        <f>[1]Results!T1366</f>
        <v>0.53033591565303517</v>
      </c>
      <c r="R5" s="1">
        <f>[1]Results!U1366</f>
        <v>0.57524437319749211</v>
      </c>
      <c r="S5" s="1">
        <f>[1]Results!V1366</f>
        <v>0.62486127664755919</v>
      </c>
      <c r="T5" s="1">
        <f>[1]Results!W1366</f>
        <v>0.66996835450319203</v>
      </c>
      <c r="U5" s="1">
        <f>[1]Results!X1366</f>
        <v>0.71005937028449928</v>
      </c>
      <c r="V5" s="1">
        <f>[1]Results!Y1366</f>
        <v>0.7444721177900071</v>
      </c>
      <c r="W5" s="1">
        <f>[1]Results!Z1366</f>
        <v>0.7759663489428581</v>
      </c>
      <c r="X5" s="1">
        <f>[1]Results!AA1366</f>
        <v>0.79433384034375276</v>
      </c>
      <c r="Y5" s="1">
        <f>[1]Results!AB1366</f>
        <v>0.80863545996632258</v>
      </c>
      <c r="Z5" s="1">
        <f>[1]Results!AC1366</f>
        <v>0.82028978120598506</v>
      </c>
      <c r="AA5" s="1">
        <f>[1]Results!AD1366</f>
        <v>0.82850087565398134</v>
      </c>
      <c r="AB5" s="1">
        <f>[1]Results!AE1366</f>
        <v>0.83306395905771158</v>
      </c>
      <c r="AC5" s="1">
        <f>[1]Results!AF1366</f>
        <v>0.82967799718696167</v>
      </c>
      <c r="AD5" s="1">
        <f>[1]Results!AG1366</f>
        <v>0.82067991142620311</v>
      </c>
      <c r="AE5" s="1">
        <f>[1]Results!AH1366</f>
        <v>0.80825545517360098</v>
      </c>
      <c r="AF5" s="1">
        <f>[1]Results!AI1366</f>
        <v>0.79348308684956681</v>
      </c>
      <c r="AG5" s="1">
        <f>[1]Results!AJ1366</f>
        <v>0.77709905834815185</v>
      </c>
      <c r="AH5" s="1">
        <f>[1]Results!AK1366</f>
        <v>0.75599508508992219</v>
      </c>
      <c r="AI5" s="1">
        <f>[1]Results!AL1366</f>
        <v>0.73407176140818375</v>
      </c>
      <c r="AJ5" s="1">
        <f>[1]Results!AM1366</f>
        <v>0.71177049139166115</v>
      </c>
      <c r="AK5" s="1">
        <f>[1]Results!AN1366</f>
        <v>0.68907063084731046</v>
      </c>
      <c r="AL5" s="1">
        <f>[1]Results!AO1366</f>
        <v>0.66598520686356188</v>
      </c>
    </row>
    <row r="6" spans="1:38" x14ac:dyDescent="0.35">
      <c r="A6" s="3" t="str">
        <f>[1]Results!E1367</f>
        <v>100*((CH_2-CH_0)/GDP_0)</v>
      </c>
      <c r="B6" t="str">
        <f>[1]Results!C1367</f>
        <v>Consommation des ménages</v>
      </c>
      <c r="C6" s="1">
        <f>[1]Results!F1367</f>
        <v>0</v>
      </c>
      <c r="D6" s="1">
        <f>[1]Results!G1367</f>
        <v>0</v>
      </c>
      <c r="E6" s="1">
        <f>[1]Results!H1367</f>
        <v>4.4196277476262082E-8</v>
      </c>
      <c r="F6" s="1">
        <f>[1]Results!I1367</f>
        <v>0</v>
      </c>
      <c r="G6" s="1">
        <f>[1]Results!J1367</f>
        <v>0</v>
      </c>
      <c r="H6" s="1">
        <f>[1]Results!K1367</f>
        <v>4.2080319383676182E-8</v>
      </c>
      <c r="I6" s="1">
        <f>[1]Results!L1367</f>
        <v>4.1232823927699385E-8</v>
      </c>
      <c r="J6" s="1">
        <f>[1]Results!M1367</f>
        <v>6.1580933476167492E-2</v>
      </c>
      <c r="K6" s="1">
        <f>[1]Results!N1367</f>
        <v>0.16398091390495173</v>
      </c>
      <c r="L6" s="1">
        <f>[1]Results!O1367</f>
        <v>0.32108689003141572</v>
      </c>
      <c r="M6" s="1">
        <f>[1]Results!P1367</f>
        <v>0.55340146794687461</v>
      </c>
      <c r="N6" s="1">
        <f>[1]Results!Q1367</f>
        <v>0.66627595678616569</v>
      </c>
      <c r="O6" s="1">
        <f>[1]Results!R1367</f>
        <v>0.7771227338264689</v>
      </c>
      <c r="P6" s="1">
        <f>[1]Results!S1367</f>
        <v>0.89513833408712085</v>
      </c>
      <c r="Q6" s="1">
        <f>[1]Results!T1367</f>
        <v>1.0070529120755765</v>
      </c>
      <c r="R6" s="1">
        <f>[1]Results!U1367</f>
        <v>1.1034036085969596</v>
      </c>
      <c r="S6" s="1">
        <f>[1]Results!V1367</f>
        <v>1.1911173090972851</v>
      </c>
      <c r="T6" s="1">
        <f>[1]Results!W1367</f>
        <v>1.2661582709992907</v>
      </c>
      <c r="U6" s="1">
        <f>[1]Results!X1367</f>
        <v>1.3308967856653526</v>
      </c>
      <c r="V6" s="1">
        <f>[1]Results!Y1367</f>
        <v>1.3856794108098485</v>
      </c>
      <c r="W6" s="1">
        <f>[1]Results!Z1367</f>
        <v>1.4355966533573103</v>
      </c>
      <c r="X6" s="1">
        <f>[1]Results!AA1367</f>
        <v>1.4699900567291049</v>
      </c>
      <c r="Y6" s="1">
        <f>[1]Results!AB1367</f>
        <v>1.4972709056981282</v>
      </c>
      <c r="Z6" s="1">
        <f>[1]Results!AC1367</f>
        <v>1.5185337464158259</v>
      </c>
      <c r="AA6" s="1">
        <f>[1]Results!AD1367</f>
        <v>1.5331187077395521</v>
      </c>
      <c r="AB6" s="1">
        <f>[1]Results!AE1367</f>
        <v>1.5412641607340583</v>
      </c>
      <c r="AC6" s="1">
        <f>[1]Results!AF1367</f>
        <v>1.5407820262878167</v>
      </c>
      <c r="AD6" s="1">
        <f>[1]Results!AG1367</f>
        <v>1.5332148740158547</v>
      </c>
      <c r="AE6" s="1">
        <f>[1]Results!AH1367</f>
        <v>1.5213423393726369</v>
      </c>
      <c r="AF6" s="1">
        <f>[1]Results!AI1367</f>
        <v>1.5066606974437642</v>
      </c>
      <c r="AG6" s="1">
        <f>[1]Results!AJ1367</f>
        <v>1.4901790350039132</v>
      </c>
      <c r="AH6" s="1">
        <f>[1]Results!AK1367</f>
        <v>1.4677989565802432</v>
      </c>
      <c r="AI6" s="1">
        <f>[1]Results!AL1367</f>
        <v>1.4442634856648888</v>
      </c>
      <c r="AJ6" s="1">
        <f>[1]Results!AM1367</f>
        <v>1.4197035074791058</v>
      </c>
      <c r="AK6" s="1">
        <f>[1]Results!AN1367</f>
        <v>1.3940123967153135</v>
      </c>
      <c r="AL6" s="1">
        <f>[1]Results!AO1367</f>
        <v>1.3673327973781411</v>
      </c>
    </row>
    <row r="7" spans="1:38" x14ac:dyDescent="0.35">
      <c r="A7" s="3" t="str">
        <f>[1]Results!E1368</f>
        <v>100*((CH_cveh_2-CH_cveh_0)/GDP_0)</v>
      </c>
      <c r="B7" t="str">
        <f>[1]Results!C1368</f>
        <v>Consommation des ménages automobile</v>
      </c>
      <c r="C7" s="1">
        <f>[1]Results!F1368</f>
        <v>0</v>
      </c>
      <c r="D7" s="1">
        <f>[1]Results!G1368</f>
        <v>0</v>
      </c>
      <c r="E7" s="1">
        <f>[1]Results!H1368</f>
        <v>4.4196295484196856E-10</v>
      </c>
      <c r="F7" s="1">
        <f>[1]Results!I1368</f>
        <v>1.3081944518465467E-9</v>
      </c>
      <c r="G7" s="1">
        <f>[1]Results!J1368</f>
        <v>2.1467598565547054E-9</v>
      </c>
      <c r="H7" s="1">
        <f>[1]Results!K1368</f>
        <v>2.5248195794180827E-9</v>
      </c>
      <c r="I7" s="1">
        <f>[1]Results!L1368</f>
        <v>2.473969843673251E-9</v>
      </c>
      <c r="J7" s="1">
        <f>[1]Results!M1368</f>
        <v>-1.4970577202568062E-2</v>
      </c>
      <c r="K7" s="1">
        <f>[1]Results!N1368</f>
        <v>-4.0054730106928928E-2</v>
      </c>
      <c r="L7" s="1">
        <f>[1]Results!O1368</f>
        <v>-7.0719064588730118E-2</v>
      </c>
      <c r="M7" s="1">
        <f>[1]Results!P1368</f>
        <v>-0.10783863037741589</v>
      </c>
      <c r="N7" s="1">
        <f>[1]Results!Q1368</f>
        <v>-9.9211323565428514E-2</v>
      </c>
      <c r="O7" s="1">
        <f>[1]Results!R1368</f>
        <v>-6.8798451367197602E-2</v>
      </c>
      <c r="P7" s="1">
        <f>[1]Results!S1368</f>
        <v>-3.8905279915757096E-2</v>
      </c>
      <c r="Q7" s="1">
        <f>[1]Results!T1368</f>
        <v>-1.7459030835918484E-2</v>
      </c>
      <c r="R7" s="1">
        <f>[1]Results!U1368</f>
        <v>-4.9551059857544551E-3</v>
      </c>
      <c r="S7" s="1">
        <f>[1]Results!V1368</f>
        <v>-2.9022303959294268E-3</v>
      </c>
      <c r="T7" s="1">
        <f>[1]Results!W1368</f>
        <v>-5.5383609088174744E-3</v>
      </c>
      <c r="U7" s="1">
        <f>[1]Results!X1368</f>
        <v>-8.4641129852355435E-3</v>
      </c>
      <c r="V7" s="1">
        <f>[1]Results!Y1368</f>
        <v>-8.8607292953660696E-3</v>
      </c>
      <c r="W7" s="1">
        <f>[1]Results!Z1368</f>
        <v>-8.2335546132060455E-3</v>
      </c>
      <c r="X7" s="1">
        <f>[1]Results!AA1368</f>
        <v>-4.1321624042498601E-3</v>
      </c>
      <c r="Y7" s="1">
        <f>[1]Results!AB1368</f>
        <v>3.4698626370622057E-4</v>
      </c>
      <c r="Z7" s="1">
        <f>[1]Results!AC1368</f>
        <v>3.5356636738004396E-3</v>
      </c>
      <c r="AA7" s="1">
        <f>[1]Results!AD1368</f>
        <v>4.9883398715337727E-3</v>
      </c>
      <c r="AB7" s="1">
        <f>[1]Results!AE1368</f>
        <v>4.7801162606143392E-3</v>
      </c>
      <c r="AC7" s="1">
        <f>[1]Results!AF1368</f>
        <v>4.121142431168217E-3</v>
      </c>
      <c r="AD7" s="1">
        <f>[1]Results!AG1368</f>
        <v>2.3132154471448454E-3</v>
      </c>
      <c r="AE7" s="1">
        <f>[1]Results!AH1368</f>
        <v>-8.3759575730763273E-4</v>
      </c>
      <c r="AF7" s="1">
        <f>[1]Results!AI1368</f>
        <v>-5.1570404144423891E-3</v>
      </c>
      <c r="AG7" s="1">
        <f>[1]Results!AJ1368</f>
        <v>-1.0372619221212895E-2</v>
      </c>
      <c r="AH7" s="1">
        <f>[1]Results!AK1368</f>
        <v>-1.5774014568344524E-2</v>
      </c>
      <c r="AI7" s="1">
        <f>[1]Results!AL1368</f>
        <v>-2.1562085140581153E-2</v>
      </c>
      <c r="AJ7" s="1">
        <f>[1]Results!AM1368</f>
        <v>-2.7823007476262269E-2</v>
      </c>
      <c r="AK7" s="1">
        <f>[1]Results!AN1368</f>
        <v>-3.4485794928611764E-2</v>
      </c>
      <c r="AL7" s="1">
        <f>[1]Results!AO1368</f>
        <v>-4.1403680760889669E-2</v>
      </c>
    </row>
    <row r="8" spans="1:38" x14ac:dyDescent="0.35">
      <c r="A8" s="3" t="str">
        <f>[1]Results!E1369</f>
        <v>100*((G_2-G_0)/GDP_0)</v>
      </c>
      <c r="B8" t="str">
        <f>[1]Results!C1369</f>
        <v>Dépenses publiques</v>
      </c>
      <c r="C8" s="1">
        <f>[1]Results!F1369</f>
        <v>0</v>
      </c>
      <c r="D8" s="1">
        <f>[1]Results!G1369</f>
        <v>0</v>
      </c>
      <c r="E8" s="1">
        <f>[1]Results!H1369</f>
        <v>0</v>
      </c>
      <c r="F8" s="1">
        <f>[1]Results!I1369</f>
        <v>0</v>
      </c>
      <c r="G8" s="1">
        <f>[1]Results!J1369</f>
        <v>0</v>
      </c>
      <c r="H8" s="1">
        <f>[1]Results!K1369</f>
        <v>0</v>
      </c>
      <c r="I8" s="1">
        <f>[1]Results!L1369</f>
        <v>0</v>
      </c>
      <c r="J8" s="1">
        <f>[1]Results!M1369</f>
        <v>0</v>
      </c>
      <c r="K8" s="1">
        <f>[1]Results!N1369</f>
        <v>0</v>
      </c>
      <c r="L8" s="1">
        <f>[1]Results!O1369</f>
        <v>0</v>
      </c>
      <c r="M8" s="1">
        <f>[1]Results!P1369</f>
        <v>0</v>
      </c>
      <c r="N8" s="1">
        <f>[1]Results!Q1369</f>
        <v>0</v>
      </c>
      <c r="O8" s="1">
        <f>[1]Results!R1369</f>
        <v>0</v>
      </c>
      <c r="P8" s="1">
        <f>[1]Results!S1369</f>
        <v>0</v>
      </c>
      <c r="Q8" s="1">
        <f>[1]Results!T1369</f>
        <v>0</v>
      </c>
      <c r="R8" s="1">
        <f>[1]Results!U1369</f>
        <v>0</v>
      </c>
      <c r="S8" s="1">
        <f>[1]Results!V1369</f>
        <v>0</v>
      </c>
      <c r="T8" s="1">
        <f>[1]Results!W1369</f>
        <v>0</v>
      </c>
      <c r="U8" s="1">
        <f>[1]Results!X1369</f>
        <v>0</v>
      </c>
      <c r="V8" s="1">
        <f>[1]Results!Y1369</f>
        <v>0</v>
      </c>
      <c r="W8" s="1">
        <f>[1]Results!Z1369</f>
        <v>0</v>
      </c>
      <c r="X8" s="1">
        <f>[1]Results!AA1369</f>
        <v>0</v>
      </c>
      <c r="Y8" s="1">
        <f>[1]Results!AB1369</f>
        <v>0</v>
      </c>
      <c r="Z8" s="1">
        <f>[1]Results!AC1369</f>
        <v>0</v>
      </c>
      <c r="AA8" s="1">
        <f>[1]Results!AD1369</f>
        <v>0</v>
      </c>
      <c r="AB8" s="1">
        <f>[1]Results!AE1369</f>
        <v>0</v>
      </c>
      <c r="AC8" s="1">
        <f>[1]Results!AF1369</f>
        <v>0</v>
      </c>
      <c r="AD8" s="1">
        <f>[1]Results!AG1369</f>
        <v>0</v>
      </c>
      <c r="AE8" s="1">
        <f>[1]Results!AH1369</f>
        <v>0</v>
      </c>
      <c r="AF8" s="1">
        <f>[1]Results!AI1369</f>
        <v>0</v>
      </c>
      <c r="AG8" s="1">
        <f>[1]Results!AJ1369</f>
        <v>0</v>
      </c>
      <c r="AH8" s="1">
        <f>[1]Results!AK1369</f>
        <v>0</v>
      </c>
      <c r="AI8" s="1">
        <f>[1]Results!AL1369</f>
        <v>0</v>
      </c>
      <c r="AJ8" s="1">
        <f>[1]Results!AM1369</f>
        <v>0</v>
      </c>
      <c r="AK8" s="1">
        <f>[1]Results!AN1369</f>
        <v>0</v>
      </c>
      <c r="AL8" s="1">
        <f>[1]Results!AO1369</f>
        <v>0</v>
      </c>
    </row>
    <row r="9" spans="1:38" x14ac:dyDescent="0.35">
      <c r="A9" s="3" t="str">
        <f>[1]Results!E1370</f>
        <v>100*((I_2-I_0)/GDP_0)</v>
      </c>
      <c r="B9" t="str">
        <f>[1]Results!C1370</f>
        <v>Investissement</v>
      </c>
      <c r="C9" s="1">
        <f>[1]Results!F1370</f>
        <v>0</v>
      </c>
      <c r="D9" s="1">
        <f>[1]Results!G1370</f>
        <v>0</v>
      </c>
      <c r="E9" s="1">
        <f>[1]Results!H1370</f>
        <v>-4.4196282621386305E-9</v>
      </c>
      <c r="F9" s="1">
        <f>[1]Results!I1370</f>
        <v>-8.721298037798094E-9</v>
      </c>
      <c r="G9" s="1">
        <f>[1]Results!J1370</f>
        <v>-1.2880559139328231E-8</v>
      </c>
      <c r="H9" s="1">
        <f>[1]Results!K1370</f>
        <v>-1.6832129712988176E-8</v>
      </c>
      <c r="I9" s="1">
        <f>[1]Results!L1370</f>
        <v>-1.6493131491132873E-8</v>
      </c>
      <c r="J9" s="1">
        <f>[1]Results!M1370</f>
        <v>-2.1258167479172828E-2</v>
      </c>
      <c r="K9" s="1">
        <f>[1]Results!N1370</f>
        <v>-7.0542610297359115E-2</v>
      </c>
      <c r="L9" s="1">
        <f>[1]Results!O1370</f>
        <v>-0.15150897251097042</v>
      </c>
      <c r="M9" s="1">
        <f>[1]Results!P1370</f>
        <v>-0.26501931878145374</v>
      </c>
      <c r="N9" s="1">
        <f>[1]Results!Q1370</f>
        <v>-0.36924491913910024</v>
      </c>
      <c r="O9" s="1">
        <f>[1]Results!R1370</f>
        <v>-0.45529527094713512</v>
      </c>
      <c r="P9" s="1">
        <f>[1]Results!S1370</f>
        <v>-0.52113702589122735</v>
      </c>
      <c r="Q9" s="1">
        <f>[1]Results!T1370</f>
        <v>-0.57006349768558717</v>
      </c>
      <c r="R9" s="1">
        <f>[1]Results!U1370</f>
        <v>-0.60682255192043566</v>
      </c>
      <c r="S9" s="1">
        <f>[1]Results!V1370</f>
        <v>-0.63721433873330824</v>
      </c>
      <c r="T9" s="1">
        <f>[1]Results!W1370</f>
        <v>-0.66345537935040066</v>
      </c>
      <c r="U9" s="1">
        <f>[1]Results!X1370</f>
        <v>-0.68651622257051792</v>
      </c>
      <c r="V9" s="1">
        <f>[1]Results!Y1370</f>
        <v>-0.70601092100770191</v>
      </c>
      <c r="W9" s="1">
        <f>[1]Results!Z1370</f>
        <v>-0.72188094352838938</v>
      </c>
      <c r="X9" s="1">
        <f>[1]Results!AA1370</f>
        <v>-0.73320742499717573</v>
      </c>
      <c r="Y9" s="1">
        <f>[1]Results!AB1370</f>
        <v>-0.7400053293161063</v>
      </c>
      <c r="Z9" s="1">
        <f>[1]Results!AC1370</f>
        <v>-0.74301197777203087</v>
      </c>
      <c r="AA9" s="1">
        <f>[1]Results!AD1370</f>
        <v>-0.74312938943621332</v>
      </c>
      <c r="AB9" s="1">
        <f>[1]Results!AE1370</f>
        <v>-0.74116597978534593</v>
      </c>
      <c r="AC9" s="1">
        <f>[1]Results!AF1370</f>
        <v>-0.73901398842176058</v>
      </c>
      <c r="AD9" s="1">
        <f>[1]Results!AG1370</f>
        <v>-0.73589851408573115</v>
      </c>
      <c r="AE9" s="1">
        <f>[1]Results!AH1370</f>
        <v>-0.7327930697344206</v>
      </c>
      <c r="AF9" s="1">
        <f>[1]Results!AI1370</f>
        <v>-0.73024310344122045</v>
      </c>
      <c r="AG9" s="1">
        <f>[1]Results!AJ1370</f>
        <v>-0.72856727865609017</v>
      </c>
      <c r="AH9" s="1">
        <f>[1]Results!AK1370</f>
        <v>-0.72664447098176144</v>
      </c>
      <c r="AI9" s="1">
        <f>[1]Results!AL1370</f>
        <v>-0.72526701808801119</v>
      </c>
      <c r="AJ9" s="1">
        <f>[1]Results!AM1370</f>
        <v>-0.72423837517932321</v>
      </c>
      <c r="AK9" s="1">
        <f>[1]Results!AN1370</f>
        <v>-0.72365581335185492</v>
      </c>
      <c r="AL9" s="1">
        <f>[1]Results!AO1370</f>
        <v>-0.72372171750784942</v>
      </c>
    </row>
    <row r="10" spans="1:38" x14ac:dyDescent="0.35">
      <c r="A10" s="3" t="str">
        <f>[1]Results!E1371</f>
        <v>100*((DS_2-DS_0)/GDP_0)</v>
      </c>
      <c r="B10" t="str">
        <f>[1]Results!C1371</f>
        <v>Variations de stocks</v>
      </c>
      <c r="C10" s="1">
        <f>[1]Results!F1371</f>
        <v>0</v>
      </c>
      <c r="D10" s="1">
        <f>[1]Results!G1371</f>
        <v>0</v>
      </c>
      <c r="E10" s="1">
        <f>[1]Results!H1371</f>
        <v>0</v>
      </c>
      <c r="F10" s="1">
        <f>[1]Results!I1371</f>
        <v>0</v>
      </c>
      <c r="G10" s="1">
        <f>[1]Results!J1371</f>
        <v>0</v>
      </c>
      <c r="H10" s="1">
        <f>[1]Results!K1371</f>
        <v>0</v>
      </c>
      <c r="I10" s="1">
        <f>[1]Results!L1371</f>
        <v>0</v>
      </c>
      <c r="J10" s="1">
        <f>[1]Results!M1371</f>
        <v>0</v>
      </c>
      <c r="K10" s="1">
        <f>[1]Results!N1371</f>
        <v>0</v>
      </c>
      <c r="L10" s="1">
        <f>[1]Results!O1371</f>
        <v>0</v>
      </c>
      <c r="M10" s="1">
        <f>[1]Results!P1371</f>
        <v>0</v>
      </c>
      <c r="N10" s="1">
        <f>[1]Results!Q1371</f>
        <v>0</v>
      </c>
      <c r="O10" s="1">
        <f>[1]Results!R1371</f>
        <v>0</v>
      </c>
      <c r="P10" s="1">
        <f>[1]Results!S1371</f>
        <v>0</v>
      </c>
      <c r="Q10" s="1">
        <f>[1]Results!T1371</f>
        <v>0</v>
      </c>
      <c r="R10" s="1">
        <f>[1]Results!U1371</f>
        <v>0</v>
      </c>
      <c r="S10" s="1">
        <f>[1]Results!V1371</f>
        <v>0</v>
      </c>
      <c r="T10" s="1">
        <f>[1]Results!W1371</f>
        <v>0</v>
      </c>
      <c r="U10" s="1">
        <f>[1]Results!X1371</f>
        <v>0</v>
      </c>
      <c r="V10" s="1">
        <f>[1]Results!Y1371</f>
        <v>0</v>
      </c>
      <c r="W10" s="1">
        <f>[1]Results!Z1371</f>
        <v>0</v>
      </c>
      <c r="X10" s="1">
        <f>[1]Results!AA1371</f>
        <v>0</v>
      </c>
      <c r="Y10" s="1">
        <f>[1]Results!AB1371</f>
        <v>0</v>
      </c>
      <c r="Z10" s="1">
        <f>[1]Results!AC1371</f>
        <v>0</v>
      </c>
      <c r="AA10" s="1">
        <f>[1]Results!AD1371</f>
        <v>0</v>
      </c>
      <c r="AB10" s="1">
        <f>[1]Results!AE1371</f>
        <v>0</v>
      </c>
      <c r="AC10" s="1">
        <f>[1]Results!AF1371</f>
        <v>0</v>
      </c>
      <c r="AD10" s="1">
        <f>[1]Results!AG1371</f>
        <v>0</v>
      </c>
      <c r="AE10" s="1">
        <f>[1]Results!AH1371</f>
        <v>0</v>
      </c>
      <c r="AF10" s="1">
        <f>[1]Results!AI1371</f>
        <v>0</v>
      </c>
      <c r="AG10" s="1">
        <f>[1]Results!AJ1371</f>
        <v>0</v>
      </c>
      <c r="AH10" s="1">
        <f>[1]Results!AK1371</f>
        <v>0</v>
      </c>
      <c r="AI10" s="1">
        <f>[1]Results!AL1371</f>
        <v>0</v>
      </c>
      <c r="AJ10" s="1">
        <f>[1]Results!AM1371</f>
        <v>0</v>
      </c>
      <c r="AK10" s="1">
        <f>[1]Results!AN1371</f>
        <v>0</v>
      </c>
      <c r="AL10" s="1">
        <f>[1]Results!AO1371</f>
        <v>0</v>
      </c>
    </row>
    <row r="11" spans="1:38" x14ac:dyDescent="0.35">
      <c r="A11" s="3" t="str">
        <f>[1]Results!E1372</f>
        <v>100*((X_2-X_0)/GDP_0)-100*((M_2-M_0)/GDP_0)</v>
      </c>
      <c r="B11" t="str">
        <f>[1]Results!C1372</f>
        <v>Exportations nettes</v>
      </c>
      <c r="C11" s="1">
        <f>[1]Results!F1372</f>
        <v>-4.550762435400134E-9</v>
      </c>
      <c r="D11" s="1">
        <f>[1]Results!G1372</f>
        <v>0</v>
      </c>
      <c r="E11" s="1">
        <f>[1]Results!H1372</f>
        <v>-4.4196256895765199E-9</v>
      </c>
      <c r="F11" s="1">
        <f>[1]Results!I1372</f>
        <v>0</v>
      </c>
      <c r="G11" s="1">
        <f>[1]Results!J1372</f>
        <v>0</v>
      </c>
      <c r="H11" s="1">
        <f>[1]Results!K1372</f>
        <v>0</v>
      </c>
      <c r="I11" s="1">
        <f>[1]Results!L1372</f>
        <v>0</v>
      </c>
      <c r="J11" s="1">
        <f>[1]Results!M1372</f>
        <v>6.2230729008006924E-3</v>
      </c>
      <c r="K11" s="1">
        <f>[1]Results!N1372</f>
        <v>2.2474397822888983E-2</v>
      </c>
      <c r="L11" s="1">
        <f>[1]Results!O1372</f>
        <v>4.5348320951339456E-2</v>
      </c>
      <c r="M11" s="1">
        <f>[1]Results!P1372</f>
        <v>7.1749883647591953E-2</v>
      </c>
      <c r="N11" s="1">
        <f>[1]Results!Q1372</f>
        <v>9.172520919564979E-2</v>
      </c>
      <c r="O11" s="1">
        <f>[1]Results!R1372</f>
        <v>9.2414533320499578E-2</v>
      </c>
      <c r="P11" s="1">
        <f>[1]Results!S1372</f>
        <v>8.1037458261317655E-2</v>
      </c>
      <c r="Q11" s="1">
        <f>[1]Results!T1372</f>
        <v>6.5735136904645303E-2</v>
      </c>
      <c r="R11" s="1">
        <f>[1]Results!U1372</f>
        <v>5.1430076142303632E-2</v>
      </c>
      <c r="S11" s="1">
        <f>[1]Results!V1372</f>
        <v>4.2050123534072475E-2</v>
      </c>
      <c r="T11" s="1">
        <f>[1]Results!W1372</f>
        <v>3.6130322290154247E-2</v>
      </c>
      <c r="U11" s="1">
        <f>[1]Results!X1372</f>
        <v>3.3476760397849026E-2</v>
      </c>
      <c r="V11" s="1">
        <f>[1]Results!Y1372</f>
        <v>3.549812825754313E-2</v>
      </c>
      <c r="W11" s="1">
        <f>[1]Results!Z1372</f>
        <v>3.7290669659707239E-2</v>
      </c>
      <c r="X11" s="1">
        <f>[1]Results!AA1372</f>
        <v>3.8826612519417505E-2</v>
      </c>
      <c r="Y11" s="1">
        <f>[1]Results!AB1372</f>
        <v>4.0117860677449053E-2</v>
      </c>
      <c r="Z11" s="1">
        <f>[1]Results!AC1372</f>
        <v>4.2059941879316186E-2</v>
      </c>
      <c r="AA11" s="1">
        <f>[1]Results!AD1372</f>
        <v>4.5446143714411316E-2</v>
      </c>
      <c r="AB11" s="1">
        <f>[1]Results!AE1372</f>
        <v>5.0624679097040201E-2</v>
      </c>
      <c r="AC11" s="1">
        <f>[1]Results!AF1372</f>
        <v>5.7581153010138567E-2</v>
      </c>
      <c r="AD11" s="1">
        <f>[1]Results!AG1372</f>
        <v>6.6358039125517423E-2</v>
      </c>
      <c r="AE11" s="1">
        <f>[1]Results!AH1372</f>
        <v>7.7005159353028818E-2</v>
      </c>
      <c r="AF11" s="1">
        <f>[1]Results!AI1372</f>
        <v>8.9368168342160645E-2</v>
      </c>
      <c r="AG11" s="1">
        <f>[1]Results!AJ1372</f>
        <v>0.10317874647448429</v>
      </c>
      <c r="AH11" s="1">
        <f>[1]Results!AK1372</f>
        <v>0.11832529831276466</v>
      </c>
      <c r="AI11" s="1">
        <f>[1]Results!AL1372</f>
        <v>0.13410003792450492</v>
      </c>
      <c r="AJ11" s="1">
        <f>[1]Results!AM1372</f>
        <v>0.15021521453839393</v>
      </c>
      <c r="AK11" s="1">
        <f>[1]Results!AN1372</f>
        <v>0.166533299193589</v>
      </c>
      <c r="AL11" s="1">
        <f>[1]Results!AO1372</f>
        <v>0.1828926724724419</v>
      </c>
    </row>
    <row r="12" spans="1:38" x14ac:dyDescent="0.35">
      <c r="A12" s="3" t="str">
        <f>[1]Results!E1373</f>
        <v>100*((CH_2-CH_ccon_2-(CH_0-CH_ccon_0))/GDP_0)</v>
      </c>
      <c r="B12" t="str">
        <f>[1]Results!C1373</f>
        <v>Consommation des ménages</v>
      </c>
      <c r="C12" s="1">
        <f>[1]Results!F1373</f>
        <v>0</v>
      </c>
      <c r="D12" s="1">
        <f>[1]Results!G1373</f>
        <v>0</v>
      </c>
      <c r="E12" s="1">
        <f>[1]Results!H1373</f>
        <v>4.4196277476262082E-8</v>
      </c>
      <c r="F12" s="1">
        <f>[1]Results!I1373</f>
        <v>0</v>
      </c>
      <c r="G12" s="1">
        <f>[1]Results!J1373</f>
        <v>0</v>
      </c>
      <c r="H12" s="1">
        <f>[1]Results!K1373</f>
        <v>4.2080319383676182E-8</v>
      </c>
      <c r="I12" s="1">
        <f>[1]Results!L1373</f>
        <v>4.1232823927699385E-8</v>
      </c>
      <c r="J12" s="1">
        <f>[1]Results!M1373</f>
        <v>6.1162494080176252E-2</v>
      </c>
      <c r="K12" s="1">
        <f>[1]Results!N1373</f>
        <v>0.16337581762882281</v>
      </c>
      <c r="L12" s="1">
        <f>[1]Results!O1373</f>
        <v>0.32034887852006072</v>
      </c>
      <c r="M12" s="1">
        <f>[1]Results!P1373</f>
        <v>0.55214462156655719</v>
      </c>
      <c r="N12" s="1">
        <f>[1]Results!Q1373</f>
        <v>0.66592330926420573</v>
      </c>
      <c r="O12" s="1">
        <f>[1]Results!R1373</f>
        <v>0.77640165340261491</v>
      </c>
      <c r="P12" s="1">
        <f>[1]Results!S1373</f>
        <v>0.89266613211004486</v>
      </c>
      <c r="Q12" s="1">
        <f>[1]Results!T1373</f>
        <v>1.0021064954642753</v>
      </c>
      <c r="R12" s="1">
        <f>[1]Results!U1373</f>
        <v>1.0958758349067776</v>
      </c>
      <c r="S12" s="1">
        <f>[1]Results!V1373</f>
        <v>1.1811519753310304</v>
      </c>
      <c r="T12" s="1">
        <f>[1]Results!W1373</f>
        <v>1.2541706971845095</v>
      </c>
      <c r="U12" s="1">
        <f>[1]Results!X1373</f>
        <v>1.3173218305769441</v>
      </c>
      <c r="V12" s="1">
        <f>[1]Results!Y1373</f>
        <v>1.3709112819495313</v>
      </c>
      <c r="W12" s="1">
        <f>[1]Results!Z1373</f>
        <v>1.4198616553152068</v>
      </c>
      <c r="X12" s="1">
        <f>[1]Results!AA1373</f>
        <v>1.4536093311904423</v>
      </c>
      <c r="Y12" s="1">
        <f>[1]Results!AB1373</f>
        <v>1.4803739660907029</v>
      </c>
      <c r="Z12" s="1">
        <f>[1]Results!AC1373</f>
        <v>1.5012360860903768</v>
      </c>
      <c r="AA12" s="1">
        <f>[1]Results!AD1373</f>
        <v>1.5155680503963271</v>
      </c>
      <c r="AB12" s="1">
        <f>[1]Results!AE1373</f>
        <v>1.5236134312147307</v>
      </c>
      <c r="AC12" s="1">
        <f>[1]Results!AF1373</f>
        <v>1.5232438081645963</v>
      </c>
      <c r="AD12" s="1">
        <f>[1]Results!AG1373</f>
        <v>1.5159576317755488</v>
      </c>
      <c r="AE12" s="1">
        <f>[1]Results!AH1373</f>
        <v>1.5044927603788414</v>
      </c>
      <c r="AF12" s="1">
        <f>[1]Results!AI1373</f>
        <v>1.4903162348237324</v>
      </c>
      <c r="AG12" s="1">
        <f>[1]Results!AJ1373</f>
        <v>1.4744084180411554</v>
      </c>
      <c r="AH12" s="1">
        <f>[1]Results!AK1373</f>
        <v>1.4526880965964377</v>
      </c>
      <c r="AI12" s="1">
        <f>[1]Results!AL1373</f>
        <v>1.429809392383411</v>
      </c>
      <c r="AJ12" s="1">
        <f>[1]Results!AM1373</f>
        <v>1.4058906195209482</v>
      </c>
      <c r="AK12" s="1">
        <f>[1]Results!AN1373</f>
        <v>1.3808295483541269</v>
      </c>
      <c r="AL12" s="1">
        <f>[1]Results!AO1373</f>
        <v>1.3547744088128104</v>
      </c>
    </row>
    <row r="13" spans="1:38" x14ac:dyDescent="0.35">
      <c r="A13" s="3" t="str">
        <f>[1]Results!E1374</f>
        <v>100*((I_2+CH_ccon_2-(I_0+CH_ccon_0))/GDP_0)</v>
      </c>
      <c r="B13" t="str">
        <f>[1]Results!C1374</f>
        <v>Investissement</v>
      </c>
      <c r="C13" s="1">
        <f>[1]Results!F1374</f>
        <v>0</v>
      </c>
      <c r="D13" s="1">
        <f>[1]Results!G1374</f>
        <v>0</v>
      </c>
      <c r="E13" s="1">
        <f>[1]Results!H1374</f>
        <v>-4.4196282621386305E-9</v>
      </c>
      <c r="F13" s="1">
        <f>[1]Results!I1374</f>
        <v>-8.721298037798094E-9</v>
      </c>
      <c r="G13" s="1">
        <f>[1]Results!J1374</f>
        <v>-1.2880559139328231E-8</v>
      </c>
      <c r="H13" s="1">
        <f>[1]Results!K1374</f>
        <v>-1.6832129712988176E-8</v>
      </c>
      <c r="I13" s="1">
        <f>[1]Results!L1374</f>
        <v>-1.6493131491132873E-8</v>
      </c>
      <c r="J13" s="1">
        <f>[1]Results!M1374</f>
        <v>-2.0839728083181585E-2</v>
      </c>
      <c r="K13" s="1">
        <f>[1]Results!N1374</f>
        <v>-6.9937514021225583E-2</v>
      </c>
      <c r="L13" s="1">
        <f>[1]Results!O1374</f>
        <v>-0.1507709609996154</v>
      </c>
      <c r="M13" s="1">
        <f>[1]Results!P1374</f>
        <v>-0.26376247240112743</v>
      </c>
      <c r="N13" s="1">
        <f>[1]Results!Q1374</f>
        <v>-0.36889227161713606</v>
      </c>
      <c r="O13" s="1">
        <f>[1]Results!R1374</f>
        <v>-0.45457419052327686</v>
      </c>
      <c r="P13" s="1">
        <f>[1]Results!S1374</f>
        <v>-0.51866482391415569</v>
      </c>
      <c r="Q13" s="1">
        <f>[1]Results!T1374</f>
        <v>-0.56511708107429026</v>
      </c>
      <c r="R13" s="1">
        <f>[1]Results!U1374</f>
        <v>-0.59929477823025368</v>
      </c>
      <c r="S13" s="1">
        <f>[1]Results!V1374</f>
        <v>-0.6272490049670536</v>
      </c>
      <c r="T13" s="1">
        <f>[1]Results!W1374</f>
        <v>-0.65146780553561578</v>
      </c>
      <c r="U13" s="1">
        <f>[1]Results!X1374</f>
        <v>-0.67294126748210559</v>
      </c>
      <c r="V13" s="1">
        <f>[1]Results!Y1374</f>
        <v>-0.69124279214738826</v>
      </c>
      <c r="W13" s="1">
        <f>[1]Results!Z1374</f>
        <v>-0.70614594548628207</v>
      </c>
      <c r="X13" s="1">
        <f>[1]Results!AA1374</f>
        <v>-0.71682669945851651</v>
      </c>
      <c r="Y13" s="1">
        <f>[1]Results!AB1374</f>
        <v>-0.72310838970868108</v>
      </c>
      <c r="Z13" s="1">
        <f>[1]Results!AC1374</f>
        <v>-0.72571431744658188</v>
      </c>
      <c r="AA13" s="1">
        <f>[1]Results!AD1374</f>
        <v>-0.72557873209298851</v>
      </c>
      <c r="AB13" s="1">
        <f>[1]Results!AE1374</f>
        <v>-0.72351525026602159</v>
      </c>
      <c r="AC13" s="1">
        <f>[1]Results!AF1374</f>
        <v>-0.72147577029854026</v>
      </c>
      <c r="AD13" s="1">
        <f>[1]Results!AG1374</f>
        <v>-0.71864127184542514</v>
      </c>
      <c r="AE13" s="1">
        <f>[1]Results!AH1374</f>
        <v>-0.71594349074062202</v>
      </c>
      <c r="AF13" s="1">
        <f>[1]Results!AI1374</f>
        <v>-0.71389864082119492</v>
      </c>
      <c r="AG13" s="1">
        <f>[1]Results!AJ1374</f>
        <v>-0.71279666169333211</v>
      </c>
      <c r="AH13" s="1">
        <f>[1]Results!AK1374</f>
        <v>-0.71153361099795609</v>
      </c>
      <c r="AI13" s="1">
        <f>[1]Results!AL1374</f>
        <v>-0.71081292480652747</v>
      </c>
      <c r="AJ13" s="1">
        <f>[1]Results!AM1374</f>
        <v>-0.71042548722117149</v>
      </c>
      <c r="AK13" s="1">
        <f>[1]Results!AN1374</f>
        <v>-0.71047296499066526</v>
      </c>
      <c r="AL13" s="1">
        <f>[1]Results!AO1374</f>
        <v>-0.71116332894251599</v>
      </c>
    </row>
    <row r="14" spans="1:38" x14ac:dyDescent="0.35">
      <c r="A14" s="3" t="str">
        <f>[1]Results!E1375</f>
        <v>100*((I_2-IA_spub_2-(I_0-IA_spub_0))/GDP_0)</v>
      </c>
      <c r="B14" t="str">
        <f>[1]Results!C1375</f>
        <v>Investissement entreprises</v>
      </c>
      <c r="C14" s="1">
        <f>[1]Results!F1375</f>
        <v>0</v>
      </c>
      <c r="D14" s="1">
        <f>[1]Results!G1375</f>
        <v>4.4821681925473263E-10</v>
      </c>
      <c r="E14" s="1">
        <f>[1]Results!H1375</f>
        <v>-3.535701066173638E-9</v>
      </c>
      <c r="F14" s="1">
        <f>[1]Results!I1375</f>
        <v>-7.4131035859515465E-9</v>
      </c>
      <c r="G14" s="1">
        <f>[1]Results!J1375</f>
        <v>-1.159250097615386E-8</v>
      </c>
      <c r="H14" s="1">
        <f>[1]Results!K1375</f>
        <v>-1.5569720229453777E-8</v>
      </c>
      <c r="I14" s="1">
        <f>[1]Results!L1375</f>
        <v>-1.5256146869304548E-8</v>
      </c>
      <c r="J14" s="1">
        <f>[1]Results!M1375</f>
        <v>-1.8987660125099972E-2</v>
      </c>
      <c r="K14" s="1">
        <f>[1]Results!N1375</f>
        <v>-6.346727400431032E-2</v>
      </c>
      <c r="L14" s="1">
        <f>[1]Results!O1375</f>
        <v>-0.13696375407640099</v>
      </c>
      <c r="M14" s="1">
        <f>[1]Results!P1375</f>
        <v>-0.24033401300089249</v>
      </c>
      <c r="N14" s="1">
        <f>[1]Results!Q1375</f>
        <v>-0.33661686188089684</v>
      </c>
      <c r="O14" s="1">
        <f>[1]Results!R1375</f>
        <v>-0.41684672018296143</v>
      </c>
      <c r="P14" s="1">
        <f>[1]Results!S1375</f>
        <v>-0.47865051796033892</v>
      </c>
      <c r="Q14" s="1">
        <f>[1]Results!T1375</f>
        <v>-0.52486795877515646</v>
      </c>
      <c r="R14" s="1">
        <f>[1]Results!U1375</f>
        <v>-0.55984887129185201</v>
      </c>
      <c r="S14" s="1">
        <f>[1]Results!V1375</f>
        <v>-0.58891560334667892</v>
      </c>
      <c r="T14" s="1">
        <f>[1]Results!W1375</f>
        <v>-0.6141738098941123</v>
      </c>
      <c r="U14" s="1">
        <f>[1]Results!X1375</f>
        <v>-0.6365449946599383</v>
      </c>
      <c r="V14" s="1">
        <f>[1]Results!Y1375</f>
        <v>-0.65567545614814604</v>
      </c>
      <c r="W14" s="1">
        <f>[1]Results!Z1375</f>
        <v>-0.67147701267005155</v>
      </c>
      <c r="X14" s="1">
        <f>[1]Results!AA1375</f>
        <v>-0.68311426383181606</v>
      </c>
      <c r="Y14" s="1">
        <f>[1]Results!AB1375</f>
        <v>-0.69054092024747582</v>
      </c>
      <c r="Z14" s="1">
        <f>[1]Results!AC1375</f>
        <v>-0.69440311314483438</v>
      </c>
      <c r="AA14" s="1">
        <f>[1]Results!AD1375</f>
        <v>-0.69552008447809333</v>
      </c>
      <c r="AB14" s="1">
        <f>[1]Results!AE1375</f>
        <v>-0.69463217094476348</v>
      </c>
      <c r="AC14" s="1">
        <f>[1]Results!AF1375</f>
        <v>-0.69345005593325981</v>
      </c>
      <c r="AD14" s="1">
        <f>[1]Results!AG1375</f>
        <v>-0.69124560132283086</v>
      </c>
      <c r="AE14" s="1">
        <f>[1]Results!AH1375</f>
        <v>-0.68893343108357841</v>
      </c>
      <c r="AF14" s="1">
        <f>[1]Results!AI1375</f>
        <v>-0.6870313202391245</v>
      </c>
      <c r="AG14" s="1">
        <f>[1]Results!AJ1375</f>
        <v>-0.68584706972699183</v>
      </c>
      <c r="AH14" s="1">
        <f>[1]Results!AK1375</f>
        <v>-0.68439332684591347</v>
      </c>
      <c r="AI14" s="1">
        <f>[1]Results!AL1375</f>
        <v>-0.68341278963777263</v>
      </c>
      <c r="AJ14" s="1">
        <f>[1]Results!AM1375</f>
        <v>-0.68271961167045825</v>
      </c>
      <c r="AK14" s="1">
        <f>[1]Results!AN1375</f>
        <v>-0.68240885458250944</v>
      </c>
      <c r="AL14" s="1">
        <f>[1]Results!AO1375</f>
        <v>-0.6826777152940835</v>
      </c>
    </row>
    <row r="15" spans="1:38" x14ac:dyDescent="0.35">
      <c r="A15" s="3" t="str">
        <f>[1]Results!E1376</f>
        <v>100*((CH_ccon_2-CH_ccon_0)/GDP_0)</v>
      </c>
      <c r="B15" t="str">
        <f>[1]Results!C1376</f>
        <v>Investissement ménages</v>
      </c>
      <c r="C15" s="1">
        <f>[1]Results!F1376</f>
        <v>0</v>
      </c>
      <c r="D15" s="1">
        <f>[1]Results!G1376</f>
        <v>0</v>
      </c>
      <c r="E15" s="1">
        <f>[1]Results!H1376</f>
        <v>0</v>
      </c>
      <c r="F15" s="1">
        <f>[1]Results!I1376</f>
        <v>0</v>
      </c>
      <c r="G15" s="1">
        <f>[1]Results!J1376</f>
        <v>0</v>
      </c>
      <c r="H15" s="1">
        <f>[1]Results!K1376</f>
        <v>0</v>
      </c>
      <c r="I15" s="1">
        <f>[1]Results!L1376</f>
        <v>0</v>
      </c>
      <c r="J15" s="1">
        <f>[1]Results!M1376</f>
        <v>4.1843939599344907E-4</v>
      </c>
      <c r="K15" s="1">
        <f>[1]Results!N1376</f>
        <v>6.0509627613165981E-4</v>
      </c>
      <c r="L15" s="1">
        <f>[1]Results!O1376</f>
        <v>7.3801151135363576E-4</v>
      </c>
      <c r="M15" s="1">
        <f>[1]Results!P1376</f>
        <v>1.2568463803239386E-3</v>
      </c>
      <c r="N15" s="1">
        <f>[1]Results!Q1376</f>
        <v>3.5264752196420237E-4</v>
      </c>
      <c r="O15" s="1">
        <f>[1]Results!R1376</f>
        <v>7.2108042386008866E-4</v>
      </c>
      <c r="P15" s="1">
        <f>[1]Results!S1376</f>
        <v>2.4722019770707154E-3</v>
      </c>
      <c r="Q15" s="1">
        <f>[1]Results!T1376</f>
        <v>4.9464166112976066E-3</v>
      </c>
      <c r="R15" s="1">
        <f>[1]Results!U1376</f>
        <v>7.5277736901817622E-3</v>
      </c>
      <c r="S15" s="1">
        <f>[1]Results!V1376</f>
        <v>9.9653337662548667E-3</v>
      </c>
      <c r="T15" s="1">
        <f>[1]Results!W1376</f>
        <v>1.1987573814784186E-2</v>
      </c>
      <c r="U15" s="1">
        <f>[1]Results!X1376</f>
        <v>1.3574955088409276E-2</v>
      </c>
      <c r="V15" s="1">
        <f>[1]Results!Y1376</f>
        <v>1.4768128860314138E-2</v>
      </c>
      <c r="W15" s="1">
        <f>[1]Results!Z1376</f>
        <v>1.5734998042105965E-2</v>
      </c>
      <c r="X15" s="1">
        <f>[1]Results!AA1376</f>
        <v>1.6380725538659272E-2</v>
      </c>
      <c r="Y15" s="1">
        <f>[1]Results!AB1376</f>
        <v>1.6896939607426661E-2</v>
      </c>
      <c r="Z15" s="1">
        <f>[1]Results!AC1376</f>
        <v>1.7297660325447412E-2</v>
      </c>
      <c r="AA15" s="1">
        <f>[1]Results!AD1376</f>
        <v>1.7550657343224176E-2</v>
      </c>
      <c r="AB15" s="1">
        <f>[1]Results!AE1376</f>
        <v>1.7650729519325444E-2</v>
      </c>
      <c r="AC15" s="1">
        <f>[1]Results!AF1376</f>
        <v>1.7538218123220949E-2</v>
      </c>
      <c r="AD15" s="1">
        <f>[1]Results!AG1376</f>
        <v>1.7257242240303332E-2</v>
      </c>
      <c r="AE15" s="1">
        <f>[1]Results!AH1376</f>
        <v>1.6849578993798239E-2</v>
      </c>
      <c r="AF15" s="1">
        <f>[1]Results!AI1376</f>
        <v>1.634446262002678E-2</v>
      </c>
      <c r="AG15" s="1">
        <f>[1]Results!AJ1376</f>
        <v>1.5770616962757202E-2</v>
      </c>
      <c r="AH15" s="1">
        <f>[1]Results!AK1376</f>
        <v>1.5110859983803683E-2</v>
      </c>
      <c r="AI15" s="1">
        <f>[1]Results!AL1376</f>
        <v>1.4454093281484472E-2</v>
      </c>
      <c r="AJ15" s="1">
        <f>[1]Results!AM1376</f>
        <v>1.3812887958152751E-2</v>
      </c>
      <c r="AK15" s="1">
        <f>[1]Results!AN1376</f>
        <v>1.3182848361190025E-2</v>
      </c>
      <c r="AL15" s="1">
        <f>[1]Results!AO1376</f>
        <v>1.2558388565332836E-2</v>
      </c>
    </row>
    <row r="16" spans="1:38" x14ac:dyDescent="0.35">
      <c r="A16" s="3" t="str">
        <f>[1]Results!E1377</f>
        <v>100*((IA_spub_2-IA_spub_0)/GDP_0)</v>
      </c>
      <c r="B16" t="str">
        <f>[1]Results!C1377</f>
        <v>Investissement public</v>
      </c>
      <c r="C16" s="1">
        <f>[1]Results!F1377</f>
        <v>0</v>
      </c>
      <c r="D16" s="1">
        <f>[1]Results!G1377</f>
        <v>-4.482158408945139E-10</v>
      </c>
      <c r="E16" s="1">
        <f>[1]Results!H1377</f>
        <v>-8.8392590968393713E-10</v>
      </c>
      <c r="F16" s="1">
        <f>[1]Results!I1377</f>
        <v>-1.3081944518465467E-9</v>
      </c>
      <c r="G16" s="1">
        <f>[1]Results!J1377</f>
        <v>-1.2880556640170954E-9</v>
      </c>
      <c r="H16" s="1">
        <f>[1]Results!K1377</f>
        <v>-1.2624097897090414E-9</v>
      </c>
      <c r="I16" s="1">
        <f>[1]Results!L1377</f>
        <v>-1.2369849218366255E-9</v>
      </c>
      <c r="J16" s="1">
        <f>[1]Results!M1377</f>
        <v>-2.2705073540728537E-3</v>
      </c>
      <c r="K16" s="1">
        <f>[1]Results!N1377</f>
        <v>-7.075336293050228E-3</v>
      </c>
      <c r="L16" s="1">
        <f>[1]Results!O1377</f>
        <v>-1.4545218434568324E-2</v>
      </c>
      <c r="M16" s="1">
        <f>[1]Results!P1377</f>
        <v>-2.468530578056154E-2</v>
      </c>
      <c r="N16" s="1">
        <f>[1]Results!Q1377</f>
        <v>-3.2628057258201233E-2</v>
      </c>
      <c r="O16" s="1">
        <f>[1]Results!R1377</f>
        <v>-3.8448550764174534E-2</v>
      </c>
      <c r="P16" s="1">
        <f>[1]Results!S1377</f>
        <v>-4.2486507930885362E-2</v>
      </c>
      <c r="Q16" s="1">
        <f>[1]Results!T1377</f>
        <v>-4.5195538910430981E-2</v>
      </c>
      <c r="R16" s="1">
        <f>[1]Results!U1377</f>
        <v>-4.6973680628585569E-2</v>
      </c>
      <c r="S16" s="1">
        <f>[1]Results!V1377</f>
        <v>-4.8298735386631389E-2</v>
      </c>
      <c r="T16" s="1">
        <f>[1]Results!W1377</f>
        <v>-4.9281569456289087E-2</v>
      </c>
      <c r="U16" s="1">
        <f>[1]Results!X1377</f>
        <v>-4.9971227910579709E-2</v>
      </c>
      <c r="V16" s="1">
        <f>[1]Results!Y1377</f>
        <v>-5.0335464859556922E-2</v>
      </c>
      <c r="W16" s="1">
        <f>[1]Results!Z1377</f>
        <v>-5.0403930858339309E-2</v>
      </c>
      <c r="X16" s="1">
        <f>[1]Results!AA1377</f>
        <v>-5.0093161165360237E-2</v>
      </c>
      <c r="Y16" s="1">
        <f>[1]Results!AB1377</f>
        <v>-4.9464409068629582E-2</v>
      </c>
      <c r="Z16" s="1">
        <f>[1]Results!AC1377</f>
        <v>-4.8608864627194166E-2</v>
      </c>
      <c r="AA16" s="1">
        <f>[1]Results!AD1377</f>
        <v>-4.7609304958119346E-2</v>
      </c>
      <c r="AB16" s="1">
        <f>[1]Results!AE1377</f>
        <v>-4.6533808840584889E-2</v>
      </c>
      <c r="AC16" s="1">
        <f>[1]Results!AF1377</f>
        <v>-4.5563932488502989E-2</v>
      </c>
      <c r="AD16" s="1">
        <f>[1]Results!AG1377</f>
        <v>-4.4652912762902938E-2</v>
      </c>
      <c r="AE16" s="1">
        <f>[1]Results!AH1377</f>
        <v>-4.3859638650843552E-2</v>
      </c>
      <c r="AF16" s="1">
        <f>[1]Results!AI1377</f>
        <v>-4.3211783202098147E-2</v>
      </c>
      <c r="AG16" s="1">
        <f>[1]Results!AJ1377</f>
        <v>-4.2720208929100383E-2</v>
      </c>
      <c r="AH16" s="1">
        <f>[1]Results!AK1377</f>
        <v>-4.2251144135848823E-2</v>
      </c>
      <c r="AI16" s="1">
        <f>[1]Results!AL1377</f>
        <v>-4.1854228450237896E-2</v>
      </c>
      <c r="AJ16" s="1">
        <f>[1]Results!AM1377</f>
        <v>-4.1518763508864853E-2</v>
      </c>
      <c r="AK16" s="1">
        <f>[1]Results!AN1377</f>
        <v>-4.124695876934667E-2</v>
      </c>
      <c r="AL16" s="1">
        <f>[1]Results!AO1377</f>
        <v>-4.1044002213765675E-2</v>
      </c>
    </row>
    <row r="17" spans="1:38" x14ac:dyDescent="0.35">
      <c r="A17" s="3" t="str">
        <f>[1]Results!E1378</f>
        <v>100*(CH_2/CH_0-1)</v>
      </c>
      <c r="B17" t="str">
        <f>[1]Results!C1378</f>
        <v>Consommation des ménages</v>
      </c>
      <c r="C17" s="1">
        <f>[1]Results!F1378</f>
        <v>0</v>
      </c>
      <c r="D17" s="1">
        <f>[1]Results!G1378</f>
        <v>0</v>
      </c>
      <c r="E17" s="1">
        <f>[1]Results!H1378</f>
        <v>8.0806050739568036E-8</v>
      </c>
      <c r="F17" s="1">
        <f>[1]Results!I1378</f>
        <v>0</v>
      </c>
      <c r="G17" s="1">
        <f>[1]Results!J1378</f>
        <v>0</v>
      </c>
      <c r="H17" s="1">
        <f>[1]Results!K1378</f>
        <v>7.6829764772412545E-8</v>
      </c>
      <c r="I17" s="1">
        <f>[1]Results!L1378</f>
        <v>7.525109424477705E-8</v>
      </c>
      <c r="J17" s="1">
        <f>[1]Results!M1378</f>
        <v>0.11241232215206676</v>
      </c>
      <c r="K17" s="1">
        <f>[1]Results!N1378</f>
        <v>0.29949264805679832</v>
      </c>
      <c r="L17" s="1">
        <f>[1]Results!O1378</f>
        <v>0.58676927149803326</v>
      </c>
      <c r="M17" s="1">
        <f>[1]Results!P1378</f>
        <v>1.011603516271431</v>
      </c>
      <c r="N17" s="1">
        <f>[1]Results!Q1378</f>
        <v>1.2182706320149839</v>
      </c>
      <c r="O17" s="1">
        <f>[1]Results!R1378</f>
        <v>1.4213674322562042</v>
      </c>
      <c r="P17" s="1">
        <f>[1]Results!S1378</f>
        <v>1.6377438543015543</v>
      </c>
      <c r="Q17" s="1">
        <f>[1]Results!T1378</f>
        <v>1.8431853567412837</v>
      </c>
      <c r="R17" s="1">
        <f>[1]Results!U1378</f>
        <v>2.0204165981512867</v>
      </c>
      <c r="S17" s="1">
        <f>[1]Results!V1378</f>
        <v>2.1806091563144836</v>
      </c>
      <c r="T17" s="1">
        <f>[1]Results!W1378</f>
        <v>2.3180618008877385</v>
      </c>
      <c r="U17" s="1">
        <f>[1]Results!X1378</f>
        <v>2.437138483749357</v>
      </c>
      <c r="V17" s="1">
        <f>[1]Results!Y1378</f>
        <v>2.5384608950455023</v>
      </c>
      <c r="W17" s="1">
        <f>[1]Results!Z1378</f>
        <v>2.6316966895225224</v>
      </c>
      <c r="X17" s="1">
        <f>[1]Results!AA1378</f>
        <v>2.6950140742708184</v>
      </c>
      <c r="Y17" s="1">
        <f>[1]Results!AB1378</f>
        <v>2.7458116484377459</v>
      </c>
      <c r="Z17" s="1">
        <f>[1]Results!AC1378</f>
        <v>2.786026235438932</v>
      </c>
      <c r="AA17" s="1">
        <f>[1]Results!AD1378</f>
        <v>2.8143594255633841</v>
      </c>
      <c r="AB17" s="1">
        <f>[1]Results!AE1378</f>
        <v>2.8322469419620688</v>
      </c>
      <c r="AC17" s="1">
        <f>[1]Results!AF1378</f>
        <v>2.8269052258202532</v>
      </c>
      <c r="AD17" s="1">
        <f>[1]Results!AG1378</f>
        <v>2.8104323492447403</v>
      </c>
      <c r="AE17" s="1">
        <f>[1]Results!AH1378</f>
        <v>2.7875572992043463</v>
      </c>
      <c r="AF17" s="1">
        <f>[1]Results!AI1378</f>
        <v>2.7606516985945184</v>
      </c>
      <c r="AG17" s="1">
        <f>[1]Results!AJ1378</f>
        <v>2.7312165538757815</v>
      </c>
      <c r="AH17" s="1">
        <f>[1]Results!AK1378</f>
        <v>2.6955639315630497</v>
      </c>
      <c r="AI17" s="1">
        <f>[1]Results!AL1378</f>
        <v>2.6570164594223789</v>
      </c>
      <c r="AJ17" s="1">
        <f>[1]Results!AM1378</f>
        <v>2.6158629654025933</v>
      </c>
      <c r="AK17" s="1">
        <f>[1]Results!AN1378</f>
        <v>2.5719996175241899</v>
      </c>
      <c r="AL17" s="1">
        <f>[1]Results!AO1378</f>
        <v>2.5258204488951774</v>
      </c>
    </row>
    <row r="18" spans="1:38" x14ac:dyDescent="0.35">
      <c r="A18" s="3" t="str">
        <f>[1]Results!E1379</f>
        <v>100*(CH_cveh_2/CH_cveh_0-1)</v>
      </c>
      <c r="B18" t="str">
        <f>[1]Results!C1379</f>
        <v>Consommation des ménages automobile</v>
      </c>
      <c r="C18" s="1">
        <f>[1]Results!F1379</f>
        <v>0</v>
      </c>
      <c r="D18" s="1">
        <f>[1]Results!G1379</f>
        <v>0</v>
      </c>
      <c r="E18" s="1">
        <f>[1]Results!H1379</f>
        <v>1.4195111752712819E-8</v>
      </c>
      <c r="F18" s="1">
        <f>[1]Results!I1379</f>
        <v>4.1960568353260896E-8</v>
      </c>
      <c r="G18" s="1">
        <f>[1]Results!J1379</f>
        <v>6.6712746438213344E-8</v>
      </c>
      <c r="H18" s="1">
        <f>[1]Results!K1379</f>
        <v>7.2664274597400436E-8</v>
      </c>
      <c r="I18" s="1">
        <f>[1]Results!L1379</f>
        <v>7.0615224778691754E-8</v>
      </c>
      <c r="J18" s="1">
        <f>[1]Results!M1379</f>
        <v>-0.42857151395845339</v>
      </c>
      <c r="K18" s="1">
        <f>[1]Results!N1379</f>
        <v>-1.1547488906697878</v>
      </c>
      <c r="L18" s="1">
        <f>[1]Results!O1379</f>
        <v>-2.0558009891594509</v>
      </c>
      <c r="M18" s="1">
        <f>[1]Results!P1379</f>
        <v>-3.1595577853848478</v>
      </c>
      <c r="N18" s="1">
        <f>[1]Results!Q1379</f>
        <v>-2.9304878455864825</v>
      </c>
      <c r="O18" s="1">
        <f>[1]Results!R1379</f>
        <v>-2.0488145040021832</v>
      </c>
      <c r="P18" s="1">
        <f>[1]Results!S1379</f>
        <v>-1.1682274926035574</v>
      </c>
      <c r="Q18" s="1">
        <f>[1]Results!T1379</f>
        <v>-0.52872718925073281</v>
      </c>
      <c r="R18" s="1">
        <f>[1]Results!U1379</f>
        <v>-0.15138389066212676</v>
      </c>
      <c r="S18" s="1">
        <f>[1]Results!V1379</f>
        <v>-8.9427911844286445E-2</v>
      </c>
      <c r="T18" s="1">
        <f>[1]Results!W1379</f>
        <v>-0.17219355636323153</v>
      </c>
      <c r="U18" s="1">
        <f>[1]Results!X1379</f>
        <v>-0.26559027433918914</v>
      </c>
      <c r="V18" s="1">
        <f>[1]Results!Y1379</f>
        <v>-0.28064111797145852</v>
      </c>
      <c r="W18" s="1">
        <f>[1]Results!Z1379</f>
        <v>-0.26332865000393557</v>
      </c>
      <c r="X18" s="1">
        <f>[1]Results!AA1379</f>
        <v>-0.13335093740975967</v>
      </c>
      <c r="Y18" s="1">
        <f>[1]Results!AB1379</f>
        <v>1.1299665054442798E-2</v>
      </c>
      <c r="Z18" s="1">
        <f>[1]Results!AC1379</f>
        <v>0.11618529701304947</v>
      </c>
      <c r="AA18" s="1">
        <f>[1]Results!AD1379</f>
        <v>0.16540338278239197</v>
      </c>
      <c r="AB18" s="1">
        <f>[1]Results!AE1379</f>
        <v>0.16007011143057692</v>
      </c>
      <c r="AC18" s="1">
        <f>[1]Results!AF1379</f>
        <v>0.13903992103243556</v>
      </c>
      <c r="AD18" s="1">
        <f>[1]Results!AG1379</f>
        <v>7.8663545693435921E-2</v>
      </c>
      <c r="AE18" s="1">
        <f>[1]Results!AH1379</f>
        <v>-2.8707498367819273E-2</v>
      </c>
      <c r="AF18" s="1">
        <f>[1]Results!AI1379</f>
        <v>-0.17809382460736156</v>
      </c>
      <c r="AG18" s="1">
        <f>[1]Results!AJ1379</f>
        <v>-0.36082540364430482</v>
      </c>
      <c r="AH18" s="1">
        <f>[1]Results!AK1379</f>
        <v>-0.55321255741099806</v>
      </c>
      <c r="AI18" s="1">
        <f>[1]Results!AL1379</f>
        <v>-0.76200123091275662</v>
      </c>
      <c r="AJ18" s="1">
        <f>[1]Results!AM1379</f>
        <v>-0.99066353415412367</v>
      </c>
      <c r="AK18" s="1">
        <f>[1]Results!AN1379</f>
        <v>-1.2372071311881561</v>
      </c>
      <c r="AL18" s="1">
        <f>[1]Results!AO1379</f>
        <v>-1.496862338492666</v>
      </c>
    </row>
    <row r="19" spans="1:38" x14ac:dyDescent="0.35">
      <c r="A19" s="3" t="str">
        <f>[1]Results!E1380</f>
        <v>100*(G_2/G_0-1)</v>
      </c>
      <c r="B19" t="str">
        <f>[1]Results!C1380</f>
        <v>Dépenses publiques</v>
      </c>
      <c r="C19" s="1">
        <f>[1]Results!F1380</f>
        <v>0</v>
      </c>
      <c r="D19" s="1">
        <f>[1]Results!G1380</f>
        <v>0</v>
      </c>
      <c r="E19" s="1">
        <f>[1]Results!H1380</f>
        <v>0</v>
      </c>
      <c r="F19" s="1">
        <f>[1]Results!I1380</f>
        <v>0</v>
      </c>
      <c r="G19" s="1">
        <f>[1]Results!J1380</f>
        <v>0</v>
      </c>
      <c r="H19" s="1">
        <f>[1]Results!K1380</f>
        <v>0</v>
      </c>
      <c r="I19" s="1">
        <f>[1]Results!L1380</f>
        <v>0</v>
      </c>
      <c r="J19" s="1">
        <f>[1]Results!M1380</f>
        <v>0</v>
      </c>
      <c r="K19" s="1">
        <f>[1]Results!N1380</f>
        <v>0</v>
      </c>
      <c r="L19" s="1">
        <f>[1]Results!O1380</f>
        <v>0</v>
      </c>
      <c r="M19" s="1">
        <f>[1]Results!P1380</f>
        <v>0</v>
      </c>
      <c r="N19" s="1">
        <f>[1]Results!Q1380</f>
        <v>0</v>
      </c>
      <c r="O19" s="1">
        <f>[1]Results!R1380</f>
        <v>0</v>
      </c>
      <c r="P19" s="1">
        <f>[1]Results!S1380</f>
        <v>0</v>
      </c>
      <c r="Q19" s="1">
        <f>[1]Results!T1380</f>
        <v>0</v>
      </c>
      <c r="R19" s="1">
        <f>[1]Results!U1380</f>
        <v>0</v>
      </c>
      <c r="S19" s="1">
        <f>[1]Results!V1380</f>
        <v>0</v>
      </c>
      <c r="T19" s="1">
        <f>[1]Results!W1380</f>
        <v>0</v>
      </c>
      <c r="U19" s="1">
        <f>[1]Results!X1380</f>
        <v>0</v>
      </c>
      <c r="V19" s="1">
        <f>[1]Results!Y1380</f>
        <v>0</v>
      </c>
      <c r="W19" s="1">
        <f>[1]Results!Z1380</f>
        <v>0</v>
      </c>
      <c r="X19" s="1">
        <f>[1]Results!AA1380</f>
        <v>0</v>
      </c>
      <c r="Y19" s="1">
        <f>[1]Results!AB1380</f>
        <v>0</v>
      </c>
      <c r="Z19" s="1">
        <f>[1]Results!AC1380</f>
        <v>0</v>
      </c>
      <c r="AA19" s="1">
        <f>[1]Results!AD1380</f>
        <v>0</v>
      </c>
      <c r="AB19" s="1">
        <f>[1]Results!AE1380</f>
        <v>0</v>
      </c>
      <c r="AC19" s="1">
        <f>[1]Results!AF1380</f>
        <v>0</v>
      </c>
      <c r="AD19" s="1">
        <f>[1]Results!AG1380</f>
        <v>0</v>
      </c>
      <c r="AE19" s="1">
        <f>[1]Results!AH1380</f>
        <v>0</v>
      </c>
      <c r="AF19" s="1">
        <f>[1]Results!AI1380</f>
        <v>0</v>
      </c>
      <c r="AG19" s="1">
        <f>[1]Results!AJ1380</f>
        <v>0</v>
      </c>
      <c r="AH19" s="1">
        <f>[1]Results!AK1380</f>
        <v>0</v>
      </c>
      <c r="AI19" s="1">
        <f>[1]Results!AL1380</f>
        <v>0</v>
      </c>
      <c r="AJ19" s="1">
        <f>[1]Results!AM1380</f>
        <v>0</v>
      </c>
      <c r="AK19" s="1">
        <f>[1]Results!AN1380</f>
        <v>0</v>
      </c>
      <c r="AL19" s="1">
        <f>[1]Results!AO1380</f>
        <v>0</v>
      </c>
    </row>
    <row r="20" spans="1:38" x14ac:dyDescent="0.35">
      <c r="A20" s="3" t="str">
        <f>[1]Results!E1381</f>
        <v>100*(I_2/I_0-1)</v>
      </c>
      <c r="B20" t="str">
        <f>[1]Results!C1381</f>
        <v>Investissement</v>
      </c>
      <c r="C20" s="1">
        <f>[1]Results!F1381</f>
        <v>0</v>
      </c>
      <c r="D20" s="1">
        <f>[1]Results!G1381</f>
        <v>0</v>
      </c>
      <c r="E20" s="1">
        <f>[1]Results!H1381</f>
        <v>-2.0622092922195634E-8</v>
      </c>
      <c r="F20" s="1">
        <f>[1]Results!I1381</f>
        <v>-4.0871561690636327E-8</v>
      </c>
      <c r="G20" s="1">
        <f>[1]Results!J1381</f>
        <v>-6.0586258232575574E-8</v>
      </c>
      <c r="H20" s="1">
        <f>[1]Results!K1381</f>
        <v>-7.9184536705412256E-8</v>
      </c>
      <c r="I20" s="1">
        <f>[1]Results!L1381</f>
        <v>-7.7586281843622373E-8</v>
      </c>
      <c r="J20" s="1">
        <f>[1]Results!M1381</f>
        <v>-9.9934108585675308E-2</v>
      </c>
      <c r="K20" s="1">
        <f>[1]Results!N1381</f>
        <v>-0.33135298553689241</v>
      </c>
      <c r="L20" s="1">
        <f>[1]Results!O1381</f>
        <v>-0.71110624833652381</v>
      </c>
      <c r="M20" s="1">
        <f>[1]Results!P1381</f>
        <v>-1.2429902937313941</v>
      </c>
      <c r="N20" s="1">
        <f>[1]Results!Q1381</f>
        <v>-1.7302379076905239</v>
      </c>
      <c r="O20" s="1">
        <f>[1]Results!R1381</f>
        <v>-2.1312030983663743</v>
      </c>
      <c r="P20" s="1">
        <f>[1]Results!S1381</f>
        <v>-2.4363998679805765</v>
      </c>
      <c r="Q20" s="1">
        <f>[1]Results!T1381</f>
        <v>-2.6613447100948262</v>
      </c>
      <c r="R20" s="1">
        <f>[1]Results!U1381</f>
        <v>-2.8283599994157416</v>
      </c>
      <c r="S20" s="1">
        <f>[1]Results!V1381</f>
        <v>-2.9636889610588191</v>
      </c>
      <c r="T20" s="1">
        <f>[1]Results!W1381</f>
        <v>-3.0792093214224159</v>
      </c>
      <c r="U20" s="1">
        <f>[1]Results!X1381</f>
        <v>-3.1791044085830777</v>
      </c>
      <c r="V20" s="1">
        <f>[1]Results!Y1381</f>
        <v>-3.2615393847202134</v>
      </c>
      <c r="W20" s="1">
        <f>[1]Results!Z1381</f>
        <v>-3.3261458565574942</v>
      </c>
      <c r="X20" s="1">
        <f>[1]Results!AA1381</f>
        <v>-3.3683372910048193</v>
      </c>
      <c r="Y20" s="1">
        <f>[1]Results!AB1381</f>
        <v>-3.3897732365965938</v>
      </c>
      <c r="Z20" s="1">
        <f>[1]Results!AC1381</f>
        <v>-3.3935853506394498</v>
      </c>
      <c r="AA20" s="1">
        <f>[1]Results!AD1381</f>
        <v>-3.3839310754097518</v>
      </c>
      <c r="AB20" s="1">
        <f>[1]Results!AE1381</f>
        <v>-3.3641056015013882</v>
      </c>
      <c r="AC20" s="1">
        <f>[1]Results!AF1381</f>
        <v>-3.3396858095726123</v>
      </c>
      <c r="AD20" s="1">
        <f>[1]Results!AG1381</f>
        <v>-3.3138019055297563</v>
      </c>
      <c r="AE20" s="1">
        <f>[1]Results!AH1381</f>
        <v>-3.2889806818128919</v>
      </c>
      <c r="AF20" s="1">
        <f>[1]Results!AI1381</f>
        <v>-3.2670785643775235</v>
      </c>
      <c r="AG20" s="1">
        <f>[1]Results!AJ1381</f>
        <v>-3.2493365929979978</v>
      </c>
      <c r="AH20" s="1">
        <f>[1]Results!AK1381</f>
        <v>-3.2329465165258142</v>
      </c>
      <c r="AI20" s="1">
        <f>[1]Results!AL1381</f>
        <v>-3.2177001966877339</v>
      </c>
      <c r="AJ20" s="1">
        <f>[1]Results!AM1381</f>
        <v>-3.2037387102769266</v>
      </c>
      <c r="AK20" s="1">
        <f>[1]Results!AN1381</f>
        <v>-3.1917856294547686</v>
      </c>
      <c r="AL20" s="1">
        <f>[1]Results!AO1381</f>
        <v>-3.1827704472004226</v>
      </c>
    </row>
    <row r="21" spans="1:38" x14ac:dyDescent="0.35">
      <c r="A21" s="3" t="str">
        <f>[1]Results!E1382</f>
        <v>100*((I_2-IA_spub_2)/(I_0-IA_spub_0)-1)</v>
      </c>
      <c r="B21" t="str">
        <f>[1]Results!C1382</f>
        <v>Investissement entreprises</v>
      </c>
      <c r="C21" s="1">
        <f>[1]Results!F1382</f>
        <v>0</v>
      </c>
      <c r="D21" s="1">
        <f>[1]Results!G1382</f>
        <v>2.2773560814925986E-9</v>
      </c>
      <c r="E21" s="1">
        <f>[1]Results!H1382</f>
        <v>-1.7991463874267311E-8</v>
      </c>
      <c r="F21" s="1">
        <f>[1]Results!I1382</f>
        <v>-3.7873826297385449E-8</v>
      </c>
      <c r="G21" s="1">
        <f>[1]Results!J1382</f>
        <v>-5.9425520060329973E-8</v>
      </c>
      <c r="H21" s="1">
        <f>[1]Results!K1382</f>
        <v>-7.9786444118212785E-8</v>
      </c>
      <c r="I21" s="1">
        <f>[1]Results!L1382</f>
        <v>-7.8122908142574943E-8</v>
      </c>
      <c r="J21" s="1">
        <f>[1]Results!M1382</f>
        <v>-9.709217153812677E-2</v>
      </c>
      <c r="K21" s="1">
        <f>[1]Results!N1382</f>
        <v>-0.32401709601078688</v>
      </c>
      <c r="L21" s="1">
        <f>[1]Results!O1382</f>
        <v>-0.69810522445020728</v>
      </c>
      <c r="M21" s="1">
        <f>[1]Results!P1382</f>
        <v>-1.2230701742371397</v>
      </c>
      <c r="N21" s="1">
        <f>[1]Results!Q1382</f>
        <v>-1.7099827774415433</v>
      </c>
      <c r="O21" s="1">
        <f>[1]Results!R1382</f>
        <v>-2.1134099356956093</v>
      </c>
      <c r="P21" s="1">
        <f>[1]Results!S1382</f>
        <v>-2.4215601136346798</v>
      </c>
      <c r="Q21" s="1">
        <f>[1]Results!T1382</f>
        <v>-2.649153337471466</v>
      </c>
      <c r="R21" s="1">
        <f>[1]Results!U1382</f>
        <v>-2.8184998425668684</v>
      </c>
      <c r="S21" s="1">
        <f>[1]Results!V1382</f>
        <v>-2.9558806309439745</v>
      </c>
      <c r="T21" s="1">
        <f>[1]Results!W1382</f>
        <v>-3.0734643026788633</v>
      </c>
      <c r="U21" s="1">
        <f>[1]Results!X1382</f>
        <v>-3.1755707553515089</v>
      </c>
      <c r="V21" s="1">
        <f>[1]Results!Y1382</f>
        <v>-3.2604190216333206</v>
      </c>
      <c r="W21" s="1">
        <f>[1]Results!Z1382</f>
        <v>-3.3275192839400169</v>
      </c>
      <c r="X21" s="1">
        <f>[1]Results!AA1382</f>
        <v>-3.3725417101624577</v>
      </c>
      <c r="Y21" s="1">
        <f>[1]Results!AB1382</f>
        <v>-3.3968456113304901</v>
      </c>
      <c r="Z21" s="1">
        <f>[1]Results!AC1382</f>
        <v>-3.4033813026856707</v>
      </c>
      <c r="AA21" s="1">
        <f>[1]Results!AD1382</f>
        <v>-3.3962240446004377</v>
      </c>
      <c r="AB21" s="1">
        <f>[1]Results!AE1382</f>
        <v>-3.3786413517782776</v>
      </c>
      <c r="AC21" s="1">
        <f>[1]Results!AF1382</f>
        <v>-3.35644764025953</v>
      </c>
      <c r="AD21" s="1">
        <f>[1]Results!AG1382</f>
        <v>-3.3325556433219883</v>
      </c>
      <c r="AE21" s="1">
        <f>[1]Results!AH1382</f>
        <v>-3.3093987549556614</v>
      </c>
      <c r="AF21" s="1">
        <f>[1]Results!AI1382</f>
        <v>-3.288810880011217</v>
      </c>
      <c r="AG21" s="1">
        <f>[1]Results!AJ1382</f>
        <v>-3.2720444521901482</v>
      </c>
      <c r="AH21" s="1">
        <f>[1]Results!AK1382</f>
        <v>-3.2562928804031332</v>
      </c>
      <c r="AI21" s="1">
        <f>[1]Results!AL1382</f>
        <v>-3.2414314580262005</v>
      </c>
      <c r="AJ21" s="1">
        <f>[1]Results!AM1382</f>
        <v>-3.2276455774964297</v>
      </c>
      <c r="AK21" s="1">
        <f>[1]Results!AN1382</f>
        <v>-3.2157001279987107</v>
      </c>
      <c r="AL21" s="1">
        <f>[1]Results!AO1382</f>
        <v>-3.2065699522601632</v>
      </c>
    </row>
    <row r="22" spans="1:38" x14ac:dyDescent="0.35">
      <c r="A22" s="3" t="str">
        <f>[1]Results!E1383</f>
        <v>100*(X_2/X_0-1)</v>
      </c>
      <c r="B22" t="str">
        <f>[1]Results!C1383</f>
        <v>Exportations</v>
      </c>
      <c r="C22" s="1">
        <f>[1]Results!F1383</f>
        <v>0</v>
      </c>
      <c r="D22" s="1">
        <f>[1]Results!G1383</f>
        <v>0</v>
      </c>
      <c r="E22" s="1">
        <f>[1]Results!H1383</f>
        <v>0</v>
      </c>
      <c r="F22" s="1">
        <f>[1]Results!I1383</f>
        <v>0</v>
      </c>
      <c r="G22" s="1">
        <f>[1]Results!J1383</f>
        <v>0</v>
      </c>
      <c r="H22" s="1">
        <f>[1]Results!K1383</f>
        <v>0</v>
      </c>
      <c r="I22" s="1">
        <f>[1]Results!L1383</f>
        <v>0</v>
      </c>
      <c r="J22" s="1">
        <f>[1]Results!M1383</f>
        <v>-1.5710618020858824E-3</v>
      </c>
      <c r="K22" s="1">
        <f>[1]Results!N1383</f>
        <v>-5.7934225315081633E-3</v>
      </c>
      <c r="L22" s="1">
        <f>[1]Results!O1383</f>
        <v>-1.3598020723004645E-2</v>
      </c>
      <c r="M22" s="1">
        <f>[1]Results!P1383</f>
        <v>-2.5987046605191466E-2</v>
      </c>
      <c r="N22" s="1">
        <f>[1]Results!Q1383</f>
        <v>-3.921524822845246E-2</v>
      </c>
      <c r="O22" s="1">
        <f>[1]Results!R1383</f>
        <v>-5.1641184500306192E-2</v>
      </c>
      <c r="P22" s="1">
        <f>[1]Results!S1383</f>
        <v>-6.2771653897542024E-2</v>
      </c>
      <c r="Q22" s="1">
        <f>[1]Results!T1383</f>
        <v>-7.2655133861698751E-2</v>
      </c>
      <c r="R22" s="1">
        <f>[1]Results!U1383</f>
        <v>-8.1542047055915834E-2</v>
      </c>
      <c r="S22" s="1">
        <f>[1]Results!V1383</f>
        <v>-9.0293253885631586E-2</v>
      </c>
      <c r="T22" s="1">
        <f>[1]Results!W1383</f>
        <v>-9.8992517387197498E-2</v>
      </c>
      <c r="U22" s="1">
        <f>[1]Results!X1383</f>
        <v>-0.10809335039483337</v>
      </c>
      <c r="V22" s="1">
        <f>[1]Results!Y1383</f>
        <v>-0.11845456002310684</v>
      </c>
      <c r="W22" s="1">
        <f>[1]Results!Z1383</f>
        <v>-0.12994265808854433</v>
      </c>
      <c r="X22" s="1">
        <f>[1]Results!AA1383</f>
        <v>-0.14248580873210681</v>
      </c>
      <c r="Y22" s="1">
        <f>[1]Results!AB1383</f>
        <v>-0.15550214742944268</v>
      </c>
      <c r="Z22" s="1">
        <f>[1]Results!AC1383</f>
        <v>-0.16882555644450736</v>
      </c>
      <c r="AA22" s="1">
        <f>[1]Results!AD1383</f>
        <v>-0.18234157000918128</v>
      </c>
      <c r="AB22" s="1">
        <f>[1]Results!AE1383</f>
        <v>-0.19595321193308646</v>
      </c>
      <c r="AC22" s="1">
        <f>[1]Results!AF1383</f>
        <v>-0.21184628177344234</v>
      </c>
      <c r="AD22" s="1">
        <f>[1]Results!AG1383</f>
        <v>-0.22785504152388336</v>
      </c>
      <c r="AE22" s="1">
        <f>[1]Results!AH1383</f>
        <v>-0.24388897886346017</v>
      </c>
      <c r="AF22" s="1">
        <f>[1]Results!AI1383</f>
        <v>-0.25985624179959421</v>
      </c>
      <c r="AG22" s="1">
        <f>[1]Results!AJ1383</f>
        <v>-0.27565656443414577</v>
      </c>
      <c r="AH22" s="1">
        <f>[1]Results!AK1383</f>
        <v>-0.28922904677592953</v>
      </c>
      <c r="AI22" s="1">
        <f>[1]Results!AL1383</f>
        <v>-0.30216068389987694</v>
      </c>
      <c r="AJ22" s="1">
        <f>[1]Results!AM1383</f>
        <v>-0.31436179738616454</v>
      </c>
      <c r="AK22" s="1">
        <f>[1]Results!AN1383</f>
        <v>-0.32576602195102389</v>
      </c>
      <c r="AL22" s="1">
        <f>[1]Results!AO1383</f>
        <v>-0.33632722320493524</v>
      </c>
    </row>
    <row r="23" spans="1:38" x14ac:dyDescent="0.35">
      <c r="A23" s="3" t="str">
        <f>[1]Results!E1384</f>
        <v>100*(M_2/M_0-1)</v>
      </c>
      <c r="B23" t="str">
        <f>[1]Results!C1384</f>
        <v>Importations</v>
      </c>
      <c r="C23" s="1">
        <f>[1]Results!F1384</f>
        <v>1.5264589592334232E-8</v>
      </c>
      <c r="D23" s="1">
        <f>[1]Results!G1384</f>
        <v>0</v>
      </c>
      <c r="E23" s="1">
        <f>[1]Results!H1384</f>
        <v>1.482503009242464E-8</v>
      </c>
      <c r="F23" s="1">
        <f>[1]Results!I1384</f>
        <v>0</v>
      </c>
      <c r="G23" s="1">
        <f>[1]Results!J1384</f>
        <v>0</v>
      </c>
      <c r="H23" s="1">
        <f>[1]Results!K1384</f>
        <v>0</v>
      </c>
      <c r="I23" s="1">
        <f>[1]Results!L1384</f>
        <v>0</v>
      </c>
      <c r="J23" s="1">
        <f>[1]Results!M1384</f>
        <v>-2.236192831710504E-2</v>
      </c>
      <c r="K23" s="1">
        <f>[1]Results!N1384</f>
        <v>-8.0836526570693401E-2</v>
      </c>
      <c r="L23" s="1">
        <f>[1]Results!O1384</f>
        <v>-0.16500850785902133</v>
      </c>
      <c r="M23" s="1">
        <f>[1]Results!P1384</f>
        <v>-0.26563199844649166</v>
      </c>
      <c r="N23" s="1">
        <f>[1]Results!Q1384</f>
        <v>-0.34575797863880542</v>
      </c>
      <c r="O23" s="1">
        <f>[1]Results!R1384</f>
        <v>-0.36115117340096425</v>
      </c>
      <c r="P23" s="1">
        <f>[1]Results!S1384</f>
        <v>-0.3354079871989657</v>
      </c>
      <c r="Q23" s="1">
        <f>[1]Results!T1384</f>
        <v>-0.29561344846642523</v>
      </c>
      <c r="R23" s="1">
        <f>[1]Results!U1384</f>
        <v>-0.25830375560087493</v>
      </c>
      <c r="S23" s="1">
        <f>[1]Results!V1384</f>
        <v>-0.23714177068819842</v>
      </c>
      <c r="T23" s="1">
        <f>[1]Results!W1384</f>
        <v>-0.22750449181512256</v>
      </c>
      <c r="U23" s="1">
        <f>[1]Results!X1384</f>
        <v>-0.2291789489524132</v>
      </c>
      <c r="V23" s="1">
        <f>[1]Results!Y1384</f>
        <v>-0.24769031451447043</v>
      </c>
      <c r="W23" s="1">
        <f>[1]Results!Z1384</f>
        <v>-0.26681297991857367</v>
      </c>
      <c r="X23" s="1">
        <f>[1]Results!AA1384</f>
        <v>-0.28612670138259411</v>
      </c>
      <c r="Y23" s="1">
        <f>[1]Results!AB1384</f>
        <v>-0.3052963324624236</v>
      </c>
      <c r="Z23" s="1">
        <f>[1]Results!AC1384</f>
        <v>-0.32703612298509155</v>
      </c>
      <c r="AA23" s="1">
        <f>[1]Results!AD1384</f>
        <v>-0.35378794352921572</v>
      </c>
      <c r="AB23" s="1">
        <f>[1]Results!AE1384</f>
        <v>-0.38662633239137101</v>
      </c>
      <c r="AC23" s="1">
        <f>[1]Results!AF1384</f>
        <v>-0.42635726795808848</v>
      </c>
      <c r="AD23" s="1">
        <f>[1]Results!AG1384</f>
        <v>-0.47241377677018637</v>
      </c>
      <c r="AE23" s="1">
        <f>[1]Results!AH1384</f>
        <v>-0.5246903654319901</v>
      </c>
      <c r="AF23" s="1">
        <f>[1]Results!AI1384</f>
        <v>-0.58253120068945119</v>
      </c>
      <c r="AG23" s="1">
        <f>[1]Results!AJ1384</f>
        <v>-0.64492588083476798</v>
      </c>
      <c r="AH23" s="1">
        <f>[1]Results!AK1384</f>
        <v>-0.71035614119258073</v>
      </c>
      <c r="AI23" s="1">
        <f>[1]Results!AL1384</f>
        <v>-0.77682789349849957</v>
      </c>
      <c r="AJ23" s="1">
        <f>[1]Results!AM1384</f>
        <v>-0.8434535561726797</v>
      </c>
      <c r="AK23" s="1">
        <f>[1]Results!AN1384</f>
        <v>-0.90974883235447335</v>
      </c>
      <c r="AL23" s="1">
        <f>[1]Results!AO1384</f>
        <v>-0.97515227741868937</v>
      </c>
    </row>
    <row r="24" spans="1:38" x14ac:dyDescent="0.35">
      <c r="A24" s="3" t="str">
        <f>[1]Results!E1385</f>
        <v>100*((CH_2-CH_ccon_2)/(CH_0-CH_ccon_0)-1)</v>
      </c>
      <c r="B24" t="str">
        <f>[1]Results!C1385</f>
        <v>Consommation des ménages</v>
      </c>
      <c r="C24" s="1">
        <f>[1]Results!F1385</f>
        <v>0</v>
      </c>
      <c r="D24" s="1">
        <f>[1]Results!G1385</f>
        <v>0</v>
      </c>
      <c r="E24" s="1">
        <f>[1]Results!H1385</f>
        <v>8.2019391278720377E-8</v>
      </c>
      <c r="F24" s="1">
        <f>[1]Results!I1385</f>
        <v>0</v>
      </c>
      <c r="G24" s="1">
        <f>[1]Results!J1385</f>
        <v>0</v>
      </c>
      <c r="H24" s="1">
        <f>[1]Results!K1385</f>
        <v>7.7972139855830846E-8</v>
      </c>
      <c r="I24" s="1">
        <f>[1]Results!L1385</f>
        <v>7.6372352886266981E-8</v>
      </c>
      <c r="J24" s="1">
        <f>[1]Results!M1385</f>
        <v>0.11331432433610011</v>
      </c>
      <c r="K24" s="1">
        <f>[1]Results!N1385</f>
        <v>0.30284062596235284</v>
      </c>
      <c r="L24" s="1">
        <f>[1]Results!O1385</f>
        <v>0.59415187046090168</v>
      </c>
      <c r="M24" s="1">
        <f>[1]Results!P1385</f>
        <v>1.0243421454339874</v>
      </c>
      <c r="N24" s="1">
        <f>[1]Results!Q1385</f>
        <v>1.23574165131346</v>
      </c>
      <c r="O24" s="1">
        <f>[1]Results!R1385</f>
        <v>1.441148403966408</v>
      </c>
      <c r="P24" s="1">
        <f>[1]Results!S1385</f>
        <v>1.657458186699623</v>
      </c>
      <c r="Q24" s="1">
        <f>[1]Results!T1385</f>
        <v>1.8613205583877024</v>
      </c>
      <c r="R24" s="1">
        <f>[1]Results!U1385</f>
        <v>2.0363479936575279</v>
      </c>
      <c r="S24" s="1">
        <f>[1]Results!V1385</f>
        <v>2.1943587079576554</v>
      </c>
      <c r="T24" s="1">
        <f>[1]Results!W1385</f>
        <v>2.3300633227061107</v>
      </c>
      <c r="U24" s="1">
        <f>[1]Results!X1385</f>
        <v>2.4479269150885719</v>
      </c>
      <c r="V24" s="1">
        <f>[1]Results!Y1385</f>
        <v>2.5485051361348932</v>
      </c>
      <c r="W24" s="1">
        <f>[1]Results!Z1385</f>
        <v>2.6412923291912138</v>
      </c>
      <c r="X24" s="1">
        <f>[1]Results!AA1385</f>
        <v>2.7043363758301187</v>
      </c>
      <c r="Y24" s="1">
        <f>[1]Results!AB1385</f>
        <v>2.7549163038282698</v>
      </c>
      <c r="Z24" s="1">
        <f>[1]Results!AC1385</f>
        <v>2.7949728478318114</v>
      </c>
      <c r="AA24" s="1">
        <f>[1]Results!AD1385</f>
        <v>2.8232491364454271</v>
      </c>
      <c r="AB24" s="1">
        <f>[1]Results!AE1385</f>
        <v>2.8411995113317046</v>
      </c>
      <c r="AC24" s="1">
        <f>[1]Results!AF1385</f>
        <v>2.8360667753527302</v>
      </c>
      <c r="AD24" s="1">
        <f>[1]Results!AG1385</f>
        <v>2.8199435473727608</v>
      </c>
      <c r="AE24" s="1">
        <f>[1]Results!AH1385</f>
        <v>2.797558719309623</v>
      </c>
      <c r="AF24" s="1">
        <f>[1]Results!AI1385</f>
        <v>2.7712687277880121</v>
      </c>
      <c r="AG24" s="1">
        <f>[1]Results!AJ1385</f>
        <v>2.7425446542195919</v>
      </c>
      <c r="AH24" s="1">
        <f>[1]Results!AK1385</f>
        <v>2.7076284769424586</v>
      </c>
      <c r="AI24" s="1">
        <f>[1]Results!AL1385</f>
        <v>2.6697777903756048</v>
      </c>
      <c r="AJ24" s="1">
        <f>[1]Results!AM1385</f>
        <v>2.6292560676510313</v>
      </c>
      <c r="AK24" s="1">
        <f>[1]Results!AN1385</f>
        <v>2.5859627017520648</v>
      </c>
      <c r="AL24" s="1">
        <f>[1]Results!AO1385</f>
        <v>2.5403066465174984</v>
      </c>
    </row>
    <row r="25" spans="1:38" x14ac:dyDescent="0.35">
      <c r="A25" s="3" t="str">
        <f>[1]Results!E1386</f>
        <v>100*((I_2+CH_ccon_2)/(I_0+CH_ccon_0)-1)</v>
      </c>
      <c r="B25" t="str">
        <f>[1]Results!C1386</f>
        <v>Investissement</v>
      </c>
      <c r="C25" s="1">
        <f>[1]Results!F1386</f>
        <v>0</v>
      </c>
      <c r="D25" s="1">
        <f>[1]Results!G1386</f>
        <v>0</v>
      </c>
      <c r="E25" s="1">
        <f>[1]Results!H1386</f>
        <v>-1.9871859713305184E-8</v>
      </c>
      <c r="F25" s="1">
        <f>[1]Results!I1386</f>
        <v>-3.9389003170242631E-8</v>
      </c>
      <c r="G25" s="1">
        <f>[1]Results!J1386</f>
        <v>-5.8390303703248492E-8</v>
      </c>
      <c r="H25" s="1">
        <f>[1]Results!K1386</f>
        <v>-7.6304029761331549E-8</v>
      </c>
      <c r="I25" s="1">
        <f>[1]Results!L1386</f>
        <v>-7.4757255941193534E-8</v>
      </c>
      <c r="J25" s="1">
        <f>[1]Results!M1386</f>
        <v>-9.439340254097095E-2</v>
      </c>
      <c r="K25" s="1">
        <f>[1]Results!N1386</f>
        <v>-0.3165398750953563</v>
      </c>
      <c r="L25" s="1">
        <f>[1]Results!O1386</f>
        <v>-0.6819055223517223</v>
      </c>
      <c r="M25" s="1">
        <f>[1]Results!P1386</f>
        <v>-1.1921942727474266</v>
      </c>
      <c r="N25" s="1">
        <f>[1]Results!Q1386</f>
        <v>-1.6659953032807984</v>
      </c>
      <c r="O25" s="1">
        <f>[1]Results!R1386</f>
        <v>-2.0509773601199988</v>
      </c>
      <c r="P25" s="1">
        <f>[1]Results!S1386</f>
        <v>-2.3374972124740601</v>
      </c>
      <c r="Q25" s="1">
        <f>[1]Results!T1386</f>
        <v>-2.5434858516012682</v>
      </c>
      <c r="R25" s="1">
        <f>[1]Results!U1386</f>
        <v>-2.6932345889678189</v>
      </c>
      <c r="S25" s="1">
        <f>[1]Results!V1386</f>
        <v>-2.813140239623102</v>
      </c>
      <c r="T25" s="1">
        <f>[1]Results!W1386</f>
        <v>-2.915874843851074</v>
      </c>
      <c r="U25" s="1">
        <f>[1]Results!X1386</f>
        <v>-3.0055623197710157</v>
      </c>
      <c r="V25" s="1">
        <f>[1]Results!Y1386</f>
        <v>-3.0802428320456654</v>
      </c>
      <c r="W25" s="1">
        <f>[1]Results!Z1386</f>
        <v>-3.1388262217832863</v>
      </c>
      <c r="X25" s="1">
        <f>[1]Results!AA1386</f>
        <v>-3.177228606877236</v>
      </c>
      <c r="Y25" s="1">
        <f>[1]Results!AB1386</f>
        <v>-3.1961896911945065</v>
      </c>
      <c r="Z25" s="1">
        <f>[1]Results!AC1386</f>
        <v>-3.1986765436878617</v>
      </c>
      <c r="AA25" s="1">
        <f>[1]Results!AD1386</f>
        <v>-3.188836902421599</v>
      </c>
      <c r="AB25" s="1">
        <f>[1]Results!AE1386</f>
        <v>-3.1699334007716184</v>
      </c>
      <c r="AC25" s="1">
        <f>[1]Results!AF1386</f>
        <v>-3.1474269334279326</v>
      </c>
      <c r="AD25" s="1">
        <f>[1]Results!AG1386</f>
        <v>-3.1241129430063963</v>
      </c>
      <c r="AE25" s="1">
        <f>[1]Results!AH1386</f>
        <v>-3.1023231203615942</v>
      </c>
      <c r="AF25" s="1">
        <f>[1]Results!AI1386</f>
        <v>-3.0837377967845025</v>
      </c>
      <c r="AG25" s="1">
        <f>[1]Results!AJ1386</f>
        <v>-3.0694315611878964</v>
      </c>
      <c r="AH25" s="1">
        <f>[1]Results!AK1386</f>
        <v>-3.0568175501389128</v>
      </c>
      <c r="AI25" s="1">
        <f>[1]Results!AL1386</f>
        <v>-3.0453227312882358</v>
      </c>
      <c r="AJ25" s="1">
        <f>[1]Results!AM1386</f>
        <v>-3.0349881889340735</v>
      </c>
      <c r="AK25" s="1">
        <f>[1]Results!AN1386</f>
        <v>-3.026523947078863</v>
      </c>
      <c r="AL25" s="1">
        <f>[1]Results!AO1386</f>
        <v>-3.0208534326040759</v>
      </c>
    </row>
    <row r="26" spans="1:38" x14ac:dyDescent="0.35">
      <c r="A26" s="3" t="str">
        <f>[1]Results!E1387</f>
        <v>100*((CH_ccon_2)/(CH_ccon_0)-1)</v>
      </c>
      <c r="B26" t="str">
        <f>[1]Results!C1387</f>
        <v>Investissement ménages</v>
      </c>
      <c r="C26" s="1">
        <f>[1]Results!F1387</f>
        <v>0</v>
      </c>
      <c r="D26" s="1">
        <f>[1]Results!G1387</f>
        <v>0</v>
      </c>
      <c r="E26" s="1">
        <f>[1]Results!H1387</f>
        <v>0</v>
      </c>
      <c r="F26" s="1">
        <f>[1]Results!I1387</f>
        <v>0</v>
      </c>
      <c r="G26" s="1">
        <f>[1]Results!J1387</f>
        <v>0</v>
      </c>
      <c r="H26" s="1">
        <f>[1]Results!K1387</f>
        <v>0</v>
      </c>
      <c r="I26" s="1">
        <f>[1]Results!L1387</f>
        <v>0</v>
      </c>
      <c r="J26" s="1">
        <f>[1]Results!M1387</f>
        <v>5.1957970057658898E-2</v>
      </c>
      <c r="K26" s="1">
        <f>[1]Results!N1387</f>
        <v>7.5156625690753209E-2</v>
      </c>
      <c r="L26" s="1">
        <f>[1]Results!O1387</f>
        <v>9.1775695077145336E-2</v>
      </c>
      <c r="M26" s="1">
        <f>[1]Results!P1387</f>
        <v>0.15651707386090674</v>
      </c>
      <c r="N26" s="1">
        <f>[1]Results!Q1387</f>
        <v>4.3984532594265602E-2</v>
      </c>
      <c r="O26" s="1">
        <f>[1]Results!R1387</f>
        <v>9.0080348073695582E-2</v>
      </c>
      <c r="P26" s="1">
        <f>[1]Results!S1387</f>
        <v>0.30931079239433501</v>
      </c>
      <c r="Q26" s="1">
        <f>[1]Results!T1387</f>
        <v>0.61978797586113021</v>
      </c>
      <c r="R26" s="1">
        <f>[1]Results!U1387</f>
        <v>0.94459268144027053</v>
      </c>
      <c r="S26" s="1">
        <f>[1]Results!V1387</f>
        <v>1.2513048205210264</v>
      </c>
      <c r="T26" s="1">
        <f>[1]Results!W1387</f>
        <v>1.506328159294168</v>
      </c>
      <c r="U26" s="1">
        <f>[1]Results!X1387</f>
        <v>1.7070687385251082</v>
      </c>
      <c r="V26" s="1">
        <f>[1]Results!Y1387</f>
        <v>1.8585067388564358</v>
      </c>
      <c r="W26" s="1">
        <f>[1]Results!Z1387</f>
        <v>1.9819664305169127</v>
      </c>
      <c r="X26" s="1">
        <f>[1]Results!AA1387</f>
        <v>2.0637243785964099</v>
      </c>
      <c r="Y26" s="1">
        <f>[1]Results!AB1387</f>
        <v>2.1292845244482939</v>
      </c>
      <c r="Z26" s="1">
        <f>[1]Results!AC1387</f>
        <v>2.1803190682623264</v>
      </c>
      <c r="AA26" s="1">
        <f>[1]Results!AD1387</f>
        <v>2.2127083889358135</v>
      </c>
      <c r="AB26" s="1">
        <f>[1]Results!AE1387</f>
        <v>2.2266210799971597</v>
      </c>
      <c r="AC26" s="1">
        <f>[1]Results!AF1387</f>
        <v>2.2075420051643757</v>
      </c>
      <c r="AD26" s="1">
        <f>[1]Results!AG1387</f>
        <v>2.1680657724300501</v>
      </c>
      <c r="AE26" s="1">
        <f>[1]Results!AH1387</f>
        <v>2.1130421976859326</v>
      </c>
      <c r="AF26" s="1">
        <f>[1]Results!AI1387</f>
        <v>2.0459471235575233</v>
      </c>
      <c r="AG26" s="1">
        <f>[1]Results!AJ1387</f>
        <v>1.9703406694998593</v>
      </c>
      <c r="AH26" s="1">
        <f>[1]Results!AK1387</f>
        <v>1.8871790386785658</v>
      </c>
      <c r="AI26" s="1">
        <f>[1]Results!AL1387</f>
        <v>1.8040169757102653</v>
      </c>
      <c r="AJ26" s="1">
        <f>[1]Results!AM1387</f>
        <v>1.7227077328446194</v>
      </c>
      <c r="AK26" s="1">
        <f>[1]Results!AN1387</f>
        <v>1.6428470260864581</v>
      </c>
      <c r="AL26" s="1">
        <f>[1]Results!AO1387</f>
        <v>1.5638024214572166</v>
      </c>
    </row>
    <row r="27" spans="1:38" x14ac:dyDescent="0.35">
      <c r="A27" s="3" t="str">
        <f>[1]Results!E1388</f>
        <v>100*((IA_spub_2)/(IA_spub_0)-1)</v>
      </c>
      <c r="B27" t="str">
        <f>[1]Results!C1388</f>
        <v>Investissement public</v>
      </c>
      <c r="C27" s="1">
        <f>[1]Results!F1388</f>
        <v>0</v>
      </c>
      <c r="D27" s="1">
        <f>[1]Results!G1388</f>
        <v>-2.5049806673393959E-8</v>
      </c>
      <c r="E27" s="1">
        <f>[1]Results!H1388</f>
        <v>-4.9674753199724364E-8</v>
      </c>
      <c r="F27" s="1">
        <f>[1]Results!I1388</f>
        <v>-7.4112593839714691E-8</v>
      </c>
      <c r="G27" s="1">
        <f>[1]Results!J1388</f>
        <v>-7.3508510389785897E-8</v>
      </c>
      <c r="H27" s="1">
        <f>[1]Results!K1388</f>
        <v>-7.244413957607776E-8</v>
      </c>
      <c r="I27" s="1">
        <f>[1]Results!L1388</f>
        <v>-7.1526784495290485E-8</v>
      </c>
      <c r="J27" s="1">
        <f>[1]Results!M1388</f>
        <v>-0.13232478055738017</v>
      </c>
      <c r="K27" s="1">
        <f>[1]Results!N1388</f>
        <v>-0.41579702333608415</v>
      </c>
      <c r="L27" s="1">
        <f>[1]Results!O1388</f>
        <v>-0.86232812461857211</v>
      </c>
      <c r="M27" s="1">
        <f>[1]Results!P1388</f>
        <v>-1.4772331374987013</v>
      </c>
      <c r="N27" s="1">
        <f>[1]Results!Q1388</f>
        <v>-1.9711177915207823</v>
      </c>
      <c r="O27" s="1">
        <f>[1]Results!R1388</f>
        <v>-2.3452749596672207</v>
      </c>
      <c r="P27" s="1">
        <f>[1]Results!S1388</f>
        <v>-2.6170824815115568</v>
      </c>
      <c r="Q27" s="1">
        <f>[1]Results!T1388</f>
        <v>-2.8116086865355605</v>
      </c>
      <c r="R27" s="1">
        <f>[1]Results!U1388</f>
        <v>-2.9514188550885057</v>
      </c>
      <c r="S27" s="1">
        <f>[1]Results!V1388</f>
        <v>-3.0623259931539248</v>
      </c>
      <c r="T27" s="1">
        <f>[1]Results!W1388</f>
        <v>-3.1526515785756382</v>
      </c>
      <c r="U27" s="1">
        <f>[1]Results!X1388</f>
        <v>-3.2248149130934434</v>
      </c>
      <c r="V27" s="1">
        <f>[1]Results!Y1388</f>
        <v>-3.2762040162428008</v>
      </c>
      <c r="W27" s="1">
        <f>[1]Results!Z1388</f>
        <v>-3.3079567367204188</v>
      </c>
      <c r="X27" s="1">
        <f>[1]Results!AA1388</f>
        <v>-3.312030864357951</v>
      </c>
      <c r="Y27" s="1">
        <f>[1]Results!AB1388</f>
        <v>-3.2940288227705339</v>
      </c>
      <c r="Z27" s="1">
        <f>[1]Results!AC1388</f>
        <v>-3.2595587398134285</v>
      </c>
      <c r="AA27" s="1">
        <f>[1]Results!AD1388</f>
        <v>-3.2139809113622686</v>
      </c>
      <c r="AB27" s="1">
        <f>[1]Results!AE1388</f>
        <v>-3.1610947884326057</v>
      </c>
      <c r="AC27" s="1">
        <f>[1]Results!AF1388</f>
        <v>-3.1037861311631665</v>
      </c>
      <c r="AD27" s="1">
        <f>[1]Results!AG1388</f>
        <v>-3.0482532749346425</v>
      </c>
      <c r="AE27" s="1">
        <f>[1]Results!AH1388</f>
        <v>-2.9983995746757919</v>
      </c>
      <c r="AF27" s="1">
        <f>[1]Results!AI1388</f>
        <v>-2.9564690284546002</v>
      </c>
      <c r="AG27" s="1">
        <f>[1]Results!AJ1388</f>
        <v>-2.9235984340132859</v>
      </c>
      <c r="AH27" s="1">
        <f>[1]Results!AK1388</f>
        <v>-2.8965551197190909</v>
      </c>
      <c r="AI27" s="1">
        <f>[1]Results!AL1388</f>
        <v>-2.8741168103080805</v>
      </c>
      <c r="AJ27" s="1">
        <f>[1]Results!AM1388</f>
        <v>-2.8559000844819216</v>
      </c>
      <c r="AK27" s="1">
        <f>[1]Results!AN1388</f>
        <v>-2.8420999812597159</v>
      </c>
      <c r="AL27" s="1">
        <f>[1]Results!AO1388</f>
        <v>-2.8330310441990414</v>
      </c>
    </row>
    <row r="28" spans="1:38" x14ac:dyDescent="0.35">
      <c r="A28" s="3" t="str">
        <f>[1]Results!E1389</f>
        <v>100*(DISPINC_AT_VAL_2/DISPINC_AT_VAL_0-1)</v>
      </c>
      <c r="B28" t="str">
        <f>[1]Results!C1389</f>
        <v>Revenu disponible des ménages</v>
      </c>
      <c r="C28" s="1">
        <f>[1]Results!F1389</f>
        <v>0</v>
      </c>
      <c r="D28" s="1">
        <f>[1]Results!G1389</f>
        <v>7.0807693042240771E-8</v>
      </c>
      <c r="E28" s="1">
        <f>[1]Results!H1389</f>
        <v>1.3606946680511101E-7</v>
      </c>
      <c r="F28" s="1">
        <f>[1]Results!I1389</f>
        <v>1.2987051434265595E-7</v>
      </c>
      <c r="G28" s="1">
        <f>[1]Results!J1389</f>
        <v>1.8599297657573288E-7</v>
      </c>
      <c r="H28" s="1">
        <f>[1]Results!K1389</f>
        <v>2.369352491982113E-7</v>
      </c>
      <c r="I28" s="1">
        <f>[1]Results!L1389</f>
        <v>2.8262634454989666E-7</v>
      </c>
      <c r="J28" s="1">
        <f>[1]Results!M1389</f>
        <v>0.58816516048927348</v>
      </c>
      <c r="K28" s="1">
        <f>[1]Results!N1389</f>
        <v>1.6281750350366053</v>
      </c>
      <c r="L28" s="1">
        <f>[1]Results!O1389</f>
        <v>3.3214374689096271</v>
      </c>
      <c r="M28" s="1">
        <f>[1]Results!P1389</f>
        <v>5.8923631991579128</v>
      </c>
      <c r="N28" s="1">
        <f>[1]Results!Q1389</f>
        <v>7.6989020551777365</v>
      </c>
      <c r="O28" s="1">
        <f>[1]Results!R1389</f>
        <v>9.6801218043943713</v>
      </c>
      <c r="P28" s="1">
        <f>[1]Results!S1389</f>
        <v>11.752081616619714</v>
      </c>
      <c r="Q28" s="1">
        <f>[1]Results!T1389</f>
        <v>13.891769423396006</v>
      </c>
      <c r="R28" s="1">
        <f>[1]Results!U1389</f>
        <v>16.10080994661358</v>
      </c>
      <c r="S28" s="1">
        <f>[1]Results!V1389</f>
        <v>18.466335819048354</v>
      </c>
      <c r="T28" s="1">
        <f>[1]Results!W1389</f>
        <v>20.946614303236611</v>
      </c>
      <c r="U28" s="1">
        <f>[1]Results!X1389</f>
        <v>23.540764498562304</v>
      </c>
      <c r="V28" s="1">
        <f>[1]Results!Y1389</f>
        <v>26.220738287827139</v>
      </c>
      <c r="W28" s="1">
        <f>[1]Results!Z1389</f>
        <v>29.006265403052932</v>
      </c>
      <c r="X28" s="1">
        <f>[1]Results!AA1389</f>
        <v>31.776868893152098</v>
      </c>
      <c r="Y28" s="1">
        <f>[1]Results!AB1389</f>
        <v>34.608632626862779</v>
      </c>
      <c r="Z28" s="1">
        <f>[1]Results!AC1389</f>
        <v>37.491893316081516</v>
      </c>
      <c r="AA28" s="1">
        <f>[1]Results!AD1389</f>
        <v>40.422930283084838</v>
      </c>
      <c r="AB28" s="1">
        <f>[1]Results!AE1389</f>
        <v>43.404297936139713</v>
      </c>
      <c r="AC28" s="1">
        <f>[1]Results!AF1389</f>
        <v>46.38496448661791</v>
      </c>
      <c r="AD28" s="1">
        <f>[1]Results!AG1389</f>
        <v>49.418004261797186</v>
      </c>
      <c r="AE28" s="1">
        <f>[1]Results!AH1389</f>
        <v>52.507239887901449</v>
      </c>
      <c r="AF28" s="1">
        <f>[1]Results!AI1389</f>
        <v>55.657487692330321</v>
      </c>
      <c r="AG28" s="1">
        <f>[1]Results!AJ1389</f>
        <v>58.873592746422077</v>
      </c>
      <c r="AH28" s="1">
        <f>[1]Results!AK1389</f>
        <v>62.130506970105294</v>
      </c>
      <c r="AI28" s="1">
        <f>[1]Results!AL1389</f>
        <v>65.445895129024521</v>
      </c>
      <c r="AJ28" s="1">
        <f>[1]Results!AM1389</f>
        <v>68.819855636074806</v>
      </c>
      <c r="AK28" s="1">
        <f>[1]Results!AN1389</f>
        <v>72.255095483405469</v>
      </c>
      <c r="AL28" s="1">
        <f>[1]Results!AO1389</f>
        <v>75.755910857933088</v>
      </c>
    </row>
    <row r="29" spans="1:38" x14ac:dyDescent="0.35">
      <c r="A29" s="3" t="str">
        <f>[1]Results!E1390</f>
        <v>100*(DISPINC_AT_VAL_2/DISPINC_AT_VAL_0-1)-100*(PCH_2/PCH_0-1)</v>
      </c>
      <c r="B29" t="str">
        <f>[1]Results!C1390</f>
        <v>Revenu disponible réel des ménages</v>
      </c>
      <c r="C29" s="1">
        <f>[1]Results!F1390</f>
        <v>0</v>
      </c>
      <c r="D29" s="1">
        <f>[1]Results!G1390</f>
        <v>7.0807693042240771E-8</v>
      </c>
      <c r="E29" s="1">
        <f>[1]Results!H1390</f>
        <v>4.1107806048046314E-8</v>
      </c>
      <c r="F29" s="1">
        <f>[1]Results!I1390</f>
        <v>3.8386294143322175E-8</v>
      </c>
      <c r="G29" s="1">
        <f>[1]Results!J1390</f>
        <v>8.1868734014278743E-9</v>
      </c>
      <c r="H29" s="1">
        <f>[1]Results!K1390</f>
        <v>6.1963567610234804E-8</v>
      </c>
      <c r="I29" s="1">
        <f>[1]Results!L1390</f>
        <v>2.7865443286145819E-8</v>
      </c>
      <c r="J29" s="1">
        <f>[1]Results!M1390</f>
        <v>0.16577109936544154</v>
      </c>
      <c r="K29" s="1">
        <f>[1]Results!N1390</f>
        <v>0.37719865181640166</v>
      </c>
      <c r="L29" s="1">
        <f>[1]Results!O1390</f>
        <v>0.70329820341374916</v>
      </c>
      <c r="M29" s="1">
        <f>[1]Results!P1390</f>
        <v>1.1982567407446076</v>
      </c>
      <c r="N29" s="1">
        <f>[1]Results!Q1390</f>
        <v>1.2953084204829324</v>
      </c>
      <c r="O29" s="1">
        <f>[1]Results!R1390</f>
        <v>1.5373684113362049</v>
      </c>
      <c r="P29" s="1">
        <f>[1]Results!S1390</f>
        <v>1.808635293604377</v>
      </c>
      <c r="Q29" s="1">
        <f>[1]Results!T1390</f>
        <v>2.0615493083847802</v>
      </c>
      <c r="R29" s="1">
        <f>[1]Results!U1390</f>
        <v>2.284412602195939</v>
      </c>
      <c r="S29" s="1">
        <f>[1]Results!V1390</f>
        <v>2.5074731847964511</v>
      </c>
      <c r="T29" s="1">
        <f>[1]Results!W1390</f>
        <v>2.7119533693854798</v>
      </c>
      <c r="U29" s="1">
        <f>[1]Results!X1390</f>
        <v>2.9078312493386207</v>
      </c>
      <c r="V29" s="1">
        <f>[1]Results!Y1390</f>
        <v>3.091280140324713</v>
      </c>
      <c r="W29" s="1">
        <f>[1]Results!Z1390</f>
        <v>3.2782857652236643</v>
      </c>
      <c r="X29" s="1">
        <f>[1]Results!AA1390</f>
        <v>3.418792145760527</v>
      </c>
      <c r="Y29" s="1">
        <f>[1]Results!AB1390</f>
        <v>3.5604870437925698</v>
      </c>
      <c r="Z29" s="1">
        <f>[1]Results!AC1390</f>
        <v>3.6926901555558658</v>
      </c>
      <c r="AA29" s="1">
        <f>[1]Results!AD1390</f>
        <v>3.8108500129205893</v>
      </c>
      <c r="AB29" s="1">
        <f>[1]Results!AE1390</f>
        <v>3.918236560304301</v>
      </c>
      <c r="AC29" s="1">
        <f>[1]Results!AF1390</f>
        <v>3.9860615957406864</v>
      </c>
      <c r="AD29" s="1">
        <f>[1]Results!AG1390</f>
        <v>4.0486760742365746</v>
      </c>
      <c r="AE29" s="1">
        <f>[1]Results!AH1390</f>
        <v>4.1049465983101143</v>
      </c>
      <c r="AF29" s="1">
        <f>[1]Results!AI1390</f>
        <v>4.155834425584537</v>
      </c>
      <c r="AG29" s="1">
        <f>[1]Results!AJ1390</f>
        <v>4.2027225222445423</v>
      </c>
      <c r="AH29" s="1">
        <f>[1]Results!AK1390</f>
        <v>4.2352304131335217</v>
      </c>
      <c r="AI29" s="1">
        <f>[1]Results!AL1390</f>
        <v>4.2646021519018049</v>
      </c>
      <c r="AJ29" s="1">
        <f>[1]Results!AM1390</f>
        <v>4.2882883228375306</v>
      </c>
      <c r="AK29" s="1">
        <f>[1]Results!AN1390</f>
        <v>4.3057130602284559</v>
      </c>
      <c r="AL29" s="1">
        <f>[1]Results!AO1390</f>
        <v>4.3178459516130943</v>
      </c>
    </row>
    <row r="30" spans="1:38" x14ac:dyDescent="0.35">
      <c r="A30" s="3" t="str">
        <f>[1]Results!E1391</f>
        <v>100*(DISPINC_AT_VAL_2/DISPINC_AT_VAL_0-1)-100*((F_L_2/F_L_0)-1)</v>
      </c>
      <c r="B30" t="str">
        <f>[1]Results!C1391</f>
        <v>Revenu disponible par emploi en valeur</v>
      </c>
      <c r="C30" s="1">
        <f>[1]Results!F1391</f>
        <v>0</v>
      </c>
      <c r="D30" s="1">
        <f>[1]Results!G1391</f>
        <v>7.0807693042240771E-8</v>
      </c>
      <c r="E30" s="1">
        <f>[1]Results!H1391</f>
        <v>1.3606946680511101E-7</v>
      </c>
      <c r="F30" s="1">
        <f>[1]Results!I1391</f>
        <v>9.3851881821649386E-8</v>
      </c>
      <c r="G30" s="1">
        <f>[1]Results!J1391</f>
        <v>1.5020051868930295E-7</v>
      </c>
      <c r="H30" s="1">
        <f>[1]Results!K1391</f>
        <v>2.0138719580842235E-7</v>
      </c>
      <c r="I30" s="1">
        <f>[1]Results!L1391</f>
        <v>2.473747873210641E-7</v>
      </c>
      <c r="J30" s="1">
        <f>[1]Results!M1391</f>
        <v>0.51984369410080777</v>
      </c>
      <c r="K30" s="1">
        <f>[1]Results!N1391</f>
        <v>1.3959507363504375</v>
      </c>
      <c r="L30" s="1">
        <f>[1]Results!O1391</f>
        <v>2.8111441945239513</v>
      </c>
      <c r="M30" s="1">
        <f>[1]Results!P1391</f>
        <v>4.9691923972710939</v>
      </c>
      <c r="N30" s="1">
        <f>[1]Results!Q1391</f>
        <v>6.4248966826490728</v>
      </c>
      <c r="O30" s="1">
        <f>[1]Results!R1391</f>
        <v>8.1556252735522925</v>
      </c>
      <c r="P30" s="1">
        <f>[1]Results!S1391</f>
        <v>10.064130181367915</v>
      </c>
      <c r="Q30" s="1">
        <f>[1]Results!T1391</f>
        <v>12.106182837040436</v>
      </c>
      <c r="R30" s="1">
        <f>[1]Results!U1391</f>
        <v>14.265385417287057</v>
      </c>
      <c r="S30" s="1">
        <f>[1]Results!V1391</f>
        <v>16.60628980255159</v>
      </c>
      <c r="T30" s="1">
        <f>[1]Results!W1391</f>
        <v>19.076173677747477</v>
      </c>
      <c r="U30" s="1">
        <f>[1]Results!X1391</f>
        <v>21.667989534278128</v>
      </c>
      <c r="V30" s="1">
        <f>[1]Results!Y1391</f>
        <v>24.35114060223189</v>
      </c>
      <c r="W30" s="1">
        <f>[1]Results!Z1391</f>
        <v>27.14337358258776</v>
      </c>
      <c r="X30" s="1">
        <f>[1]Results!AA1391</f>
        <v>29.933410320992902</v>
      </c>
      <c r="Y30" s="1">
        <f>[1]Results!AB1391</f>
        <v>32.795151118884448</v>
      </c>
      <c r="Z30" s="1">
        <f>[1]Results!AC1391</f>
        <v>35.714404796378645</v>
      </c>
      <c r="AA30" s="1">
        <f>[1]Results!AD1391</f>
        <v>38.683668604668611</v>
      </c>
      <c r="AB30" s="1">
        <f>[1]Results!AE1391</f>
        <v>41.702880623447179</v>
      </c>
      <c r="AC30" s="1">
        <f>[1]Results!AF1391</f>
        <v>44.722969370995052</v>
      </c>
      <c r="AD30" s="1">
        <f>[1]Results!AG1391</f>
        <v>47.794634117923863</v>
      </c>
      <c r="AE30" s="1">
        <f>[1]Results!AH1391</f>
        <v>50.918685528551435</v>
      </c>
      <c r="AF30" s="1">
        <f>[1]Results!AI1391</f>
        <v>54.097810937146271</v>
      </c>
      <c r="AG30" s="1">
        <f>[1]Results!AJ1391</f>
        <v>57.335871115085737</v>
      </c>
      <c r="AH30" s="1">
        <f>[1]Results!AK1391</f>
        <v>60.610622762475089</v>
      </c>
      <c r="AI30" s="1">
        <f>[1]Results!AL1391</f>
        <v>63.940493254208896</v>
      </c>
      <c r="AJ30" s="1">
        <f>[1]Results!AM1391</f>
        <v>67.326117010656702</v>
      </c>
      <c r="AK30" s="1">
        <f>[1]Results!AN1391</f>
        <v>70.77083005825088</v>
      </c>
      <c r="AL30" s="1">
        <f>[1]Results!AO1391</f>
        <v>74.279551977571401</v>
      </c>
    </row>
    <row r="31" spans="1:38" x14ac:dyDescent="0.35">
      <c r="A31" s="3" t="str">
        <f>[1]Results!E1392</f>
        <v>100*(DISPINC_AT_VAL_2/DISPINC_AT_VAL_0-1)-100*((F_L_2/F_L_0)-1)-100*(PCH_2/PCH_0-1)</v>
      </c>
      <c r="B31" t="str">
        <f>[1]Results!C1392</f>
        <v>Revenu disponible réel par emploi</v>
      </c>
      <c r="C31" s="1">
        <f>[1]Results!F1392</f>
        <v>0</v>
      </c>
      <c r="D31" s="1">
        <f>[1]Results!G1392</f>
        <v>7.0807693042240771E-8</v>
      </c>
      <c r="E31" s="1">
        <f>[1]Results!H1392</f>
        <v>4.1107806048046314E-8</v>
      </c>
      <c r="F31" s="1">
        <f>[1]Results!I1392</f>
        <v>2.3676616223156088E-9</v>
      </c>
      <c r="G31" s="1">
        <f>[1]Results!J1392</f>
        <v>-2.7605584485002055E-8</v>
      </c>
      <c r="H31" s="1">
        <f>[1]Results!K1392</f>
        <v>2.6415514220445857E-8</v>
      </c>
      <c r="I31" s="1">
        <f>[1]Results!L1392</f>
        <v>-7.3861139426867339E-9</v>
      </c>
      <c r="J31" s="1">
        <f>[1]Results!M1392</f>
        <v>9.7449632976975842E-2</v>
      </c>
      <c r="K31" s="1">
        <f>[1]Results!N1392</f>
        <v>0.14497435313023388</v>
      </c>
      <c r="L31" s="1">
        <f>[1]Results!O1392</f>
        <v>0.19300492902807331</v>
      </c>
      <c r="M31" s="1">
        <f>[1]Results!P1392</f>
        <v>0.27508593885778865</v>
      </c>
      <c r="N31" s="1">
        <f>[1]Results!Q1392</f>
        <v>2.1303047954268628E-2</v>
      </c>
      <c r="O31" s="1">
        <f>[1]Results!R1392</f>
        <v>1.2871880494126131E-2</v>
      </c>
      <c r="P31" s="1">
        <f>[1]Results!S1392</f>
        <v>0.120683858352578</v>
      </c>
      <c r="Q31" s="1">
        <f>[1]Results!T1392</f>
        <v>0.27596272202920957</v>
      </c>
      <c r="R31" s="1">
        <f>[1]Results!U1392</f>
        <v>0.44898807286941533</v>
      </c>
      <c r="S31" s="1">
        <f>[1]Results!V1392</f>
        <v>0.64742716829968749</v>
      </c>
      <c r="T31" s="1">
        <f>[1]Results!W1392</f>
        <v>0.84151274389634523</v>
      </c>
      <c r="U31" s="1">
        <f>[1]Results!X1392</f>
        <v>1.0350562850544449</v>
      </c>
      <c r="V31" s="1">
        <f>[1]Results!Y1392</f>
        <v>1.2216824547294642</v>
      </c>
      <c r="W31" s="1">
        <f>[1]Results!Z1392</f>
        <v>1.4153939447584918</v>
      </c>
      <c r="X31" s="1">
        <f>[1]Results!AA1392</f>
        <v>1.5753335736013305</v>
      </c>
      <c r="Y31" s="1">
        <f>[1]Results!AB1392</f>
        <v>1.7470055358142389</v>
      </c>
      <c r="Z31" s="1">
        <f>[1]Results!AC1392</f>
        <v>1.9152016358529949</v>
      </c>
      <c r="AA31" s="1">
        <f>[1]Results!AD1392</f>
        <v>2.0715883345043622</v>
      </c>
      <c r="AB31" s="1">
        <f>[1]Results!AE1392</f>
        <v>2.2168192476117667</v>
      </c>
      <c r="AC31" s="1">
        <f>[1]Results!AF1392</f>
        <v>2.3240664801178283</v>
      </c>
      <c r="AD31" s="1">
        <f>[1]Results!AG1392</f>
        <v>2.4253059303632512</v>
      </c>
      <c r="AE31" s="1">
        <f>[1]Results!AH1392</f>
        <v>2.5163922389601012</v>
      </c>
      <c r="AF31" s="1">
        <f>[1]Results!AI1392</f>
        <v>2.5961576704004869</v>
      </c>
      <c r="AG31" s="1">
        <f>[1]Results!AJ1392</f>
        <v>2.6650008909082032</v>
      </c>
      <c r="AH31" s="1">
        <f>[1]Results!AK1392</f>
        <v>2.715346205503316</v>
      </c>
      <c r="AI31" s="1">
        <f>[1]Results!AL1392</f>
        <v>2.7592002770861797</v>
      </c>
      <c r="AJ31" s="1">
        <f>[1]Results!AM1392</f>
        <v>2.794549697419427</v>
      </c>
      <c r="AK31" s="1">
        <f>[1]Results!AN1392</f>
        <v>2.8214476350738664</v>
      </c>
      <c r="AL31" s="1">
        <f>[1]Results!AO1392</f>
        <v>2.8414870712514073</v>
      </c>
    </row>
    <row r="32" spans="1:38" x14ac:dyDescent="0.35">
      <c r="A32" s="3" t="str">
        <f>[1]Results!E1393</f>
        <v>100*(MPS_n_2-MPS_n_0)</v>
      </c>
      <c r="B32" t="str">
        <f>[1]Results!C1393</f>
        <v>Taux d'épargne</v>
      </c>
      <c r="C32" s="1">
        <f>[1]Results!F1393</f>
        <v>0</v>
      </c>
      <c r="D32" s="1">
        <f>[1]Results!G1393</f>
        <v>0</v>
      </c>
      <c r="E32" s="1">
        <f>[1]Results!H1393</f>
        <v>0</v>
      </c>
      <c r="F32" s="1">
        <f>[1]Results!I1393</f>
        <v>0</v>
      </c>
      <c r="G32" s="1">
        <f>[1]Results!J1393</f>
        <v>0</v>
      </c>
      <c r="H32" s="1">
        <f>[1]Results!K1393</f>
        <v>0</v>
      </c>
      <c r="I32" s="1">
        <f>[1]Results!L1393</f>
        <v>0</v>
      </c>
      <c r="J32" s="1">
        <f>[1]Results!M1393</f>
        <v>0</v>
      </c>
      <c r="K32" s="1">
        <f>[1]Results!N1393</f>
        <v>0</v>
      </c>
      <c r="L32" s="1">
        <f>[1]Results!O1393</f>
        <v>0</v>
      </c>
      <c r="M32" s="1">
        <f>[1]Results!P1393</f>
        <v>0</v>
      </c>
      <c r="N32" s="1">
        <f>[1]Results!Q1393</f>
        <v>0</v>
      </c>
      <c r="O32" s="1">
        <f>[1]Results!R1393</f>
        <v>0</v>
      </c>
      <c r="P32" s="1">
        <f>[1]Results!S1393</f>
        <v>0</v>
      </c>
      <c r="Q32" s="1">
        <f>[1]Results!T1393</f>
        <v>0</v>
      </c>
      <c r="R32" s="1">
        <f>[1]Results!U1393</f>
        <v>0</v>
      </c>
      <c r="S32" s="1">
        <f>[1]Results!V1393</f>
        <v>0</v>
      </c>
      <c r="T32" s="1">
        <f>[1]Results!W1393</f>
        <v>0</v>
      </c>
      <c r="U32" s="1">
        <f>[1]Results!X1393</f>
        <v>0</v>
      </c>
      <c r="V32" s="1">
        <f>[1]Results!Y1393</f>
        <v>0</v>
      </c>
      <c r="W32" s="1">
        <f>[1]Results!Z1393</f>
        <v>0</v>
      </c>
      <c r="X32" s="1">
        <f>[1]Results!AA1393</f>
        <v>0</v>
      </c>
      <c r="Y32" s="1">
        <f>[1]Results!AB1393</f>
        <v>0</v>
      </c>
      <c r="Z32" s="1">
        <f>[1]Results!AC1393</f>
        <v>0</v>
      </c>
      <c r="AA32" s="1">
        <f>[1]Results!AD1393</f>
        <v>0</v>
      </c>
      <c r="AB32" s="1">
        <f>[1]Results!AE1393</f>
        <v>0</v>
      </c>
      <c r="AC32" s="1">
        <f>[1]Results!AF1393</f>
        <v>0</v>
      </c>
      <c r="AD32" s="1">
        <f>[1]Results!AG1393</f>
        <v>0</v>
      </c>
      <c r="AE32" s="1">
        <f>[1]Results!AH1393</f>
        <v>0</v>
      </c>
      <c r="AF32" s="1">
        <f>[1]Results!AI1393</f>
        <v>0</v>
      </c>
      <c r="AG32" s="1">
        <f>[1]Results!AJ1393</f>
        <v>0</v>
      </c>
      <c r="AH32" s="1">
        <f>[1]Results!AK1393</f>
        <v>0</v>
      </c>
      <c r="AI32" s="1">
        <f>[1]Results!AL1393</f>
        <v>0</v>
      </c>
      <c r="AJ32" s="1">
        <f>[1]Results!AM1393</f>
        <v>0</v>
      </c>
      <c r="AK32" s="1">
        <f>[1]Results!AN1393</f>
        <v>0</v>
      </c>
      <c r="AL32" s="1">
        <f>[1]Results!AO1393</f>
        <v>0</v>
      </c>
    </row>
    <row r="33" spans="1:38" x14ac:dyDescent="0.35">
      <c r="A33" s="3" t="str">
        <f>[1]Results!E1394</f>
        <v>100*(PCH_2/PCH_0-1)</v>
      </c>
      <c r="B33" t="str">
        <f>[1]Results!C1394</f>
        <v>Prix à la consommation des ménages</v>
      </c>
      <c r="C33" s="1">
        <f>[1]Results!F1394</f>
        <v>0</v>
      </c>
      <c r="D33" s="1">
        <f>[1]Results!G1394</f>
        <v>7.0807693042240771E-8</v>
      </c>
      <c r="E33" s="1">
        <f>[1]Results!H1394</f>
        <v>4.1107806048046314E-8</v>
      </c>
      <c r="F33" s="1">
        <f>[1]Results!I1394</f>
        <v>3.8386294143322175E-8</v>
      </c>
      <c r="G33" s="1">
        <f>[1]Results!J1394</f>
        <v>8.1868734014278743E-9</v>
      </c>
      <c r="H33" s="1">
        <f>[1]Results!K1394</f>
        <v>6.1963567610234804E-8</v>
      </c>
      <c r="I33" s="1">
        <f>[1]Results!L1394</f>
        <v>2.7865443286145819E-8</v>
      </c>
      <c r="J33" s="1">
        <f>[1]Results!M1394</f>
        <v>0.16577109936544154</v>
      </c>
      <c r="K33" s="1">
        <f>[1]Results!N1394</f>
        <v>0.37719865181640166</v>
      </c>
      <c r="L33" s="1">
        <f>[1]Results!O1394</f>
        <v>0.70329820341374916</v>
      </c>
      <c r="M33" s="1">
        <f>[1]Results!P1394</f>
        <v>1.1982567407446076</v>
      </c>
      <c r="N33" s="1">
        <f>[1]Results!Q1394</f>
        <v>1.2953084204829324</v>
      </c>
      <c r="O33" s="1">
        <f>[1]Results!R1394</f>
        <v>1.5373684113362049</v>
      </c>
      <c r="P33" s="1">
        <f>[1]Results!S1394</f>
        <v>1.808635293604377</v>
      </c>
      <c r="Q33" s="1">
        <f>[1]Results!T1394</f>
        <v>2.0615493083847802</v>
      </c>
      <c r="R33" s="1">
        <f>[1]Results!U1394</f>
        <v>2.284412602195939</v>
      </c>
      <c r="S33" s="1">
        <f>[1]Results!V1394</f>
        <v>2.5074731847964511</v>
      </c>
      <c r="T33" s="1">
        <f>[1]Results!W1394</f>
        <v>2.7119533693854798</v>
      </c>
      <c r="U33" s="1">
        <f>[1]Results!X1394</f>
        <v>2.9078312493386207</v>
      </c>
      <c r="V33" s="1">
        <f>[1]Results!Y1394</f>
        <v>3.091280140324713</v>
      </c>
      <c r="W33" s="1">
        <f>[1]Results!Z1394</f>
        <v>3.2782857652236643</v>
      </c>
      <c r="X33" s="1">
        <f>[1]Results!AA1394</f>
        <v>3.418792145760527</v>
      </c>
      <c r="Y33" s="1">
        <f>[1]Results!AB1394</f>
        <v>3.5604870437925698</v>
      </c>
      <c r="Z33" s="1">
        <f>[1]Results!AC1394</f>
        <v>3.6926901555558658</v>
      </c>
      <c r="AA33" s="1">
        <f>[1]Results!AD1394</f>
        <v>3.8108500129205893</v>
      </c>
      <c r="AB33" s="1">
        <f>[1]Results!AE1394</f>
        <v>3.918236560304301</v>
      </c>
      <c r="AC33" s="1">
        <f>[1]Results!AF1394</f>
        <v>3.9860615957406864</v>
      </c>
      <c r="AD33" s="1">
        <f>[1]Results!AG1394</f>
        <v>4.0486760742365746</v>
      </c>
      <c r="AE33" s="1">
        <f>[1]Results!AH1394</f>
        <v>4.1049465983101143</v>
      </c>
      <c r="AF33" s="1">
        <f>[1]Results!AI1394</f>
        <v>4.155834425584537</v>
      </c>
      <c r="AG33" s="1">
        <f>[1]Results!AJ1394</f>
        <v>4.2027225222445423</v>
      </c>
      <c r="AH33" s="1">
        <f>[1]Results!AK1394</f>
        <v>4.2352304131335217</v>
      </c>
      <c r="AI33" s="1">
        <f>[1]Results!AL1394</f>
        <v>4.2646021519018049</v>
      </c>
      <c r="AJ33" s="1">
        <f>[1]Results!AM1394</f>
        <v>4.2882883228375306</v>
      </c>
      <c r="AK33" s="1">
        <f>[1]Results!AN1394</f>
        <v>4.3057130602284559</v>
      </c>
      <c r="AL33" s="1">
        <f>[1]Results!AO1394</f>
        <v>4.3178459516130943</v>
      </c>
    </row>
    <row r="34" spans="1:38" x14ac:dyDescent="0.35">
      <c r="A34" s="3" t="str">
        <f>[1]Results!E1395</f>
        <v>100*(PY_2/PY_0-1)</v>
      </c>
      <c r="B34" t="str">
        <f>[1]Results!C1395</f>
        <v>Prix à la production marchande</v>
      </c>
      <c r="C34" s="1">
        <f>[1]Results!F1395</f>
        <v>0</v>
      </c>
      <c r="D34" s="1">
        <f>[1]Results!G1395</f>
        <v>0</v>
      </c>
      <c r="E34" s="1">
        <f>[1]Results!H1395</f>
        <v>9.5184726767172378E-8</v>
      </c>
      <c r="F34" s="1">
        <f>[1]Results!I1395</f>
        <v>9.1997942597288329E-8</v>
      </c>
      <c r="G34" s="1">
        <f>[1]Results!J1395</f>
        <v>1.7850787514817057E-7</v>
      </c>
      <c r="H34" s="1">
        <f>[1]Results!K1395</f>
        <v>1.7489203418818988E-7</v>
      </c>
      <c r="I34" s="1">
        <f>[1]Results!L1395</f>
        <v>2.5515634050066183E-7</v>
      </c>
      <c r="J34" s="1">
        <f>[1]Results!M1395</f>
        <v>0.28368376986753763</v>
      </c>
      <c r="K34" s="1">
        <f>[1]Results!N1395</f>
        <v>0.9329450489283353</v>
      </c>
      <c r="L34" s="1">
        <f>[1]Results!O1395</f>
        <v>2.0609018136126922</v>
      </c>
      <c r="M34" s="1">
        <f>[1]Results!P1395</f>
        <v>3.8178299232590751</v>
      </c>
      <c r="N34" s="1">
        <f>[1]Results!Q1395</f>
        <v>5.5420359045962542</v>
      </c>
      <c r="O34" s="1">
        <f>[1]Results!R1395</f>
        <v>7.2766612863382596</v>
      </c>
      <c r="P34" s="1">
        <f>[1]Results!S1395</f>
        <v>9.0652662613850854</v>
      </c>
      <c r="Q34" s="1">
        <f>[1]Results!T1395</f>
        <v>10.939471095593545</v>
      </c>
      <c r="R34" s="1">
        <f>[1]Results!U1395</f>
        <v>12.916138106725672</v>
      </c>
      <c r="S34" s="1">
        <f>[1]Results!V1395</f>
        <v>15.03517586637868</v>
      </c>
      <c r="T34" s="1">
        <f>[1]Results!W1395</f>
        <v>17.29392610530731</v>
      </c>
      <c r="U34" s="1">
        <f>[1]Results!X1395</f>
        <v>19.683757480408758</v>
      </c>
      <c r="V34" s="1">
        <f>[1]Results!Y1395</f>
        <v>22.187433204516616</v>
      </c>
      <c r="W34" s="1">
        <f>[1]Results!Z1395</f>
        <v>24.798722498313385</v>
      </c>
      <c r="X34" s="1">
        <f>[1]Results!AA1395</f>
        <v>27.468994999968377</v>
      </c>
      <c r="Y34" s="1">
        <f>[1]Results!AB1395</f>
        <v>30.200646936246866</v>
      </c>
      <c r="Z34" s="1">
        <f>[1]Results!AC1395</f>
        <v>32.995013817852524</v>
      </c>
      <c r="AA34" s="1">
        <f>[1]Results!AD1395</f>
        <v>35.852649857533002</v>
      </c>
      <c r="AB34" s="1">
        <f>[1]Results!AE1395</f>
        <v>38.772174872080598</v>
      </c>
      <c r="AC34" s="1">
        <f>[1]Results!AF1395</f>
        <v>41.737078949837979</v>
      </c>
      <c r="AD34" s="1">
        <f>[1]Results!AG1395</f>
        <v>44.756407857958472</v>
      </c>
      <c r="AE34" s="1">
        <f>[1]Results!AH1395</f>
        <v>47.835372272021637</v>
      </c>
      <c r="AF34" s="1">
        <f>[1]Results!AI1395</f>
        <v>50.977749621265424</v>
      </c>
      <c r="AG34" s="1">
        <f>[1]Results!AJ1395</f>
        <v>54.186816426900485</v>
      </c>
      <c r="AH34" s="1">
        <f>[1]Results!AK1395</f>
        <v>57.4521212720555</v>
      </c>
      <c r="AI34" s="1">
        <f>[1]Results!AL1395</f>
        <v>60.774301409920284</v>
      </c>
      <c r="AJ34" s="1">
        <f>[1]Results!AM1395</f>
        <v>64.156355398999182</v>
      </c>
      <c r="AK34" s="1">
        <f>[1]Results!AN1395</f>
        <v>67.602041993251191</v>
      </c>
      <c r="AL34" s="1">
        <f>[1]Results!AO1395</f>
        <v>71.115162597476484</v>
      </c>
    </row>
    <row r="35" spans="1:38" x14ac:dyDescent="0.35">
      <c r="A35" s="3" t="str">
        <f>[1]Results!E1396</f>
        <v>100*(PX_2/PX_0-1)</v>
      </c>
      <c r="B35" t="str">
        <f>[1]Results!C1396</f>
        <v>Prix des exportations</v>
      </c>
      <c r="C35" s="1">
        <f>[1]Results!F1396</f>
        <v>0</v>
      </c>
      <c r="D35" s="1">
        <f>[1]Results!G1396</f>
        <v>0</v>
      </c>
      <c r="E35" s="1">
        <f>[1]Results!H1396</f>
        <v>0</v>
      </c>
      <c r="F35" s="1">
        <f>[1]Results!I1396</f>
        <v>9.1304275251502531E-8</v>
      </c>
      <c r="G35" s="1">
        <f>[1]Results!J1396</f>
        <v>1.7703403187852018E-7</v>
      </c>
      <c r="H35" s="1">
        <f>[1]Results!K1396</f>
        <v>1.7441903477077858E-7</v>
      </c>
      <c r="I35" s="1">
        <f>[1]Results!L1396</f>
        <v>2.5414090831787917E-7</v>
      </c>
      <c r="J35" s="1">
        <f>[1]Results!M1396</f>
        <v>0.32867613462204126</v>
      </c>
      <c r="K35" s="1">
        <f>[1]Results!N1396</f>
        <v>1.0741137673600187</v>
      </c>
      <c r="L35" s="1">
        <f>[1]Results!O1396</f>
        <v>2.3572289266760693</v>
      </c>
      <c r="M35" s="1">
        <f>[1]Results!P1396</f>
        <v>4.340754236171418</v>
      </c>
      <c r="N35" s="1">
        <f>[1]Results!Q1396</f>
        <v>6.2247407054168757</v>
      </c>
      <c r="O35" s="1">
        <f>[1]Results!R1396</f>
        <v>8.0586940104523386</v>
      </c>
      <c r="P35" s="1">
        <f>[1]Results!S1396</f>
        <v>9.9003559105214087</v>
      </c>
      <c r="Q35" s="1">
        <f>[1]Results!T1396</f>
        <v>11.796675104471532</v>
      </c>
      <c r="R35" s="1">
        <f>[1]Results!U1396</f>
        <v>13.777630670928476</v>
      </c>
      <c r="S35" s="1">
        <f>[1]Results!V1396</f>
        <v>15.900858749408432</v>
      </c>
      <c r="T35" s="1">
        <f>[1]Results!W1396</f>
        <v>18.167085136822124</v>
      </c>
      <c r="U35" s="1">
        <f>[1]Results!X1396</f>
        <v>20.568914690566963</v>
      </c>
      <c r="V35" s="1">
        <f>[1]Results!Y1396</f>
        <v>23.088498565144565</v>
      </c>
      <c r="W35" s="1">
        <f>[1]Results!Z1396</f>
        <v>25.717586669225877</v>
      </c>
      <c r="X35" s="1">
        <f>[1]Results!AA1396</f>
        <v>28.397253725384751</v>
      </c>
      <c r="Y35" s="1">
        <f>[1]Results!AB1396</f>
        <v>31.13196911200502</v>
      </c>
      <c r="Z35" s="1">
        <f>[1]Results!AC1396</f>
        <v>33.92545584355706</v>
      </c>
      <c r="AA35" s="1">
        <f>[1]Results!AD1396</f>
        <v>36.780244843617993</v>
      </c>
      <c r="AB35" s="1">
        <f>[1]Results!AE1396</f>
        <v>39.696321542458904</v>
      </c>
      <c r="AC35" s="1">
        <f>[1]Results!AF1396</f>
        <v>42.655321242848409</v>
      </c>
      <c r="AD35" s="1">
        <f>[1]Results!AG1396</f>
        <v>45.666263522262263</v>
      </c>
      <c r="AE35" s="1">
        <f>[1]Results!AH1396</f>
        <v>48.736206333897236</v>
      </c>
      <c r="AF35" s="1">
        <f>[1]Results!AI1396</f>
        <v>51.870243596079966</v>
      </c>
      <c r="AG35" s="1">
        <f>[1]Results!AJ1396</f>
        <v>55.072434180902327</v>
      </c>
      <c r="AH35" s="1">
        <f>[1]Results!AK1396</f>
        <v>58.328500663793001</v>
      </c>
      <c r="AI35" s="1">
        <f>[1]Results!AL1396</f>
        <v>61.641842892209574</v>
      </c>
      <c r="AJ35" s="1">
        <f>[1]Results!AM1396</f>
        <v>65.015939113856973</v>
      </c>
      <c r="AK35" s="1">
        <f>[1]Results!AN1396</f>
        <v>68.454776585506977</v>
      </c>
      <c r="AL35" s="1">
        <f>[1]Results!AO1396</f>
        <v>71.962251323736609</v>
      </c>
    </row>
    <row r="36" spans="1:38" x14ac:dyDescent="0.35">
      <c r="A36" s="3" t="str">
        <f>[1]Results!E1397</f>
        <v>100*(PM_2/PM_0-1)</v>
      </c>
      <c r="B36" t="str">
        <f>[1]Results!C1397</f>
        <v>Prix des importations</v>
      </c>
      <c r="C36" s="1">
        <f>[1]Results!F1397</f>
        <v>0</v>
      </c>
      <c r="D36" s="1">
        <f>[1]Results!G1397</f>
        <v>9.8293573280727742E-8</v>
      </c>
      <c r="E36" s="1">
        <f>[1]Results!H1397</f>
        <v>9.4188767896241643E-8</v>
      </c>
      <c r="F36" s="1">
        <f>[1]Results!I1397</f>
        <v>8.985683308537773E-8</v>
      </c>
      <c r="G36" s="1">
        <f>[1]Results!J1397</f>
        <v>8.8032248157787762E-8</v>
      </c>
      <c r="H36" s="1">
        <f>[1]Results!K1397</f>
        <v>1.7745835911853192E-7</v>
      </c>
      <c r="I36" s="1">
        <f>[1]Results!L1397</f>
        <v>1.7011103636832559E-7</v>
      </c>
      <c r="J36" s="1">
        <f>[1]Results!M1397</f>
        <v>0.29158419631176713</v>
      </c>
      <c r="K36" s="1">
        <f>[1]Results!N1397</f>
        <v>0.96076835658363002</v>
      </c>
      <c r="L36" s="1">
        <f>[1]Results!O1397</f>
        <v>2.1231806392061126</v>
      </c>
      <c r="M36" s="1">
        <f>[1]Results!P1397</f>
        <v>3.9331280200114005</v>
      </c>
      <c r="N36" s="1">
        <f>[1]Results!Q1397</f>
        <v>5.6950291695401889</v>
      </c>
      <c r="O36" s="1">
        <f>[1]Results!R1397</f>
        <v>7.442782488762556</v>
      </c>
      <c r="P36" s="1">
        <f>[1]Results!S1397</f>
        <v>9.219133994643137</v>
      </c>
      <c r="Q36" s="1">
        <f>[1]Results!T1397</f>
        <v>11.06063802985766</v>
      </c>
      <c r="R36" s="1">
        <f>[1]Results!U1397</f>
        <v>12.991343738768911</v>
      </c>
      <c r="S36" s="1">
        <f>[1]Results!V1397</f>
        <v>15.061576259481191</v>
      </c>
      <c r="T36" s="1">
        <f>[1]Results!W1397</f>
        <v>17.272776090848964</v>
      </c>
      <c r="U36" s="1">
        <f>[1]Results!X1397</f>
        <v>19.622010495010088</v>
      </c>
      <c r="V36" s="1">
        <f>[1]Results!Y1397</f>
        <v>22.099680838724534</v>
      </c>
      <c r="W36" s="1">
        <f>[1]Results!Z1397</f>
        <v>24.694134009487477</v>
      </c>
      <c r="X36" s="1">
        <f>[1]Results!AA1397</f>
        <v>27.352227536344699</v>
      </c>
      <c r="Y36" s="1">
        <f>[1]Results!AB1397</f>
        <v>30.076453317774245</v>
      </c>
      <c r="Z36" s="1">
        <f>[1]Results!AC1397</f>
        <v>32.869418259219742</v>
      </c>
      <c r="AA36" s="1">
        <f>[1]Results!AD1397</f>
        <v>35.733311124060194</v>
      </c>
      <c r="AB36" s="1">
        <f>[1]Results!AE1397</f>
        <v>38.668532474859241</v>
      </c>
      <c r="AC36" s="1">
        <f>[1]Results!AF1397</f>
        <v>41.656126186606301</v>
      </c>
      <c r="AD36" s="1">
        <f>[1]Results!AG1397</f>
        <v>44.703956357126117</v>
      </c>
      <c r="AE36" s="1">
        <f>[1]Results!AH1397</f>
        <v>47.818078331858871</v>
      </c>
      <c r="AF36" s="1">
        <f>[1]Results!AI1397</f>
        <v>51.003067707909636</v>
      </c>
      <c r="AG36" s="1">
        <f>[1]Results!AJ1397</f>
        <v>54.262426793604533</v>
      </c>
      <c r="AH36" s="1">
        <f>[1]Results!AK1397</f>
        <v>57.58337198830894</v>
      </c>
      <c r="AI36" s="1">
        <f>[1]Results!AL1397</f>
        <v>60.967289263573463</v>
      </c>
      <c r="AJ36" s="1">
        <f>[1]Results!AM1397</f>
        <v>64.416247063899363</v>
      </c>
      <c r="AK36" s="1">
        <f>[1]Results!AN1397</f>
        <v>67.932654407653231</v>
      </c>
      <c r="AL36" s="1">
        <f>[1]Results!AO1397</f>
        <v>71.518882885352483</v>
      </c>
    </row>
    <row r="37" spans="1:38" x14ac:dyDescent="0.35">
      <c r="A37" s="3" t="str">
        <f>[1]Results!E1398</f>
        <v>100*(W_2/W_0-1)</v>
      </c>
      <c r="B37" t="str">
        <f>[1]Results!C1398</f>
        <v>Salaire net nominal (hors cotisations employeurs et employés, unitaire)</v>
      </c>
      <c r="C37" s="1">
        <f>[1]Results!F1398</f>
        <v>0</v>
      </c>
      <c r="D37" s="1">
        <f>[1]Results!G1398</f>
        <v>2.3532620296862206E-8</v>
      </c>
      <c r="E37" s="1">
        <f>[1]Results!H1398</f>
        <v>2.2818413825120842E-8</v>
      </c>
      <c r="F37" s="1">
        <f>[1]Results!I1398</f>
        <v>4.4117398623200188E-8</v>
      </c>
      <c r="G37" s="1">
        <f>[1]Results!J1398</f>
        <v>8.4864137939177908E-8</v>
      </c>
      <c r="H37" s="1">
        <f>[1]Results!K1398</f>
        <v>1.0182905629818606E-7</v>
      </c>
      <c r="I37" s="1">
        <f>[1]Results!L1398</f>
        <v>1.5675589715158367E-7</v>
      </c>
      <c r="J37" s="1">
        <f>[1]Results!M1398</f>
        <v>1.0366835586461676E-2</v>
      </c>
      <c r="K37" s="1">
        <f>[1]Results!N1398</f>
        <v>0.16083526693466688</v>
      </c>
      <c r="L37" s="1">
        <f>[1]Results!O1398</f>
        <v>0.57220110878590802</v>
      </c>
      <c r="M37" s="1">
        <f>[1]Results!P1398</f>
        <v>1.3737764718454892</v>
      </c>
      <c r="N37" s="1">
        <f>[1]Results!Q1398</f>
        <v>2.6824434425789967</v>
      </c>
      <c r="O37" s="1">
        <f>[1]Results!R1398</f>
        <v>4.2911223000867027</v>
      </c>
      <c r="P37" s="1">
        <f>[1]Results!S1398</f>
        <v>6.0827010393100345</v>
      </c>
      <c r="Q37" s="1">
        <f>[1]Results!T1398</f>
        <v>7.9955371294795796</v>
      </c>
      <c r="R37" s="1">
        <f>[1]Results!U1398</f>
        <v>10.001693335109984</v>
      </c>
      <c r="S37" s="1">
        <f>[1]Results!V1398</f>
        <v>12.093010655929692</v>
      </c>
      <c r="T37" s="1">
        <f>[1]Results!W1398</f>
        <v>14.284097977105725</v>
      </c>
      <c r="U37" s="1">
        <f>[1]Results!X1398</f>
        <v>16.586272923994461</v>
      </c>
      <c r="V37" s="1">
        <f>[1]Results!Y1398</f>
        <v>19.005806660559998</v>
      </c>
      <c r="W37" s="1">
        <f>[1]Results!Z1398</f>
        <v>21.538496511451079</v>
      </c>
      <c r="X37" s="1">
        <f>[1]Results!AA1398</f>
        <v>24.177732293921437</v>
      </c>
      <c r="Y37" s="1">
        <f>[1]Results!AB1398</f>
        <v>26.89969811944777</v>
      </c>
      <c r="Z37" s="1">
        <f>[1]Results!AC1398</f>
        <v>29.690664015813795</v>
      </c>
      <c r="AA37" s="1">
        <f>[1]Results!AD1398</f>
        <v>32.543046095619133</v>
      </c>
      <c r="AB37" s="1">
        <f>[1]Results!AE1398</f>
        <v>35.453736816325623</v>
      </c>
      <c r="AC37" s="1">
        <f>[1]Results!AF1398</f>
        <v>38.418622909511903</v>
      </c>
      <c r="AD37" s="1">
        <f>[1]Results!AG1398</f>
        <v>41.430332343139533</v>
      </c>
      <c r="AE37" s="1">
        <f>[1]Results!AH1398</f>
        <v>44.488252712538909</v>
      </c>
      <c r="AF37" s="1">
        <f>[1]Results!AI1398</f>
        <v>47.59533862192913</v>
      </c>
      <c r="AG37" s="1">
        <f>[1]Results!AJ1398</f>
        <v>50.756084975393549</v>
      </c>
      <c r="AH37" s="1">
        <f>[1]Results!AK1398</f>
        <v>53.975055340510416</v>
      </c>
      <c r="AI37" s="1">
        <f>[1]Results!AL1398</f>
        <v>57.25162694816683</v>
      </c>
      <c r="AJ37" s="1">
        <f>[1]Results!AM1398</f>
        <v>60.585998313740895</v>
      </c>
      <c r="AK37" s="1">
        <f>[1]Results!AN1398</f>
        <v>63.979195122223054</v>
      </c>
      <c r="AL37" s="1">
        <f>[1]Results!AO1398</f>
        <v>67.433067887024166</v>
      </c>
    </row>
    <row r="38" spans="1:38" x14ac:dyDescent="0.35">
      <c r="A38" s="3" t="str">
        <f>[1]Results!E1399</f>
        <v>100*((W_2/PCH_2)/(W_0/PCH_0)-1)</v>
      </c>
      <c r="B38" t="str">
        <f>[1]Results!C1399</f>
        <v>Salaire net réel (hors cotisations employeurs et employés, unitaire)</v>
      </c>
      <c r="C38" s="1">
        <f>[1]Results!F1399</f>
        <v>0</v>
      </c>
      <c r="D38" s="1">
        <f>[1]Results!G1399</f>
        <v>2.3532598092401713E-8</v>
      </c>
      <c r="E38" s="1">
        <f>[1]Results!H1399</f>
        <v>-7.2143235829713603E-8</v>
      </c>
      <c r="F38" s="1">
        <f>[1]Results!I1399</f>
        <v>-4.7366832678363835E-8</v>
      </c>
      <c r="G38" s="1">
        <f>[1]Results!J1399</f>
        <v>-9.2941954132896853E-8</v>
      </c>
      <c r="H38" s="1">
        <f>[1]Results!K1399</f>
        <v>-7.3142614187560184E-8</v>
      </c>
      <c r="I38" s="1">
        <f>[1]Results!L1399</f>
        <v>-9.8004993009936925E-8</v>
      </c>
      <c r="J38" s="1">
        <f>[1]Results!M1399</f>
        <v>-0.41029416734136293</v>
      </c>
      <c r="K38" s="1">
        <f>[1]Results!N1399</f>
        <v>-1.076672201322304</v>
      </c>
      <c r="L38" s="1">
        <f>[1]Results!O1399</f>
        <v>-1.9937392856214986</v>
      </c>
      <c r="M38" s="1">
        <f>[1]Results!P1399</f>
        <v>-3.1714583550954023</v>
      </c>
      <c r="N38" s="1">
        <f>[1]Results!Q1399</f>
        <v>-3.4972034919151906</v>
      </c>
      <c r="O38" s="1">
        <f>[1]Results!R1399</f>
        <v>-3.5616173734473455</v>
      </c>
      <c r="P38" s="1">
        <f>[1]Results!S1399</f>
        <v>-3.5115738252941342</v>
      </c>
      <c r="Q38" s="1">
        <f>[1]Results!T1399</f>
        <v>-3.4290221208434168</v>
      </c>
      <c r="R38" s="1">
        <f>[1]Results!U1399</f>
        <v>-3.3516295527823203</v>
      </c>
      <c r="S38" s="1">
        <f>[1]Results!V1399</f>
        <v>-3.3338132942158594</v>
      </c>
      <c r="T38" s="1">
        <f>[1]Results!W1399</f>
        <v>-3.3412900460344841</v>
      </c>
      <c r="U38" s="1">
        <f>[1]Results!X1399</f>
        <v>-3.3545236911954768</v>
      </c>
      <c r="V38" s="1">
        <f>[1]Results!Y1399</f>
        <v>-3.3490373051122457</v>
      </c>
      <c r="W38" s="1">
        <f>[1]Results!Z1399</f>
        <v>-3.3321804251101095</v>
      </c>
      <c r="X38" s="1">
        <f>[1]Results!AA1399</f>
        <v>-3.256783335650193</v>
      </c>
      <c r="Y38" s="1">
        <f>[1]Results!AB1399</f>
        <v>-3.1655903600656288</v>
      </c>
      <c r="Z38" s="1">
        <f>[1]Results!AC1399</f>
        <v>-3.0706753460875369</v>
      </c>
      <c r="AA38" s="1">
        <f>[1]Results!AD1399</f>
        <v>-2.9785317422135638</v>
      </c>
      <c r="AB38" s="1">
        <f>[1]Results!AE1399</f>
        <v>-2.8908440884605535</v>
      </c>
      <c r="AC38" s="1">
        <f>[1]Results!AF1399</f>
        <v>-2.7951619714482567</v>
      </c>
      <c r="AD38" s="1">
        <f>[1]Results!AG1399</f>
        <v>-2.7096471405156586</v>
      </c>
      <c r="AE38" s="1">
        <f>[1]Results!AH1399</f>
        <v>-2.6374528926009111</v>
      </c>
      <c r="AF38" s="1">
        <f>[1]Results!AI1399</f>
        <v>-2.5783973709771257</v>
      </c>
      <c r="AG38" s="1">
        <f>[1]Results!AJ1399</f>
        <v>-2.5310423631223822</v>
      </c>
      <c r="AH38" s="1">
        <f>[1]Results!AK1399</f>
        <v>-2.4827982837389517</v>
      </c>
      <c r="AI38" s="1">
        <f>[1]Results!AL1399</f>
        <v>-2.4380410135521391</v>
      </c>
      <c r="AJ38" s="1">
        <f>[1]Results!AM1399</f>
        <v>-2.3980620034967259</v>
      </c>
      <c r="AK38" s="1">
        <f>[1]Results!AN1399</f>
        <v>-2.3639189639592884</v>
      </c>
      <c r="AL38" s="1">
        <f>[1]Results!AO1399</f>
        <v>-2.3361188902151331</v>
      </c>
    </row>
    <row r="39" spans="1:38" x14ac:dyDescent="0.35">
      <c r="A39" s="3" t="str">
        <f>[1]Results!E1400</f>
        <v>100*(C_L_2/C_L_0-1)</v>
      </c>
      <c r="B39" t="str">
        <f>[1]Results!C1400</f>
        <v>Coût du travail nominal (yc. Cotisations employeurs et employés, unitaire)</v>
      </c>
      <c r="C39" s="1">
        <f>[1]Results!F1400</f>
        <v>0</v>
      </c>
      <c r="D39" s="1">
        <f>[1]Results!G1400</f>
        <v>1.8477552821138943E-8</v>
      </c>
      <c r="E39" s="1">
        <f>[1]Results!H1400</f>
        <v>1.7916734762479791E-8</v>
      </c>
      <c r="F39" s="1">
        <f>[1]Results!I1400</f>
        <v>3.4640446067157882E-8</v>
      </c>
      <c r="G39" s="1">
        <f>[1]Results!J1400</f>
        <v>8.3292883701346909E-8</v>
      </c>
      <c r="H39" s="1">
        <f>[1]Results!K1400</f>
        <v>1.1193694859912284E-7</v>
      </c>
      <c r="I39" s="1">
        <f>[1]Results!L1400</f>
        <v>1.6923895618248253E-7</v>
      </c>
      <c r="J39" s="1">
        <f>[1]Results!M1400</f>
        <v>1.0366846926745943E-2</v>
      </c>
      <c r="K39" s="1">
        <f>[1]Results!N1400</f>
        <v>0.16083526966197415</v>
      </c>
      <c r="L39" s="1">
        <f>[1]Results!O1400</f>
        <v>0.57220112067142281</v>
      </c>
      <c r="M39" s="1">
        <f>[1]Results!P1400</f>
        <v>1.3737764688946497</v>
      </c>
      <c r="N39" s="1">
        <f>[1]Results!Q1400</f>
        <v>2.6824434491727223</v>
      </c>
      <c r="O39" s="1">
        <f>[1]Results!R1400</f>
        <v>4.2911222855344766</v>
      </c>
      <c r="P39" s="1">
        <f>[1]Results!S1400</f>
        <v>6.0827010351590882</v>
      </c>
      <c r="Q39" s="1">
        <f>[1]Results!T1400</f>
        <v>7.9955371333858993</v>
      </c>
      <c r="R39" s="1">
        <f>[1]Results!U1400</f>
        <v>10.001693369694653</v>
      </c>
      <c r="S39" s="1">
        <f>[1]Results!V1400</f>
        <v>12.093010587350239</v>
      </c>
      <c r="T39" s="1">
        <f>[1]Results!W1400</f>
        <v>14.284097999727429</v>
      </c>
      <c r="U39" s="1">
        <f>[1]Results!X1400</f>
        <v>16.586272946159152</v>
      </c>
      <c r="V39" s="1">
        <f>[1]Results!Y1400</f>
        <v>19.005806680130412</v>
      </c>
      <c r="W39" s="1">
        <f>[1]Results!Z1400</f>
        <v>21.538496578343857</v>
      </c>
      <c r="X39" s="1">
        <f>[1]Results!AA1400</f>
        <v>24.177732275773423</v>
      </c>
      <c r="Y39" s="1">
        <f>[1]Results!AB1400</f>
        <v>26.899698085050751</v>
      </c>
      <c r="Z39" s="1">
        <f>[1]Results!AC1400</f>
        <v>29.690664093691787</v>
      </c>
      <c r="AA39" s="1">
        <f>[1]Results!AD1400</f>
        <v>32.543046111790439</v>
      </c>
      <c r="AB39" s="1">
        <f>[1]Results!AE1400</f>
        <v>35.453736899734253</v>
      </c>
      <c r="AC39" s="1">
        <f>[1]Results!AF1400</f>
        <v>38.418622889629425</v>
      </c>
      <c r="AD39" s="1">
        <f>[1]Results!AG1400</f>
        <v>41.430332321447217</v>
      </c>
      <c r="AE39" s="1">
        <f>[1]Results!AH1400</f>
        <v>44.488252764263713</v>
      </c>
      <c r="AF39" s="1">
        <f>[1]Results!AI1400</f>
        <v>47.595338582915801</v>
      </c>
      <c r="AG39" s="1">
        <f>[1]Results!AJ1400</f>
        <v>50.756085003155874</v>
      </c>
      <c r="AH39" s="1">
        <f>[1]Results!AK1400</f>
        <v>53.975055323451528</v>
      </c>
      <c r="AI39" s="1">
        <f>[1]Results!AL1400</f>
        <v>57.251626941959756</v>
      </c>
      <c r="AJ39" s="1">
        <f>[1]Results!AM1400</f>
        <v>60.585998313894443</v>
      </c>
      <c r="AK39" s="1">
        <f>[1]Results!AN1400</f>
        <v>63.97919515886101</v>
      </c>
      <c r="AL39" s="1">
        <f>[1]Results!AO1400</f>
        <v>67.433067895308724</v>
      </c>
    </row>
    <row r="40" spans="1:38" x14ac:dyDescent="0.35">
      <c r="A40" s="3" t="str">
        <f>[1]Results!E1401</f>
        <v>100*((C_L_2/PVA_2)/(C_L_0/PVA_0)-1)</v>
      </c>
      <c r="B40" t="str">
        <f>[1]Results!C1401</f>
        <v>Coût réel du travail (yc. Cotisations employeurs et employés, unitaire)</v>
      </c>
      <c r="C40" s="1">
        <f>[1]Results!F1401</f>
        <v>0</v>
      </c>
      <c r="D40" s="1">
        <f>[1]Results!G1401</f>
        <v>1.8477552821138943E-8</v>
      </c>
      <c r="E40" s="1">
        <f>[1]Results!H1401</f>
        <v>1.7916734762479791E-8</v>
      </c>
      <c r="F40" s="1">
        <f>[1]Results!I1401</f>
        <v>-5.8479299180902444E-8</v>
      </c>
      <c r="G40" s="1">
        <f>[1]Results!J1401</f>
        <v>-6.7612360155067108E-9</v>
      </c>
      <c r="H40" s="1">
        <f>[1]Results!K1401</f>
        <v>2.4558444167155358E-8</v>
      </c>
      <c r="I40" s="1">
        <f>[1]Results!L1401</f>
        <v>-1.4340750809083147E-9</v>
      </c>
      <c r="J40" s="1">
        <f>[1]Results!M1401</f>
        <v>-8.5032444311305966E-2</v>
      </c>
      <c r="K40" s="1">
        <f>[1]Results!N1401</f>
        <v>-0.32118249739396809</v>
      </c>
      <c r="L40" s="1">
        <f>[1]Results!O1401</f>
        <v>-0.66945022365234585</v>
      </c>
      <c r="M40" s="1">
        <f>[1]Results!P1401</f>
        <v>-1.1115018908610663</v>
      </c>
      <c r="N40" s="1">
        <f>[1]Results!Q1401</f>
        <v>-1.4759727978159165</v>
      </c>
      <c r="O40" s="1">
        <f>[1]Results!R1401</f>
        <v>-1.5564826427561407</v>
      </c>
      <c r="P40" s="1">
        <f>[1]Results!S1401</f>
        <v>-1.5155145235444922</v>
      </c>
      <c r="Q40" s="1">
        <f>[1]Results!T1401</f>
        <v>-1.4439929618939362</v>
      </c>
      <c r="R40" s="1">
        <f>[1]Results!U1401</f>
        <v>-1.3835740324859902</v>
      </c>
      <c r="S40" s="1">
        <f>[1]Results!V1401</f>
        <v>-1.3522234887958118</v>
      </c>
      <c r="T40" s="1">
        <f>[1]Results!W1401</f>
        <v>-1.356416283862738</v>
      </c>
      <c r="U40" s="1">
        <f>[1]Results!X1401</f>
        <v>-1.379627396558436</v>
      </c>
      <c r="V40" s="1">
        <f>[1]Results!Y1401</f>
        <v>-1.4070499904600076</v>
      </c>
      <c r="W40" s="1">
        <f>[1]Results!Z1401</f>
        <v>-1.4299068580919116</v>
      </c>
      <c r="X40" s="1">
        <f>[1]Results!AA1401</f>
        <v>-1.4478710862777522</v>
      </c>
      <c r="Y40" s="1">
        <f>[1]Results!AB1401</f>
        <v>-1.4498696220553442</v>
      </c>
      <c r="Z40" s="1">
        <f>[1]Results!AC1401</f>
        <v>-1.4472535544351128</v>
      </c>
      <c r="AA40" s="1">
        <f>[1]Results!AD1401</f>
        <v>-1.4453499743508624</v>
      </c>
      <c r="AB40" s="1">
        <f>[1]Results!AE1401</f>
        <v>-1.4443458524346697</v>
      </c>
      <c r="AC40" s="1">
        <f>[1]Results!AF1401</f>
        <v>-1.4482919084315315</v>
      </c>
      <c r="AD40" s="1">
        <f>[1]Results!AG1401</f>
        <v>-1.4541792808744014</v>
      </c>
      <c r="AE40" s="1">
        <f>[1]Results!AH1401</f>
        <v>-1.4644491891844802</v>
      </c>
      <c r="AF40" s="1">
        <f>[1]Results!AI1401</f>
        <v>-1.4786978253371164</v>
      </c>
      <c r="AG40" s="1">
        <f>[1]Results!AJ1401</f>
        <v>-1.4954875884169661</v>
      </c>
      <c r="AH40" s="1">
        <f>[1]Results!AK1401</f>
        <v>-1.5122084975519035</v>
      </c>
      <c r="AI40" s="1">
        <f>[1]Results!AL1401</f>
        <v>-1.5225109958105776</v>
      </c>
      <c r="AJ40" s="1">
        <f>[1]Results!AM1401</f>
        <v>-1.5288134526091235</v>
      </c>
      <c r="AK40" s="1">
        <f>[1]Results!AN1401</f>
        <v>-1.5332527476498381</v>
      </c>
      <c r="AL40" s="1">
        <f>[1]Results!AO1401</f>
        <v>-1.5374096703221318</v>
      </c>
    </row>
    <row r="41" spans="1:38" x14ac:dyDescent="0.35">
      <c r="A41" s="3" t="str">
        <f>[1]Results!E1402</f>
        <v>((F_L_2/F_L_0)-1)*100</v>
      </c>
      <c r="B41" t="str">
        <f>[1]Results!C1402</f>
        <v>Emploi en %</v>
      </c>
      <c r="C41" s="1">
        <f>[1]Results!F1402</f>
        <v>0</v>
      </c>
      <c r="D41" s="1">
        <f>[1]Results!G1402</f>
        <v>0</v>
      </c>
      <c r="E41" s="1">
        <f>[1]Results!H1402</f>
        <v>0</v>
      </c>
      <c r="F41" s="1">
        <f>[1]Results!I1402</f>
        <v>3.6018632521006566E-8</v>
      </c>
      <c r="G41" s="1">
        <f>[1]Results!J1402</f>
        <v>3.5792457886429929E-8</v>
      </c>
      <c r="H41" s="1">
        <f>[1]Results!K1402</f>
        <v>3.5548053389788947E-8</v>
      </c>
      <c r="I41" s="1">
        <f>[1]Results!L1402</f>
        <v>3.5251557228832553E-8</v>
      </c>
      <c r="J41" s="1">
        <f>[1]Results!M1402</f>
        <v>6.8321466388465701E-2</v>
      </c>
      <c r="K41" s="1">
        <f>[1]Results!N1402</f>
        <v>0.23222429868616778</v>
      </c>
      <c r="L41" s="1">
        <f>[1]Results!O1402</f>
        <v>0.51029327438567584</v>
      </c>
      <c r="M41" s="1">
        <f>[1]Results!P1402</f>
        <v>0.92317080188681899</v>
      </c>
      <c r="N41" s="1">
        <f>[1]Results!Q1402</f>
        <v>1.2740053725286637</v>
      </c>
      <c r="O41" s="1">
        <f>[1]Results!R1402</f>
        <v>1.5244965308420788</v>
      </c>
      <c r="P41" s="1">
        <f>[1]Results!S1402</f>
        <v>1.6879514352517999</v>
      </c>
      <c r="Q41" s="1">
        <f>[1]Results!T1402</f>
        <v>1.7855865863555698</v>
      </c>
      <c r="R41" s="1">
        <f>[1]Results!U1402</f>
        <v>1.8354245293265237</v>
      </c>
      <c r="S41" s="1">
        <f>[1]Results!V1402</f>
        <v>1.8600460164967636</v>
      </c>
      <c r="T41" s="1">
        <f>[1]Results!W1402</f>
        <v>1.8704406254891337</v>
      </c>
      <c r="U41" s="1">
        <f>[1]Results!X1402</f>
        <v>1.872774964284174</v>
      </c>
      <c r="V41" s="1">
        <f>[1]Results!Y1402</f>
        <v>1.8695976855952479</v>
      </c>
      <c r="W41" s="1">
        <f>[1]Results!Z1402</f>
        <v>1.8628918204651734</v>
      </c>
      <c r="X41" s="1">
        <f>[1]Results!AA1402</f>
        <v>1.8434585721591956</v>
      </c>
      <c r="Y41" s="1">
        <f>[1]Results!AB1402</f>
        <v>1.8134815079783317</v>
      </c>
      <c r="Z41" s="1">
        <f>[1]Results!AC1402</f>
        <v>1.7774885197028745</v>
      </c>
      <c r="AA41" s="1">
        <f>[1]Results!AD1402</f>
        <v>1.7392616784162263</v>
      </c>
      <c r="AB41" s="1">
        <f>[1]Results!AE1402</f>
        <v>1.7014173126925325</v>
      </c>
      <c r="AC41" s="1">
        <f>[1]Results!AF1402</f>
        <v>1.6619951156228607</v>
      </c>
      <c r="AD41" s="1">
        <f>[1]Results!AG1402</f>
        <v>1.6233701438733261</v>
      </c>
      <c r="AE41" s="1">
        <f>[1]Results!AH1402</f>
        <v>1.588554359350014</v>
      </c>
      <c r="AF41" s="1">
        <f>[1]Results!AI1402</f>
        <v>1.5596767551840474</v>
      </c>
      <c r="AG41" s="1">
        <f>[1]Results!AJ1402</f>
        <v>1.5377216313363418</v>
      </c>
      <c r="AH41" s="1">
        <f>[1]Results!AK1402</f>
        <v>1.5198842076302066</v>
      </c>
      <c r="AI41" s="1">
        <f>[1]Results!AL1402</f>
        <v>1.5054018748156262</v>
      </c>
      <c r="AJ41" s="1">
        <f>[1]Results!AM1402</f>
        <v>1.4937386254181062</v>
      </c>
      <c r="AK41" s="1">
        <f>[1]Results!AN1402</f>
        <v>1.484265425154585</v>
      </c>
      <c r="AL41" s="1">
        <f>[1]Results!AO1402</f>
        <v>1.4763588803616834</v>
      </c>
    </row>
    <row r="42" spans="1:38" x14ac:dyDescent="0.35">
      <c r="A42" s="3" t="str">
        <f>[1]Results!E1403</f>
        <v>F_L_2-F_L_0</v>
      </c>
      <c r="B42" t="str">
        <f>[1]Results!C1403</f>
        <v>Emploi en millier</v>
      </c>
      <c r="C42" s="1">
        <f>[1]Results!F1403</f>
        <v>0</v>
      </c>
      <c r="D42" s="1">
        <f>[1]Results!G1403</f>
        <v>0</v>
      </c>
      <c r="E42" s="1">
        <f>[1]Results!H1403</f>
        <v>0</v>
      </c>
      <c r="F42" s="1">
        <f>[1]Results!I1403</f>
        <v>9.9999997473787516E-6</v>
      </c>
      <c r="G42" s="1">
        <f>[1]Results!J1403</f>
        <v>1.0000003385357559E-5</v>
      </c>
      <c r="H42" s="1">
        <f>[1]Results!K1403</f>
        <v>9.9999997473787516E-6</v>
      </c>
      <c r="I42" s="1">
        <f>[1]Results!L1403</f>
        <v>9.9999997473787516E-6</v>
      </c>
      <c r="J42" s="1">
        <f>[1]Results!M1403</f>
        <v>19.561430000001565</v>
      </c>
      <c r="K42" s="1">
        <f>[1]Results!N1403</f>
        <v>67.141630000001896</v>
      </c>
      <c r="L42" s="1">
        <f>[1]Results!O1403</f>
        <v>149.03074999999808</v>
      </c>
      <c r="M42" s="1">
        <f>[1]Results!P1403</f>
        <v>272.42007999999987</v>
      </c>
      <c r="N42" s="1">
        <f>[1]Results!Q1403</f>
        <v>379.89976000000024</v>
      </c>
      <c r="O42" s="1">
        <f>[1]Results!R1403</f>
        <v>459.38216000000102</v>
      </c>
      <c r="P42" s="1">
        <f>[1]Results!S1403</f>
        <v>513.9826499999981</v>
      </c>
      <c r="Q42" s="1">
        <f>[1]Results!T1403</f>
        <v>549.39673000000039</v>
      </c>
      <c r="R42" s="1">
        <f>[1]Results!U1403</f>
        <v>570.58608999999706</v>
      </c>
      <c r="S42" s="1">
        <f>[1]Results!V1403</f>
        <v>583.85202000000208</v>
      </c>
      <c r="T42" s="1">
        <f>[1]Results!W1403</f>
        <v>592.47257999999783</v>
      </c>
      <c r="U42" s="1">
        <f>[1]Results!X1403</f>
        <v>598.34125999999742</v>
      </c>
      <c r="V42" s="1">
        <f>[1]Results!Y1403</f>
        <v>602.25576000000365</v>
      </c>
      <c r="W42" s="1">
        <f>[1]Results!Z1403</f>
        <v>604.81540999999925</v>
      </c>
      <c r="X42" s="1">
        <f>[1]Results!AA1403</f>
        <v>602.75464999999895</v>
      </c>
      <c r="Y42" s="1">
        <f>[1]Results!AB1403</f>
        <v>596.79778999999689</v>
      </c>
      <c r="Z42" s="1">
        <f>[1]Results!AC1403</f>
        <v>588.46709000000556</v>
      </c>
      <c r="AA42" s="1">
        <f>[1]Results!AD1403</f>
        <v>579.05717999999615</v>
      </c>
      <c r="AB42" s="1">
        <f>[1]Results!AE1403</f>
        <v>569.39355000000069</v>
      </c>
      <c r="AC42" s="1">
        <f>[1]Results!AF1403</f>
        <v>557.72854999999981</v>
      </c>
      <c r="AD42" s="1">
        <f>[1]Results!AG1403</f>
        <v>545.19952000000194</v>
      </c>
      <c r="AE42" s="1">
        <f>[1]Results!AH1403</f>
        <v>533.15267999999924</v>
      </c>
      <c r="AF42" s="1">
        <f>[1]Results!AI1403</f>
        <v>522.55697999999393</v>
      </c>
      <c r="AG42" s="1">
        <f>[1]Results!AJ1403</f>
        <v>513.91831999999704</v>
      </c>
      <c r="AH42" s="1">
        <f>[1]Results!AK1403</f>
        <v>507.02582999999868</v>
      </c>
      <c r="AI42" s="1">
        <f>[1]Results!AL1403</f>
        <v>501.56817999999475</v>
      </c>
      <c r="AJ42" s="1">
        <f>[1]Results!AM1403</f>
        <v>497.28000999999495</v>
      </c>
      <c r="AK42" s="1">
        <f>[1]Results!AN1403</f>
        <v>493.87462999999843</v>
      </c>
      <c r="AL42" s="1">
        <f>[1]Results!AO1403</f>
        <v>491.08085000000574</v>
      </c>
    </row>
    <row r="43" spans="1:38" x14ac:dyDescent="0.35">
      <c r="A43" s="3" t="str">
        <f>[1]Results!E1404</f>
        <v>100*(UnR_2-UnR_0)</v>
      </c>
      <c r="B43" t="str">
        <f>[1]Results!C1404</f>
        <v>Taux de chômage (en point)</v>
      </c>
      <c r="C43" s="1">
        <f>[1]Results!F1404</f>
        <v>-1.000000082740371E-8</v>
      </c>
      <c r="D43" s="1">
        <f>[1]Results!G1404</f>
        <v>0</v>
      </c>
      <c r="E43" s="1">
        <f>[1]Results!H1404</f>
        <v>-1.000000082740371E-8</v>
      </c>
      <c r="F43" s="1">
        <f>[1]Results!I1404</f>
        <v>-1.9999998879249858E-8</v>
      </c>
      <c r="G43" s="1">
        <f>[1]Results!J1404</f>
        <v>-1.9999998879249858E-8</v>
      </c>
      <c r="H43" s="1">
        <f>[1]Results!K1404</f>
        <v>-1.9999998879249858E-8</v>
      </c>
      <c r="I43" s="1">
        <f>[1]Results!L1404</f>
        <v>-1.9999998879249858E-8</v>
      </c>
      <c r="J43" s="1">
        <f>[1]Results!M1404</f>
        <v>-5.0487739999999226E-2</v>
      </c>
      <c r="K43" s="1">
        <f>[1]Results!N1404</f>
        <v>-0.16851955000000141</v>
      </c>
      <c r="L43" s="1">
        <f>[1]Results!O1404</f>
        <v>-0.36558496999999912</v>
      </c>
      <c r="M43" s="1">
        <f>[1]Results!P1404</f>
        <v>-0.6548320900000002</v>
      </c>
      <c r="N43" s="1">
        <f>[1]Results!Q1404</f>
        <v>-0.88868666000000007</v>
      </c>
      <c r="O43" s="1">
        <f>[1]Results!R1404</f>
        <v>-1.0473635400000001</v>
      </c>
      <c r="P43" s="1">
        <f>[1]Results!S1404</f>
        <v>-1.1466314400000011</v>
      </c>
      <c r="Q43" s="1">
        <f>[1]Results!T1404</f>
        <v>-1.2039108399999998</v>
      </c>
      <c r="R43" s="1">
        <f>[1]Results!U1404</f>
        <v>-1.2320419699999987</v>
      </c>
      <c r="S43" s="1">
        <f>[1]Results!V1404</f>
        <v>-1.2461976799999996</v>
      </c>
      <c r="T43" s="1">
        <f>[1]Results!W1404</f>
        <v>-1.2529566599999999</v>
      </c>
      <c r="U43" s="1">
        <f>[1]Results!X1404</f>
        <v>-1.2556779700000007</v>
      </c>
      <c r="V43" s="1">
        <f>[1]Results!Y1404</f>
        <v>-1.2554019399999992</v>
      </c>
      <c r="W43" s="1">
        <f>[1]Results!Z1404</f>
        <v>-1.2540286299999994</v>
      </c>
      <c r="X43" s="1">
        <f>[1]Results!AA1404</f>
        <v>-1.2416516700000004</v>
      </c>
      <c r="Y43" s="1">
        <f>[1]Results!AB1404</f>
        <v>-1.2216616800000004</v>
      </c>
      <c r="Z43" s="1">
        <f>[1]Results!AC1404</f>
        <v>-1.1976915399999997</v>
      </c>
      <c r="AA43" s="1">
        <f>[1]Results!AD1404</f>
        <v>-1.1724996699999997</v>
      </c>
      <c r="AB43" s="1">
        <f>[1]Results!AE1404</f>
        <v>-1.1500604500000005</v>
      </c>
      <c r="AC43" s="1">
        <f>[1]Results!AF1404</f>
        <v>-1.1229026399999995</v>
      </c>
      <c r="AD43" s="1">
        <f>[1]Results!AG1404</f>
        <v>-1.0952376899999998</v>
      </c>
      <c r="AE43" s="1">
        <f>[1]Results!AH1404</f>
        <v>-1.0697760700000003</v>
      </c>
      <c r="AF43" s="1">
        <f>[1]Results!AI1404</f>
        <v>-1.0482424300000002</v>
      </c>
      <c r="AG43" s="1">
        <f>[1]Results!AJ1404</f>
        <v>-1.0313467100000002</v>
      </c>
      <c r="AH43" s="1">
        <f>[1]Results!AK1404</f>
        <v>-1.0177870699999993</v>
      </c>
      <c r="AI43" s="1">
        <f>[1]Results!AL1404</f>
        <v>-1.0068205500000009</v>
      </c>
      <c r="AJ43" s="1">
        <f>[1]Results!AM1404</f>
        <v>-0.99792978000000088</v>
      </c>
      <c r="AK43" s="1">
        <f>[1]Results!AN1404</f>
        <v>-0.99057036000000098</v>
      </c>
      <c r="AL43" s="1">
        <f>[1]Results!AO1404</f>
        <v>-0.98423963000000003</v>
      </c>
    </row>
    <row r="44" spans="1:38" x14ac:dyDescent="0.35">
      <c r="A44" s="3" t="str">
        <f>[1]Results!E1405</f>
        <v>100*(Bal_Trade_VAL_2/(GDP_2*PGDP_2)-Bal_Trade_VAL_0/(GDP_0*PGDP_0))</v>
      </c>
      <c r="B44" t="str">
        <f>[1]Results!C1405</f>
        <v>Balance commerciale</v>
      </c>
      <c r="C44" s="1">
        <f>[1]Results!F1405</f>
        <v>-2.7231243301950592E-9</v>
      </c>
      <c r="D44" s="1">
        <f>[1]Results!G1405</f>
        <v>-8.7608418783413633E-10</v>
      </c>
      <c r="E44" s="1">
        <f>[1]Results!H1405</f>
        <v>6.4234980182154011E-10</v>
      </c>
      <c r="F44" s="1">
        <f>[1]Results!I1405</f>
        <v>8.2757837041591564E-10</v>
      </c>
      <c r="G44" s="1">
        <f>[1]Results!J1405</f>
        <v>2.007736186505904E-9</v>
      </c>
      <c r="H44" s="1">
        <f>[1]Results!K1405</f>
        <v>2.9091154832294741E-9</v>
      </c>
      <c r="I44" s="1">
        <f>[1]Results!L1405</f>
        <v>3.4323279461678791E-9</v>
      </c>
      <c r="J44" s="1">
        <f>[1]Results!M1405</f>
        <v>1.6335059956387038E-2</v>
      </c>
      <c r="K44" s="1">
        <f>[1]Results!N1405</f>
        <v>5.3421578034606142E-2</v>
      </c>
      <c r="L44" s="1">
        <f>[1]Results!O1405</f>
        <v>0.10850772695981045</v>
      </c>
      <c r="M44" s="1">
        <f>[1]Results!P1405</f>
        <v>0.17924773396281352</v>
      </c>
      <c r="N44" s="1">
        <f>[1]Results!Q1405</f>
        <v>0.23230029171814498</v>
      </c>
      <c r="O44" s="1">
        <f>[1]Results!R1405</f>
        <v>0.25458604872560797</v>
      </c>
      <c r="P44" s="1">
        <f>[1]Results!S1405</f>
        <v>0.25723576959132755</v>
      </c>
      <c r="Q44" s="1">
        <f>[1]Results!T1405</f>
        <v>0.25154835623882876</v>
      </c>
      <c r="R44" s="1">
        <f>[1]Results!U1405</f>
        <v>0.24447338063535889</v>
      </c>
      <c r="S44" s="1">
        <f>[1]Results!V1405</f>
        <v>0.24186256970680012</v>
      </c>
      <c r="T44" s="1">
        <f>[1]Results!W1405</f>
        <v>0.24252968362679997</v>
      </c>
      <c r="U44" s="1">
        <f>[1]Results!X1405</f>
        <v>0.2453297901798393</v>
      </c>
      <c r="V44" s="1">
        <f>[1]Results!Y1405</f>
        <v>0.24987339429854497</v>
      </c>
      <c r="W44" s="1">
        <f>[1]Results!Z1405</f>
        <v>0.25212896075470292</v>
      </c>
      <c r="X44" s="1">
        <f>[1]Results!AA1405</f>
        <v>0.25184317082134755</v>
      </c>
      <c r="Y44" s="1">
        <f>[1]Results!AB1405</f>
        <v>0.24855911785646792</v>
      </c>
      <c r="Z44" s="1">
        <f>[1]Results!AC1405</f>
        <v>0.2436258994674867</v>
      </c>
      <c r="AA44" s="1">
        <f>[1]Results!AD1405</f>
        <v>0.23813759709669646</v>
      </c>
      <c r="AB44" s="1">
        <f>[1]Results!AE1405</f>
        <v>0.23248010342202113</v>
      </c>
      <c r="AC44" s="1">
        <f>[1]Results!AF1405</f>
        <v>0.22855725407764371</v>
      </c>
      <c r="AD44" s="1">
        <f>[1]Results!AG1405</f>
        <v>0.22477340035142596</v>
      </c>
      <c r="AE44" s="1">
        <f>[1]Results!AH1405</f>
        <v>0.22167144611497172</v>
      </c>
      <c r="AF44" s="1">
        <f>[1]Results!AI1405</f>
        <v>0.21936951160560075</v>
      </c>
      <c r="AG44" s="1">
        <f>[1]Results!AJ1405</f>
        <v>0.21783104197121705</v>
      </c>
      <c r="AH44" s="1">
        <f>[1]Results!AK1405</f>
        <v>0.21614389537904163</v>
      </c>
      <c r="AI44" s="1">
        <f>[1]Results!AL1405</f>
        <v>0.21485019538107844</v>
      </c>
      <c r="AJ44" s="1">
        <f>[1]Results!AM1405</f>
        <v>0.21388446466785588</v>
      </c>
      <c r="AK44" s="1">
        <f>[1]Results!AN1405</f>
        <v>0.2134018237484589</v>
      </c>
      <c r="AL44" s="1">
        <f>[1]Results!AO1405</f>
        <v>0.21350645967160437</v>
      </c>
    </row>
    <row r="45" spans="1:38" x14ac:dyDescent="0.35">
      <c r="A45" s="3" t="str">
        <f>[1]Results!E1406</f>
        <v>100*(ENER_BILL_2/(GDP_2*PGDP_2)-ENER_BILL_0/(GDP_0*PGDP_0))</v>
      </c>
      <c r="B45" t="str">
        <f>[1]Results!C1406</f>
        <v>Facture énergétique</v>
      </c>
      <c r="C45" s="1">
        <f>[1]Results!F1406</f>
        <v>2.2692703618987231E-9</v>
      </c>
      <c r="D45" s="1">
        <f>[1]Results!G1406</f>
        <v>8.7608410109796253E-10</v>
      </c>
      <c r="E45" s="1">
        <f>[1]Results!H1406</f>
        <v>-1.458797145581503E-9</v>
      </c>
      <c r="F45" s="1">
        <f>[1]Results!I1406</f>
        <v>-2.4004999377158498E-9</v>
      </c>
      <c r="G45" s="1">
        <f>[1]Results!J1406</f>
        <v>-3.6333866471061071E-9</v>
      </c>
      <c r="H45" s="1">
        <f>[1]Results!K1406</f>
        <v>-3.456999703860264E-9</v>
      </c>
      <c r="I45" s="1">
        <f>[1]Results!L1406</f>
        <v>-4.9087713061002347E-9</v>
      </c>
      <c r="J45" s="1">
        <f>[1]Results!M1406</f>
        <v>-1.3859934443454999E-2</v>
      </c>
      <c r="K45" s="1">
        <f>[1]Results!N1406</f>
        <v>-4.1463711202851562E-2</v>
      </c>
      <c r="L45" s="1">
        <f>[1]Results!O1406</f>
        <v>-8.3318510481621672E-2</v>
      </c>
      <c r="M45" s="1">
        <f>[1]Results!P1406</f>
        <v>-0.14025344448648017</v>
      </c>
      <c r="N45" s="1">
        <f>[1]Results!Q1406</f>
        <v>-0.17971814939706424</v>
      </c>
      <c r="O45" s="1">
        <f>[1]Results!R1406</f>
        <v>-0.2081624082169089</v>
      </c>
      <c r="P45" s="1">
        <f>[1]Results!S1406</f>
        <v>-0.22933017059439562</v>
      </c>
      <c r="Q45" s="1">
        <f>[1]Results!T1406</f>
        <v>-0.24581210152133268</v>
      </c>
      <c r="R45" s="1">
        <f>[1]Results!U1406</f>
        <v>-0.259208469261618</v>
      </c>
      <c r="S45" s="1">
        <f>[1]Results!V1406</f>
        <v>-0.27235622185753816</v>
      </c>
      <c r="T45" s="1">
        <f>[1]Results!W1406</f>
        <v>-0.28452687141159061</v>
      </c>
      <c r="U45" s="1">
        <f>[1]Results!X1406</f>
        <v>-0.29706535187410271</v>
      </c>
      <c r="V45" s="1">
        <f>[1]Results!Y1406</f>
        <v>-0.31215212619151278</v>
      </c>
      <c r="W45" s="1">
        <f>[1]Results!Z1406</f>
        <v>-0.32577999130284035</v>
      </c>
      <c r="X45" s="1">
        <f>[1]Results!AA1406</f>
        <v>-0.33674075084891414</v>
      </c>
      <c r="Y45" s="1">
        <f>[1]Results!AB1406</f>
        <v>-0.34557148008058475</v>
      </c>
      <c r="Z45" s="1">
        <f>[1]Results!AC1406</f>
        <v>-0.35269416363373945</v>
      </c>
      <c r="AA45" s="1">
        <f>[1]Results!AD1406</f>
        <v>-0.35837753538623568</v>
      </c>
      <c r="AB45" s="1">
        <f>[1]Results!AE1406</f>
        <v>-0.36274303252593049</v>
      </c>
      <c r="AC45" s="1">
        <f>[1]Results!AF1406</f>
        <v>-0.36577070246240123</v>
      </c>
      <c r="AD45" s="1">
        <f>[1]Results!AG1406</f>
        <v>-0.36778706438132691</v>
      </c>
      <c r="AE45" s="1">
        <f>[1]Results!AH1406</f>
        <v>-0.36926196051036225</v>
      </c>
      <c r="AF45" s="1">
        <f>[1]Results!AI1406</f>
        <v>-0.37033217375515304</v>
      </c>
      <c r="AG45" s="1">
        <f>[1]Results!AJ1406</f>
        <v>-0.37103198805646359</v>
      </c>
      <c r="AH45" s="1">
        <f>[1]Results!AK1406</f>
        <v>-0.37099661009978097</v>
      </c>
      <c r="AI45" s="1">
        <f>[1]Results!AL1406</f>
        <v>-0.37031464339679182</v>
      </c>
      <c r="AJ45" s="1">
        <f>[1]Results!AM1406</f>
        <v>-0.36888814513514662</v>
      </c>
      <c r="AK45" s="1">
        <f>[1]Results!AN1406</f>
        <v>-0.36676297724710494</v>
      </c>
      <c r="AL45" s="1">
        <f>[1]Results!AO1406</f>
        <v>-0.36401654360053565</v>
      </c>
    </row>
    <row r="46" spans="1:38" x14ac:dyDescent="0.35">
      <c r="A46" s="3" t="str">
        <f>[1]Results!E1407</f>
        <v>100*((-Bal_G_prim_VAL_2)/(GDP_2*PGDP_2)-(-Bal_G_prim_VAL_0)/(GDP_0*PGDP_0))</v>
      </c>
      <c r="B46" t="str">
        <f>[1]Results!C1407</f>
        <v>Solde public primaire</v>
      </c>
      <c r="C46" s="1">
        <f>[1]Results!F1407</f>
        <v>2.7231245036674068E-9</v>
      </c>
      <c r="D46" s="1">
        <f>[1]Results!G1407</f>
        <v>3.0662946140513903E-9</v>
      </c>
      <c r="E46" s="1">
        <f>[1]Results!H1407</f>
        <v>8.876796867007819E-10</v>
      </c>
      <c r="F46" s="1">
        <f>[1]Results!I1407</f>
        <v>1.9206598117493812E-10</v>
      </c>
      <c r="G46" s="1">
        <f>[1]Results!J1407</f>
        <v>-3.0328367421617042E-9</v>
      </c>
      <c r="H46" s="1">
        <f>[1]Results!K1407</f>
        <v>-5.408266304414433E-9</v>
      </c>
      <c r="I46" s="1">
        <f>[1]Results!L1407</f>
        <v>-8.0123566635614818E-9</v>
      </c>
      <c r="J46" s="1">
        <f>[1]Results!M1407</f>
        <v>2.9326834941537441E-2</v>
      </c>
      <c r="K46" s="1">
        <f>[1]Results!N1407</f>
        <v>4.7896623041586775E-2</v>
      </c>
      <c r="L46" s="1">
        <f>[1]Results!O1407</f>
        <v>4.6903090524559252E-2</v>
      </c>
      <c r="M46" s="1">
        <f>[1]Results!P1407</f>
        <v>2.186461269541029E-2</v>
      </c>
      <c r="N46" s="1">
        <f>[1]Results!Q1407</f>
        <v>-0.11897604337710449</v>
      </c>
      <c r="O46" s="1">
        <f>[1]Results!R1407</f>
        <v>-0.25362595238384367</v>
      </c>
      <c r="P46" s="1">
        <f>[1]Results!S1407</f>
        <v>-0.36191248570713042</v>
      </c>
      <c r="Q46" s="1">
        <f>[1]Results!T1407</f>
        <v>-0.44204616198601082</v>
      </c>
      <c r="R46" s="1">
        <f>[1]Results!U1407</f>
        <v>-0.49982242028093693</v>
      </c>
      <c r="S46" s="1">
        <f>[1]Results!V1407</f>
        <v>-0.54050190112611485</v>
      </c>
      <c r="T46" s="1">
        <f>[1]Results!W1407</f>
        <v>-0.5768054259819112</v>
      </c>
      <c r="U46" s="1">
        <f>[1]Results!X1407</f>
        <v>-0.61638119749918419</v>
      </c>
      <c r="V46" s="1">
        <f>[1]Results!Y1407</f>
        <v>-0.66604860779822805</v>
      </c>
      <c r="W46" s="1">
        <f>[1]Results!Z1407</f>
        <v>-0.71866808056999798</v>
      </c>
      <c r="X46" s="1">
        <f>[1]Results!AA1407</f>
        <v>-0.77912815219706999</v>
      </c>
      <c r="Y46" s="1">
        <f>[1]Results!AB1407</f>
        <v>-0.83681239220227133</v>
      </c>
      <c r="Z46" s="1">
        <f>[1]Results!AC1407</f>
        <v>-0.88997768409840861</v>
      </c>
      <c r="AA46" s="1">
        <f>[1]Results!AD1407</f>
        <v>-0.93821855237892904</v>
      </c>
      <c r="AB46" s="1">
        <f>[1]Results!AE1407</f>
        <v>-0.98093628057167037</v>
      </c>
      <c r="AC46" s="1">
        <f>[1]Results!AF1407</f>
        <v>-1.027146691720672</v>
      </c>
      <c r="AD46" s="1">
        <f>[1]Results!AG1407</f>
        <v>-1.0702755823791459</v>
      </c>
      <c r="AE46" s="1">
        <f>[1]Results!AH1407</f>
        <v>-1.1105739998280266</v>
      </c>
      <c r="AF46" s="1">
        <f>[1]Results!AI1407</f>
        <v>-1.1486037713308861</v>
      </c>
      <c r="AG46" s="1">
        <f>[1]Results!AJ1407</f>
        <v>-1.1847150187957345</v>
      </c>
      <c r="AH46" s="1">
        <f>[1]Results!AK1407</f>
        <v>-1.2163761153577466</v>
      </c>
      <c r="AI46" s="1">
        <f>[1]Results!AL1407</f>
        <v>-1.2439440848043839</v>
      </c>
      <c r="AJ46" s="1">
        <f>[1]Results!AM1407</f>
        <v>-1.2670764872927232</v>
      </c>
      <c r="AK46" s="1">
        <f>[1]Results!AN1407</f>
        <v>-1.285811387024334</v>
      </c>
      <c r="AL46" s="1">
        <f>[1]Results!AO1407</f>
        <v>-1.3005028567893553</v>
      </c>
    </row>
    <row r="47" spans="1:38" x14ac:dyDescent="0.35">
      <c r="A47" s="3" t="str">
        <f>[1]Results!E1408</f>
        <v>100*((-Bal_G_tot_VAL_2)/(GDP_2*PGDP_2)-(-Bal_G_tot_VAL_0)/(GDP_0*PGDP_0))</v>
      </c>
      <c r="B47" t="str">
        <f>[1]Results!C1408</f>
        <v xml:space="preserve">Solde public </v>
      </c>
      <c r="C47" s="1">
        <f>[1]Results!F1408</f>
        <v>2.7231245036674068E-9</v>
      </c>
      <c r="D47" s="1">
        <f>[1]Results!G1408</f>
        <v>1.4893431973805882E-8</v>
      </c>
      <c r="E47" s="1">
        <f>[1]Results!H1408</f>
        <v>1.7928156181845623E-8</v>
      </c>
      <c r="F47" s="1">
        <f>[1]Results!I1408</f>
        <v>2.2478980829521156E-8</v>
      </c>
      <c r="G47" s="1">
        <f>[1]Results!J1408</f>
        <v>2.5016724108928301E-8</v>
      </c>
      <c r="H47" s="1">
        <f>[1]Results!K1408</f>
        <v>2.4938144257968808E-8</v>
      </c>
      <c r="I47" s="1">
        <f>[1]Results!L1408</f>
        <v>2.3190837791786656E-8</v>
      </c>
      <c r="J47" s="1">
        <f>[1]Results!M1408</f>
        <v>1.9344349047022147E-2</v>
      </c>
      <c r="K47" s="1">
        <f>[1]Results!N1408</f>
        <v>0.1936685700470375</v>
      </c>
      <c r="L47" s="1">
        <f>[1]Results!O1408</f>
        <v>0.39826997186799767</v>
      </c>
      <c r="M47" s="1">
        <f>[1]Results!P1408</f>
        <v>0.61881289931613481</v>
      </c>
      <c r="N47" s="1">
        <f>[1]Results!Q1408</f>
        <v>0.79362210933808375</v>
      </c>
      <c r="O47" s="1">
        <f>[1]Results!R1408</f>
        <v>0.62801986082364125</v>
      </c>
      <c r="P47" s="1">
        <f>[1]Results!S1408</f>
        <v>0.44704695192191585</v>
      </c>
      <c r="Q47" s="1">
        <f>[1]Results!T1408</f>
        <v>0.27505904653577984</v>
      </c>
      <c r="R47" s="1">
        <f>[1]Results!U1408</f>
        <v>0.11381093101600348</v>
      </c>
      <c r="S47" s="1">
        <f>[1]Results!V1408</f>
        <v>-4.2497037281118838E-2</v>
      </c>
      <c r="T47" s="1">
        <f>[1]Results!W1408</f>
        <v>-0.19960006026436272</v>
      </c>
      <c r="U47" s="1">
        <f>[1]Results!X1408</f>
        <v>-0.37666714557467312</v>
      </c>
      <c r="V47" s="1">
        <f>[1]Results!Y1408</f>
        <v>-0.58220654359875601</v>
      </c>
      <c r="W47" s="1">
        <f>[1]Results!Z1408</f>
        <v>-0.80969833227489274</v>
      </c>
      <c r="X47" s="1">
        <f>[1]Results!AA1408</f>
        <v>-1.0615647074687804</v>
      </c>
      <c r="Y47" s="1">
        <f>[1]Results!AB1408</f>
        <v>-1.323630004814512</v>
      </c>
      <c r="Z47" s="1">
        <f>[1]Results!AC1408</f>
        <v>-1.5893696966938653</v>
      </c>
      <c r="AA47" s="1">
        <f>[1]Results!AD1408</f>
        <v>-1.8570824339843917</v>
      </c>
      <c r="AB47" s="1">
        <f>[1]Results!AE1408</f>
        <v>-2.1254983496343609</v>
      </c>
      <c r="AC47" s="1">
        <f>[1]Results!AF1408</f>
        <v>-2.4112781602423055</v>
      </c>
      <c r="AD47" s="1">
        <f>[1]Results!AG1408</f>
        <v>-2.6938960207397695</v>
      </c>
      <c r="AE47" s="1">
        <f>[1]Results!AH1408</f>
        <v>-2.9747156349156132</v>
      </c>
      <c r="AF47" s="1">
        <f>[1]Results!AI1408</f>
        <v>-3.2536613706285245</v>
      </c>
      <c r="AG47" s="1">
        <f>[1]Results!AJ1408</f>
        <v>-3.5305603635172709</v>
      </c>
      <c r="AH47" s="1">
        <f>[1]Results!AK1408</f>
        <v>-3.796389661257535</v>
      </c>
      <c r="AI47" s="1">
        <f>[1]Results!AL1408</f>
        <v>-4.0529441415668943</v>
      </c>
      <c r="AJ47" s="1">
        <f>[1]Results!AM1408</f>
        <v>-4.3032625587917286</v>
      </c>
      <c r="AK47" s="1">
        <f>[1]Results!AN1408</f>
        <v>-4.5478341001091689</v>
      </c>
      <c r="AL47" s="1">
        <f>[1]Results!AO1408</f>
        <v>-4.7873121015832218</v>
      </c>
    </row>
    <row r="48" spans="1:38" x14ac:dyDescent="0.35">
      <c r="A48" s="3" t="str">
        <f>[1]Results!E1409</f>
        <v>(DEBT_G_VAL_2/(PGDP_2*GDP_2)-DEBT_G_VAL_0/(PGDP_0*GDP_0))*100</v>
      </c>
      <c r="B48" t="str">
        <f>[1]Results!C1409</f>
        <v>Dette publique</v>
      </c>
      <c r="C48" s="1">
        <f>[1]Results!F1409</f>
        <v>0</v>
      </c>
      <c r="D48" s="1">
        <f>[1]Results!G1409</f>
        <v>4.3804215810183678E-8</v>
      </c>
      <c r="E48" s="1">
        <f>[1]Results!H1409</f>
        <v>-4.7993797824830153E-8</v>
      </c>
      <c r="F48" s="1">
        <f>[1]Results!I1409</f>
        <v>-4.5871217935200548E-8</v>
      </c>
      <c r="G48" s="1">
        <f>[1]Results!J1409</f>
        <v>-4.990898805345978E-8</v>
      </c>
      <c r="H48" s="1">
        <f>[1]Results!K1409</f>
        <v>-4.8827042409271826E-8</v>
      </c>
      <c r="I48" s="1">
        <f>[1]Results!L1409</f>
        <v>-8.6316853664669679E-8</v>
      </c>
      <c r="J48" s="1">
        <f>[1]Results!M1409</f>
        <v>-0.33102174892563063</v>
      </c>
      <c r="K48" s="1">
        <f>[1]Results!N1409</f>
        <v>-0.79237509614479285</v>
      </c>
      <c r="L48" s="1">
        <f>[1]Results!O1409</f>
        <v>-1.4006292916600271</v>
      </c>
      <c r="M48" s="1">
        <f>[1]Results!P1409</f>
        <v>-2.1854601014606012</v>
      </c>
      <c r="N48" s="1">
        <f>[1]Results!Q1409</f>
        <v>-2.4002315848100864</v>
      </c>
      <c r="O48" s="1">
        <f>[1]Results!R1409</f>
        <v>-2.6714523756712572</v>
      </c>
      <c r="P48" s="1">
        <f>[1]Results!S1409</f>
        <v>-3.0378225677645809</v>
      </c>
      <c r="Q48" s="1">
        <f>[1]Results!T1409</f>
        <v>-3.4805870020160503</v>
      </c>
      <c r="R48" s="1">
        <f>[1]Results!U1409</f>
        <v>-3.9694333797522905</v>
      </c>
      <c r="S48" s="1">
        <f>[1]Results!V1409</f>
        <v>-4.5028554413974682</v>
      </c>
      <c r="T48" s="1">
        <f>[1]Results!W1409</f>
        <v>-5.0468209942434559</v>
      </c>
      <c r="U48" s="1">
        <f>[1]Results!X1409</f>
        <v>-5.5998198571518802</v>
      </c>
      <c r="V48" s="1">
        <f>[1]Results!Y1409</f>
        <v>-6.1702707084230539</v>
      </c>
      <c r="W48" s="1">
        <f>[1]Results!Z1409</f>
        <v>-6.7665779896179252</v>
      </c>
      <c r="X48" s="1">
        <f>[1]Results!AA1409</f>
        <v>-7.4030825095563513</v>
      </c>
      <c r="Y48" s="1">
        <f>[1]Results!AB1409</f>
        <v>-8.0809650139000926</v>
      </c>
      <c r="Z48" s="1">
        <f>[1]Results!AC1409</f>
        <v>-8.7963567479915401</v>
      </c>
      <c r="AA48" s="1">
        <f>[1]Results!AD1409</f>
        <v>-9.5443207425058372</v>
      </c>
      <c r="AB48" s="1">
        <f>[1]Results!AE1409</f>
        <v>-10.321007600817383</v>
      </c>
      <c r="AC48" s="1">
        <f>[1]Results!AF1409</f>
        <v>-11.182636584243483</v>
      </c>
      <c r="AD48" s="1">
        <f>[1]Results!AG1409</f>
        <v>-12.092096552372261</v>
      </c>
      <c r="AE48" s="1">
        <f>[1]Results!AH1409</f>
        <v>-13.044691062252046</v>
      </c>
      <c r="AF48" s="1">
        <f>[1]Results!AI1409</f>
        <v>-14.036098551154797</v>
      </c>
      <c r="AG48" s="1">
        <f>[1]Results!AJ1409</f>
        <v>-15.062900979478878</v>
      </c>
      <c r="AH48" s="1">
        <f>[1]Results!AK1409</f>
        <v>-16.092068741883704</v>
      </c>
      <c r="AI48" s="1">
        <f>[1]Results!AL1409</f>
        <v>-17.135416047179042</v>
      </c>
      <c r="AJ48" s="1">
        <f>[1]Results!AM1409</f>
        <v>-18.18755370226026</v>
      </c>
      <c r="AK48" s="1">
        <f>[1]Results!AN1409</f>
        <v>-19.244517623372293</v>
      </c>
      <c r="AL48" s="1">
        <f>[1]Results!AO1409</f>
        <v>-20.302956650447879</v>
      </c>
    </row>
    <row r="49" spans="1:38" x14ac:dyDescent="0.35">
      <c r="A49" s="3" t="str">
        <f>[1]Results!E1410</f>
        <v>GDP_2</v>
      </c>
      <c r="B49" t="str">
        <f>[1]Results!C1410</f>
        <v>PIB</v>
      </c>
      <c r="C49" s="1">
        <f>[1]Results!F1410</f>
        <v>2197432.8029999998</v>
      </c>
      <c r="D49" s="1">
        <f>[1]Results!G1410</f>
        <v>2231067.088</v>
      </c>
      <c r="E49" s="1">
        <f>[1]Results!H1410</f>
        <v>2262633.8420000002</v>
      </c>
      <c r="F49" s="1">
        <f>[1]Results!I1410</f>
        <v>2293236.7250000001</v>
      </c>
      <c r="G49" s="1">
        <f>[1]Results!J1410</f>
        <v>2329091.548</v>
      </c>
      <c r="H49" s="1">
        <f>[1]Results!K1410</f>
        <v>2376407.6549999998</v>
      </c>
      <c r="I49" s="1">
        <f>[1]Results!L1410</f>
        <v>2425252.1069999998</v>
      </c>
      <c r="J49" s="1">
        <f>[1]Results!M1410</f>
        <v>2476392.287</v>
      </c>
      <c r="K49" s="1">
        <f>[1]Results!N1410</f>
        <v>2529397.5249999999</v>
      </c>
      <c r="L49" s="1">
        <f>[1]Results!O1410</f>
        <v>2584732.12</v>
      </c>
      <c r="M49" s="1">
        <f>[1]Results!P1410</f>
        <v>2643626.1239999998</v>
      </c>
      <c r="N49" s="1">
        <f>[1]Results!Q1410</f>
        <v>2700842.3220000002</v>
      </c>
      <c r="O49" s="1">
        <f>[1]Results!R1410</f>
        <v>2759668.8369999998</v>
      </c>
      <c r="P49" s="1">
        <f>[1]Results!S1410</f>
        <v>2820631.5520000001</v>
      </c>
      <c r="Q49" s="1">
        <f>[1]Results!T1410</f>
        <v>2883504.997</v>
      </c>
      <c r="R49" s="1">
        <f>[1]Results!U1410</f>
        <v>2948027.1529999999</v>
      </c>
      <c r="S49" s="1">
        <f>[1]Results!V1410</f>
        <v>3011380.17</v>
      </c>
      <c r="T49" s="1">
        <f>[1]Results!W1410</f>
        <v>3075677.7540000002</v>
      </c>
      <c r="U49" s="1">
        <f>[1]Results!X1410</f>
        <v>3140985.7740000002</v>
      </c>
      <c r="V49" s="1">
        <f>[1]Results!Y1410</f>
        <v>3207462.8870000001</v>
      </c>
      <c r="W49" s="1">
        <f>[1]Results!Z1410</f>
        <v>3274806.3169999998</v>
      </c>
      <c r="X49" s="1">
        <f>[1]Results!AA1410</f>
        <v>3340443.5759999999</v>
      </c>
      <c r="Y49" s="1">
        <f>[1]Results!AB1410</f>
        <v>3406912.1359999999</v>
      </c>
      <c r="Z49" s="1">
        <f>[1]Results!AC1410</f>
        <v>3474325.8420000002</v>
      </c>
      <c r="AA49" s="1">
        <f>[1]Results!AD1410</f>
        <v>3542785.8859999999</v>
      </c>
      <c r="AB49" s="1">
        <f>[1]Results!AE1410</f>
        <v>3611209.8730000001</v>
      </c>
      <c r="AC49" s="1">
        <f>[1]Results!AF1410</f>
        <v>3666701.673</v>
      </c>
      <c r="AD49" s="1">
        <f>[1]Results!AG1410</f>
        <v>3720380.534</v>
      </c>
      <c r="AE49" s="1">
        <f>[1]Results!AH1410</f>
        <v>3772518.4929999998</v>
      </c>
      <c r="AF49" s="1">
        <f>[1]Results!AI1410</f>
        <v>3823618.486</v>
      </c>
      <c r="AG49" s="1">
        <f>[1]Results!AJ1410</f>
        <v>3874144.602</v>
      </c>
      <c r="AH49" s="1">
        <f>[1]Results!AK1410</f>
        <v>3932905.449</v>
      </c>
      <c r="AI49" s="1">
        <f>[1]Results!AL1410</f>
        <v>3993486.679</v>
      </c>
      <c r="AJ49" s="1">
        <f>[1]Results!AM1410</f>
        <v>4056016.6669999999</v>
      </c>
      <c r="AK49" s="1">
        <f>[1]Results!AN1410</f>
        <v>4120386.9</v>
      </c>
      <c r="AL49" s="1">
        <f>[1]Results!AO1410</f>
        <v>4186444.4670000002</v>
      </c>
    </row>
    <row r="50" spans="1:38" x14ac:dyDescent="0.35">
      <c r="A50" s="3" t="str">
        <f>[1]Results!E1411</f>
        <v>(GDPter_2/GDPbis_2-1)*100</v>
      </c>
      <c r="B50" t="str">
        <f>[1]Results!C1411</f>
        <v>Ecart PIB</v>
      </c>
      <c r="C50" s="1">
        <f>[1]Results!F1411</f>
        <v>0</v>
      </c>
      <c r="D50" s="1">
        <f>[1]Results!G1411</f>
        <v>0</v>
      </c>
      <c r="E50" s="1">
        <f>[1]Results!H1411</f>
        <v>0</v>
      </c>
      <c r="F50" s="1">
        <f>[1]Results!I1411</f>
        <v>0</v>
      </c>
      <c r="G50" s="1">
        <f>[1]Results!J1411</f>
        <v>0</v>
      </c>
      <c r="H50" s="1">
        <f>[1]Results!K1411</f>
        <v>1.2624097323055139E-7</v>
      </c>
      <c r="I50" s="1">
        <f>[1]Results!L1411</f>
        <v>0</v>
      </c>
      <c r="J50" s="1">
        <f>[1]Results!M1411</f>
        <v>0</v>
      </c>
      <c r="K50" s="1">
        <f>[1]Results!N1411</f>
        <v>3.9535108520283302E-8</v>
      </c>
      <c r="L50" s="1">
        <f>[1]Results!O1411</f>
        <v>3.8688718895230068E-8</v>
      </c>
      <c r="M50" s="1">
        <f>[1]Results!P1411</f>
        <v>0</v>
      </c>
      <c r="N50" s="1">
        <f>[1]Results!Q1411</f>
        <v>0</v>
      </c>
      <c r="O50" s="1">
        <f>[1]Results!R1411</f>
        <v>3.6236236233833097E-8</v>
      </c>
      <c r="P50" s="1">
        <f>[1]Results!S1411</f>
        <v>0</v>
      </c>
      <c r="Q50" s="1">
        <f>[1]Results!T1411</f>
        <v>0</v>
      </c>
      <c r="R50" s="1">
        <f>[1]Results!U1411</f>
        <v>0</v>
      </c>
      <c r="S50" s="1">
        <f>[1]Results!V1411</f>
        <v>3.320737018697173E-8</v>
      </c>
      <c r="T50" s="1">
        <f>[1]Results!W1411</f>
        <v>3.2513147729673619E-8</v>
      </c>
      <c r="U50" s="1">
        <f>[1]Results!X1411</f>
        <v>0</v>
      </c>
      <c r="V50" s="1">
        <f>[1]Results!Y1411</f>
        <v>3.1177282977523646E-8</v>
      </c>
      <c r="W50" s="1">
        <f>[1]Results!Z1411</f>
        <v>3.0536151385263111E-8</v>
      </c>
      <c r="X50" s="1">
        <f>[1]Results!AA1411</f>
        <v>5.9872307112129874E-8</v>
      </c>
      <c r="Y50" s="1">
        <f>[1]Results!AB1411</f>
        <v>5.870417485454027E-8</v>
      </c>
      <c r="Z50" s="1">
        <f>[1]Results!AC1411</f>
        <v>5.7565130440195844E-8</v>
      </c>
      <c r="AA50" s="1">
        <f>[1]Results!AD1411</f>
        <v>5.6452753582902915E-8</v>
      </c>
      <c r="AB50" s="1">
        <f>[1]Results!AE1411</f>
        <v>5.5383098107597561E-8</v>
      </c>
      <c r="AC50" s="1">
        <f>[1]Results!AF1411</f>
        <v>2.7272473168693523E-8</v>
      </c>
      <c r="AD50" s="1">
        <f>[1]Results!AG1411</f>
        <v>5.3757931439690765E-8</v>
      </c>
      <c r="AE50" s="1">
        <f>[1]Results!AH1411</f>
        <v>2.6507485095805805E-8</v>
      </c>
      <c r="AF50" s="1">
        <f>[1]Results!AI1411</f>
        <v>2.615323513310841E-8</v>
      </c>
      <c r="AG50" s="1">
        <f>[1]Results!AJ1411</f>
        <v>0</v>
      </c>
      <c r="AH50" s="1">
        <f>[1]Results!AK1411</f>
        <v>0</v>
      </c>
      <c r="AI50" s="1">
        <f>[1]Results!AL1411</f>
        <v>0</v>
      </c>
      <c r="AJ50" s="1">
        <f>[1]Results!AM1411</f>
        <v>0</v>
      </c>
      <c r="AK50" s="1">
        <f>[1]Results!AN1411</f>
        <v>-2.4269553033917646E-8</v>
      </c>
      <c r="AL50" s="1">
        <f>[1]Results!AO1411</f>
        <v>0</v>
      </c>
    </row>
    <row r="51" spans="1:38" x14ac:dyDescent="0.35">
      <c r="A51" s="3" t="str">
        <f>[1]Results!E1412</f>
        <v>SPEND_G_VAL_2</v>
      </c>
      <c r="B51" t="str">
        <f>[1]Results!C1412</f>
        <v>Dépenses publiques</v>
      </c>
      <c r="C51" s="1">
        <f>[1]Results!F1412</f>
        <v>1179114.7169999999</v>
      </c>
      <c r="D51" s="1">
        <f>[1]Results!G1412</f>
        <v>1220157.0490000001</v>
      </c>
      <c r="E51" s="1">
        <f>[1]Results!H1412</f>
        <v>1264334.6399999999</v>
      </c>
      <c r="F51" s="1">
        <f>[1]Results!I1412</f>
        <v>1330761.7790000001</v>
      </c>
      <c r="G51" s="1">
        <f>[1]Results!J1412</f>
        <v>1399347.7069999999</v>
      </c>
      <c r="H51" s="1">
        <f>[1]Results!K1412</f>
        <v>1443895.2439999999</v>
      </c>
      <c r="I51" s="1">
        <f>[1]Results!L1412</f>
        <v>1483136.82</v>
      </c>
      <c r="J51" s="1">
        <f>[1]Results!M1412</f>
        <v>1552031.939</v>
      </c>
      <c r="K51" s="1">
        <f>[1]Results!N1412</f>
        <v>1630460.2450000001</v>
      </c>
      <c r="L51" s="1">
        <f>[1]Results!O1412</f>
        <v>1724111.784</v>
      </c>
      <c r="M51" s="1">
        <f>[1]Results!P1412</f>
        <v>1838117.2890000001</v>
      </c>
      <c r="N51" s="1">
        <f>[1]Results!Q1412</f>
        <v>1961218.774</v>
      </c>
      <c r="O51" s="1">
        <f>[1]Results!R1412</f>
        <v>2081905.3389999999</v>
      </c>
      <c r="P51" s="1">
        <f>[1]Results!S1412</f>
        <v>2211391.557</v>
      </c>
      <c r="Q51" s="1">
        <f>[1]Results!T1412</f>
        <v>2351129.1690000002</v>
      </c>
      <c r="R51" s="1">
        <f>[1]Results!U1412</f>
        <v>2501993.6140000001</v>
      </c>
      <c r="S51" s="1">
        <f>[1]Results!V1412</f>
        <v>2665045.125</v>
      </c>
      <c r="T51" s="1">
        <f>[1]Results!W1412</f>
        <v>2840526.1540000001</v>
      </c>
      <c r="U51" s="1">
        <f>[1]Results!X1412</f>
        <v>3027850.395</v>
      </c>
      <c r="V51" s="1">
        <f>[1]Results!Y1412</f>
        <v>3226603.9160000002</v>
      </c>
      <c r="W51" s="1">
        <f>[1]Results!Z1412</f>
        <v>3434216.5079999999</v>
      </c>
      <c r="X51" s="1">
        <f>[1]Results!AA1412</f>
        <v>3654042.0789999999</v>
      </c>
      <c r="Y51" s="1">
        <f>[1]Results!AB1412</f>
        <v>3883175.7459999998</v>
      </c>
      <c r="Z51" s="1">
        <f>[1]Results!AC1412</f>
        <v>4121058.8870000001</v>
      </c>
      <c r="AA51" s="1">
        <f>[1]Results!AD1412</f>
        <v>4366644.5</v>
      </c>
      <c r="AB51" s="1">
        <f>[1]Results!AE1412</f>
        <v>4608546.875</v>
      </c>
      <c r="AC51" s="1">
        <f>[1]Results!AF1412</f>
        <v>4858944.1960000005</v>
      </c>
      <c r="AD51" s="1">
        <f>[1]Results!AG1412</f>
        <v>5113857.3760000002</v>
      </c>
      <c r="AE51" s="1">
        <f>[1]Results!AH1412</f>
        <v>5372875.7359999996</v>
      </c>
      <c r="AF51" s="1">
        <f>[1]Results!AI1412</f>
        <v>5635558.682</v>
      </c>
      <c r="AG51" s="1">
        <f>[1]Results!AJ1412</f>
        <v>5901226.2549999999</v>
      </c>
      <c r="AH51" s="1">
        <f>[1]Results!AK1412</f>
        <v>6168411.4939999999</v>
      </c>
      <c r="AI51" s="1">
        <f>[1]Results!AL1412</f>
        <v>6432228.051</v>
      </c>
      <c r="AJ51" s="1">
        <f>[1]Results!AM1412</f>
        <v>6688116.7000000002</v>
      </c>
      <c r="AK51" s="1">
        <f>[1]Results!AN1412</f>
        <v>6932841.2920000004</v>
      </c>
      <c r="AL51" s="1">
        <f>[1]Results!AO1412</f>
        <v>7163296.0269999998</v>
      </c>
    </row>
    <row r="52" spans="1:38" x14ac:dyDescent="0.35">
      <c r="A52" s="3" t="str">
        <f>[1]Results!E1413</f>
        <v>INC_G_VAL_2</v>
      </c>
      <c r="B52" t="str">
        <f>[1]Results!C1413</f>
        <v>Recettes publiques</v>
      </c>
      <c r="C52" s="1">
        <f>[1]Results!F1413</f>
        <v>1011633.231</v>
      </c>
      <c r="D52" s="1">
        <f>[1]Results!G1413</f>
        <v>1044090.282</v>
      </c>
      <c r="E52" s="1">
        <f>[1]Results!H1413</f>
        <v>1087862.3770000001</v>
      </c>
      <c r="F52" s="1">
        <f>[1]Results!I1413</f>
        <v>1141484.514</v>
      </c>
      <c r="G52" s="1">
        <f>[1]Results!J1413</f>
        <v>1195138.902</v>
      </c>
      <c r="H52" s="1">
        <f>[1]Results!K1413</f>
        <v>1243497.892</v>
      </c>
      <c r="I52" s="1">
        <f>[1]Results!L1413</f>
        <v>1308642.905</v>
      </c>
      <c r="J52" s="1">
        <f>[1]Results!M1413</f>
        <v>1379045.0419999999</v>
      </c>
      <c r="K52" s="1">
        <f>[1]Results!N1413</f>
        <v>1461566.7169999999</v>
      </c>
      <c r="L52" s="1">
        <f>[1]Results!O1413</f>
        <v>1559809.0789999999</v>
      </c>
      <c r="M52" s="1">
        <f>[1]Results!P1413</f>
        <v>1679092.348</v>
      </c>
      <c r="N52" s="1">
        <f>[1]Results!Q1413</f>
        <v>1814243.2509999999</v>
      </c>
      <c r="O52" s="1">
        <f>[1]Results!R1413</f>
        <v>1966049.1270000001</v>
      </c>
      <c r="P52" s="1">
        <f>[1]Results!S1413</f>
        <v>2135681.0320000001</v>
      </c>
      <c r="Q52" s="1">
        <f>[1]Results!T1413</f>
        <v>2325183.6090000002</v>
      </c>
      <c r="R52" s="1">
        <f>[1]Results!U1413</f>
        <v>2537237.0529999998</v>
      </c>
      <c r="S52" s="1">
        <f>[1]Results!V1413</f>
        <v>2773479.4190000002</v>
      </c>
      <c r="T52" s="1">
        <f>[1]Results!W1413</f>
        <v>3037552.9539999999</v>
      </c>
      <c r="U52" s="1">
        <f>[1]Results!X1413</f>
        <v>3333365.3960000002</v>
      </c>
      <c r="V52" s="1">
        <f>[1]Results!Y1413</f>
        <v>3665146.443</v>
      </c>
      <c r="W52" s="1">
        <f>[1]Results!Z1413</f>
        <v>4036552.7990000001</v>
      </c>
      <c r="X52" s="1">
        <f>[1]Results!AA1413</f>
        <v>4449551.1469999999</v>
      </c>
      <c r="Y52" s="1">
        <f>[1]Results!AB1413</f>
        <v>4908305.9189999998</v>
      </c>
      <c r="Z52" s="1">
        <f>[1]Results!AC1413</f>
        <v>5417935.4510000004</v>
      </c>
      <c r="AA52" s="1">
        <f>[1]Results!AD1413</f>
        <v>5984188.6639999999</v>
      </c>
      <c r="AB52" s="1">
        <f>[1]Results!AE1413</f>
        <v>6611093.3090000004</v>
      </c>
      <c r="AC52" s="1">
        <f>[1]Results!AF1413</f>
        <v>7287083.3969999999</v>
      </c>
      <c r="AD52" s="1">
        <f>[1]Results!AG1413</f>
        <v>8015862.5920000002</v>
      </c>
      <c r="AE52" s="1">
        <f>[1]Results!AH1413</f>
        <v>8801178.6699999999</v>
      </c>
      <c r="AF52" s="1">
        <f>[1]Results!AI1413</f>
        <v>9646899.7530000005</v>
      </c>
      <c r="AG52" s="1">
        <f>[1]Results!AJ1413</f>
        <v>10556875.949999999</v>
      </c>
      <c r="AH52" s="1">
        <f>[1]Results!AK1413</f>
        <v>11553823.460000001</v>
      </c>
      <c r="AI52" s="1">
        <f>[1]Results!AL1413</f>
        <v>12642947.59</v>
      </c>
      <c r="AJ52" s="1">
        <f>[1]Results!AM1413</f>
        <v>13830869.15</v>
      </c>
      <c r="AK52" s="1">
        <f>[1]Results!AN1413</f>
        <v>15124186.84</v>
      </c>
      <c r="AL52" s="1">
        <f>[1]Results!AO1413</f>
        <v>16529473.18</v>
      </c>
    </row>
    <row r="53" spans="1:38" x14ac:dyDescent="0.35">
      <c r="A53" s="3" t="str">
        <f>[1]Results!E1414</f>
        <v>Bal_G_tot_VAL_2</v>
      </c>
      <c r="B53" t="str">
        <f>[1]Results!C1414</f>
        <v>Solde public</v>
      </c>
      <c r="C53" s="1">
        <f>[1]Results!F1414</f>
        <v>-65504.418189999997</v>
      </c>
      <c r="D53" s="1">
        <f>[1]Results!G1414</f>
        <v>-70814.479019999999</v>
      </c>
      <c r="E53" s="1">
        <f>[1]Results!H1414</f>
        <v>-67679.251399999994</v>
      </c>
      <c r="F53" s="1">
        <f>[1]Results!I1414</f>
        <v>-77100.290219999995</v>
      </c>
      <c r="G53" s="1">
        <f>[1]Results!J1414</f>
        <v>-88176.814559999999</v>
      </c>
      <c r="H53" s="1">
        <f>[1]Results!K1414</f>
        <v>-79956.521410000001</v>
      </c>
      <c r="I53" s="1">
        <f>[1]Results!L1414</f>
        <v>-50055.258849999998</v>
      </c>
      <c r="J53" s="1">
        <f>[1]Results!M1414</f>
        <v>-46045.477400000003</v>
      </c>
      <c r="K53" s="1">
        <f>[1]Results!N1414</f>
        <v>-39649.835140000003</v>
      </c>
      <c r="L53" s="1">
        <f>[1]Results!O1414</f>
        <v>-33076.519240000001</v>
      </c>
      <c r="M53" s="1">
        <f>[1]Results!P1414</f>
        <v>-26144.930550000001</v>
      </c>
      <c r="N53" s="1">
        <f>[1]Results!Q1414</f>
        <v>-12788.266149999999</v>
      </c>
      <c r="O53" s="1">
        <f>[1]Results!R1414</f>
        <v>18970.458689999999</v>
      </c>
      <c r="P53" s="1">
        <f>[1]Results!S1414</f>
        <v>58167.623299999999</v>
      </c>
      <c r="Q53" s="1">
        <f>[1]Results!T1414</f>
        <v>105024.2068</v>
      </c>
      <c r="R53" s="1">
        <f>[1]Results!U1414</f>
        <v>160961.995</v>
      </c>
      <c r="S53" s="1">
        <f>[1]Results!V1414</f>
        <v>226104.7507</v>
      </c>
      <c r="T53" s="1">
        <f>[1]Results!W1414</f>
        <v>303392.01870000002</v>
      </c>
      <c r="U53" s="1">
        <f>[1]Results!X1414</f>
        <v>396710.61959999998</v>
      </c>
      <c r="V53" s="1">
        <f>[1]Results!Y1414</f>
        <v>509902.614</v>
      </c>
      <c r="W53" s="1">
        <f>[1]Results!Z1414</f>
        <v>648201.24800000002</v>
      </c>
      <c r="X53" s="1">
        <f>[1]Results!AA1414</f>
        <v>808963.96200000006</v>
      </c>
      <c r="Y53" s="1">
        <f>[1]Results!AB1414</f>
        <v>998136.86880000005</v>
      </c>
      <c r="Z53" s="1">
        <f>[1]Results!AC1414</f>
        <v>1219976.416</v>
      </c>
      <c r="AA53" s="1">
        <f>[1]Results!AD1414</f>
        <v>1479645.1950000001</v>
      </c>
      <c r="AB53" s="1">
        <f>[1]Results!AE1414</f>
        <v>1790665.206</v>
      </c>
      <c r="AC53" s="1">
        <f>[1]Results!AF1414</f>
        <v>2126724.713</v>
      </c>
      <c r="AD53" s="1">
        <f>[1]Results!AG1414</f>
        <v>2494254.4929999998</v>
      </c>
      <c r="AE53" s="1">
        <f>[1]Results!AH1414</f>
        <v>2895839.4849999999</v>
      </c>
      <c r="AF53" s="1">
        <f>[1]Results!AI1414</f>
        <v>3334085.6490000002</v>
      </c>
      <c r="AG53" s="1">
        <f>[1]Results!AJ1414</f>
        <v>3811689.9920000001</v>
      </c>
      <c r="AH53" s="1">
        <f>[1]Results!AK1414</f>
        <v>4350867.7620000001</v>
      </c>
      <c r="AI53" s="1">
        <f>[1]Results!AL1414</f>
        <v>4958631.9450000003</v>
      </c>
      <c r="AJ53" s="1">
        <f>[1]Results!AM1414</f>
        <v>5642733.2589999996</v>
      </c>
      <c r="AK53" s="1">
        <f>[1]Results!AN1414</f>
        <v>6409189.6909999996</v>
      </c>
      <c r="AL53" s="1">
        <f>[1]Results!AO1414</f>
        <v>7263561.8150000004</v>
      </c>
    </row>
    <row r="54" spans="1:38" x14ac:dyDescent="0.35">
      <c r="A54" s="3" t="str">
        <f>[1]Results!E1415</f>
        <v>DEBT_G_VAL_2</v>
      </c>
      <c r="B54" t="str">
        <f>[1]Results!C1415</f>
        <v>Dette publique</v>
      </c>
      <c r="C54" s="1">
        <f>[1]Results!F1415</f>
        <v>2105045.7719999999</v>
      </c>
      <c r="D54" s="1">
        <f>[1]Results!G1415</f>
        <v>2175860.2510000002</v>
      </c>
      <c r="E54" s="1">
        <f>[1]Results!H1415</f>
        <v>2243539.5019999999</v>
      </c>
      <c r="F54" s="1">
        <f>[1]Results!I1415</f>
        <v>2320639.7919999999</v>
      </c>
      <c r="G54" s="1">
        <f>[1]Results!J1415</f>
        <v>2408816.6069999998</v>
      </c>
      <c r="H54" s="1">
        <f>[1]Results!K1415</f>
        <v>2488773.128</v>
      </c>
      <c r="I54" s="1">
        <f>[1]Results!L1415</f>
        <v>2538828.3870000001</v>
      </c>
      <c r="J54" s="1">
        <f>[1]Results!M1415</f>
        <v>2584873.8640000001</v>
      </c>
      <c r="K54" s="1">
        <f>[1]Results!N1415</f>
        <v>2624523.7000000002</v>
      </c>
      <c r="L54" s="1">
        <f>[1]Results!O1415</f>
        <v>2657600.219</v>
      </c>
      <c r="M54" s="1">
        <f>[1]Results!P1415</f>
        <v>2683745.1490000002</v>
      </c>
      <c r="N54" s="1">
        <f>[1]Results!Q1415</f>
        <v>2696533.4160000002</v>
      </c>
      <c r="O54" s="1">
        <f>[1]Results!R1415</f>
        <v>2677562.9569999999</v>
      </c>
      <c r="P54" s="1">
        <f>[1]Results!S1415</f>
        <v>2619395.3339999998</v>
      </c>
      <c r="Q54" s="1">
        <f>[1]Results!T1415</f>
        <v>2514371.1269999999</v>
      </c>
      <c r="R54" s="1">
        <f>[1]Results!U1415</f>
        <v>2353409.1320000002</v>
      </c>
      <c r="S54" s="1">
        <f>[1]Results!V1415</f>
        <v>2127304.3810000001</v>
      </c>
      <c r="T54" s="1">
        <f>[1]Results!W1415</f>
        <v>1823912.362</v>
      </c>
      <c r="U54" s="1">
        <f>[1]Results!X1415</f>
        <v>1427201.743</v>
      </c>
      <c r="V54" s="1">
        <f>[1]Results!Y1415</f>
        <v>917299.12879999995</v>
      </c>
      <c r="W54" s="1">
        <f>[1]Results!Z1415</f>
        <v>269097.88079999998</v>
      </c>
      <c r="X54" s="1">
        <f>[1]Results!AA1415</f>
        <v>-539866.08120000002</v>
      </c>
      <c r="Y54" s="1">
        <f>[1]Results!AB1415</f>
        <v>-1538002.95</v>
      </c>
      <c r="Z54" s="1">
        <f>[1]Results!AC1415</f>
        <v>-2757979.3659999999</v>
      </c>
      <c r="AA54" s="1">
        <f>[1]Results!AD1415</f>
        <v>-4237624.5609999998</v>
      </c>
      <c r="AB54" s="1">
        <f>[1]Results!AE1415</f>
        <v>-6028289.767</v>
      </c>
      <c r="AC54" s="1">
        <f>[1]Results!AF1415</f>
        <v>-8155014.4790000003</v>
      </c>
      <c r="AD54" s="1">
        <f>[1]Results!AG1415</f>
        <v>-10649268.970000001</v>
      </c>
      <c r="AE54" s="1">
        <f>[1]Results!AH1415</f>
        <v>-13545108.460000001</v>
      </c>
      <c r="AF54" s="1">
        <f>[1]Results!AI1415</f>
        <v>-16879194.109999999</v>
      </c>
      <c r="AG54" s="1">
        <f>[1]Results!AJ1415</f>
        <v>-20690884.100000001</v>
      </c>
      <c r="AH54" s="1">
        <f>[1]Results!AK1415</f>
        <v>-25041751.859999999</v>
      </c>
      <c r="AI54" s="1">
        <f>[1]Results!AL1415</f>
        <v>-30000383.800000001</v>
      </c>
      <c r="AJ54" s="1">
        <f>[1]Results!AM1415</f>
        <v>-35643117.060000002</v>
      </c>
      <c r="AK54" s="1">
        <f>[1]Results!AN1415</f>
        <v>-42052306.75</v>
      </c>
      <c r="AL54" s="1">
        <f>[1]Results!AO1415</f>
        <v>-49315868.57</v>
      </c>
    </row>
    <row r="55" spans="1:38" x14ac:dyDescent="0.3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35">
      <c r="A56" s="9" t="s">
        <v>3</v>
      </c>
      <c r="B56" t="s">
        <v>4</v>
      </c>
      <c r="C56" s="1">
        <f>[1]Results!F1789</f>
        <v>1.0032468379999999</v>
      </c>
      <c r="D56" s="1">
        <f>[1]Results!G1789</f>
        <v>1.0221015309999999</v>
      </c>
      <c r="E56" s="1">
        <f>[1]Results!H1789</f>
        <v>1.0530567209999999</v>
      </c>
      <c r="F56" s="1">
        <f>[1]Results!I1789</f>
        <v>1.09308476</v>
      </c>
      <c r="G56" s="1">
        <f>[1]Results!J1789</f>
        <v>1.1248207670000001</v>
      </c>
      <c r="H56" s="1">
        <f>[1]Results!K1789</f>
        <v>1.1430421420000001</v>
      </c>
      <c r="I56" s="1">
        <f>[1]Results!L1789</f>
        <v>1.1775746920000001</v>
      </c>
      <c r="J56" s="1">
        <f>[1]Results!M1789</f>
        <v>1.212477748</v>
      </c>
      <c r="K56" s="1">
        <f>[1]Results!N1789</f>
        <v>1.251055912</v>
      </c>
      <c r="L56" s="1">
        <f>[1]Results!O1789</f>
        <v>1.293366493</v>
      </c>
      <c r="M56" s="1">
        <f>[1]Results!P1789</f>
        <v>1.339523966</v>
      </c>
      <c r="N56" s="1">
        <f>[1]Results!Q1789</f>
        <v>1.389876608</v>
      </c>
      <c r="O56" s="1">
        <f>[1]Results!R1789</f>
        <v>1.4448372229999999</v>
      </c>
      <c r="P56" s="1">
        <f>[1]Results!S1789</f>
        <v>1.5048616560000001</v>
      </c>
      <c r="Q56" s="1">
        <f>[1]Results!T1789</f>
        <v>1.5704381000000001</v>
      </c>
      <c r="R56" s="1">
        <f>[1]Results!U1789</f>
        <v>1.6420875669999999</v>
      </c>
      <c r="S56" s="1">
        <f>[1]Results!V1789</f>
        <v>1.7199939449999999</v>
      </c>
      <c r="T56" s="1">
        <f>[1]Results!W1789</f>
        <v>1.8045239019999999</v>
      </c>
      <c r="U56" s="1">
        <f>[1]Results!X1789</f>
        <v>1.8961553710000001</v>
      </c>
      <c r="V56" s="1">
        <f>[1]Results!Y1789</f>
        <v>1.9954406499999999</v>
      </c>
      <c r="W56" s="1">
        <f>[1]Results!Z1789</f>
        <v>2.103128227</v>
      </c>
      <c r="X56" s="1">
        <f>[1]Results!AA1789</f>
        <v>2.219413748</v>
      </c>
      <c r="Y56" s="1">
        <f>[1]Results!AB1789</f>
        <v>2.3447009840000002</v>
      </c>
      <c r="Z56" s="1">
        <f>[1]Results!AC1789</f>
        <v>2.4795237480000001</v>
      </c>
      <c r="AA56" s="1">
        <f>[1]Results!AD1789</f>
        <v>2.624496685</v>
      </c>
      <c r="AB56" s="1">
        <f>[1]Results!AE1789</f>
        <v>2.780795941</v>
      </c>
      <c r="AC56" s="1">
        <f>[1]Results!AF1789</f>
        <v>2.946833941</v>
      </c>
      <c r="AD56" s="1">
        <f>[1]Results!AG1789</f>
        <v>3.1218095959999999</v>
      </c>
      <c r="AE56" s="1">
        <f>[1]Results!AH1789</f>
        <v>3.3052617639999999</v>
      </c>
      <c r="AF56" s="1">
        <f>[1]Results!AI1789</f>
        <v>3.4968144219999999</v>
      </c>
      <c r="AG56" s="1">
        <f>[1]Results!AJ1789</f>
        <v>3.696043322</v>
      </c>
      <c r="AH56" s="1">
        <f>[1]Results!AK1789</f>
        <v>3.904235023</v>
      </c>
      <c r="AI56" s="1">
        <f>[1]Results!AL1789</f>
        <v>4.1219539049999998</v>
      </c>
      <c r="AJ56" s="1">
        <f>[1]Results!AM1789</f>
        <v>4.3493940699999998</v>
      </c>
      <c r="AK56" s="1">
        <f>[1]Results!AN1789</f>
        <v>4.5865724630000004</v>
      </c>
      <c r="AL56" s="1">
        <f>[1]Results!AO1789</f>
        <v>4.8334281780000001</v>
      </c>
    </row>
    <row r="57" spans="1:38" x14ac:dyDescent="0.35">
      <c r="A57" s="9"/>
      <c r="B57" t="s">
        <v>6</v>
      </c>
      <c r="C57" s="1">
        <f>[1]Results!F1760</f>
        <v>1.0032468379999999</v>
      </c>
      <c r="D57" s="1">
        <f>[1]Results!G1760</f>
        <v>1.0221015309999999</v>
      </c>
      <c r="E57" s="1">
        <f>[1]Results!H1760</f>
        <v>1.053056722</v>
      </c>
      <c r="F57" s="1">
        <f>[1]Results!I1760</f>
        <v>1.0930847610000001</v>
      </c>
      <c r="G57" s="1">
        <f>[1]Results!J1760</f>
        <v>1.1248207690000001</v>
      </c>
      <c r="H57" s="1">
        <f>[1]Results!K1760</f>
        <v>1.143042144</v>
      </c>
      <c r="I57" s="1">
        <f>[1]Results!L1760</f>
        <v>1.1775746949999999</v>
      </c>
      <c r="J57" s="1">
        <f>[1]Results!M1760</f>
        <v>1.2175991820000001</v>
      </c>
      <c r="K57" s="1">
        <f>[1]Results!N1760</f>
        <v>1.266706326</v>
      </c>
      <c r="L57" s="1">
        <f>[1]Results!O1760</f>
        <v>1.3272286289999999</v>
      </c>
      <c r="M57" s="1">
        <f>[1]Results!P1760</f>
        <v>1.4024026469999999</v>
      </c>
      <c r="N57" s="1">
        <f>[1]Results!Q1760</f>
        <v>1.478878658</v>
      </c>
      <c r="O57" s="1">
        <f>[1]Results!R1760</f>
        <v>1.5624867549999999</v>
      </c>
      <c r="P57" s="1">
        <f>[1]Results!S1760</f>
        <v>1.6544967669999999</v>
      </c>
      <c r="Q57" s="1">
        <f>[1]Results!T1760</f>
        <v>1.756224384</v>
      </c>
      <c r="R57" s="1">
        <f>[1]Results!U1760</f>
        <v>1.8689649100000001</v>
      </c>
      <c r="S57" s="1">
        <f>[1]Results!V1760</f>
        <v>1.9944854160000001</v>
      </c>
      <c r="T57" s="1">
        <f>[1]Results!W1760</f>
        <v>2.1335727169999998</v>
      </c>
      <c r="U57" s="1">
        <f>[1]Results!X1760</f>
        <v>2.2873878429999999</v>
      </c>
      <c r="V57" s="1">
        <f>[1]Results!Y1760</f>
        <v>2.4569752600000001</v>
      </c>
      <c r="W57" s="1">
        <f>[1]Results!Z1760</f>
        <v>2.6442206289999999</v>
      </c>
      <c r="X57" s="1">
        <f>[1]Results!AA1760</f>
        <v>2.8487968019999999</v>
      </c>
      <c r="Y57" s="1">
        <f>[1]Results!AB1760</f>
        <v>3.072687159</v>
      </c>
      <c r="Z57" s="1">
        <f>[1]Results!AC1760</f>
        <v>3.317583017</v>
      </c>
      <c r="AA57" s="1">
        <f>[1]Results!AD1760</f>
        <v>3.5853795179999999</v>
      </c>
      <c r="AB57" s="1">
        <f>[1]Results!AE1760</f>
        <v>3.8788227329999998</v>
      </c>
      <c r="AC57" s="1">
        <f>[1]Results!AF1760</f>
        <v>4.1962592020000002</v>
      </c>
      <c r="AD57" s="1">
        <f>[1]Results!AG1760</f>
        <v>4.5381536369999997</v>
      </c>
      <c r="AE57" s="1">
        <f>[1]Results!AH1760</f>
        <v>4.9050842570000004</v>
      </c>
      <c r="AF57" s="1">
        <f>[1]Results!AI1760</f>
        <v>5.2977316610000003</v>
      </c>
      <c r="AG57" s="1">
        <f>[1]Results!AJ1760</f>
        <v>5.7167023700000001</v>
      </c>
      <c r="AH57" s="1">
        <f>[1]Results!AK1760</f>
        <v>6.1646026870000004</v>
      </c>
      <c r="AI57" s="1">
        <f>[1]Results!AL1760</f>
        <v>6.6438186000000004</v>
      </c>
      <c r="AJ57" s="1">
        <f>[1]Results!AM1760</f>
        <v>7.1561262320000001</v>
      </c>
      <c r="AK57" s="1">
        <f>[1]Results!AN1760</f>
        <v>7.703120126</v>
      </c>
      <c r="AL57" s="1">
        <f>[1]Results!AO1760</f>
        <v>8.2863357369999999</v>
      </c>
    </row>
    <row r="58" spans="1:38" x14ac:dyDescent="0.35"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35">
      <c r="A59" s="9" t="s">
        <v>1</v>
      </c>
      <c r="B59" t="str">
        <f>B56</f>
        <v>Baseline</v>
      </c>
      <c r="D59" s="1" t="e">
        <f>(D56/#REF!-1)*100</f>
        <v>#REF!</v>
      </c>
      <c r="E59" s="1">
        <f t="shared" ref="E59:AL59" si="0">(E56/D56-1)*100</f>
        <v>3.0285826858819309</v>
      </c>
      <c r="F59" s="1">
        <f t="shared" si="0"/>
        <v>3.8011284864113204</v>
      </c>
      <c r="G59" s="1">
        <f t="shared" si="0"/>
        <v>2.903343652874657</v>
      </c>
      <c r="H59" s="1">
        <f t="shared" si="0"/>
        <v>1.6199358630796024</v>
      </c>
      <c r="I59" s="1">
        <f t="shared" si="0"/>
        <v>3.0211090852326539</v>
      </c>
      <c r="J59" s="1">
        <f t="shared" si="0"/>
        <v>2.9639781015266431</v>
      </c>
      <c r="K59" s="1">
        <f t="shared" si="0"/>
        <v>3.1817626396554832</v>
      </c>
      <c r="L59" s="1">
        <f t="shared" si="0"/>
        <v>3.3819896132667671</v>
      </c>
      <c r="M59" s="1">
        <f t="shared" si="0"/>
        <v>3.5687852785591057</v>
      </c>
      <c r="N59" s="1">
        <f t="shared" si="0"/>
        <v>3.7589952309968533</v>
      </c>
      <c r="O59" s="1">
        <f t="shared" si="0"/>
        <v>3.9543521118099001</v>
      </c>
      <c r="P59" s="1">
        <f t="shared" si="0"/>
        <v>4.1544079875910134</v>
      </c>
      <c r="Q59" s="1">
        <f t="shared" si="0"/>
        <v>4.3576393709376271</v>
      </c>
      <c r="R59" s="1">
        <f t="shared" si="0"/>
        <v>4.5623872090214679</v>
      </c>
      <c r="S59" s="1">
        <f t="shared" si="0"/>
        <v>4.7443497877723173</v>
      </c>
      <c r="T59" s="1">
        <f t="shared" si="0"/>
        <v>4.9145496846501935</v>
      </c>
      <c r="U59" s="1">
        <f t="shared" si="0"/>
        <v>5.0778750505018344</v>
      </c>
      <c r="V59" s="1">
        <f t="shared" si="0"/>
        <v>5.2361362638568165</v>
      </c>
      <c r="W59" s="1">
        <f t="shared" si="0"/>
        <v>5.3966815299668403</v>
      </c>
      <c r="X59" s="1">
        <f t="shared" si="0"/>
        <v>5.5291693348567206</v>
      </c>
      <c r="Y59" s="1">
        <f t="shared" si="0"/>
        <v>5.6450599223736964</v>
      </c>
      <c r="Z59" s="1">
        <f t="shared" si="0"/>
        <v>5.750104807394063</v>
      </c>
      <c r="AA59" s="1">
        <f t="shared" si="0"/>
        <v>5.8468057471494639</v>
      </c>
      <c r="AB59" s="1">
        <f t="shared" si="0"/>
        <v>5.9553992540097189</v>
      </c>
      <c r="AC59" s="1">
        <f t="shared" si="0"/>
        <v>5.9708804070064625</v>
      </c>
      <c r="AD59" s="1">
        <f t="shared" si="0"/>
        <v>5.9377507692415898</v>
      </c>
      <c r="AE59" s="1">
        <f t="shared" si="0"/>
        <v>5.8764688350967598</v>
      </c>
      <c r="AF59" s="1">
        <f t="shared" si="0"/>
        <v>5.7953854089966006</v>
      </c>
      <c r="AG59" s="1">
        <f t="shared" si="0"/>
        <v>5.6974398969119822</v>
      </c>
      <c r="AH59" s="1">
        <f t="shared" si="0"/>
        <v>5.6328263189118655</v>
      </c>
      <c r="AI59" s="1">
        <f t="shared" si="0"/>
        <v>5.5764799177664637</v>
      </c>
      <c r="AJ59" s="1">
        <f t="shared" si="0"/>
        <v>5.5177755560078312</v>
      </c>
      <c r="AK59" s="1">
        <f t="shared" si="0"/>
        <v>5.4531364411411154</v>
      </c>
      <c r="AL59" s="1">
        <f t="shared" si="0"/>
        <v>5.3821392116093492</v>
      </c>
    </row>
    <row r="60" spans="1:38" x14ac:dyDescent="0.35">
      <c r="A60" s="9"/>
      <c r="B60" t="str">
        <f>B57</f>
        <v>NZ50</v>
      </c>
      <c r="D60" s="1">
        <f t="shared" ref="D60:AL60" si="1">(D57/C57-1)*100</f>
        <v>1.8793672988381749</v>
      </c>
      <c r="E60" s="1">
        <f t="shared" si="1"/>
        <v>3.0285827837195578</v>
      </c>
      <c r="F60" s="1">
        <f t="shared" si="1"/>
        <v>3.8011284828017189</v>
      </c>
      <c r="G60" s="1">
        <f t="shared" si="1"/>
        <v>2.9033437417027574</v>
      </c>
      <c r="H60" s="1">
        <f t="shared" si="1"/>
        <v>1.6199358601992619</v>
      </c>
      <c r="I60" s="1">
        <f t="shared" si="1"/>
        <v>3.0211091674323898</v>
      </c>
      <c r="J60" s="1">
        <f t="shared" si="1"/>
        <v>3.3988915667044095</v>
      </c>
      <c r="K60" s="1">
        <f t="shared" si="1"/>
        <v>4.0331124335462931</v>
      </c>
      <c r="L60" s="1">
        <f t="shared" si="1"/>
        <v>4.7779269557385984</v>
      </c>
      <c r="M60" s="1">
        <f t="shared" si="1"/>
        <v>5.6639840610309911</v>
      </c>
      <c r="N60" s="1">
        <f t="shared" si="1"/>
        <v>5.453213537752255</v>
      </c>
      <c r="O60" s="1">
        <f t="shared" si="1"/>
        <v>5.6534791781409188</v>
      </c>
      <c r="P60" s="1">
        <f t="shared" si="1"/>
        <v>5.8886906852531951</v>
      </c>
      <c r="Q60" s="1">
        <f t="shared" si="1"/>
        <v>6.1485533866866726</v>
      </c>
      <c r="R60" s="1">
        <f t="shared" si="1"/>
        <v>6.4194830129405744</v>
      </c>
      <c r="S60" s="1">
        <f t="shared" si="1"/>
        <v>6.7160440160430879</v>
      </c>
      <c r="T60" s="1">
        <f t="shared" si="1"/>
        <v>6.9735932829703806</v>
      </c>
      <c r="U60" s="1">
        <f t="shared" si="1"/>
        <v>7.2092750706091779</v>
      </c>
      <c r="V60" s="1">
        <f t="shared" si="1"/>
        <v>7.4140210860603073</v>
      </c>
      <c r="W60" s="1">
        <f t="shared" si="1"/>
        <v>7.6209708761983963</v>
      </c>
      <c r="X60" s="1">
        <f t="shared" si="1"/>
        <v>7.7367285753824344</v>
      </c>
      <c r="Y60" s="1">
        <f t="shared" si="1"/>
        <v>7.8591199218848384</v>
      </c>
      <c r="Z60" s="1">
        <f t="shared" si="1"/>
        <v>7.9700875919858083</v>
      </c>
      <c r="AA60" s="1">
        <f t="shared" si="1"/>
        <v>8.0720361669249563</v>
      </c>
      <c r="AB60" s="1">
        <f t="shared" si="1"/>
        <v>8.1844394303810972</v>
      </c>
      <c r="AC60" s="1">
        <f t="shared" si="1"/>
        <v>8.1838354276758896</v>
      </c>
      <c r="AD60" s="1">
        <f t="shared" si="1"/>
        <v>8.1476004827596871</v>
      </c>
      <c r="AE60" s="1">
        <f t="shared" si="1"/>
        <v>8.0854605055320263</v>
      </c>
      <c r="AF60" s="1">
        <f t="shared" si="1"/>
        <v>8.004906407869683</v>
      </c>
      <c r="AG60" s="1">
        <f t="shared" si="1"/>
        <v>7.9084924607320417</v>
      </c>
      <c r="AH60" s="1">
        <f t="shared" si="1"/>
        <v>7.8349420349480337</v>
      </c>
      <c r="AI60" s="1">
        <f t="shared" si="1"/>
        <v>7.7736707024213869</v>
      </c>
      <c r="AJ60" s="1">
        <f t="shared" si="1"/>
        <v>7.7110418397034364</v>
      </c>
      <c r="AK60" s="1">
        <f t="shared" si="1"/>
        <v>7.643714997005091</v>
      </c>
      <c r="AL60" s="1">
        <f t="shared" si="1"/>
        <v>7.571160795370413</v>
      </c>
    </row>
    <row r="61" spans="1:38" x14ac:dyDescent="0.35">
      <c r="A61" s="7"/>
    </row>
    <row r="62" spans="1:38" x14ac:dyDescent="0.35">
      <c r="A62" s="9" t="s">
        <v>2</v>
      </c>
      <c r="B62" t="str">
        <f>B59</f>
        <v>Baseline</v>
      </c>
      <c r="C62" s="6">
        <f>[1]Results!F911+[1]Results!F1283</f>
        <v>468.75054280000001</v>
      </c>
      <c r="D62" s="6">
        <f>[1]Results!G911+[1]Results!G1283</f>
        <v>471.1930198</v>
      </c>
      <c r="E62" s="6">
        <f>[1]Results!H911+[1]Results!H1283</f>
        <v>470.67240930000003</v>
      </c>
      <c r="F62" s="6">
        <f>[1]Results!I911+[1]Results!I1283</f>
        <v>468.61064309999995</v>
      </c>
      <c r="G62" s="6">
        <f>[1]Results!J911+[1]Results!J1283</f>
        <v>470.55108689999997</v>
      </c>
      <c r="H62" s="6">
        <f>[1]Results!K911+[1]Results!K1283</f>
        <v>479.10827140000004</v>
      </c>
      <c r="I62" s="6">
        <f>[1]Results!L911+[1]Results!L1283</f>
        <v>486.5413034</v>
      </c>
      <c r="J62" s="6">
        <f>[1]Results!M911+[1]Results!M1283</f>
        <v>494.84545940000004</v>
      </c>
      <c r="K62" s="6">
        <f>[1]Results!N911+[1]Results!N1283</f>
        <v>503.63174320000002</v>
      </c>
      <c r="L62" s="6">
        <f>[1]Results!O911+[1]Results!O1283</f>
        <v>512.81088550000004</v>
      </c>
      <c r="M62" s="6">
        <f>[1]Results!P911+[1]Results!P1283</f>
        <v>522.48916710000003</v>
      </c>
      <c r="N62" s="6">
        <f>[1]Results!Q911+[1]Results!Q1283</f>
        <v>532.47922349999999</v>
      </c>
      <c r="O62" s="6">
        <f>[1]Results!R911+[1]Results!R1283</f>
        <v>542.84874949999994</v>
      </c>
      <c r="P62" s="6">
        <f>[1]Results!S911+[1]Results!S1283</f>
        <v>553.6261058</v>
      </c>
      <c r="Q62" s="6">
        <f>[1]Results!T911+[1]Results!T1283</f>
        <v>564.82671189999996</v>
      </c>
      <c r="R62" s="6">
        <f>[1]Results!U911+[1]Results!U1283</f>
        <v>576.46245620000002</v>
      </c>
      <c r="S62" s="6">
        <f>[1]Results!V911+[1]Results!V1283</f>
        <v>588.00112420000005</v>
      </c>
      <c r="T62" s="6">
        <f>[1]Results!W911+[1]Results!W1283</f>
        <v>599.82513990000007</v>
      </c>
      <c r="U62" s="6">
        <f>[1]Results!X911+[1]Results!X1283</f>
        <v>612.00404209999999</v>
      </c>
      <c r="V62" s="6">
        <f>[1]Results!Y911+[1]Results!Y1283</f>
        <v>624.56462729999998</v>
      </c>
      <c r="W62" s="6">
        <f>[1]Results!Z911+[1]Results!Z1283</f>
        <v>637.44447300000002</v>
      </c>
      <c r="X62" s="6">
        <f>[1]Results!AA911+[1]Results!AA1283</f>
        <v>650.23124140000004</v>
      </c>
      <c r="Y62" s="6">
        <f>[1]Results!AB911+[1]Results!AB1283</f>
        <v>663.29602620000003</v>
      </c>
      <c r="Z62" s="6">
        <f>[1]Results!AC911+[1]Results!AC1283</f>
        <v>676.70373289999998</v>
      </c>
      <c r="AA62" s="6">
        <f>[1]Results!AD911+[1]Results!AD1283</f>
        <v>690.47908359999997</v>
      </c>
      <c r="AB62" s="6">
        <f>[1]Results!AE911+[1]Results!AE1283</f>
        <v>704.40604719999999</v>
      </c>
      <c r="AC62" s="6">
        <f>[1]Results!AF911+[1]Results!AF1283</f>
        <v>716.07985989999997</v>
      </c>
      <c r="AD62" s="6">
        <f>[1]Results!AG911+[1]Results!AG1283</f>
        <v>727.32889879999993</v>
      </c>
      <c r="AE62" s="6">
        <f>[1]Results!AH911+[1]Results!AH1283</f>
        <v>738.45613809999998</v>
      </c>
      <c r="AF62" s="6">
        <f>[1]Results!AI911+[1]Results!AI1283</f>
        <v>749.55548620000002</v>
      </c>
      <c r="AG62" s="6">
        <f>[1]Results!AJ911+[1]Results!AJ1283</f>
        <v>760.67576310000004</v>
      </c>
      <c r="AH62" s="6">
        <f>[1]Results!AK911+[1]Results!AK1283</f>
        <v>773.49407569999994</v>
      </c>
      <c r="AI62" s="6">
        <f>[1]Results!AL911+[1]Results!AL1283</f>
        <v>786.88485790000004</v>
      </c>
      <c r="AJ62" s="6">
        <f>[1]Results!AM911+[1]Results!AM1283</f>
        <v>800.67398090000006</v>
      </c>
      <c r="AK62" s="6">
        <f>[1]Results!AN911+[1]Results!AN1283</f>
        <v>814.81392649999998</v>
      </c>
      <c r="AL62" s="6">
        <f>[1]Results!AO911+[1]Results!AO1283</f>
        <v>829.27916459999994</v>
      </c>
    </row>
    <row r="63" spans="1:38" x14ac:dyDescent="0.35">
      <c r="A63" s="9"/>
      <c r="B63" t="str">
        <f>B60</f>
        <v>NZ50</v>
      </c>
      <c r="C63" s="6">
        <f>[1]Results!F857+[1]Results!F485</f>
        <v>468.7505658</v>
      </c>
      <c r="D63" s="6">
        <f>[1]Results!G857+[1]Results!G485</f>
        <v>471.19304260000001</v>
      </c>
      <c r="E63" s="6">
        <f>[1]Results!H857+[1]Results!H485</f>
        <v>470.6724317</v>
      </c>
      <c r="F63" s="6">
        <f>[1]Results!I857+[1]Results!I485</f>
        <v>468.61066500000004</v>
      </c>
      <c r="G63" s="6">
        <f>[1]Results!J857+[1]Results!J485</f>
        <v>470.55110879999995</v>
      </c>
      <c r="H63" s="6">
        <f>[1]Results!K857+[1]Results!K485</f>
        <v>479.10829380000001</v>
      </c>
      <c r="I63" s="6">
        <f>[1]Results!L857+[1]Results!L485</f>
        <v>486.54132600000003</v>
      </c>
      <c r="J63" s="6">
        <f>[1]Results!M857+[1]Results!M485</f>
        <v>493.12885249999999</v>
      </c>
      <c r="K63" s="6">
        <f>[1]Results!N857+[1]Results!N485</f>
        <v>497.9170426</v>
      </c>
      <c r="L63" s="6">
        <f>[1]Results!O857+[1]Results!O485</f>
        <v>501.266321</v>
      </c>
      <c r="M63" s="6">
        <f>[1]Results!P857+[1]Results!P485</f>
        <v>502.36513479999996</v>
      </c>
      <c r="N63" s="6">
        <f>[1]Results!Q857+[1]Results!Q485</f>
        <v>505.45290979999999</v>
      </c>
      <c r="O63" s="6">
        <f>[1]Results!R857+[1]Results!R485</f>
        <v>510.34225459999999</v>
      </c>
      <c r="P63" s="6">
        <f>[1]Results!S857+[1]Results!S485</f>
        <v>516.67224539999995</v>
      </c>
      <c r="Q63" s="6">
        <f>[1]Results!T857+[1]Results!T485</f>
        <v>524.08565239999996</v>
      </c>
      <c r="R63" s="6">
        <f>[1]Results!U857+[1]Results!U485</f>
        <v>532.30887229999996</v>
      </c>
      <c r="S63" s="6">
        <f>[1]Results!V857+[1]Results!V485</f>
        <v>538.22558249999997</v>
      </c>
      <c r="T63" s="6">
        <f>[1]Results!W857+[1]Results!W485</f>
        <v>544.01362419999998</v>
      </c>
      <c r="U63" s="6">
        <f>[1]Results!X857+[1]Results!X485</f>
        <v>548.71815040000001</v>
      </c>
      <c r="V63" s="6">
        <f>[1]Results!Y857+[1]Results!Y485</f>
        <v>550.14389830000005</v>
      </c>
      <c r="W63" s="6">
        <f>[1]Results!Z857+[1]Results!Z485</f>
        <v>550.89528240000004</v>
      </c>
      <c r="X63" s="6">
        <f>[1]Results!AA857+[1]Results!AA485</f>
        <v>550.74728340000001</v>
      </c>
      <c r="Y63" s="6">
        <f>[1]Results!AB857+[1]Results!AB485</f>
        <v>550.08670649999999</v>
      </c>
      <c r="Z63" s="6">
        <f>[1]Results!AC857+[1]Results!AC485</f>
        <v>549.04537760000005</v>
      </c>
      <c r="AA63" s="6">
        <f>[1]Results!AD857+[1]Results!AD485</f>
        <v>547.75468832000001</v>
      </c>
      <c r="AB63" s="6">
        <f>[1]Results!AE857+[1]Results!AE485</f>
        <v>546.19518808999999</v>
      </c>
      <c r="AC63" s="6">
        <f>[1]Results!AF857+[1]Results!AF485</f>
        <v>542.71400840000001</v>
      </c>
      <c r="AD63" s="6">
        <f>[1]Results!AG857+[1]Results!AG485</f>
        <v>538.96915783999998</v>
      </c>
      <c r="AE63" s="6">
        <f>[1]Results!AH857+[1]Results!AH485</f>
        <v>535.31809098999997</v>
      </c>
      <c r="AF63" s="6">
        <f>[1]Results!AI857+[1]Results!AI485</f>
        <v>531.93741131000002</v>
      </c>
      <c r="AG63" s="6">
        <f>[1]Results!AJ857+[1]Results!AJ485</f>
        <v>528.95216997</v>
      </c>
      <c r="AH63" s="6">
        <f>[1]Results!AK857+[1]Results!AK485</f>
        <v>527.68177102000004</v>
      </c>
      <c r="AI63" s="6">
        <f>[1]Results!AL857+[1]Results!AL485</f>
        <v>527.33765617000006</v>
      </c>
      <c r="AJ63" s="6">
        <f>[1]Results!AM857+[1]Results!AM485</f>
        <v>527.84568324999998</v>
      </c>
      <c r="AK63" s="6">
        <f>[1]Results!AN857+[1]Results!AN485</f>
        <v>529.21106911999993</v>
      </c>
      <c r="AL63" s="6">
        <f>[1]Results!AO857+[1]Results!AO485</f>
        <v>531.44835585999999</v>
      </c>
    </row>
    <row r="65" spans="1:38" x14ac:dyDescent="0.35">
      <c r="B65" t="s">
        <v>15</v>
      </c>
      <c r="C65" s="6">
        <f>[1]Results!F1551</f>
        <v>1966350.94</v>
      </c>
      <c r="D65" s="6">
        <f>[1]Results!G1551</f>
        <v>1996530.013</v>
      </c>
      <c r="E65" s="6">
        <f>[1]Results!H1551</f>
        <v>2025301.577</v>
      </c>
      <c r="F65" s="6">
        <f>[1]Results!I1551</f>
        <v>2053628.2109999999</v>
      </c>
      <c r="G65" s="6">
        <f>[1]Results!J1551</f>
        <v>2086126.3729999999</v>
      </c>
      <c r="H65" s="6">
        <f>[1]Results!K1551</f>
        <v>2127752.1189999999</v>
      </c>
      <c r="I65" s="6">
        <f>[1]Results!L1551</f>
        <v>2171423.6889999998</v>
      </c>
      <c r="J65" s="6">
        <f>[1]Results!M1551</f>
        <v>2216216.2030000002</v>
      </c>
      <c r="K65" s="6">
        <f>[1]Results!N1551</f>
        <v>2262168.4640000002</v>
      </c>
      <c r="L65" s="6">
        <f>[1]Results!O1551</f>
        <v>2309470.8020000001</v>
      </c>
      <c r="M65" s="6">
        <f>[1]Results!P1551</f>
        <v>2358723.4950000001</v>
      </c>
      <c r="N65" s="6">
        <f>[1]Results!Q1551</f>
        <v>2409126.6779999998</v>
      </c>
      <c r="O65" s="6">
        <f>[1]Results!R1551</f>
        <v>2461011.9640000002</v>
      </c>
      <c r="P65" s="6">
        <f>[1]Results!S1551</f>
        <v>2514389.2349999999</v>
      </c>
      <c r="Q65" s="6">
        <f>[1]Results!T1551</f>
        <v>2569249.6839999999</v>
      </c>
      <c r="R65" s="6">
        <f>[1]Results!U1551</f>
        <v>2625591.8250000002</v>
      </c>
      <c r="S65" s="6">
        <f>[1]Results!V1551</f>
        <v>2680637.9249999998</v>
      </c>
      <c r="T65" s="6">
        <f>[1]Results!W1551</f>
        <v>2736649.1880000001</v>
      </c>
      <c r="U65" s="6">
        <f>[1]Results!X1551</f>
        <v>2793645.1680000001</v>
      </c>
      <c r="V65" s="6">
        <f>[1]Results!Y1551</f>
        <v>2851706.199</v>
      </c>
      <c r="W65" s="6">
        <f>[1]Results!Z1551</f>
        <v>2910583.889</v>
      </c>
      <c r="X65" s="6">
        <f>[1]Results!AA1551</f>
        <v>2968099.7910000002</v>
      </c>
      <c r="Y65" s="6">
        <f>[1]Results!AB1551</f>
        <v>3026448.034</v>
      </c>
      <c r="Z65" s="6">
        <f>[1]Results!AC1551</f>
        <v>3085681.9730000002</v>
      </c>
      <c r="AA65" s="6">
        <f>[1]Results!AD1551</f>
        <v>3145910.87</v>
      </c>
      <c r="AB65" s="6">
        <f>[1]Results!AE1551</f>
        <v>3206267.3939999999</v>
      </c>
      <c r="AC65" s="6">
        <f>[1]Results!AF1551</f>
        <v>3254719.0860000001</v>
      </c>
      <c r="AD65" s="6">
        <f>[1]Results!AG1551</f>
        <v>3301881.8930000002</v>
      </c>
      <c r="AE65" s="6">
        <f>[1]Results!AH1551</f>
        <v>3347873.531</v>
      </c>
      <c r="AF65" s="6">
        <f>[1]Results!AI1551</f>
        <v>3393084.7749999999</v>
      </c>
      <c r="AG65" s="6">
        <f>[1]Results!AJ1551</f>
        <v>3437890.6869999999</v>
      </c>
      <c r="AH65" s="6">
        <f>[1]Results!AK1551</f>
        <v>3490584.3990000002</v>
      </c>
      <c r="AI65" s="6">
        <f>[1]Results!AL1551</f>
        <v>3544853.969</v>
      </c>
      <c r="AJ65" s="6">
        <f>[1]Results!AM1551</f>
        <v>3600844.5189999999</v>
      </c>
      <c r="AK65" s="6">
        <f>[1]Results!AN1551</f>
        <v>3658485.84</v>
      </c>
      <c r="AL65" s="6">
        <f>[1]Results!AO1551</f>
        <v>3717664.22</v>
      </c>
    </row>
    <row r="66" spans="1:38" x14ac:dyDescent="0.35">
      <c r="A66" t="s">
        <v>13</v>
      </c>
      <c r="B66" t="s">
        <v>7</v>
      </c>
      <c r="C66" s="6">
        <f>[1]Results!F1552</f>
        <v>36113.07531</v>
      </c>
      <c r="D66" s="6">
        <f>[1]Results!G1552</f>
        <v>36467.500910000002</v>
      </c>
      <c r="E66" s="6">
        <f>[1]Results!H1552</f>
        <v>36862.95291</v>
      </c>
      <c r="F66" s="6">
        <f>[1]Results!I1552</f>
        <v>37310.565970000003</v>
      </c>
      <c r="G66" s="6">
        <f>[1]Results!J1552</f>
        <v>37845.585950000001</v>
      </c>
      <c r="H66" s="6">
        <f>[1]Results!K1552</f>
        <v>38518.621789999997</v>
      </c>
      <c r="I66" s="6">
        <f>[1]Results!L1552</f>
        <v>39302.844729999997</v>
      </c>
      <c r="J66" s="6">
        <f>[1]Results!M1552</f>
        <v>40119.279170000002</v>
      </c>
      <c r="K66" s="6">
        <f>[1]Results!N1552</f>
        <v>40967.152840000002</v>
      </c>
      <c r="L66" s="6">
        <f>[1]Results!O1552</f>
        <v>41848.404670000004</v>
      </c>
      <c r="M66" s="6">
        <f>[1]Results!P1552</f>
        <v>42776.430560000001</v>
      </c>
      <c r="N66" s="6">
        <f>[1]Results!Q1552</f>
        <v>43726.394610000003</v>
      </c>
      <c r="O66" s="6">
        <f>[1]Results!R1552</f>
        <v>44706.785580000003</v>
      </c>
      <c r="P66" s="6">
        <f>[1]Results!S1552</f>
        <v>45717.372369999997</v>
      </c>
      <c r="Q66" s="6">
        <f>[1]Results!T1552</f>
        <v>46757.56093</v>
      </c>
      <c r="R66" s="6">
        <f>[1]Results!U1552</f>
        <v>47826.954319999997</v>
      </c>
      <c r="S66" s="6">
        <f>[1]Results!V1552</f>
        <v>48858.782590000003</v>
      </c>
      <c r="T66" s="6">
        <f>[1]Results!W1552</f>
        <v>49910.47784</v>
      </c>
      <c r="U66" s="6">
        <f>[1]Results!X1552</f>
        <v>50979.678229999998</v>
      </c>
      <c r="V66" s="6">
        <f>[1]Results!Y1552</f>
        <v>52067.333729999998</v>
      </c>
      <c r="W66" s="6">
        <f>[1]Results!Z1552</f>
        <v>53165.909659999998</v>
      </c>
      <c r="X66" s="6">
        <f>[1]Results!AA1552</f>
        <v>54225.900289999998</v>
      </c>
      <c r="Y66" s="6">
        <f>[1]Results!AB1552</f>
        <v>55302.183949999999</v>
      </c>
      <c r="Z66" s="6">
        <f>[1]Results!AC1552</f>
        <v>56393.151720000002</v>
      </c>
      <c r="AA66" s="6">
        <f>[1]Results!AD1552</f>
        <v>57500.565219999997</v>
      </c>
      <c r="AB66" s="6">
        <f>[1]Results!AE1552</f>
        <v>58600.171690000003</v>
      </c>
      <c r="AC66" s="6">
        <f>[1]Results!AF1552</f>
        <v>59411.859190000003</v>
      </c>
      <c r="AD66" s="6">
        <f>[1]Results!AG1552</f>
        <v>60205.31222</v>
      </c>
      <c r="AE66" s="6">
        <f>[1]Results!AH1552</f>
        <v>60971.256099999999</v>
      </c>
      <c r="AF66" s="6">
        <f>[1]Results!AI1552</f>
        <v>61715.777750000001</v>
      </c>
      <c r="AG66" s="6">
        <f>[1]Results!AJ1552</f>
        <v>62447.086199999998</v>
      </c>
      <c r="AH66" s="6">
        <f>[1]Results!AK1552</f>
        <v>63361.635199999997</v>
      </c>
      <c r="AI66" s="6">
        <f>[1]Results!AL1552</f>
        <v>64298.440909999998</v>
      </c>
      <c r="AJ66" s="6">
        <f>[1]Results!AM1552</f>
        <v>65268.131840000002</v>
      </c>
      <c r="AK66" s="6">
        <f>[1]Results!AN1552</f>
        <v>66270.801800000001</v>
      </c>
      <c r="AL66" s="6">
        <f>[1]Results!AO1552</f>
        <v>67303.976609999998</v>
      </c>
    </row>
    <row r="67" spans="1:38" x14ac:dyDescent="0.35">
      <c r="B67" t="s">
        <v>8</v>
      </c>
      <c r="C67" s="6">
        <f>[1]Results!F1555</f>
        <v>331552.6373</v>
      </c>
      <c r="D67" s="6">
        <f>[1]Results!G1555</f>
        <v>337843.72129999998</v>
      </c>
      <c r="E67" s="6">
        <f>[1]Results!H1555</f>
        <v>343527.10129999998</v>
      </c>
      <c r="F67" s="6">
        <f>[1]Results!I1555</f>
        <v>348799.7487</v>
      </c>
      <c r="G67" s="6">
        <f>[1]Results!J1555</f>
        <v>354936.57130000001</v>
      </c>
      <c r="H67" s="6">
        <f>[1]Results!K1555</f>
        <v>362959.56420000002</v>
      </c>
      <c r="I67" s="6">
        <f>[1]Results!L1555</f>
        <v>371340.40470000001</v>
      </c>
      <c r="J67" s="6">
        <f>[1]Results!M1555</f>
        <v>379987.22840000002</v>
      </c>
      <c r="K67" s="6">
        <f>[1]Results!N1555</f>
        <v>388911.39189999999</v>
      </c>
      <c r="L67" s="6">
        <f>[1]Results!O1555</f>
        <v>398131.65659999999</v>
      </c>
      <c r="M67" s="6">
        <f>[1]Results!P1555</f>
        <v>407731.92869999999</v>
      </c>
      <c r="N67" s="6">
        <f>[1]Results!Q1555</f>
        <v>417570.60009999998</v>
      </c>
      <c r="O67" s="6">
        <f>[1]Results!R1555</f>
        <v>427746.3713</v>
      </c>
      <c r="P67" s="6">
        <f>[1]Results!S1555</f>
        <v>438258.53320000001</v>
      </c>
      <c r="Q67" s="6">
        <f>[1]Results!T1555</f>
        <v>449109.71260000003</v>
      </c>
      <c r="R67" s="6">
        <f>[1]Results!U1555</f>
        <v>460304.33159999998</v>
      </c>
      <c r="S67" s="6">
        <f>[1]Results!V1555</f>
        <v>471040.58380000002</v>
      </c>
      <c r="T67" s="6">
        <f>[1]Results!W1555</f>
        <v>482108.4314</v>
      </c>
      <c r="U67" s="6">
        <f>[1]Results!X1555</f>
        <v>493444.57319999998</v>
      </c>
      <c r="V67" s="6">
        <f>[1]Results!Y1555</f>
        <v>505056.4204</v>
      </c>
      <c r="W67" s="6">
        <f>[1]Results!Z1555</f>
        <v>516913.06530000002</v>
      </c>
      <c r="X67" s="6">
        <f>[1]Results!AA1555</f>
        <v>528303.85010000004</v>
      </c>
      <c r="Y67" s="6">
        <f>[1]Results!AB1555</f>
        <v>539994.10080000001</v>
      </c>
      <c r="Z67" s="6">
        <f>[1]Results!AC1555</f>
        <v>551926.9105</v>
      </c>
      <c r="AA67" s="6">
        <f>[1]Results!AD1555</f>
        <v>564113.64489999996</v>
      </c>
      <c r="AB67" s="6">
        <f>[1]Results!AE1555</f>
        <v>576437.8112</v>
      </c>
      <c r="AC67" s="6">
        <f>[1]Results!AF1555</f>
        <v>585277.89179999998</v>
      </c>
      <c r="AD67" s="6">
        <f>[1]Results!AG1555</f>
        <v>594310.28870000003</v>
      </c>
      <c r="AE67" s="6">
        <f>[1]Results!AH1555</f>
        <v>603223.47840000002</v>
      </c>
      <c r="AF67" s="6">
        <f>[1]Results!AI1555</f>
        <v>612041.23759999999</v>
      </c>
      <c r="AG67" s="6">
        <f>[1]Results!AJ1555</f>
        <v>620819.64009999996</v>
      </c>
      <c r="AH67" s="6">
        <f>[1]Results!AK1555</f>
        <v>631910.62100000004</v>
      </c>
      <c r="AI67" s="6">
        <f>[1]Results!AL1555</f>
        <v>643082.57369999995</v>
      </c>
      <c r="AJ67" s="6">
        <f>[1]Results!AM1555</f>
        <v>654561.96479999996</v>
      </c>
      <c r="AK67" s="6">
        <f>[1]Results!AN1555</f>
        <v>666363.24800000002</v>
      </c>
      <c r="AL67" s="6">
        <f>[1]Results!AO1555</f>
        <v>678473.88179999997</v>
      </c>
    </row>
    <row r="68" spans="1:38" x14ac:dyDescent="0.35">
      <c r="B68" t="s">
        <v>9</v>
      </c>
      <c r="C68" s="6">
        <f>[1]Results!F1567</f>
        <v>48538.648500000003</v>
      </c>
      <c r="D68" s="6">
        <f>[1]Results!G1567</f>
        <v>49310.805999999997</v>
      </c>
      <c r="E68" s="6">
        <f>[1]Results!H1567</f>
        <v>50148.536659999998</v>
      </c>
      <c r="F68" s="6">
        <f>[1]Results!I1567</f>
        <v>51130.406060000001</v>
      </c>
      <c r="G68" s="6">
        <f>[1]Results!J1567</f>
        <v>52161.179980000001</v>
      </c>
      <c r="H68" s="6">
        <f>[1]Results!K1567</f>
        <v>53135.133779999996</v>
      </c>
      <c r="I68" s="6">
        <f>[1]Results!L1567</f>
        <v>54282.727879999999</v>
      </c>
      <c r="J68" s="6">
        <f>[1]Results!M1567</f>
        <v>55455.704089999999</v>
      </c>
      <c r="K68" s="6">
        <f>[1]Results!N1567</f>
        <v>56659.349459999998</v>
      </c>
      <c r="L68" s="6">
        <f>[1]Results!O1567</f>
        <v>57899.211219999997</v>
      </c>
      <c r="M68" s="6">
        <f>[1]Results!P1567</f>
        <v>59189.042959999999</v>
      </c>
      <c r="N68" s="6">
        <f>[1]Results!Q1567</f>
        <v>60503.307610000003</v>
      </c>
      <c r="O68" s="6">
        <f>[1]Results!R1567</f>
        <v>61853.482770000002</v>
      </c>
      <c r="P68" s="6">
        <f>[1]Results!S1567</f>
        <v>63237.837549999997</v>
      </c>
      <c r="Q68" s="6">
        <f>[1]Results!T1567</f>
        <v>64655.071880000003</v>
      </c>
      <c r="R68" s="6">
        <f>[1]Results!U1567</f>
        <v>66104.330889999997</v>
      </c>
      <c r="S68" s="6">
        <f>[1]Results!V1567</f>
        <v>67477.265509999997</v>
      </c>
      <c r="T68" s="6">
        <f>[1]Results!W1567</f>
        <v>68876.294190000001</v>
      </c>
      <c r="U68" s="6">
        <f>[1]Results!X1567</f>
        <v>70293.011599999998</v>
      </c>
      <c r="V68" s="6">
        <f>[1]Results!Y1567</f>
        <v>71728.099170000001</v>
      </c>
      <c r="W68" s="6">
        <f>[1]Results!Z1567</f>
        <v>73175.203840000002</v>
      </c>
      <c r="X68" s="6">
        <f>[1]Results!AA1567</f>
        <v>74543.955260000002</v>
      </c>
      <c r="Y68" s="6">
        <f>[1]Results!AB1567</f>
        <v>75933.842139999993</v>
      </c>
      <c r="Z68" s="6">
        <f>[1]Results!AC1567</f>
        <v>77337.950079999995</v>
      </c>
      <c r="AA68" s="6">
        <f>[1]Results!AD1567</f>
        <v>78758.127949999995</v>
      </c>
      <c r="AB68" s="6">
        <f>[1]Results!AE1567</f>
        <v>80172.855689999997</v>
      </c>
      <c r="AC68" s="6">
        <f>[1]Results!AF1567</f>
        <v>81114.189419999995</v>
      </c>
      <c r="AD68" s="6">
        <f>[1]Results!AG1567</f>
        <v>82060.616120000006</v>
      </c>
      <c r="AE68" s="6">
        <f>[1]Results!AH1567</f>
        <v>82975.098880000005</v>
      </c>
      <c r="AF68" s="6">
        <f>[1]Results!AI1567</f>
        <v>83863.103950000004</v>
      </c>
      <c r="AG68" s="6">
        <f>[1]Results!AJ1567</f>
        <v>84734.679650000005</v>
      </c>
      <c r="AH68" s="6">
        <f>[1]Results!AK1567</f>
        <v>85899.481610000003</v>
      </c>
      <c r="AI68" s="6">
        <f>[1]Results!AL1567</f>
        <v>87071.773639999999</v>
      </c>
      <c r="AJ68" s="6">
        <f>[1]Results!AM1567</f>
        <v>88281.476729999995</v>
      </c>
      <c r="AK68" s="6">
        <f>[1]Results!AN1567</f>
        <v>89530.71183</v>
      </c>
      <c r="AL68" s="6">
        <f>[1]Results!AO1567</f>
        <v>90817.214089999994</v>
      </c>
    </row>
    <row r="69" spans="1:38" x14ac:dyDescent="0.35">
      <c r="B69" t="s">
        <v>10</v>
      </c>
      <c r="C69" s="6">
        <f>[1]Results!F1572</f>
        <v>1511595.7439999999</v>
      </c>
      <c r="D69" s="6">
        <f>[1]Results!G1572</f>
        <v>1534025.828</v>
      </c>
      <c r="E69" s="6">
        <f>[1]Results!H1572</f>
        <v>1555666.2819999999</v>
      </c>
      <c r="F69" s="6">
        <f>[1]Results!I1572</f>
        <v>1577023.949</v>
      </c>
      <c r="G69" s="6">
        <f>[1]Results!J1572</f>
        <v>1601501.987</v>
      </c>
      <c r="H69" s="6">
        <f>[1]Results!K1572</f>
        <v>1633047.24</v>
      </c>
      <c r="I69" s="6">
        <f>[1]Results!L1572</f>
        <v>1665852.4909999999</v>
      </c>
      <c r="J69" s="6">
        <f>[1]Results!M1572</f>
        <v>1699489.37</v>
      </c>
      <c r="K69" s="6">
        <f>[1]Results!N1572</f>
        <v>1733948.1669999999</v>
      </c>
      <c r="L69" s="6">
        <f>[1]Results!O1572</f>
        <v>1769385.5859999999</v>
      </c>
      <c r="M69" s="6">
        <f>[1]Results!P1572</f>
        <v>1806271.7720000001</v>
      </c>
      <c r="N69" s="6">
        <f>[1]Results!Q1572</f>
        <v>1844020.8289999999</v>
      </c>
      <c r="O69" s="6">
        <f>[1]Results!R1572</f>
        <v>1882835.0530000001</v>
      </c>
      <c r="P69" s="6">
        <f>[1]Results!S1572</f>
        <v>1922724.3810000001</v>
      </c>
      <c r="Q69" s="6">
        <f>[1]Results!T1572</f>
        <v>1963678.1780000001</v>
      </c>
      <c r="R69" s="6">
        <f>[1]Results!U1572</f>
        <v>2005691.1159999999</v>
      </c>
      <c r="S69" s="6">
        <f>[1]Results!V1572</f>
        <v>2047011.5730000001</v>
      </c>
      <c r="T69" s="6">
        <f>[1]Results!W1572</f>
        <v>2088905.129</v>
      </c>
      <c r="U69" s="6">
        <f>[1]Results!X1572</f>
        <v>2131464.1770000001</v>
      </c>
      <c r="V69" s="6">
        <f>[1]Results!Y1572</f>
        <v>2174759.4939999999</v>
      </c>
      <c r="W69" s="6">
        <f>[1]Results!Z1572</f>
        <v>2218596.264</v>
      </c>
      <c r="X69" s="6">
        <f>[1]Results!AA1572</f>
        <v>2261680.298</v>
      </c>
      <c r="Y69" s="6">
        <f>[1]Results!AB1572</f>
        <v>2305244.3480000002</v>
      </c>
      <c r="Z69" s="6">
        <f>[1]Results!AC1572</f>
        <v>2349407.057</v>
      </c>
      <c r="AA69" s="6">
        <f>[1]Results!AD1572</f>
        <v>2394262.5610000002</v>
      </c>
      <c r="AB69" s="6">
        <f>[1]Results!AE1572</f>
        <v>2439131.2629999998</v>
      </c>
      <c r="AC69" s="6">
        <f>[1]Results!AF1572</f>
        <v>2476552.9780000001</v>
      </c>
      <c r="AD69" s="6">
        <f>[1]Results!AG1572</f>
        <v>2512507.1329999999</v>
      </c>
      <c r="AE69" s="6">
        <f>[1]Results!AH1572</f>
        <v>2547465.8990000002</v>
      </c>
      <c r="AF69" s="6">
        <f>[1]Results!AI1572</f>
        <v>2581783.0299999998</v>
      </c>
      <c r="AG69" s="6">
        <f>[1]Results!AJ1572</f>
        <v>2615756.9649999999</v>
      </c>
      <c r="AH69" s="6">
        <f>[1]Results!AK1572</f>
        <v>2654679.73</v>
      </c>
      <c r="AI69" s="6">
        <f>[1]Results!AL1572</f>
        <v>2695048.284</v>
      </c>
      <c r="AJ69" s="6">
        <f>[1]Results!AM1572</f>
        <v>2736741.4219999998</v>
      </c>
      <c r="AK69" s="6">
        <f>[1]Results!AN1572</f>
        <v>2779672.0040000002</v>
      </c>
      <c r="AL69" s="6">
        <f>[1]Results!AO1572</f>
        <v>2823743.9619999998</v>
      </c>
    </row>
    <row r="70" spans="1:38" x14ac:dyDescent="0.35">
      <c r="B70" t="s">
        <v>12</v>
      </c>
      <c r="C70" s="6">
        <f>[1]Results!F1575</f>
        <v>-2031.554826</v>
      </c>
      <c r="D70" s="6">
        <f>[1]Results!G1575</f>
        <v>-2090.2161249999999</v>
      </c>
      <c r="E70" s="6">
        <f>[1]Results!H1575</f>
        <v>-2084.9082039999998</v>
      </c>
      <c r="F70" s="6">
        <f>[1]Results!I1575</f>
        <v>-2010.3771119999999</v>
      </c>
      <c r="G70" s="6">
        <f>[1]Results!J1575</f>
        <v>-1952.3768689999999</v>
      </c>
      <c r="H70" s="6">
        <f>[1]Results!K1575</f>
        <v>-2017.403157</v>
      </c>
      <c r="I70" s="6">
        <f>[1]Results!L1575</f>
        <v>-1994.4589120000001</v>
      </c>
      <c r="J70" s="6">
        <f>[1]Results!M1575</f>
        <v>-2016.5510059999999</v>
      </c>
      <c r="K70" s="6">
        <f>[1]Results!N1575</f>
        <v>-2051.3646440000002</v>
      </c>
      <c r="L70" s="6">
        <f>[1]Results!O1575</f>
        <v>-2093.1586090000001</v>
      </c>
      <c r="M70" s="6">
        <f>[1]Results!P1575</f>
        <v>-2139.5857540000002</v>
      </c>
      <c r="N70" s="6">
        <f>[1]Results!Q1575</f>
        <v>-2191.1579080000001</v>
      </c>
      <c r="O70" s="6">
        <f>[1]Results!R1575</f>
        <v>-2246.6788740000002</v>
      </c>
      <c r="P70" s="6">
        <f>[1]Results!S1575</f>
        <v>-2306.5580580000001</v>
      </c>
      <c r="Q70" s="6">
        <f>[1]Results!T1575</f>
        <v>-2371.080966</v>
      </c>
      <c r="R70" s="6">
        <f>[1]Results!U1575</f>
        <v>-2440.4513080000002</v>
      </c>
      <c r="S70" s="6">
        <f>[1]Results!V1575</f>
        <v>-2516.6729249999999</v>
      </c>
      <c r="T70" s="6">
        <f>[1]Results!W1575</f>
        <v>-2593.3069150000001</v>
      </c>
      <c r="U70" s="6">
        <f>[1]Results!X1575</f>
        <v>-2673.7076310000002</v>
      </c>
      <c r="V70" s="6">
        <f>[1]Results!Y1575</f>
        <v>-2758.8554899999999</v>
      </c>
      <c r="W70" s="6">
        <f>[1]Results!Z1575</f>
        <v>-2849.343335</v>
      </c>
      <c r="X70" s="6">
        <f>[1]Results!AA1575</f>
        <v>-2946.3859520000001</v>
      </c>
      <c r="Y70" s="6">
        <f>[1]Results!AB1575</f>
        <v>-3044.1049520000001</v>
      </c>
      <c r="Z70" s="6">
        <f>[1]Results!AC1575</f>
        <v>-3145.8574939999999</v>
      </c>
      <c r="AA70" s="6">
        <f>[1]Results!AD1575</f>
        <v>-3252.5840760000001</v>
      </c>
      <c r="AB70" s="6">
        <f>[1]Results!AE1575</f>
        <v>-3365.3317200000001</v>
      </c>
      <c r="AC70" s="6">
        <f>[1]Results!AF1575</f>
        <v>-3489.7391659999998</v>
      </c>
      <c r="AD70" s="6">
        <f>[1]Results!AG1575</f>
        <v>-3595.6385839999998</v>
      </c>
      <c r="AE70" s="6">
        <f>[1]Results!AH1575</f>
        <v>-3698.7808359999999</v>
      </c>
      <c r="AF70" s="6">
        <f>[1]Results!AI1575</f>
        <v>-3802.9155270000001</v>
      </c>
      <c r="AG70" s="6">
        <f>[1]Results!AJ1575</f>
        <v>-3908.4182190000001</v>
      </c>
      <c r="AH70" s="6">
        <f>[1]Results!AK1575</f>
        <v>-4011.3717270000002</v>
      </c>
      <c r="AI70" s="6">
        <f>[1]Results!AL1575</f>
        <v>-4130.3431049999999</v>
      </c>
      <c r="AJ70" s="6">
        <f>[1]Results!AM1575</f>
        <v>-4255.0763639999996</v>
      </c>
      <c r="AK70" s="6">
        <f>[1]Results!AN1575</f>
        <v>-4382.8447509999996</v>
      </c>
      <c r="AL70" s="6">
        <f>[1]Results!AO1575</f>
        <v>-4513.0633660000003</v>
      </c>
    </row>
    <row r="71" spans="1:38" x14ac:dyDescent="0.35">
      <c r="B71" t="s">
        <v>11</v>
      </c>
      <c r="C71" s="6">
        <f>[1]Results!F1580</f>
        <v>40582.389519999997</v>
      </c>
      <c r="D71" s="6">
        <f>[1]Results!G1580</f>
        <v>40972.372750000002</v>
      </c>
      <c r="E71" s="6">
        <f>[1]Results!H1580</f>
        <v>41181.612070000003</v>
      </c>
      <c r="F71" s="6">
        <f>[1]Results!I1580</f>
        <v>41373.918429999998</v>
      </c>
      <c r="G71" s="6">
        <f>[1]Results!J1580</f>
        <v>41633.425430000003</v>
      </c>
      <c r="H71" s="6">
        <f>[1]Results!K1580</f>
        <v>42108.962789999998</v>
      </c>
      <c r="I71" s="6">
        <f>[1]Results!L1580</f>
        <v>42639.679530000001</v>
      </c>
      <c r="J71" s="6">
        <f>[1]Results!M1580</f>
        <v>43181.172919999997</v>
      </c>
      <c r="K71" s="6">
        <f>[1]Results!N1580</f>
        <v>43733.767650000002</v>
      </c>
      <c r="L71" s="6">
        <f>[1]Results!O1580</f>
        <v>44299.101710000003</v>
      </c>
      <c r="M71" s="6">
        <f>[1]Results!P1580</f>
        <v>44893.906159999999</v>
      </c>
      <c r="N71" s="6">
        <f>[1]Results!Q1580</f>
        <v>45496.705090000003</v>
      </c>
      <c r="O71" s="6">
        <f>[1]Results!R1580</f>
        <v>46116.950680000002</v>
      </c>
      <c r="P71" s="6">
        <f>[1]Results!S1580</f>
        <v>46757.668239999999</v>
      </c>
      <c r="Q71" s="6">
        <f>[1]Results!T1580</f>
        <v>47420.242010000002</v>
      </c>
      <c r="R71" s="6">
        <f>[1]Results!U1580</f>
        <v>48105.54348</v>
      </c>
      <c r="S71" s="6">
        <f>[1]Results!V1580</f>
        <v>48766.393499999998</v>
      </c>
      <c r="T71" s="6">
        <f>[1]Results!W1580</f>
        <v>49442.161970000001</v>
      </c>
      <c r="U71" s="6">
        <f>[1]Results!X1580</f>
        <v>50137.436119999998</v>
      </c>
      <c r="V71" s="6">
        <f>[1]Results!Y1580</f>
        <v>50853.707719999999</v>
      </c>
      <c r="W71" s="6">
        <f>[1]Results!Z1580</f>
        <v>51582.78976</v>
      </c>
      <c r="X71" s="6">
        <f>[1]Results!AA1580</f>
        <v>52292.173730000002</v>
      </c>
      <c r="Y71" s="6">
        <f>[1]Results!AB1580</f>
        <v>53017.6639</v>
      </c>
      <c r="Z71" s="6">
        <f>[1]Results!AC1580</f>
        <v>53762.761339999997</v>
      </c>
      <c r="AA71" s="6">
        <f>[1]Results!AD1580</f>
        <v>54528.555439999996</v>
      </c>
      <c r="AB71" s="6">
        <f>[1]Results!AE1580</f>
        <v>55290.623879999999</v>
      </c>
      <c r="AC71" s="6">
        <f>[1]Results!AF1580</f>
        <v>55851.907090000001</v>
      </c>
      <c r="AD71" s="6">
        <f>[1]Results!AG1580</f>
        <v>56394.181470000003</v>
      </c>
      <c r="AE71" s="6">
        <f>[1]Results!AH1580</f>
        <v>56936.580119999999</v>
      </c>
      <c r="AF71" s="6">
        <f>[1]Results!AI1580</f>
        <v>57484.541790000003</v>
      </c>
      <c r="AG71" s="6">
        <f>[1]Results!AJ1580</f>
        <v>58040.734190000003</v>
      </c>
      <c r="AH71" s="6">
        <f>[1]Results!AK1580</f>
        <v>58744.303189999999</v>
      </c>
      <c r="AI71" s="6">
        <f>[1]Results!AL1580</f>
        <v>59483.2399</v>
      </c>
      <c r="AJ71" s="6">
        <f>[1]Results!AM1580</f>
        <v>60246.600550000003</v>
      </c>
      <c r="AK71" s="6">
        <f>[1]Results!AN1580</f>
        <v>61031.919009999998</v>
      </c>
      <c r="AL71" s="6">
        <f>[1]Results!AO1580</f>
        <v>61838.248469999999</v>
      </c>
    </row>
    <row r="73" spans="1:38" x14ac:dyDescent="0.35">
      <c r="B73" t="s">
        <v>15</v>
      </c>
      <c r="C73" s="6">
        <f>[1]Results!F1512</f>
        <v>1966350.94</v>
      </c>
      <c r="D73" s="6">
        <f>[1]Results!G1512</f>
        <v>1996530.013</v>
      </c>
      <c r="E73" s="6">
        <f>[1]Results!H1512</f>
        <v>2025301.577</v>
      </c>
      <c r="F73" s="6">
        <f>[1]Results!I1512</f>
        <v>2053628.2109999999</v>
      </c>
      <c r="G73" s="6">
        <f>[1]Results!J1512</f>
        <v>2086126.3729999999</v>
      </c>
      <c r="H73" s="6">
        <f>[1]Results!K1512</f>
        <v>2127752.1189999999</v>
      </c>
      <c r="I73" s="6">
        <f>[1]Results!L1512</f>
        <v>2171423.6889999998</v>
      </c>
      <c r="J73" s="6">
        <f>[1]Results!M1512</f>
        <v>2217249.3429999999</v>
      </c>
      <c r="K73" s="6">
        <f>[1]Results!N1512</f>
        <v>2264830.0839999998</v>
      </c>
      <c r="L73" s="6">
        <f>[1]Results!O1512</f>
        <v>2314528.7310000001</v>
      </c>
      <c r="M73" s="6">
        <f>[1]Results!P1512</f>
        <v>2367362.7880000002</v>
      </c>
      <c r="N73" s="6">
        <f>[1]Results!Q1512</f>
        <v>2418720.5</v>
      </c>
      <c r="O73" s="6">
        <f>[1]Results!R1512</f>
        <v>2471415.1680000001</v>
      </c>
      <c r="P73" s="6">
        <f>[1]Results!S1512</f>
        <v>2525947.142</v>
      </c>
      <c r="Q73" s="6">
        <f>[1]Results!T1512</f>
        <v>2582166.0040000002</v>
      </c>
      <c r="R73" s="6">
        <f>[1]Results!U1512</f>
        <v>2639870.986</v>
      </c>
      <c r="S73" s="6">
        <f>[1]Results!V1512</f>
        <v>2696421.6209999998</v>
      </c>
      <c r="T73" s="6">
        <f>[1]Results!W1512</f>
        <v>2753884.3250000002</v>
      </c>
      <c r="U73" s="6">
        <f>[1]Results!X1512</f>
        <v>2812261.0219999999</v>
      </c>
      <c r="V73" s="6">
        <f>[1]Results!Y1512</f>
        <v>2871608.1639999999</v>
      </c>
      <c r="W73" s="6">
        <f>[1]Results!Z1512</f>
        <v>2931740.182</v>
      </c>
      <c r="X73" s="6">
        <f>[1]Results!AA1512</f>
        <v>2990181.5819999999</v>
      </c>
      <c r="Y73" s="6">
        <f>[1]Results!AB1512</f>
        <v>3049366.9369999999</v>
      </c>
      <c r="Z73" s="6">
        <f>[1]Results!AC1512</f>
        <v>3109385.2250000001</v>
      </c>
      <c r="AA73" s="6">
        <f>[1]Results!AD1512</f>
        <v>3170322.7579999999</v>
      </c>
      <c r="AB73" s="6">
        <f>[1]Results!AE1512</f>
        <v>3231294.966</v>
      </c>
      <c r="AC73" s="6">
        <f>[1]Results!AF1512</f>
        <v>3280035.5320000001</v>
      </c>
      <c r="AD73" s="6">
        <f>[1]Results!AG1512</f>
        <v>3327311.8339999998</v>
      </c>
      <c r="AE73" s="6">
        <f>[1]Results!AH1512</f>
        <v>3373302.28</v>
      </c>
      <c r="AF73" s="6">
        <f>[1]Results!AI1512</f>
        <v>3418430.378</v>
      </c>
      <c r="AG73" s="6">
        <f>[1]Results!AJ1512</f>
        <v>3463094.1970000002</v>
      </c>
      <c r="AH73" s="6">
        <f>[1]Results!AK1512</f>
        <v>3515551.8339999998</v>
      </c>
      <c r="AI73" s="6">
        <f>[1]Results!AL1512</f>
        <v>3569553.5830000001</v>
      </c>
      <c r="AJ73" s="6">
        <f>[1]Results!AM1512</f>
        <v>3625256.64</v>
      </c>
      <c r="AK73" s="6">
        <f>[1]Results!AN1512</f>
        <v>3682587</v>
      </c>
      <c r="AL73" s="6">
        <f>[1]Results!AO1512</f>
        <v>3741428.179</v>
      </c>
    </row>
    <row r="74" spans="1:38" x14ac:dyDescent="0.35">
      <c r="A74" t="s">
        <v>14</v>
      </c>
      <c r="B74" t="s">
        <v>7</v>
      </c>
      <c r="C74" s="6">
        <f>[1]Results!F1513</f>
        <v>36113.07531</v>
      </c>
      <c r="D74" s="6">
        <f>[1]Results!G1513</f>
        <v>36467.500910000002</v>
      </c>
      <c r="E74" s="6">
        <f>[1]Results!H1513</f>
        <v>36862.952920000003</v>
      </c>
      <c r="F74" s="6">
        <f>[1]Results!I1513</f>
        <v>37310.565970000003</v>
      </c>
      <c r="G74" s="6">
        <f>[1]Results!J1513</f>
        <v>37845.585950000001</v>
      </c>
      <c r="H74" s="6">
        <f>[1]Results!K1513</f>
        <v>38518.621800000001</v>
      </c>
      <c r="I74" s="6">
        <f>[1]Results!L1513</f>
        <v>39302.84474</v>
      </c>
      <c r="J74" s="6">
        <f>[1]Results!M1513</f>
        <v>40140.196830000001</v>
      </c>
      <c r="K74" s="6">
        <f>[1]Results!N1513</f>
        <v>41027.331890000001</v>
      </c>
      <c r="L74" s="6">
        <f>[1]Results!O1513</f>
        <v>41974.416680000002</v>
      </c>
      <c r="M74" s="6">
        <f>[1]Results!P1513</f>
        <v>43006.858610000003</v>
      </c>
      <c r="N74" s="6">
        <f>[1]Results!Q1513</f>
        <v>44014.515590000003</v>
      </c>
      <c r="O74" s="6">
        <f>[1]Results!R1513</f>
        <v>45055.814010000002</v>
      </c>
      <c r="P74" s="6">
        <f>[1]Results!S1513</f>
        <v>46138.338739999999</v>
      </c>
      <c r="Q74" s="6">
        <f>[1]Results!T1513</f>
        <v>47255.661619999999</v>
      </c>
      <c r="R74" s="6">
        <f>[1]Results!U1513</f>
        <v>48401.458400000003</v>
      </c>
      <c r="S74" s="6">
        <f>[1]Results!V1513</f>
        <v>49511.062030000001</v>
      </c>
      <c r="T74" s="6">
        <f>[1]Results!W1513</f>
        <v>50638.313889999998</v>
      </c>
      <c r="U74" s="6">
        <f>[1]Results!X1513</f>
        <v>51780.038710000001</v>
      </c>
      <c r="V74" s="6">
        <f>[1]Results!Y1513</f>
        <v>52935.207470000001</v>
      </c>
      <c r="W74" s="6">
        <f>[1]Results!Z1513</f>
        <v>54098.75576</v>
      </c>
      <c r="X74" s="6">
        <f>[1]Results!AA1513</f>
        <v>55209.759030000001</v>
      </c>
      <c r="Y74" s="6">
        <f>[1]Results!AB1513</f>
        <v>56330.832779999997</v>
      </c>
      <c r="Z74" s="6">
        <f>[1]Results!AC1513</f>
        <v>57461.880819999998</v>
      </c>
      <c r="AA74" s="6">
        <f>[1]Results!AD1513</f>
        <v>58604.353230000001</v>
      </c>
      <c r="AB74" s="6">
        <f>[1]Results!AE1513</f>
        <v>59733.796900000001</v>
      </c>
      <c r="AC74" s="6">
        <f>[1]Results!AF1513</f>
        <v>60560.306129999997</v>
      </c>
      <c r="AD74" s="6">
        <f>[1]Results!AG1513</f>
        <v>61360.424899999998</v>
      </c>
      <c r="AE74" s="6">
        <f>[1]Results!AH1513</f>
        <v>62127.521529999998</v>
      </c>
      <c r="AF74" s="6">
        <f>[1]Results!AI1513</f>
        <v>62869.083579999999</v>
      </c>
      <c r="AG74" s="6">
        <f>[1]Results!AJ1513</f>
        <v>63594.374020000003</v>
      </c>
      <c r="AH74" s="6">
        <f>[1]Results!AK1513</f>
        <v>64499.493210000001</v>
      </c>
      <c r="AI74" s="6">
        <f>[1]Results!AL1513</f>
        <v>65425.088479999999</v>
      </c>
      <c r="AJ74" s="6">
        <f>[1]Results!AM1513</f>
        <v>66382.568329999995</v>
      </c>
      <c r="AK74" s="6">
        <f>[1]Results!AN1513</f>
        <v>67372.553060000006</v>
      </c>
      <c r="AL74" s="6">
        <f>[1]Results!AO1513</f>
        <v>68393.158389999997</v>
      </c>
    </row>
    <row r="75" spans="1:38" x14ac:dyDescent="0.35">
      <c r="B75" t="s">
        <v>8</v>
      </c>
      <c r="C75" s="6">
        <f>[1]Results!F1516</f>
        <v>331552.6373</v>
      </c>
      <c r="D75" s="6">
        <f>[1]Results!G1516</f>
        <v>337843.72129999998</v>
      </c>
      <c r="E75" s="6">
        <f>[1]Results!H1516</f>
        <v>343527.10129999998</v>
      </c>
      <c r="F75" s="6">
        <f>[1]Results!I1516</f>
        <v>348799.7487</v>
      </c>
      <c r="G75" s="6">
        <f>[1]Results!J1516</f>
        <v>354936.57130000001</v>
      </c>
      <c r="H75" s="6">
        <f>[1]Results!K1516</f>
        <v>362959.56410000002</v>
      </c>
      <c r="I75" s="6">
        <f>[1]Results!L1516</f>
        <v>371340.40470000001</v>
      </c>
      <c r="J75" s="6">
        <f>[1]Results!M1516</f>
        <v>380001.88569999998</v>
      </c>
      <c r="K75" s="6">
        <f>[1]Results!N1516</f>
        <v>388872.99099999998</v>
      </c>
      <c r="L75" s="6">
        <f>[1]Results!O1516</f>
        <v>397966.41519999999</v>
      </c>
      <c r="M75" s="6">
        <f>[1]Results!P1516</f>
        <v>407381.62290000002</v>
      </c>
      <c r="N75" s="6">
        <f>[1]Results!Q1516</f>
        <v>416782.55190000002</v>
      </c>
      <c r="O75" s="6">
        <f>[1]Results!R1516</f>
        <v>426570.39020000002</v>
      </c>
      <c r="P75" s="6">
        <f>[1]Results!S1516</f>
        <v>436787.76010000001</v>
      </c>
      <c r="Q75" s="6">
        <f>[1]Results!T1516</f>
        <v>447412.54369999998</v>
      </c>
      <c r="R75" s="6">
        <f>[1]Results!U1516</f>
        <v>458416.67180000001</v>
      </c>
      <c r="S75" s="6">
        <f>[1]Results!V1516</f>
        <v>468982.55339999998</v>
      </c>
      <c r="T75" s="6">
        <f>[1]Results!W1516</f>
        <v>479882.43770000001</v>
      </c>
      <c r="U75" s="6">
        <f>[1]Results!X1516</f>
        <v>491053.29969999997</v>
      </c>
      <c r="V75" s="6">
        <f>[1]Results!Y1516</f>
        <v>502507.22700000001</v>
      </c>
      <c r="W75" s="6">
        <f>[1]Results!Z1516</f>
        <v>514220.804</v>
      </c>
      <c r="X75" s="6">
        <f>[1]Results!AA1516</f>
        <v>525454.83070000005</v>
      </c>
      <c r="Y75" s="6">
        <f>[1]Results!AB1516</f>
        <v>536999.2622</v>
      </c>
      <c r="Z75" s="6">
        <f>[1]Results!AC1516</f>
        <v>548798.40029999998</v>
      </c>
      <c r="AA75" s="6">
        <f>[1]Results!AD1516</f>
        <v>560859.32050000003</v>
      </c>
      <c r="AB75" s="6">
        <f>[1]Results!AE1516</f>
        <v>573064.81530000002</v>
      </c>
      <c r="AC75" s="6">
        <f>[1]Results!AF1516</f>
        <v>581761.38879999996</v>
      </c>
      <c r="AD75" s="6">
        <f>[1]Results!AG1516</f>
        <v>590644.77679999999</v>
      </c>
      <c r="AE75" s="6">
        <f>[1]Results!AH1516</f>
        <v>599406.40090000001</v>
      </c>
      <c r="AF75" s="6">
        <f>[1]Results!AI1516</f>
        <v>608070.2844</v>
      </c>
      <c r="AG75" s="6">
        <f>[1]Results!AJ1516</f>
        <v>616692.23730000004</v>
      </c>
      <c r="AH75" s="6">
        <f>[1]Results!AK1516</f>
        <v>627620.07889999996</v>
      </c>
      <c r="AI75" s="6">
        <f>[1]Results!AL1516</f>
        <v>638625.44180000003</v>
      </c>
      <c r="AJ75" s="6">
        <f>[1]Results!AM1516</f>
        <v>649935.21539999999</v>
      </c>
      <c r="AK75" s="6">
        <f>[1]Results!AN1516</f>
        <v>661562.17559999996</v>
      </c>
      <c r="AL75" s="6">
        <f>[1]Results!AO1516</f>
        <v>673491.62509999995</v>
      </c>
    </row>
    <row r="76" spans="1:38" x14ac:dyDescent="0.35">
      <c r="B76" t="s">
        <v>9</v>
      </c>
      <c r="C76" s="6">
        <f>[1]Results!F1528</f>
        <v>48538.648500000003</v>
      </c>
      <c r="D76" s="6">
        <f>[1]Results!G1528</f>
        <v>49310.805999999997</v>
      </c>
      <c r="E76" s="6">
        <f>[1]Results!H1528</f>
        <v>50148.536670000001</v>
      </c>
      <c r="F76" s="6">
        <f>[1]Results!I1528</f>
        <v>51130.406069999997</v>
      </c>
      <c r="G76" s="6">
        <f>[1]Results!J1528</f>
        <v>52161.179989999997</v>
      </c>
      <c r="H76" s="6">
        <f>[1]Results!K1528</f>
        <v>53135.13379</v>
      </c>
      <c r="I76" s="6">
        <f>[1]Results!L1528</f>
        <v>54282.727890000002</v>
      </c>
      <c r="J76" s="6">
        <f>[1]Results!M1528</f>
        <v>55524.109640000002</v>
      </c>
      <c r="K76" s="6">
        <f>[1]Results!N1528</f>
        <v>56862.627009999997</v>
      </c>
      <c r="L76" s="6">
        <f>[1]Results!O1528</f>
        <v>58314.732490000002</v>
      </c>
      <c r="M76" s="6">
        <f>[1]Results!P1528</f>
        <v>59907.883470000001</v>
      </c>
      <c r="N76" s="6">
        <f>[1]Results!Q1528</f>
        <v>61441.724629999997</v>
      </c>
      <c r="O76" s="6">
        <f>[1]Results!R1528</f>
        <v>62984.640820000001</v>
      </c>
      <c r="P76" s="6">
        <f>[1]Results!S1528</f>
        <v>64545.863770000004</v>
      </c>
      <c r="Q76" s="6">
        <f>[1]Results!T1528</f>
        <v>66122.386259999999</v>
      </c>
      <c r="R76" s="6">
        <f>[1]Results!U1528</f>
        <v>67711.596090000006</v>
      </c>
      <c r="S76" s="6">
        <f>[1]Results!V1528</f>
        <v>69213.699189999999</v>
      </c>
      <c r="T76" s="6">
        <f>[1]Results!W1528</f>
        <v>70732.809269999998</v>
      </c>
      <c r="U76" s="6">
        <f>[1]Results!X1528</f>
        <v>72263.499590000007</v>
      </c>
      <c r="V76" s="6">
        <f>[1]Results!Y1528</f>
        <v>73807.054489999995</v>
      </c>
      <c r="W76" s="6">
        <f>[1]Results!Z1528</f>
        <v>75359.245590000006</v>
      </c>
      <c r="X76" s="6">
        <f>[1]Results!AA1528</f>
        <v>76812.485140000004</v>
      </c>
      <c r="Y76" s="6">
        <f>[1]Results!AB1528</f>
        <v>78273.888879999999</v>
      </c>
      <c r="Z76" s="6">
        <f>[1]Results!AC1528</f>
        <v>79738.124379999994</v>
      </c>
      <c r="AA76" s="6">
        <f>[1]Results!AD1528</f>
        <v>81207.20968</v>
      </c>
      <c r="AB76" s="6">
        <f>[1]Results!AE1528</f>
        <v>82659.870039999994</v>
      </c>
      <c r="AC76" s="6">
        <f>[1]Results!AF1528</f>
        <v>83608.605590000006</v>
      </c>
      <c r="AD76" s="6">
        <f>[1]Results!AG1528</f>
        <v>84546.004579999993</v>
      </c>
      <c r="AE76" s="6">
        <f>[1]Results!AH1528</f>
        <v>85439.597290000005</v>
      </c>
      <c r="AF76" s="6">
        <f>[1]Results!AI1528</f>
        <v>86297.560660000003</v>
      </c>
      <c r="AG76" s="6">
        <f>[1]Results!AJ1528</f>
        <v>87132.165420000005</v>
      </c>
      <c r="AH76" s="6">
        <f>[1]Results!AK1528</f>
        <v>88256.141740000006</v>
      </c>
      <c r="AI76" s="6">
        <f>[1]Results!AL1528</f>
        <v>89382.274090000006</v>
      </c>
      <c r="AJ76" s="6">
        <f>[1]Results!AM1528</f>
        <v>90541.807790000006</v>
      </c>
      <c r="AK76" s="6">
        <f>[1]Results!AN1528</f>
        <v>91738.437720000002</v>
      </c>
      <c r="AL76" s="6">
        <f>[1]Results!AO1528</f>
        <v>92971.570600000006</v>
      </c>
    </row>
    <row r="77" spans="1:38" x14ac:dyDescent="0.35">
      <c r="B77" t="s">
        <v>10</v>
      </c>
      <c r="C77" s="6">
        <f>[1]Results!F1533</f>
        <v>1511595.7439999999</v>
      </c>
      <c r="D77" s="6">
        <f>[1]Results!G1533</f>
        <v>1534025.828</v>
      </c>
      <c r="E77" s="6">
        <f>[1]Results!H1533</f>
        <v>1555666.2819999999</v>
      </c>
      <c r="F77" s="6">
        <f>[1]Results!I1533</f>
        <v>1577023.949</v>
      </c>
      <c r="G77" s="6">
        <f>[1]Results!J1533</f>
        <v>1601501.987</v>
      </c>
      <c r="H77" s="6">
        <f>[1]Results!K1533</f>
        <v>1633047.24</v>
      </c>
      <c r="I77" s="6">
        <f>[1]Results!L1533</f>
        <v>1665852.4920000001</v>
      </c>
      <c r="J77" s="6">
        <f>[1]Results!M1533</f>
        <v>1700366.7579999999</v>
      </c>
      <c r="K77" s="6">
        <f>[1]Results!N1533</f>
        <v>1736271.9339999999</v>
      </c>
      <c r="L77" s="6">
        <f>[1]Results!O1533</f>
        <v>1773894.5179999999</v>
      </c>
      <c r="M77" s="6">
        <f>[1]Results!P1533</f>
        <v>1814052.88</v>
      </c>
      <c r="N77" s="6">
        <f>[1]Results!Q1533</f>
        <v>1852945.72</v>
      </c>
      <c r="O77" s="6">
        <f>[1]Results!R1533</f>
        <v>1892727.1</v>
      </c>
      <c r="P77" s="6">
        <f>[1]Results!S1533</f>
        <v>1933809.2439999999</v>
      </c>
      <c r="Q77" s="6">
        <f>[1]Results!T1533</f>
        <v>1976076.8289999999</v>
      </c>
      <c r="R77" s="6">
        <f>[1]Results!U1533</f>
        <v>2019373.6159999999</v>
      </c>
      <c r="S77" s="6">
        <f>[1]Results!V1533</f>
        <v>2062026.824</v>
      </c>
      <c r="T77" s="6">
        <f>[1]Results!W1533</f>
        <v>2105183.551</v>
      </c>
      <c r="U77" s="6">
        <f>[1]Results!X1533</f>
        <v>2148941.2149999999</v>
      </c>
      <c r="V77" s="6">
        <f>[1]Results!Y1533</f>
        <v>2193383.0630000001</v>
      </c>
      <c r="W77" s="6">
        <f>[1]Results!Z1533</f>
        <v>2238370.605</v>
      </c>
      <c r="X77" s="6">
        <f>[1]Results!AA1533</f>
        <v>2282360.273</v>
      </c>
      <c r="Y77" s="6">
        <f>[1]Results!AB1533</f>
        <v>2326775.5750000002</v>
      </c>
      <c r="Z77" s="6">
        <f>[1]Results!AC1533</f>
        <v>2371769.7940000002</v>
      </c>
      <c r="AA77" s="6">
        <f>[1]Results!AD1533</f>
        <v>2417425.1269999999</v>
      </c>
      <c r="AB77" s="6">
        <f>[1]Results!AE1533</f>
        <v>2463052.1269999999</v>
      </c>
      <c r="AC77" s="6">
        <f>[1]Results!AF1533</f>
        <v>2501029.2439999999</v>
      </c>
      <c r="AD77" s="6">
        <f>[1]Results!AG1533</f>
        <v>2537443.8429999999</v>
      </c>
      <c r="AE77" s="6">
        <f>[1]Results!AH1533</f>
        <v>2572813.5610000002</v>
      </c>
      <c r="AF77" s="6">
        <f>[1]Results!AI1533</f>
        <v>2607514.0970000001</v>
      </c>
      <c r="AG77" s="6">
        <f>[1]Results!AJ1533</f>
        <v>2641855.2599999998</v>
      </c>
      <c r="AH77" s="6">
        <f>[1]Results!AK1533</f>
        <v>2681090.0550000002</v>
      </c>
      <c r="AI77" s="6">
        <f>[1]Results!AL1533</f>
        <v>2721760.5189999999</v>
      </c>
      <c r="AJ77" s="6">
        <f>[1]Results!AM1533</f>
        <v>2763743.1869999999</v>
      </c>
      <c r="AK77" s="6">
        <f>[1]Results!AN1533</f>
        <v>2806936.0970000001</v>
      </c>
      <c r="AL77" s="6">
        <f>[1]Results!AO1533</f>
        <v>2851231.372</v>
      </c>
    </row>
    <row r="78" spans="1:38" x14ac:dyDescent="0.35">
      <c r="B78" t="s">
        <v>12</v>
      </c>
      <c r="C78" s="6">
        <f>[1]Results!F1537</f>
        <v>-2123.8939789999999</v>
      </c>
      <c r="D78" s="6">
        <f>[1]Results!G1537</f>
        <v>-2181.756359</v>
      </c>
      <c r="E78" s="6">
        <f>[1]Results!H1537</f>
        <v>-2177.87282</v>
      </c>
      <c r="F78" s="6">
        <f>[1]Results!I1537</f>
        <v>-2110.823817</v>
      </c>
      <c r="G78" s="6">
        <f>[1]Results!J1537</f>
        <v>-2066.2548870000001</v>
      </c>
      <c r="H78" s="6">
        <f>[1]Results!K1537</f>
        <v>-2139.1511860000001</v>
      </c>
      <c r="I78" s="6">
        <f>[1]Results!L1537</f>
        <v>-2120.8187039999998</v>
      </c>
      <c r="J78" s="6">
        <f>[1]Results!M1537</f>
        <v>-2144.147281</v>
      </c>
      <c r="K78" s="6">
        <f>[1]Results!N1537</f>
        <v>-2175.2430979999999</v>
      </c>
      <c r="L78" s="6">
        <f>[1]Results!O1537</f>
        <v>-2206.2664949999998</v>
      </c>
      <c r="M78" s="6">
        <f>[1]Results!P1537</f>
        <v>-2234.548515</v>
      </c>
      <c r="N78" s="6">
        <f>[1]Results!Q1537</f>
        <v>-2253.5196000000001</v>
      </c>
      <c r="O78" s="6">
        <f>[1]Results!R1537</f>
        <v>-2283.040176</v>
      </c>
      <c r="P78" s="6">
        <f>[1]Results!S1537</f>
        <v>-2326.4109779999999</v>
      </c>
      <c r="Q78" s="6">
        <f>[1]Results!T1537</f>
        <v>-2382.5843460000001</v>
      </c>
      <c r="R78" s="6">
        <f>[1]Results!U1537</f>
        <v>-2449.60662</v>
      </c>
      <c r="S78" s="6">
        <f>[1]Results!V1537</f>
        <v>-2528.0847100000001</v>
      </c>
      <c r="T78" s="6">
        <f>[1]Results!W1537</f>
        <v>-2601.9838749999999</v>
      </c>
      <c r="U78" s="6">
        <f>[1]Results!X1537</f>
        <v>-2681.6361889999998</v>
      </c>
      <c r="V78" s="6">
        <f>[1]Results!Y1537</f>
        <v>-2759.7893279999998</v>
      </c>
      <c r="W78" s="6">
        <f>[1]Results!Z1537</f>
        <v>-2806.3083740000002</v>
      </c>
      <c r="X78" s="6">
        <f>[1]Results!AA1537</f>
        <v>-2853.0191629999999</v>
      </c>
      <c r="Y78" s="6">
        <f>[1]Results!AB1537</f>
        <v>-2896.470112</v>
      </c>
      <c r="Z78" s="6">
        <f>[1]Results!AC1537</f>
        <v>-2938.3261560000001</v>
      </c>
      <c r="AA78" s="6">
        <f>[1]Results!AD1537</f>
        <v>-2978.0473219999999</v>
      </c>
      <c r="AB78" s="6">
        <f>[1]Results!AE1537</f>
        <v>-3015.0421329999999</v>
      </c>
      <c r="AC78" s="6">
        <f>[1]Results!AF1537</f>
        <v>-3050.249386</v>
      </c>
      <c r="AD78" s="6">
        <f>[1]Results!AG1537</f>
        <v>-3062.615577</v>
      </c>
      <c r="AE78" s="6">
        <f>[1]Results!AH1537</f>
        <v>-3065.6327809999998</v>
      </c>
      <c r="AF78" s="6">
        <f>[1]Results!AI1537</f>
        <v>-3062.4670700000001</v>
      </c>
      <c r="AG78" s="6">
        <f>[1]Results!AJ1537</f>
        <v>-3054.0046649999999</v>
      </c>
      <c r="AH78" s="6">
        <f>[1]Results!AK1537</f>
        <v>-3041.1599350000001</v>
      </c>
      <c r="AI78" s="6">
        <f>[1]Results!AL1537</f>
        <v>-3037.384493</v>
      </c>
      <c r="AJ78" s="6">
        <f>[1]Results!AM1537</f>
        <v>-3035.9288649999999</v>
      </c>
      <c r="AK78" s="6">
        <f>[1]Results!AN1537</f>
        <v>-3036.4523039999999</v>
      </c>
      <c r="AL78" s="6">
        <f>[1]Results!AO1537</f>
        <v>-3040.2925799999998</v>
      </c>
    </row>
    <row r="79" spans="1:38" x14ac:dyDescent="0.35">
      <c r="B79" t="s">
        <v>11</v>
      </c>
      <c r="C79" s="6">
        <f>[1]Results!F1541</f>
        <v>40582.389519999997</v>
      </c>
      <c r="D79" s="6">
        <f>[1]Results!G1541</f>
        <v>40972.372750000002</v>
      </c>
      <c r="E79" s="6">
        <f>[1]Results!H1541</f>
        <v>41181.612059999999</v>
      </c>
      <c r="F79" s="6">
        <f>[1]Results!I1541</f>
        <v>41373.918420000002</v>
      </c>
      <c r="G79" s="6">
        <f>[1]Results!J1541</f>
        <v>41633.425410000003</v>
      </c>
      <c r="H79" s="6">
        <f>[1]Results!K1541</f>
        <v>42108.962760000002</v>
      </c>
      <c r="I79" s="6">
        <f>[1]Results!L1541</f>
        <v>42639.679510000002</v>
      </c>
      <c r="J79" s="6">
        <f>[1]Results!M1541</f>
        <v>43235.367919999997</v>
      </c>
      <c r="K79" s="6">
        <f>[1]Results!N1541</f>
        <v>43845.381939999999</v>
      </c>
      <c r="L79" s="6">
        <f>[1]Results!O1541</f>
        <v>44457.738799999999</v>
      </c>
      <c r="M79" s="6">
        <f>[1]Results!P1541</f>
        <v>45088.83556</v>
      </c>
      <c r="N79" s="6">
        <f>[1]Results!Q1541</f>
        <v>45593.078529999999</v>
      </c>
      <c r="O79" s="6">
        <f>[1]Results!R1541</f>
        <v>46125.120490000001</v>
      </c>
      <c r="P79" s="6">
        <f>[1]Results!S1541</f>
        <v>46717.858699999997</v>
      </c>
      <c r="Q79" s="6">
        <f>[1]Results!T1541</f>
        <v>47366.802730000003</v>
      </c>
      <c r="R79" s="6">
        <f>[1]Results!U1541</f>
        <v>48062.334669999997</v>
      </c>
      <c r="S79" s="6">
        <f>[1]Results!V1541</f>
        <v>48759.105329999999</v>
      </c>
      <c r="T79" s="6">
        <f>[1]Results!W1541</f>
        <v>49481.065629999997</v>
      </c>
      <c r="U79" s="6">
        <f>[1]Results!X1541</f>
        <v>50227.707569999999</v>
      </c>
      <c r="V79" s="6">
        <f>[1]Results!Y1541</f>
        <v>51000.009010000002</v>
      </c>
      <c r="W79" s="6">
        <f>[1]Results!Z1541</f>
        <v>51789.90292</v>
      </c>
      <c r="X79" s="6">
        <f>[1]Results!AA1541</f>
        <v>52554.489580000001</v>
      </c>
      <c r="Y79" s="6">
        <f>[1]Results!AB1541</f>
        <v>53339.772279999997</v>
      </c>
      <c r="Z79" s="6">
        <f>[1]Results!AC1541</f>
        <v>54151.087050000002</v>
      </c>
      <c r="AA79" s="6">
        <f>[1]Results!AD1541</f>
        <v>54988.763780000001</v>
      </c>
      <c r="AB79" s="6">
        <f>[1]Results!AE1541</f>
        <v>55826.82531</v>
      </c>
      <c r="AC79" s="6">
        <f>[1]Results!AF1541</f>
        <v>56464.167439999997</v>
      </c>
      <c r="AD79" s="6">
        <f>[1]Results!AG1541</f>
        <v>57084.608460000003</v>
      </c>
      <c r="AE79" s="6">
        <f>[1]Results!AH1541</f>
        <v>57707.903789999997</v>
      </c>
      <c r="AF79" s="6">
        <f>[1]Results!AI1541</f>
        <v>58339.59532</v>
      </c>
      <c r="AG79" s="6">
        <f>[1]Results!AJ1541</f>
        <v>58982.467199999999</v>
      </c>
      <c r="AH79" s="6">
        <f>[1]Results!AK1541</f>
        <v>59771.331610000001</v>
      </c>
      <c r="AI79" s="6">
        <f>[1]Results!AL1541</f>
        <v>60599.983520000002</v>
      </c>
      <c r="AJ79" s="6">
        <f>[1]Results!AM1541</f>
        <v>61459.09633</v>
      </c>
      <c r="AK79" s="6">
        <f>[1]Results!AN1541</f>
        <v>62346.645960000002</v>
      </c>
      <c r="AL79" s="6">
        <f>[1]Results!AO1541</f>
        <v>63261.853210000001</v>
      </c>
    </row>
    <row r="81" spans="2:38" x14ac:dyDescent="0.35">
      <c r="B81" t="s">
        <v>16</v>
      </c>
      <c r="C81" s="8" t="s">
        <v>17</v>
      </c>
      <c r="D81" s="8" t="s">
        <v>18</v>
      </c>
      <c r="E81" s="8" t="s">
        <v>19</v>
      </c>
    </row>
    <row r="82" spans="2:38" x14ac:dyDescent="0.35">
      <c r="B82" t="s">
        <v>7</v>
      </c>
      <c r="C82" s="6">
        <f t="shared" ref="C82:C87" si="2">(R74-R66)/R73*100</f>
        <v>2.1762581696104372E-2</v>
      </c>
      <c r="D82" s="6">
        <f t="shared" ref="D82:D87" si="3">(AB74-AB66)/AB73*100</f>
        <v>3.5082690436128952E-2</v>
      </c>
      <c r="E82" s="6">
        <f t="shared" ref="E82:E87" si="4">(AL74-AL66)/AL73*100</f>
        <v>2.9111390835012976E-2</v>
      </c>
      <c r="Q82" s="5"/>
      <c r="U82" s="5"/>
      <c r="V82" s="5"/>
      <c r="Y82" s="5"/>
      <c r="Z82" s="5"/>
      <c r="AA82" s="5"/>
    </row>
    <row r="83" spans="2:38" x14ac:dyDescent="0.35">
      <c r="B83" t="s">
        <v>8</v>
      </c>
      <c r="C83" s="6">
        <f t="shared" si="2"/>
        <v>-3.9000060378345225</v>
      </c>
      <c r="D83" s="6">
        <f t="shared" si="3"/>
        <v>-5.6467127071240633</v>
      </c>
      <c r="E83" s="6">
        <f t="shared" si="4"/>
        <v>-7.2847296678266877</v>
      </c>
      <c r="Q83" s="5"/>
      <c r="U83" s="5"/>
      <c r="V83" s="5"/>
      <c r="Y83" s="5"/>
      <c r="Z83" s="5"/>
      <c r="AA83" s="5"/>
    </row>
    <row r="84" spans="2:38" x14ac:dyDescent="0.35">
      <c r="B84" t="s">
        <v>9</v>
      </c>
      <c r="C84" s="6">
        <f t="shared" si="2"/>
        <v>0.35061229202004968</v>
      </c>
      <c r="D84" s="6">
        <f t="shared" si="3"/>
        <v>0.43398482747506373</v>
      </c>
      <c r="E84" s="6">
        <f t="shared" si="4"/>
        <v>0.31987873786554266</v>
      </c>
      <c r="Q84" s="5"/>
      <c r="U84" s="5"/>
      <c r="V84" s="5"/>
      <c r="Y84" s="5"/>
      <c r="Z84" s="5"/>
      <c r="AA84" s="5"/>
    </row>
    <row r="85" spans="2:38" x14ac:dyDescent="0.35">
      <c r="B85" t="s">
        <v>10</v>
      </c>
      <c r="C85" s="6">
        <f t="shared" si="2"/>
        <v>20.20702625561163</v>
      </c>
      <c r="D85" s="6">
        <f t="shared" si="3"/>
        <v>28.938908309950762</v>
      </c>
      <c r="E85" s="6">
        <f t="shared" si="4"/>
        <v>29.565392756740355</v>
      </c>
      <c r="Q85" s="5"/>
      <c r="U85" s="5"/>
      <c r="V85" s="5"/>
      <c r="Y85" s="5"/>
      <c r="Z85" s="5"/>
      <c r="AA85" s="5"/>
    </row>
    <row r="86" spans="2:38" x14ac:dyDescent="0.35">
      <c r="B86" t="s">
        <v>12</v>
      </c>
      <c r="C86" s="6">
        <f t="shared" si="2"/>
        <v>-4.5337385451904745E-4</v>
      </c>
      <c r="D86" s="6">
        <f t="shared" si="3"/>
        <v>1.4221769127828134E-2</v>
      </c>
      <c r="E86" s="6">
        <f t="shared" si="4"/>
        <v>5.1653850349118582E-2</v>
      </c>
      <c r="Q86" s="5"/>
      <c r="U86" s="5"/>
      <c r="V86" s="5"/>
      <c r="Y86" s="5"/>
      <c r="Z86" s="5"/>
      <c r="AA86" s="5"/>
    </row>
    <row r="87" spans="2:38" x14ac:dyDescent="0.35">
      <c r="B87" t="s">
        <v>11</v>
      </c>
      <c r="C87" s="6">
        <f t="shared" si="2"/>
        <v>1.76390811680627</v>
      </c>
      <c r="D87" s="6">
        <f t="shared" si="3"/>
        <v>-17.784210181715594</v>
      </c>
      <c r="E87" s="6">
        <f t="shared" si="4"/>
        <v>-46.824596730095053</v>
      </c>
      <c r="Q87" s="5"/>
      <c r="U87" s="5"/>
      <c r="V87" s="5"/>
      <c r="Y87" s="5"/>
      <c r="Z87" s="5"/>
      <c r="AA87" s="5"/>
    </row>
    <row r="88" spans="2:38" x14ac:dyDescent="0.35"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</row>
    <row r="89" spans="2:38" x14ac:dyDescent="0.35">
      <c r="B89" t="s">
        <v>16</v>
      </c>
      <c r="C89" s="8" t="s">
        <v>17</v>
      </c>
      <c r="D89" s="8" t="s">
        <v>18</v>
      </c>
      <c r="E89" s="8" t="s">
        <v>19</v>
      </c>
    </row>
    <row r="90" spans="2:38" x14ac:dyDescent="0.35">
      <c r="B90" t="s">
        <v>7</v>
      </c>
      <c r="C90" s="4">
        <f t="shared" ref="C90:C95" si="5">R74/R66-1</f>
        <v>1.2012140186810072E-2</v>
      </c>
      <c r="D90" s="4">
        <f t="shared" ref="D90:D95" si="6">AB74/AB66-1</f>
        <v>1.9345083423935483E-2</v>
      </c>
      <c r="E90" s="4">
        <f t="shared" ref="E90:E95" si="7">AL74/AL66-1</f>
        <v>1.6183022680983372E-2</v>
      </c>
    </row>
    <row r="91" spans="2:38" x14ac:dyDescent="0.35">
      <c r="B91" t="s">
        <v>8</v>
      </c>
      <c r="C91" s="4">
        <f t="shared" si="5"/>
        <v>-4.1008951478656019E-3</v>
      </c>
      <c r="D91" s="4">
        <f t="shared" si="6"/>
        <v>-5.8514480390837731E-3</v>
      </c>
      <c r="E91" s="4">
        <f t="shared" si="7"/>
        <v>-7.3433286581084944E-3</v>
      </c>
    </row>
    <row r="92" spans="2:38" x14ac:dyDescent="0.35">
      <c r="B92" t="s">
        <v>9</v>
      </c>
      <c r="C92" s="4">
        <f t="shared" si="5"/>
        <v>2.4314068055155902E-2</v>
      </c>
      <c r="D92" s="4">
        <f t="shared" si="6"/>
        <v>3.102065316990088E-2</v>
      </c>
      <c r="E92" s="4">
        <f t="shared" si="7"/>
        <v>2.372189602584629E-2</v>
      </c>
    </row>
    <row r="93" spans="2:38" x14ac:dyDescent="0.35">
      <c r="B93" t="s">
        <v>10</v>
      </c>
      <c r="C93" s="4">
        <f t="shared" si="5"/>
        <v>6.8218380641218435E-3</v>
      </c>
      <c r="D93" s="4">
        <f t="shared" si="6"/>
        <v>9.8071245130852969E-3</v>
      </c>
      <c r="E93" s="4">
        <f t="shared" si="7"/>
        <v>9.7343846927719913E-3</v>
      </c>
    </row>
    <row r="94" spans="2:38" x14ac:dyDescent="0.35">
      <c r="B94" t="s">
        <v>12</v>
      </c>
      <c r="C94" s="4">
        <f t="shared" si="5"/>
        <v>3.7514831662439629E-3</v>
      </c>
      <c r="D94" s="4">
        <f t="shared" si="6"/>
        <v>-0.10408768470526886</v>
      </c>
      <c r="E94" s="4">
        <f t="shared" si="7"/>
        <v>-0.32633505593903078</v>
      </c>
    </row>
    <row r="95" spans="2:38" x14ac:dyDescent="0.35">
      <c r="B95" t="s">
        <v>11</v>
      </c>
      <c r="C95" s="4">
        <f t="shared" si="5"/>
        <v>-8.982085405181417E-4</v>
      </c>
      <c r="D95" s="4">
        <f t="shared" si="6"/>
        <v>9.6978726657841463E-3</v>
      </c>
      <c r="E95" s="4">
        <f t="shared" si="7"/>
        <v>2.3021427275558226E-2</v>
      </c>
    </row>
  </sheetData>
  <mergeCells count="3">
    <mergeCell ref="A56:A57"/>
    <mergeCell ref="A62:A63"/>
    <mergeCell ref="A59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5</vt:i4>
      </vt:variant>
    </vt:vector>
  </HeadingPairs>
  <TitlesOfParts>
    <vt:vector size="6" baseType="lpstr">
      <vt:lpstr>Données</vt:lpstr>
      <vt:lpstr>Gr Macro</vt:lpstr>
      <vt:lpstr>Gr inflation</vt:lpstr>
      <vt:lpstr>Gr émissions</vt:lpstr>
      <vt:lpstr>Gr secteurs (% VA)</vt:lpstr>
      <vt:lpstr>Gr secteurs (%)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2021-11-23T14:10:53Z</dcterms:modified>
</cp:coreProperties>
</file>