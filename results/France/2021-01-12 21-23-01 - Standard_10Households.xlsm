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eynesfgd\Documents\GITHUB\THREEME_V3\results\"/>
    </mc:Choice>
  </mc:AlternateContent>
  <xr:revisionPtr revIDLastSave="0" documentId="13_ncr:1_{4786F9D9-0E4A-4310-AB0C-FA306505F05A}" xr6:coauthVersionLast="41" xr6:coauthVersionMax="41" xr10:uidLastSave="{00000000-0000-0000-0000-000000000000}"/>
  <bookViews>
    <workbookView xWindow="1170" yWindow="1170" windowWidth="15375" windowHeight="7875" tabRatio="701" firstSheet="3" activeTab="7" xr2:uid="{00000000-000D-0000-FFFF-FFFF00000000}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definedNames>
    <definedName name="formatResults">ResultsEXR10!$A$50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50" i="26" l="1"/>
  <c r="A50" i="18"/>
  <c r="A50" i="13"/>
  <c r="A50" i="7"/>
  <c r="B29" i="7" l="1" a="1"/>
  <c r="F47" i="7" s="1"/>
  <c r="B29" i="13" a="1"/>
  <c r="E47" i="13" s="1"/>
  <c r="G47" i="18"/>
  <c r="C47" i="18"/>
  <c r="B46" i="18"/>
  <c r="D45" i="18"/>
  <c r="D44" i="18"/>
  <c r="F43" i="18"/>
  <c r="E42" i="18"/>
  <c r="G41" i="18"/>
  <c r="F40" i="18"/>
  <c r="B40" i="18"/>
  <c r="B39" i="18"/>
  <c r="D38" i="18"/>
  <c r="C37" i="18"/>
  <c r="E36" i="18"/>
  <c r="D35" i="18"/>
  <c r="F34" i="18"/>
  <c r="F33" i="18"/>
  <c r="B33" i="18"/>
  <c r="G31" i="18"/>
  <c r="C31" i="18"/>
  <c r="B30" i="18"/>
  <c r="D29" i="18"/>
  <c r="B29" i="18" a="1"/>
  <c r="E47" i="18" s="1"/>
  <c r="B29" i="26" a="1"/>
  <c r="B29" i="27" a="1"/>
  <c r="G47" i="27" s="1"/>
  <c r="C47" i="30"/>
  <c r="D45" i="30"/>
  <c r="E44" i="30"/>
  <c r="F43" i="30"/>
  <c r="G41" i="30"/>
  <c r="B41" i="30"/>
  <c r="B40" i="30"/>
  <c r="D38" i="30"/>
  <c r="D37" i="30"/>
  <c r="E36" i="30"/>
  <c r="F34" i="30"/>
  <c r="G33" i="30"/>
  <c r="B33" i="30"/>
  <c r="C31" i="30"/>
  <c r="D30" i="30"/>
  <c r="D29" i="30"/>
  <c r="B29" i="30" a="1"/>
  <c r="E47" i="30" s="1"/>
  <c r="B29" i="31" a="1"/>
  <c r="G47" i="31" s="1"/>
  <c r="B29" i="34" a="1"/>
  <c r="G47" i="34" s="1"/>
  <c r="B32" i="30" l="1"/>
  <c r="F35" i="30"/>
  <c r="C39" i="30"/>
  <c r="F42" i="30"/>
  <c r="D46" i="30"/>
  <c r="D30" i="18"/>
  <c r="B32" i="18"/>
  <c r="G33" i="18"/>
  <c r="F35" i="18"/>
  <c r="D37" i="18"/>
  <c r="C39" i="18"/>
  <c r="B41" i="18"/>
  <c r="F42" i="18"/>
  <c r="E44" i="18"/>
  <c r="D46" i="18"/>
  <c r="C29" i="18"/>
  <c r="B31" i="18"/>
  <c r="F32" i="18"/>
  <c r="E34" i="18"/>
  <c r="D36" i="18"/>
  <c r="B38" i="18"/>
  <c r="A60" i="18" s="1"/>
  <c r="G39" i="18"/>
  <c r="F41" i="18"/>
  <c r="D43" i="18"/>
  <c r="C45" i="18"/>
  <c r="B47" i="18"/>
  <c r="C31" i="13"/>
  <c r="F34" i="13"/>
  <c r="D38" i="13"/>
  <c r="G41" i="13"/>
  <c r="D45" i="13"/>
  <c r="B33" i="13"/>
  <c r="C47" i="13"/>
  <c r="B32" i="13"/>
  <c r="F35" i="13"/>
  <c r="C39" i="13"/>
  <c r="F42" i="13"/>
  <c r="D46" i="13"/>
  <c r="D29" i="13"/>
  <c r="E36" i="13"/>
  <c r="B40" i="13"/>
  <c r="F43" i="13"/>
  <c r="D30" i="13"/>
  <c r="G33" i="13"/>
  <c r="D37" i="13"/>
  <c r="B41" i="13"/>
  <c r="E44" i="13"/>
  <c r="E47" i="26"/>
  <c r="D47" i="26"/>
  <c r="E46" i="26"/>
  <c r="F45" i="26"/>
  <c r="F44" i="26"/>
  <c r="G43" i="26"/>
  <c r="B43" i="26"/>
  <c r="B42" i="26"/>
  <c r="C41" i="26"/>
  <c r="D40" i="26"/>
  <c r="D39" i="26"/>
  <c r="E38" i="26"/>
  <c r="F37" i="26"/>
  <c r="F36" i="26"/>
  <c r="G35" i="26"/>
  <c r="B35" i="26"/>
  <c r="B34" i="26"/>
  <c r="C33" i="26"/>
  <c r="D32" i="26"/>
  <c r="F29" i="26"/>
  <c r="E30" i="26"/>
  <c r="D31" i="26"/>
  <c r="E32" i="26"/>
  <c r="F33" i="26"/>
  <c r="F34" i="26"/>
  <c r="B36" i="26"/>
  <c r="C37" i="26"/>
  <c r="D38" i="26"/>
  <c r="F39" i="26"/>
  <c r="F40" i="26"/>
  <c r="G41" i="26"/>
  <c r="C43" i="26"/>
  <c r="D44" i="26"/>
  <c r="D45" i="26"/>
  <c r="F46" i="26"/>
  <c r="G47" i="26"/>
  <c r="B29" i="30"/>
  <c r="G29" i="30"/>
  <c r="F30" i="30"/>
  <c r="F31" i="30"/>
  <c r="E32" i="30"/>
  <c r="D33" i="30"/>
  <c r="D34" i="30"/>
  <c r="C35" i="30"/>
  <c r="B36" i="30"/>
  <c r="B37" i="30"/>
  <c r="G37" i="30"/>
  <c r="F38" i="30"/>
  <c r="F39" i="30"/>
  <c r="E40" i="30"/>
  <c r="D41" i="30"/>
  <c r="D42" i="30"/>
  <c r="C43" i="30"/>
  <c r="B44" i="30"/>
  <c r="B45" i="30"/>
  <c r="G45" i="30"/>
  <c r="F46" i="30"/>
  <c r="F47" i="30"/>
  <c r="B29" i="26"/>
  <c r="G29" i="26"/>
  <c r="F30" i="26"/>
  <c r="F31" i="26"/>
  <c r="F32" i="26"/>
  <c r="G33" i="26"/>
  <c r="C35" i="26"/>
  <c r="D36" i="26"/>
  <c r="D37" i="26"/>
  <c r="F38" i="26"/>
  <c r="G39" i="26"/>
  <c r="B41" i="26"/>
  <c r="D42" i="26"/>
  <c r="D43" i="26"/>
  <c r="E44" i="26"/>
  <c r="G45" i="26"/>
  <c r="B47" i="26"/>
  <c r="F29" i="30"/>
  <c r="E30" i="30"/>
  <c r="D31" i="30"/>
  <c r="D32" i="30"/>
  <c r="C33" i="30"/>
  <c r="B34" i="30"/>
  <c r="B35" i="30"/>
  <c r="G35" i="30"/>
  <c r="F36" i="30"/>
  <c r="F37" i="30"/>
  <c r="E38" i="30"/>
  <c r="D39" i="30"/>
  <c r="D40" i="30"/>
  <c r="C41" i="30"/>
  <c r="B42" i="30"/>
  <c r="B43" i="30"/>
  <c r="G43" i="30"/>
  <c r="F44" i="30"/>
  <c r="F45" i="30"/>
  <c r="E46" i="30"/>
  <c r="D47" i="30"/>
  <c r="D29" i="34"/>
  <c r="C29" i="30"/>
  <c r="B30" i="30"/>
  <c r="B31" i="30"/>
  <c r="G31" i="30"/>
  <c r="F32" i="30"/>
  <c r="F33" i="30"/>
  <c r="E34" i="30"/>
  <c r="D35" i="30"/>
  <c r="D36" i="30"/>
  <c r="C37" i="30"/>
  <c r="B38" i="30"/>
  <c r="B39" i="30"/>
  <c r="G39" i="30"/>
  <c r="F40" i="30"/>
  <c r="F41" i="30"/>
  <c r="E42" i="30"/>
  <c r="D43" i="30"/>
  <c r="D44" i="30"/>
  <c r="C45" i="30"/>
  <c r="B46" i="30"/>
  <c r="B47" i="30"/>
  <c r="G47" i="30"/>
  <c r="C29" i="26"/>
  <c r="B30" i="26"/>
  <c r="B31" i="26"/>
  <c r="A53" i="26" s="1"/>
  <c r="G31" i="26"/>
  <c r="B33" i="26"/>
  <c r="D34" i="26"/>
  <c r="D35" i="26"/>
  <c r="E36" i="26"/>
  <c r="G37" i="26"/>
  <c r="B39" i="26"/>
  <c r="B40" i="26"/>
  <c r="D41" i="26"/>
  <c r="E42" i="26"/>
  <c r="F43" i="26"/>
  <c r="B45" i="26"/>
  <c r="A67" i="26" s="1"/>
  <c r="B46" i="26"/>
  <c r="C47" i="26"/>
  <c r="D29" i="26"/>
  <c r="D30" i="26"/>
  <c r="C31" i="26"/>
  <c r="B32" i="26"/>
  <c r="D33" i="26"/>
  <c r="E34" i="26"/>
  <c r="F35" i="26"/>
  <c r="B37" i="26"/>
  <c r="B38" i="26"/>
  <c r="C39" i="26"/>
  <c r="E40" i="26"/>
  <c r="F41" i="26"/>
  <c r="F42" i="26"/>
  <c r="B44" i="26"/>
  <c r="C45" i="26"/>
  <c r="D46" i="26"/>
  <c r="F47" i="26"/>
  <c r="F29" i="18"/>
  <c r="E30" i="18"/>
  <c r="D31" i="18"/>
  <c r="D32" i="18"/>
  <c r="C33" i="18"/>
  <c r="B34" i="18"/>
  <c r="B35" i="18"/>
  <c r="G35" i="18"/>
  <c r="F36" i="18"/>
  <c r="F37" i="18"/>
  <c r="E38" i="18"/>
  <c r="D39" i="18"/>
  <c r="D40" i="18"/>
  <c r="C41" i="18"/>
  <c r="B42" i="18"/>
  <c r="B43" i="18"/>
  <c r="G43" i="18"/>
  <c r="F44" i="18"/>
  <c r="F45" i="18"/>
  <c r="E46" i="18"/>
  <c r="D47" i="18"/>
  <c r="B29" i="13"/>
  <c r="G29" i="13"/>
  <c r="F30" i="13"/>
  <c r="F31" i="13"/>
  <c r="E32" i="13"/>
  <c r="D33" i="13"/>
  <c r="D34" i="13"/>
  <c r="C35" i="13"/>
  <c r="B36" i="13"/>
  <c r="B37" i="13"/>
  <c r="G37" i="13"/>
  <c r="F38" i="13"/>
  <c r="F39" i="13"/>
  <c r="E40" i="13"/>
  <c r="D41" i="13"/>
  <c r="D42" i="13"/>
  <c r="C43" i="13"/>
  <c r="B44" i="13"/>
  <c r="B45" i="13"/>
  <c r="G45" i="13"/>
  <c r="F46" i="13"/>
  <c r="F47" i="13"/>
  <c r="C29" i="7"/>
  <c r="B30" i="7"/>
  <c r="B31" i="7"/>
  <c r="G31" i="7"/>
  <c r="F32" i="7"/>
  <c r="F33" i="7"/>
  <c r="E34" i="7"/>
  <c r="D35" i="7"/>
  <c r="D36" i="7"/>
  <c r="C37" i="7"/>
  <c r="B38" i="7"/>
  <c r="B39" i="7"/>
  <c r="G39" i="7"/>
  <c r="F40" i="7"/>
  <c r="F41" i="7"/>
  <c r="E42" i="7"/>
  <c r="D43" i="7"/>
  <c r="D44" i="7"/>
  <c r="C45" i="7"/>
  <c r="B46" i="7"/>
  <c r="D47" i="7"/>
  <c r="B29" i="18"/>
  <c r="G29" i="18"/>
  <c r="F30" i="18"/>
  <c r="F31" i="18"/>
  <c r="E32" i="18"/>
  <c r="D33" i="18"/>
  <c r="D34" i="18"/>
  <c r="C35" i="18"/>
  <c r="B36" i="18"/>
  <c r="B37" i="18"/>
  <c r="G37" i="18"/>
  <c r="F38" i="18"/>
  <c r="F39" i="18"/>
  <c r="E40" i="18"/>
  <c r="D41" i="18"/>
  <c r="D42" i="18"/>
  <c r="C43" i="18"/>
  <c r="B44" i="18"/>
  <c r="B45" i="18"/>
  <c r="G45" i="18"/>
  <c r="F46" i="18"/>
  <c r="F47" i="18"/>
  <c r="C29" i="13"/>
  <c r="B30" i="13"/>
  <c r="B31" i="13"/>
  <c r="G31" i="13"/>
  <c r="F32" i="13"/>
  <c r="F33" i="13"/>
  <c r="E34" i="13"/>
  <c r="D35" i="13"/>
  <c r="D36" i="13"/>
  <c r="C37" i="13"/>
  <c r="B38" i="13"/>
  <c r="A60" i="13" s="1"/>
  <c r="B39" i="13"/>
  <c r="G39" i="13"/>
  <c r="F40" i="13"/>
  <c r="F41" i="13"/>
  <c r="E42" i="13"/>
  <c r="D43" i="13"/>
  <c r="D44" i="13"/>
  <c r="C45" i="13"/>
  <c r="B46" i="13"/>
  <c r="B47" i="13"/>
  <c r="G47" i="13"/>
  <c r="D29" i="7"/>
  <c r="D30" i="7"/>
  <c r="C31" i="7"/>
  <c r="B32" i="7"/>
  <c r="B33" i="7"/>
  <c r="A55" i="7" s="1"/>
  <c r="G33" i="7"/>
  <c r="F34" i="7"/>
  <c r="F35" i="7"/>
  <c r="E36" i="7"/>
  <c r="D37" i="7"/>
  <c r="D38" i="7"/>
  <c r="C39" i="7"/>
  <c r="B40" i="7"/>
  <c r="B41" i="7"/>
  <c r="G41" i="7"/>
  <c r="F42" i="7"/>
  <c r="F43" i="7"/>
  <c r="E44" i="7"/>
  <c r="D45" i="7"/>
  <c r="E46" i="7"/>
  <c r="G47" i="7"/>
  <c r="F29" i="7"/>
  <c r="E30" i="7"/>
  <c r="D31" i="7"/>
  <c r="D32" i="7"/>
  <c r="C33" i="7"/>
  <c r="B34" i="7"/>
  <c r="B35" i="7"/>
  <c r="G35" i="7"/>
  <c r="F36" i="7"/>
  <c r="F37" i="7"/>
  <c r="E38" i="7"/>
  <c r="D39" i="7"/>
  <c r="D40" i="7"/>
  <c r="C41" i="7"/>
  <c r="B42" i="7"/>
  <c r="B43" i="7"/>
  <c r="G43" i="7"/>
  <c r="F44" i="7"/>
  <c r="F45" i="7"/>
  <c r="F46" i="7"/>
  <c r="F29" i="13"/>
  <c r="E30" i="13"/>
  <c r="D31" i="13"/>
  <c r="D32" i="13"/>
  <c r="C33" i="13"/>
  <c r="B34" i="13"/>
  <c r="B35" i="13"/>
  <c r="G35" i="13"/>
  <c r="F36" i="13"/>
  <c r="F37" i="13"/>
  <c r="E38" i="13"/>
  <c r="D39" i="13"/>
  <c r="D40" i="13"/>
  <c r="C41" i="13"/>
  <c r="B42" i="13"/>
  <c r="B43" i="13"/>
  <c r="A65" i="13" s="1"/>
  <c r="G43" i="13"/>
  <c r="F44" i="13"/>
  <c r="F45" i="13"/>
  <c r="E46" i="13"/>
  <c r="D47" i="13"/>
  <c r="B29" i="7"/>
  <c r="G29" i="7"/>
  <c r="F30" i="7"/>
  <c r="F31" i="7"/>
  <c r="E32" i="7"/>
  <c r="D33" i="7"/>
  <c r="D34" i="7"/>
  <c r="C35" i="7"/>
  <c r="B36" i="7"/>
  <c r="B37" i="7"/>
  <c r="G37" i="7"/>
  <c r="F38" i="7"/>
  <c r="F39" i="7"/>
  <c r="E40" i="7"/>
  <c r="D41" i="7"/>
  <c r="D42" i="7"/>
  <c r="C43" i="7"/>
  <c r="B44" i="7"/>
  <c r="B45" i="7"/>
  <c r="A67" i="7" s="1"/>
  <c r="G45" i="7"/>
  <c r="C47" i="7"/>
  <c r="E29" i="7"/>
  <c r="C30" i="7"/>
  <c r="G30" i="7"/>
  <c r="E31" i="7"/>
  <c r="C32" i="7"/>
  <c r="G32" i="7"/>
  <c r="E33" i="7"/>
  <c r="C34" i="7"/>
  <c r="G34" i="7"/>
  <c r="E35" i="7"/>
  <c r="C36" i="7"/>
  <c r="G36" i="7"/>
  <c r="E37" i="7"/>
  <c r="C38" i="7"/>
  <c r="G38" i="7"/>
  <c r="E39" i="7"/>
  <c r="C40" i="7"/>
  <c r="G40" i="7"/>
  <c r="E41" i="7"/>
  <c r="C42" i="7"/>
  <c r="G42" i="7"/>
  <c r="E43" i="7"/>
  <c r="C44" i="7"/>
  <c r="G44" i="7"/>
  <c r="E45" i="7"/>
  <c r="C46" i="7"/>
  <c r="G46" i="7"/>
  <c r="E47" i="7"/>
  <c r="D46" i="7"/>
  <c r="B47" i="7"/>
  <c r="A69" i="7" s="1"/>
  <c r="E29" i="13"/>
  <c r="C30" i="13"/>
  <c r="G30" i="13"/>
  <c r="E31" i="13"/>
  <c r="C32" i="13"/>
  <c r="G32" i="13"/>
  <c r="E33" i="13"/>
  <c r="C34" i="13"/>
  <c r="G34" i="13"/>
  <c r="E35" i="13"/>
  <c r="C36" i="13"/>
  <c r="G36" i="13"/>
  <c r="E37" i="13"/>
  <c r="C38" i="13"/>
  <c r="G38" i="13"/>
  <c r="E39" i="13"/>
  <c r="C40" i="13"/>
  <c r="G40" i="13"/>
  <c r="E41" i="13"/>
  <c r="C42" i="13"/>
  <c r="G42" i="13"/>
  <c r="E43" i="13"/>
  <c r="C44" i="13"/>
  <c r="G44" i="13"/>
  <c r="E45" i="13"/>
  <c r="C46" i="13"/>
  <c r="G46" i="13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A61" i="18" s="1"/>
  <c r="C40" i="18"/>
  <c r="G40" i="18"/>
  <c r="E41" i="18"/>
  <c r="C42" i="18"/>
  <c r="G42" i="18"/>
  <c r="E43" i="18"/>
  <c r="C44" i="18"/>
  <c r="G44" i="18"/>
  <c r="E45" i="18"/>
  <c r="C46" i="18"/>
  <c r="G46" i="18"/>
  <c r="E29" i="26"/>
  <c r="C30" i="26"/>
  <c r="G30" i="26"/>
  <c r="E31" i="26"/>
  <c r="C32" i="26"/>
  <c r="G32" i="26"/>
  <c r="E33" i="26"/>
  <c r="C34" i="26"/>
  <c r="G34" i="26"/>
  <c r="E35" i="26"/>
  <c r="C36" i="26"/>
  <c r="G36" i="26"/>
  <c r="E37" i="26"/>
  <c r="C38" i="26"/>
  <c r="G38" i="26"/>
  <c r="E39" i="26"/>
  <c r="C40" i="26"/>
  <c r="G40" i="26"/>
  <c r="E41" i="26"/>
  <c r="C42" i="26"/>
  <c r="G42" i="26"/>
  <c r="E43" i="26"/>
  <c r="C44" i="26"/>
  <c r="G44" i="26"/>
  <c r="E45" i="26"/>
  <c r="C46" i="26"/>
  <c r="G46" i="26"/>
  <c r="E29" i="27"/>
  <c r="C30" i="27"/>
  <c r="G30" i="27"/>
  <c r="E31" i="27"/>
  <c r="C32" i="27"/>
  <c r="G32" i="27"/>
  <c r="E33" i="27"/>
  <c r="C34" i="27"/>
  <c r="G34" i="27"/>
  <c r="E35" i="27"/>
  <c r="C36" i="27"/>
  <c r="G36" i="27"/>
  <c r="E37" i="27"/>
  <c r="C38" i="27"/>
  <c r="G38" i="27"/>
  <c r="E39" i="27"/>
  <c r="C40" i="27"/>
  <c r="G40" i="27"/>
  <c r="E41" i="27"/>
  <c r="C42" i="27"/>
  <c r="G42" i="27"/>
  <c r="E43" i="27"/>
  <c r="C44" i="27"/>
  <c r="G44" i="27"/>
  <c r="E45" i="27"/>
  <c r="C46" i="27"/>
  <c r="G46" i="27"/>
  <c r="E47" i="27"/>
  <c r="G29" i="27"/>
  <c r="E30" i="27"/>
  <c r="G31" i="27"/>
  <c r="E32" i="27"/>
  <c r="C33" i="27"/>
  <c r="E34" i="27"/>
  <c r="C35" i="27"/>
  <c r="E36" i="27"/>
  <c r="C37" i="27"/>
  <c r="C39" i="27"/>
  <c r="D29" i="27"/>
  <c r="B30" i="27"/>
  <c r="F30" i="27"/>
  <c r="D31" i="27"/>
  <c r="B32" i="27"/>
  <c r="A54" i="27" s="1"/>
  <c r="F32" i="27"/>
  <c r="D33" i="27"/>
  <c r="B34" i="27"/>
  <c r="F34" i="27"/>
  <c r="D35" i="27"/>
  <c r="B36" i="27"/>
  <c r="F36" i="27"/>
  <c r="D37" i="27"/>
  <c r="B38" i="27"/>
  <c r="F38" i="27"/>
  <c r="D39" i="27"/>
  <c r="B40" i="27"/>
  <c r="F40" i="27"/>
  <c r="D41" i="27"/>
  <c r="B42" i="27"/>
  <c r="F42" i="27"/>
  <c r="D43" i="27"/>
  <c r="B44" i="27"/>
  <c r="F44" i="27"/>
  <c r="D45" i="27"/>
  <c r="B46" i="27"/>
  <c r="F46" i="27"/>
  <c r="D47" i="27"/>
  <c r="B29" i="27"/>
  <c r="A51" i="27" s="1"/>
  <c r="F29" i="27"/>
  <c r="D30" i="27"/>
  <c r="B31" i="27"/>
  <c r="F31" i="27"/>
  <c r="D32" i="27"/>
  <c r="B33" i="27"/>
  <c r="F33" i="27"/>
  <c r="D34" i="27"/>
  <c r="B35" i="27"/>
  <c r="F35" i="27"/>
  <c r="D36" i="27"/>
  <c r="B37" i="27"/>
  <c r="A59" i="27" s="1"/>
  <c r="F37" i="27"/>
  <c r="D38" i="27"/>
  <c r="B39" i="27"/>
  <c r="F39" i="27"/>
  <c r="D40" i="27"/>
  <c r="B41" i="27"/>
  <c r="F41" i="27"/>
  <c r="D42" i="27"/>
  <c r="B43" i="27"/>
  <c r="F43" i="27"/>
  <c r="D44" i="27"/>
  <c r="B45" i="27"/>
  <c r="F45" i="27"/>
  <c r="D46" i="27"/>
  <c r="B47" i="27"/>
  <c r="F47" i="27"/>
  <c r="C29" i="27"/>
  <c r="C31" i="27"/>
  <c r="G33" i="27"/>
  <c r="G35" i="27"/>
  <c r="G37" i="27"/>
  <c r="E38" i="27"/>
  <c r="G39" i="27"/>
  <c r="E40" i="27"/>
  <c r="C41" i="27"/>
  <c r="G41" i="27"/>
  <c r="E42" i="27"/>
  <c r="C43" i="27"/>
  <c r="G43" i="27"/>
  <c r="E44" i="27"/>
  <c r="C45" i="27"/>
  <c r="G45" i="27"/>
  <c r="E46" i="27"/>
  <c r="C47" i="27"/>
  <c r="E29" i="30"/>
  <c r="C30" i="30"/>
  <c r="G30" i="30"/>
  <c r="E31" i="30"/>
  <c r="C32" i="30"/>
  <c r="A54" i="30" s="1"/>
  <c r="G32" i="30"/>
  <c r="E33" i="30"/>
  <c r="C34" i="30"/>
  <c r="G34" i="30"/>
  <c r="E35" i="30"/>
  <c r="C36" i="30"/>
  <c r="G36" i="30"/>
  <c r="E37" i="30"/>
  <c r="C38" i="30"/>
  <c r="G38" i="30"/>
  <c r="E39" i="30"/>
  <c r="C40" i="30"/>
  <c r="A62" i="30" s="1"/>
  <c r="G40" i="30"/>
  <c r="E41" i="30"/>
  <c r="C42" i="30"/>
  <c r="G42" i="30"/>
  <c r="E43" i="30"/>
  <c r="C44" i="30"/>
  <c r="G44" i="30"/>
  <c r="E45" i="30"/>
  <c r="C46" i="30"/>
  <c r="G46" i="30"/>
  <c r="G30" i="31"/>
  <c r="D29" i="31"/>
  <c r="B30" i="31"/>
  <c r="F30" i="31"/>
  <c r="D31" i="31"/>
  <c r="B32" i="31"/>
  <c r="F32" i="31"/>
  <c r="D33" i="31"/>
  <c r="B34" i="31"/>
  <c r="F34" i="31"/>
  <c r="D35" i="31"/>
  <c r="B36" i="31"/>
  <c r="F36" i="31"/>
  <c r="D37" i="31"/>
  <c r="B38" i="31"/>
  <c r="F38" i="31"/>
  <c r="D39" i="31"/>
  <c r="B40" i="31"/>
  <c r="F40" i="31"/>
  <c r="D41" i="31"/>
  <c r="B42" i="31"/>
  <c r="F42" i="31"/>
  <c r="D43" i="31"/>
  <c r="B44" i="31"/>
  <c r="F44" i="31"/>
  <c r="D45" i="31"/>
  <c r="B46" i="31"/>
  <c r="F46" i="31"/>
  <c r="D47" i="31"/>
  <c r="E29" i="31"/>
  <c r="C30" i="31"/>
  <c r="E31" i="31"/>
  <c r="C32" i="31"/>
  <c r="G32" i="31"/>
  <c r="E33" i="31"/>
  <c r="C34" i="31"/>
  <c r="G34" i="31"/>
  <c r="E35" i="31"/>
  <c r="C36" i="31"/>
  <c r="G36" i="31"/>
  <c r="E37" i="31"/>
  <c r="C38" i="31"/>
  <c r="G38" i="31"/>
  <c r="E39" i="31"/>
  <c r="C40" i="31"/>
  <c r="G40" i="31"/>
  <c r="E41" i="31"/>
  <c r="C42" i="31"/>
  <c r="G42" i="31"/>
  <c r="E43" i="31"/>
  <c r="C44" i="31"/>
  <c r="G44" i="31"/>
  <c r="E45" i="31"/>
  <c r="C46" i="31"/>
  <c r="G46" i="31"/>
  <c r="E47" i="31"/>
  <c r="B29" i="31"/>
  <c r="F29" i="31"/>
  <c r="D30" i="31"/>
  <c r="B31" i="31"/>
  <c r="F31" i="31"/>
  <c r="D32" i="31"/>
  <c r="B33" i="31"/>
  <c r="A55" i="31" s="1"/>
  <c r="F33" i="31"/>
  <c r="D34" i="31"/>
  <c r="B35" i="31"/>
  <c r="F35" i="31"/>
  <c r="D36" i="31"/>
  <c r="B37" i="31"/>
  <c r="F37" i="31"/>
  <c r="D38" i="31"/>
  <c r="B39" i="31"/>
  <c r="F39" i="31"/>
  <c r="D40" i="31"/>
  <c r="B41" i="31"/>
  <c r="A63" i="31" s="1"/>
  <c r="F41" i="31"/>
  <c r="D42" i="31"/>
  <c r="B43" i="31"/>
  <c r="F43" i="31"/>
  <c r="D44" i="31"/>
  <c r="B45" i="31"/>
  <c r="F45" i="31"/>
  <c r="D46" i="31"/>
  <c r="B47" i="31"/>
  <c r="F47" i="31"/>
  <c r="C29" i="31"/>
  <c r="G29" i="31"/>
  <c r="E30" i="31"/>
  <c r="C31" i="31"/>
  <c r="G31" i="31"/>
  <c r="E32" i="31"/>
  <c r="C33" i="31"/>
  <c r="G33" i="31"/>
  <c r="E34" i="31"/>
  <c r="C35" i="31"/>
  <c r="G35" i="31"/>
  <c r="E36" i="31"/>
  <c r="C37" i="31"/>
  <c r="G37" i="31"/>
  <c r="E38" i="31"/>
  <c r="C39" i="31"/>
  <c r="G39" i="31"/>
  <c r="E40" i="31"/>
  <c r="C41" i="31"/>
  <c r="G41" i="31"/>
  <c r="E42" i="31"/>
  <c r="C43" i="31"/>
  <c r="G43" i="31"/>
  <c r="E44" i="31"/>
  <c r="C45" i="31"/>
  <c r="G45" i="31"/>
  <c r="E46" i="31"/>
  <c r="C47" i="31"/>
  <c r="E29" i="34"/>
  <c r="C30" i="34"/>
  <c r="G30" i="34"/>
  <c r="E31" i="34"/>
  <c r="C32" i="34"/>
  <c r="G32" i="34"/>
  <c r="E33" i="34"/>
  <c r="C34" i="34"/>
  <c r="G34" i="34"/>
  <c r="E35" i="34"/>
  <c r="C36" i="34"/>
  <c r="G36" i="34"/>
  <c r="E37" i="34"/>
  <c r="C38" i="34"/>
  <c r="G38" i="34"/>
  <c r="E39" i="34"/>
  <c r="C40" i="34"/>
  <c r="G40" i="34"/>
  <c r="E41" i="34"/>
  <c r="C42" i="34"/>
  <c r="G42" i="34"/>
  <c r="E43" i="34"/>
  <c r="C44" i="34"/>
  <c r="G44" i="34"/>
  <c r="E45" i="34"/>
  <c r="C46" i="34"/>
  <c r="G46" i="34"/>
  <c r="E47" i="34"/>
  <c r="B30" i="34"/>
  <c r="F30" i="34"/>
  <c r="D31" i="34"/>
  <c r="B32" i="34"/>
  <c r="F32" i="34"/>
  <c r="D33" i="34"/>
  <c r="B34" i="34"/>
  <c r="F34" i="34"/>
  <c r="D35" i="34"/>
  <c r="B36" i="34"/>
  <c r="F36" i="34"/>
  <c r="D37" i="34"/>
  <c r="B38" i="34"/>
  <c r="F38" i="34"/>
  <c r="D39" i="34"/>
  <c r="B40" i="34"/>
  <c r="F40" i="34"/>
  <c r="D41" i="34"/>
  <c r="B42" i="34"/>
  <c r="F42" i="34"/>
  <c r="D43" i="34"/>
  <c r="B44" i="34"/>
  <c r="F44" i="34"/>
  <c r="D45" i="34"/>
  <c r="B46" i="34"/>
  <c r="F46" i="34"/>
  <c r="D47" i="34"/>
  <c r="B29" i="34"/>
  <c r="F29" i="34"/>
  <c r="D30" i="34"/>
  <c r="B31" i="34"/>
  <c r="F31" i="34"/>
  <c r="D32" i="34"/>
  <c r="B33" i="34"/>
  <c r="F33" i="34"/>
  <c r="D34" i="34"/>
  <c r="B35" i="34"/>
  <c r="F35" i="34"/>
  <c r="D36" i="34"/>
  <c r="B37" i="34"/>
  <c r="F37" i="34"/>
  <c r="D38" i="34"/>
  <c r="B39" i="34"/>
  <c r="F39" i="34"/>
  <c r="D40" i="34"/>
  <c r="B41" i="34"/>
  <c r="F41" i="34"/>
  <c r="D42" i="34"/>
  <c r="B43" i="34"/>
  <c r="F43" i="34"/>
  <c r="D44" i="34"/>
  <c r="B45" i="34"/>
  <c r="F45" i="34"/>
  <c r="D46" i="34"/>
  <c r="B47" i="34"/>
  <c r="F47" i="34"/>
  <c r="C29" i="34"/>
  <c r="G29" i="34"/>
  <c r="E30" i="34"/>
  <c r="C31" i="34"/>
  <c r="G31" i="34"/>
  <c r="E32" i="34"/>
  <c r="C33" i="34"/>
  <c r="G33" i="34"/>
  <c r="E34" i="34"/>
  <c r="C35" i="34"/>
  <c r="G35" i="34"/>
  <c r="E36" i="34"/>
  <c r="C37" i="34"/>
  <c r="G37" i="34"/>
  <c r="E38" i="34"/>
  <c r="C39" i="34"/>
  <c r="G39" i="34"/>
  <c r="E40" i="34"/>
  <c r="C41" i="34"/>
  <c r="G41" i="34"/>
  <c r="E42" i="34"/>
  <c r="C43" i="34"/>
  <c r="G43" i="34"/>
  <c r="E44" i="34"/>
  <c r="C45" i="34"/>
  <c r="G45" i="34"/>
  <c r="E46" i="34"/>
  <c r="C47" i="34"/>
  <c r="B4" i="34" a="1"/>
  <c r="E4" i="34" s="1"/>
  <c r="A55" i="30" l="1"/>
  <c r="A63" i="30"/>
  <c r="A69" i="30"/>
  <c r="A53" i="18"/>
  <c r="A68" i="18"/>
  <c r="A52" i="18"/>
  <c r="A63" i="18"/>
  <c r="A62" i="18"/>
  <c r="A54" i="18"/>
  <c r="A58" i="18"/>
  <c r="A69" i="18"/>
  <c r="A55" i="18"/>
  <c r="A63" i="13"/>
  <c r="A62" i="13"/>
  <c r="A54" i="13"/>
  <c r="A55" i="13"/>
  <c r="A63" i="34"/>
  <c r="A55" i="34"/>
  <c r="A66" i="34"/>
  <c r="A58" i="34"/>
  <c r="A51" i="18"/>
  <c r="A64" i="30"/>
  <c r="A57" i="30"/>
  <c r="A69" i="26"/>
  <c r="A51" i="26"/>
  <c r="A67" i="30"/>
  <c r="A58" i="26"/>
  <c r="A68" i="31"/>
  <c r="A60" i="31"/>
  <c r="A52" i="31"/>
  <c r="A67" i="27"/>
  <c r="A62" i="27"/>
  <c r="A65" i="7"/>
  <c r="A62" i="7"/>
  <c r="A65" i="34"/>
  <c r="A57" i="34"/>
  <c r="A68" i="34"/>
  <c r="A60" i="34"/>
  <c r="A52" i="34"/>
  <c r="A65" i="31"/>
  <c r="A57" i="31"/>
  <c r="A62" i="31"/>
  <c r="A54" i="31"/>
  <c r="A69" i="27"/>
  <c r="A61" i="27"/>
  <c r="A53" i="27"/>
  <c r="A64" i="27"/>
  <c r="A56" i="27"/>
  <c r="A66" i="7"/>
  <c r="A59" i="7"/>
  <c r="A64" i="13"/>
  <c r="A57" i="13"/>
  <c r="A64" i="7"/>
  <c r="A57" i="7"/>
  <c r="A54" i="7"/>
  <c r="A52" i="13"/>
  <c r="A67" i="13"/>
  <c r="A65" i="18"/>
  <c r="A59" i="26"/>
  <c r="A54" i="26"/>
  <c r="A61" i="26"/>
  <c r="A52" i="26"/>
  <c r="A68" i="30"/>
  <c r="A61" i="30"/>
  <c r="A56" i="30"/>
  <c r="A63" i="26"/>
  <c r="A66" i="30"/>
  <c r="A59" i="30"/>
  <c r="A56" i="26"/>
  <c r="A53" i="13"/>
  <c r="A52" i="7"/>
  <c r="A59" i="34"/>
  <c r="A62" i="34"/>
  <c r="A54" i="34"/>
  <c r="A67" i="31"/>
  <c r="A59" i="31"/>
  <c r="A51" i="31"/>
  <c r="A64" i="31"/>
  <c r="A56" i="31"/>
  <c r="A63" i="27"/>
  <c r="A55" i="27"/>
  <c r="A66" i="27"/>
  <c r="A58" i="27"/>
  <c r="A58" i="7"/>
  <c r="A51" i="7"/>
  <c r="A56" i="13"/>
  <c r="A56" i="7"/>
  <c r="A69" i="13"/>
  <c r="A67" i="18"/>
  <c r="A68" i="7"/>
  <c r="A61" i="7"/>
  <c r="A66" i="13"/>
  <c r="A59" i="13"/>
  <c r="A64" i="18"/>
  <c r="A57" i="18"/>
  <c r="A55" i="26"/>
  <c r="A60" i="30"/>
  <c r="A53" i="30"/>
  <c r="A58" i="30"/>
  <c r="A51" i="30"/>
  <c r="A57" i="26"/>
  <c r="A64" i="26"/>
  <c r="A60" i="26"/>
  <c r="A62" i="26"/>
  <c r="A67" i="34"/>
  <c r="A51" i="34"/>
  <c r="A69" i="34"/>
  <c r="A61" i="34"/>
  <c r="A53" i="34"/>
  <c r="A64" i="34"/>
  <c r="A56" i="34"/>
  <c r="A69" i="31"/>
  <c r="A61" i="31"/>
  <c r="A53" i="31"/>
  <c r="A66" i="31"/>
  <c r="A58" i="31"/>
  <c r="A65" i="27"/>
  <c r="A57" i="27"/>
  <c r="A68" i="27"/>
  <c r="A60" i="27"/>
  <c r="A52" i="27"/>
  <c r="A63" i="7"/>
  <c r="A68" i="13"/>
  <c r="A61" i="13"/>
  <c r="A66" i="18"/>
  <c r="A59" i="18"/>
  <c r="A60" i="7"/>
  <c r="A53" i="7"/>
  <c r="A58" i="13"/>
  <c r="A51" i="13"/>
  <c r="A56" i="18"/>
  <c r="A66" i="26"/>
  <c r="A68" i="26"/>
  <c r="A52" i="30"/>
  <c r="A65" i="30"/>
  <c r="A65" i="26"/>
  <c r="D22" i="34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D4" i="31" s="1"/>
  <c r="G22" i="31" l="1"/>
  <c r="C22" i="31"/>
  <c r="G20" i="31"/>
  <c r="C20" i="31"/>
  <c r="G18" i="31"/>
  <c r="C18" i="31"/>
  <c r="E17" i="31"/>
  <c r="C16" i="31"/>
  <c r="E15" i="31"/>
  <c r="G14" i="31"/>
  <c r="E13" i="31"/>
  <c r="G12" i="31"/>
  <c r="C12" i="31"/>
  <c r="E11" i="31"/>
  <c r="G10" i="31"/>
  <c r="E9" i="31"/>
  <c r="G8" i="31"/>
  <c r="C8" i="31"/>
  <c r="E7" i="31"/>
  <c r="G6" i="31"/>
  <c r="C6" i="31"/>
  <c r="E5" i="31"/>
  <c r="G4" i="31"/>
  <c r="C4" i="31"/>
  <c r="F22" i="31"/>
  <c r="B22" i="31"/>
  <c r="D21" i="31"/>
  <c r="F20" i="31"/>
  <c r="B20" i="31"/>
  <c r="D19" i="31"/>
  <c r="F18" i="31"/>
  <c r="B18" i="31"/>
  <c r="D17" i="31"/>
  <c r="F16" i="31"/>
  <c r="B16" i="31"/>
  <c r="D15" i="31"/>
  <c r="F14" i="31"/>
  <c r="B14" i="31"/>
  <c r="D13" i="31"/>
  <c r="F12" i="31"/>
  <c r="B12" i="31"/>
  <c r="D11" i="31"/>
  <c r="F10" i="31"/>
  <c r="B10" i="31"/>
  <c r="D9" i="31"/>
  <c r="F8" i="31"/>
  <c r="B8" i="31"/>
  <c r="D7" i="31"/>
  <c r="F6" i="31"/>
  <c r="B6" i="31"/>
  <c r="D5" i="31"/>
  <c r="F4" i="31"/>
  <c r="B4" i="31"/>
  <c r="E21" i="31"/>
  <c r="E19" i="31"/>
  <c r="G16" i="31"/>
  <c r="C14" i="31"/>
  <c r="C10" i="31"/>
  <c r="E22" i="31"/>
  <c r="G21" i="31"/>
  <c r="C21" i="31"/>
  <c r="E20" i="31"/>
  <c r="G19" i="31"/>
  <c r="C19" i="31"/>
  <c r="E18" i="31"/>
  <c r="G17" i="31"/>
  <c r="C17" i="31"/>
  <c r="E16" i="31"/>
  <c r="G15" i="31"/>
  <c r="C15" i="31"/>
  <c r="E14" i="31"/>
  <c r="G13" i="31"/>
  <c r="C13" i="31"/>
  <c r="E12" i="31"/>
  <c r="G11" i="31"/>
  <c r="C11" i="31"/>
  <c r="E10" i="31"/>
  <c r="G9" i="31"/>
  <c r="C9" i="31"/>
  <c r="E8" i="31"/>
  <c r="G7" i="31"/>
  <c r="C7" i="31"/>
  <c r="E6" i="31"/>
  <c r="G5" i="31"/>
  <c r="C5" i="31"/>
  <c r="E4" i="31"/>
  <c r="D22" i="31"/>
  <c r="F21" i="31"/>
  <c r="B21" i="31"/>
  <c r="D20" i="31"/>
  <c r="F19" i="31"/>
  <c r="B19" i="31"/>
  <c r="D18" i="31"/>
  <c r="F17" i="31"/>
  <c r="B17" i="31"/>
  <c r="D16" i="31"/>
  <c r="F15" i="31"/>
  <c r="B15" i="31"/>
  <c r="D14" i="31"/>
  <c r="F13" i="31"/>
  <c r="B13" i="31"/>
  <c r="D12" i="31"/>
  <c r="F11" i="31"/>
  <c r="B11" i="31"/>
  <c r="D10" i="31"/>
  <c r="F9" i="31"/>
  <c r="B9" i="31"/>
  <c r="D8" i="31"/>
  <c r="F7" i="31"/>
  <c r="B7" i="31"/>
  <c r="D6" i="31"/>
  <c r="F5" i="31"/>
  <c r="B5" i="31"/>
  <c r="B4" i="30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<sst xmlns="http://schemas.openxmlformats.org/spreadsheetml/2006/main" count="816" uniqueCount="243">
  <si>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</si>
  <si>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</si>
  <si>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</si>
  <si>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</si>
  <si>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</si>
  <si>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</si>
  <si>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</si>
  <si>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</si>
  <si>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</si>
  <si>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</si>
  <si>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</si>
  <si>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</si>
  <si>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</si>
  <si>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</si>
  <si>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</si>
  <si>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</si>
  <si>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</si>
  <si>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</si>
  <si>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</si>
  <si>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</si>
  <si>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</si>
  <si>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</si>
  <si>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</si>
  <si>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</si>
  <si>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</si>
  <si>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</si>
  <si>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</si>
  <si>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</si>
  <si>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</si>
  <si>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</si>
  <si>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</si>
  <si>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</si>
  <si>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</si>
  <si>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</si>
  <si>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</si>
  <si>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</si>
  <si>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</si>
  <si>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</si>
  <si>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</si>
  <si>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</si>
  <si>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</si>
  <si>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</si>
  <si>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</si>
  <si>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</si>
  <si>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</si>
  <si>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</si>
  <si>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</si>
  <si>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</si>
  <si>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</si>
  <si>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</si>
  <si>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Hausse permanente de 1% de la demande mondiale adressée à la France</t>
  </si>
  <si>
    <t xml:space="preserve">Hausse de 10% du prix des énergies fossiles </t>
  </si>
  <si>
    <t>Hausse de la taxe carbone de 1 point de PIB</t>
  </si>
  <si>
    <t>Investment</t>
  </si>
  <si>
    <t>Exports</t>
  </si>
  <si>
    <t>Imports</t>
  </si>
  <si>
    <t>Household consumption</t>
  </si>
  <si>
    <t xml:space="preserve">Household disposable income </t>
  </si>
  <si>
    <t>Saving rate</t>
  </si>
  <si>
    <t>1 year</t>
  </si>
  <si>
    <t>2 years</t>
  </si>
  <si>
    <t>3 years</t>
  </si>
  <si>
    <t>5 years</t>
  </si>
  <si>
    <t>10 years</t>
  </si>
  <si>
    <t>35 years</t>
  </si>
  <si>
    <t xml:space="preserve">3 years </t>
  </si>
  <si>
    <t>Increase of the carbon tax by 1% of GDP</t>
  </si>
  <si>
    <t>Export price index</t>
  </si>
  <si>
    <t>Import price index</t>
  </si>
  <si>
    <t>Household consumption price index</t>
  </si>
  <si>
    <t>Production price index</t>
  </si>
  <si>
    <t>Added value price index</t>
  </si>
  <si>
    <t>Gross nominal wage</t>
  </si>
  <si>
    <t>Real cost of labor</t>
  </si>
  <si>
    <t>Unemployment rate</t>
  </si>
  <si>
    <t>Intermediate consumption price index</t>
  </si>
  <si>
    <t>Wage employment (in thousands)</t>
  </si>
  <si>
    <t>Trade balance (in points of GDP)</t>
  </si>
  <si>
    <t>Public budget balance (in points of GDP)</t>
  </si>
  <si>
    <t>10% permanent devaluation of the euro</t>
  </si>
  <si>
    <t xml:space="preserve">1 point of GDP increase of public spending </t>
  </si>
  <si>
    <t xml:space="preserve">Decrease of Social Employer Contributions by 1% of the ex ante GDP </t>
  </si>
  <si>
    <t>1% of ex ante GDP increase of the VAT</t>
  </si>
  <si>
    <t>Decrease of the household income tax by 1% of the ex ante GDP</t>
  </si>
  <si>
    <t xml:space="preserve">1% permanent increase of the world demand to France </t>
  </si>
  <si>
    <t>10% increase of fossil fuel prices</t>
  </si>
  <si>
    <t>% en écart au compte central</t>
  </si>
  <si>
    <t xml:space="preserve">% en écart au compte central </t>
  </si>
  <si>
    <t xml:space="preserve">% deviation from baseline </t>
  </si>
  <si>
    <t>GDP in volume</t>
  </si>
  <si>
    <t>LT</t>
  </si>
  <si>
    <t>100*(GDP_8/GDP_0-1)</t>
  </si>
  <si>
    <t>100*(CH_8/CH_0-1)</t>
  </si>
  <si>
    <t>100*(I_8/I_0-1)</t>
  </si>
  <si>
    <t>100*(X_8/X_0-1)</t>
  </si>
  <si>
    <t>100*(M_8/M_0-1)</t>
  </si>
  <si>
    <t>100*((DISPINC_AT_VAL_8/PCH_8)/(DISPINC_AT_VAL_0/PCH_0)-1)</t>
  </si>
  <si>
    <t>100*(RSAV_H_VAL_8-RSAV_H_VAL_0)</t>
  </si>
  <si>
    <t>100*(PCH_8/PCH_0-1)</t>
  </si>
  <si>
    <t>100*(PY_8/PY_0-1)</t>
  </si>
  <si>
    <t>100*(PVA_8/PVA_0-1)</t>
  </si>
  <si>
    <t>100*(PCI_8/PCI_0-1)</t>
  </si>
  <si>
    <t>100*(PX_8/PCI_0-1)</t>
  </si>
  <si>
    <t>100*(PM_8/PCI_0-1)</t>
  </si>
  <si>
    <t>100*(W_8/W_0-1)</t>
  </si>
  <si>
    <t>100*((C_L_8/PVA_8)/(C_L_0/PVA_0)-1)</t>
  </si>
  <si>
    <t>F_L_8-F_L_0</t>
  </si>
  <si>
    <t>100*(UNR_8-UNR_0)</t>
  </si>
  <si>
    <t>100*(RBAL_TRADE_VAL_8-RBAL_TRADE_VAL_0)</t>
  </si>
  <si>
    <t>100*(RBAL_G_PRIM_VAL_8-RBAL_G_PRIM_VAL_0)</t>
  </si>
  <si>
    <t>100*(GDP_2/GDP_0-1)</t>
  </si>
  <si>
    <t>100*(CH_2/CH_0-1)</t>
  </si>
  <si>
    <t>100*(I_2/I_0-1)</t>
  </si>
  <si>
    <t>100*(X_2/X_0-1)</t>
  </si>
  <si>
    <t>100*(M_2/M_0-1)</t>
  </si>
  <si>
    <t>100*((DISPINC_AT_VAL_2/PCH_2)/(DISPINC_AT_VAL_0/PCH_0)-1)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</si>
  <si>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</si>
  <si>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</si>
  <si>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</si>
  <si>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</si>
  <si>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</si>
  <si>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</si>
  <si>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</si>
  <si>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</si>
  <si>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</si>
  <si>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F_L_2-F_L_0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</si>
  <si>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</si>
  <si>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</si>
  <si>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</si>
  <si>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</si>
  <si>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</si>
  <si>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</si>
  <si>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</si>
  <si>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</si>
  <si>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100*((DISPINC_AT_VAL_1/PCH_1)/(DISPINC_AT_VAL_0/PCH_0)-1)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</si>
  <si>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</si>
  <si>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</si>
  <si>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</si>
  <si>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</si>
  <si>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</si>
  <si>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</si>
  <si>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</si>
  <si>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</si>
  <si>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</si>
  <si>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F_L_1-F_L_0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</si>
  <si>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</si>
  <si>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</si>
  <si>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</si>
  <si>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</si>
  <si>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</si>
  <si>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</si>
  <si>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</si>
  <si>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</si>
  <si>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100*((DISPINC_AT_VAL_7/PCH_7)/(DISPINC_AT_VAL_0/PCH_0)-1)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</si>
  <si>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</si>
  <si>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</si>
  <si>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</si>
  <si>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</si>
  <si>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</si>
  <si>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</si>
  <si>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</si>
  <si>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</si>
  <si>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</si>
  <si>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F_L_7-F_L_0</t>
  </si>
  <si>
    <t>100*(UNR_7-UNR_0)</t>
  </si>
  <si>
    <t>100*(RBAL_TRADE_VAL_7-RBAL_TRADE_VAL_0)</t>
  </si>
  <si>
    <t>100*(RBAL_G_PRIM_VAL_7-RBAL_G_PRIM_VAL_0)</t>
  </si>
  <si>
    <t>100*(GDP_5/GDP_0-1)</t>
  </si>
  <si>
    <t>100*(CH_5/CH_0-1)</t>
  </si>
  <si>
    <t>100*(I_5/I_0-1)</t>
  </si>
  <si>
    <t>100*(X_5/X_0-1)</t>
  </si>
  <si>
    <t>100*(M_5/M_0-1)</t>
  </si>
  <si>
    <t>100*((DISPINC_AT_VAL_5/PCH_5)/(DISPINC_AT_VAL_0/PCH_0)-1)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</si>
  <si>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</si>
  <si>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</si>
  <si>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</si>
  <si>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</si>
  <si>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</si>
  <si>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</si>
  <si>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</si>
  <si>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</si>
  <si>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</si>
  <si>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F_L_5-F_L_0</t>
  </si>
  <si>
    <t>100*(UNR_5-UNR_0)</t>
  </si>
  <si>
    <t>100*(RBAL_TRADE_VAL_5-RBAL_TRADE_VAL_0)</t>
  </si>
  <si>
    <t>100*(RBAL_G_PRIM_VAL_5-RBAL_G_PRIM_VAL_0)</t>
  </si>
  <si>
    <t>100*(GDP_3/GDP_0-1)</t>
  </si>
  <si>
    <t>100*(CH_3/CH_0-1)</t>
  </si>
  <si>
    <t>100*(I_3/I_0-1)</t>
  </si>
  <si>
    <t>100*(X_3/X_0-1)</t>
  </si>
  <si>
    <t>100*(M_3/M_0-1)</t>
  </si>
  <si>
    <t>100*((DISPINC_AT_VAL_3/PCH_3)/(DISPINC_AT_VAL_0/PCH_0)-1)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</si>
  <si>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</si>
  <si>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</si>
  <si>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</si>
  <si>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</si>
  <si>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</si>
  <si>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</si>
  <si>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</si>
  <si>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</si>
  <si>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</si>
  <si>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F_L_3-F_L_0</t>
  </si>
  <si>
    <t>100*(UNR_3-UNR_0)</t>
  </si>
  <si>
    <t>100*(RBAL_TRADE_VAL_3-RBAL_TRADE_VAL_0)</t>
  </si>
  <si>
    <t>100*(RBAL_G_PRIM_VAL_3-RBAL_G_PRIM_VAL_0)</t>
  </si>
  <si>
    <t>100*(GDP_4/GDP_0-1)</t>
  </si>
  <si>
    <t>100*(CH_4/CH_0-1)</t>
  </si>
  <si>
    <t>100*(I_4/I_0-1)</t>
  </si>
  <si>
    <t>100*(X_4/X_0-1)</t>
  </si>
  <si>
    <t>100*(M_4/M_0-1)</t>
  </si>
  <si>
    <t>100*((DISPINC_AT_VAL_4/PCH_4)/(DISPINC_AT_VAL_0/PCH_0)-1)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</si>
  <si>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</si>
  <si>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</si>
  <si>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</si>
  <si>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</si>
  <si>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</si>
  <si>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</si>
  <si>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</si>
  <si>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</si>
  <si>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</si>
  <si>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F_L_4-F_L_0</t>
  </si>
  <si>
    <t>100*(UNR_4-UNR_0)</t>
  </si>
  <si>
    <t>100*(RBAL_TRADE_VAL_4-RBAL_TRADE_VAL_0)</t>
  </si>
  <si>
    <t>100*(RBAL_G_PRIM_VAL_4-RBAL_G_PRIM_VAL_0)</t>
  </si>
  <si>
    <t>100*(GDP_6/GDP_0-1)</t>
  </si>
  <si>
    <t>100*(CH_6/CH_0-1)</t>
  </si>
  <si>
    <t>100*(I_6/I_0-1)</t>
  </si>
  <si>
    <t>100*(X_6/X_0-1)</t>
  </si>
  <si>
    <t>100*(M_6/M_0-1)</t>
  </si>
  <si>
    <t>100*((DISPINC_AT_VAL_6/PCH_6)/(DISPINC_AT_VAL_0/PCH_0)-1)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</si>
  <si>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</si>
  <si>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</si>
  <si>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</si>
  <si>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</si>
  <si>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</si>
  <si>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</si>
  <si>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</si>
  <si>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</si>
  <si>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</si>
  <si>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F_L_6-F_L_0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</si>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</sst>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9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2" fontId="5" fillId="4" borderId="7" xfId="0" applyNumberFormat="1" applyFont="1" applyFill="1" applyBorder="1" applyAlignment="1">
      <alignment wrapText="1"/>
    </xf>
    <xf numFmtId="2" fontId="0" fillId="0" borderId="0" xfId="0" applyNumberFormat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right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right"/>
    </xf>
    <xf numFmtId="0" fontId="12" fillId="4" borderId="0" xfId="0" applyFont="1" applyFill="1" applyAlignment="1">
      <alignment horizontal="right"/>
    </xf>
    <xf numFmtId="11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M69"/>
  <sheetViews>
    <sheetView showGridLines="0" workbookViewId="0">
      <selection activeCell="G29" sqref="G29"/>
    </sheetView>
  </sheetViews>
  <sheetFormatPr defaultColWidth="11" defaultRowHeight="15.75" x14ac:dyDescent="0.25"/>
  <cols>
    <col min="1" max="1" width="37.125" customWidth="1"/>
  </cols>
  <sheetData>
    <row r="1" spans="1:13" ht="30" customHeight="1" x14ac:dyDescent="0.25">
      <c r="A1" s="34" t="s">
        <v>29</v>
      </c>
      <c r="B1" s="52" t="s">
        <v>86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1:13" ht="29.25" customHeight="1" x14ac:dyDescent="0.25">
      <c r="A2" s="16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-1.2774000000000001E-2</v>
      </c>
      <c r="C4" s="14">
        <v>2.9656999999999999E-2</v>
      </c>
      <c r="D4" s="14">
        <v>0.110997</v>
      </c>
      <c r="E4" s="14">
        <v>0.28786800000000001</v>
      </c>
      <c r="F4" s="14">
        <v>0.49226399999999998</v>
      </c>
      <c r="G4" s="15">
        <v>-4.2139999999999997E-2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-0.63095199999999996</v>
      </c>
      <c r="C5" s="14">
        <v>-0.87415900000000002</v>
      </c>
      <c r="D5" s="14">
        <v>-0.86523799999999995</v>
      </c>
      <c r="E5" s="14">
        <v>-0.53424499999999997</v>
      </c>
      <c r="F5" s="14">
        <v>0.32830599999999999</v>
      </c>
      <c r="G5" s="15">
        <v>-4.206E-2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-6.5690999999999999E-2</v>
      </c>
      <c r="C6" s="14">
        <v>-7.7802999999999997E-2</v>
      </c>
      <c r="D6" s="14">
        <v>-4.1789E-2</v>
      </c>
      <c r="E6" s="14">
        <v>0.117799</v>
      </c>
      <c r="F6" s="14">
        <v>0.57927700000000004</v>
      </c>
      <c r="G6" s="15">
        <v>-5.0230999999999998E-2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0.67783000000000004</v>
      </c>
      <c r="C7" s="14">
        <v>1.058122</v>
      </c>
      <c r="D7" s="14">
        <v>1.2436990000000001</v>
      </c>
      <c r="E7" s="14">
        <v>1.275442</v>
      </c>
      <c r="F7" s="14">
        <v>0.66791</v>
      </c>
      <c r="G7" s="15">
        <v>-5.0810000000000001E-2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-0.50768500000000005</v>
      </c>
      <c r="C8" s="14">
        <v>-0.73778299999999997</v>
      </c>
      <c r="D8" s="14">
        <v>-0.78910199999999997</v>
      </c>
      <c r="E8" s="14">
        <v>-0.62935600000000003</v>
      </c>
      <c r="F8" s="14">
        <v>1.3866E-2</v>
      </c>
      <c r="G8" s="15">
        <v>-2.1108999999999999E-2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-0.92758499999999999</v>
      </c>
      <c r="C9" s="14">
        <v>-0.91054000000000002</v>
      </c>
      <c r="D9" s="14">
        <v>-0.77305599999999997</v>
      </c>
      <c r="E9" s="14">
        <v>-0.41375899999999999</v>
      </c>
      <c r="F9" s="14">
        <v>0.32920300000000002</v>
      </c>
      <c r="G9" s="15">
        <v>-4.2050999999999998E-2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-0.26053900000000002</v>
      </c>
      <c r="C10" s="14">
        <v>-3.1948999999999998E-2</v>
      </c>
      <c r="D10" s="14">
        <v>8.0838999999999994E-2</v>
      </c>
      <c r="E10" s="14">
        <v>0.10528</v>
      </c>
      <c r="F10" s="14">
        <v>7.7800000000000005E-4</v>
      </c>
      <c r="G10" s="15">
        <v>8.2600000000000005E-6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1.2276609999999999</v>
      </c>
      <c r="C11" s="14">
        <v>1.6115619999999999</v>
      </c>
      <c r="D11" s="14">
        <v>1.990389</v>
      </c>
      <c r="E11" s="14">
        <v>2.7484739999999999</v>
      </c>
      <c r="F11" s="14">
        <v>4.3732259999999998</v>
      </c>
      <c r="G11" s="15">
        <v>5.0870569999999997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0.54349599999999998</v>
      </c>
      <c r="C12" s="14">
        <v>1.008853</v>
      </c>
      <c r="D12" s="14">
        <v>1.455549</v>
      </c>
      <c r="E12" s="14">
        <v>2.3347380000000002</v>
      </c>
      <c r="F12" s="14">
        <v>4.2226999999999997</v>
      </c>
      <c r="G12" s="15">
        <v>5.0744689999999997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-0.29130600000000001</v>
      </c>
      <c r="C13" s="14">
        <v>0.25533499999999998</v>
      </c>
      <c r="D13" s="14">
        <v>0.78123500000000001</v>
      </c>
      <c r="E13" s="14">
        <v>1.818632</v>
      </c>
      <c r="F13" s="14">
        <v>4.0524719999999999</v>
      </c>
      <c r="G13" s="15">
        <v>5.0669680000000001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1.4147620000000001</v>
      </c>
      <c r="C14" s="14">
        <v>1.795892</v>
      </c>
      <c r="D14" s="14">
        <v>2.160288</v>
      </c>
      <c r="E14" s="14">
        <v>2.8744049999999999</v>
      </c>
      <c r="F14" s="14">
        <v>4.4005900000000002</v>
      </c>
      <c r="G14" s="15">
        <v>5.0822929999999999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1.1334599999999999</v>
      </c>
      <c r="C15" s="14">
        <v>1.6737169999999999</v>
      </c>
      <c r="D15" s="14">
        <v>2.1290420000000001</v>
      </c>
      <c r="E15" s="14">
        <v>2.9083679999999998</v>
      </c>
      <c r="F15" s="14">
        <v>4.4136300000000004</v>
      </c>
      <c r="G15" s="15">
        <v>5.0887880000000001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5</v>
      </c>
      <c r="C16" s="14">
        <v>5</v>
      </c>
      <c r="D16" s="14">
        <v>5</v>
      </c>
      <c r="E16" s="14">
        <v>5</v>
      </c>
      <c r="F16" s="14">
        <v>5</v>
      </c>
      <c r="G16" s="15">
        <v>5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1.8960999999999999E-2</v>
      </c>
      <c r="C17" s="14">
        <v>0.391065</v>
      </c>
      <c r="D17" s="14">
        <v>0.86799899999999997</v>
      </c>
      <c r="E17" s="14">
        <v>1.868933</v>
      </c>
      <c r="F17" s="14">
        <v>4.0578479999999999</v>
      </c>
      <c r="G17" s="15">
        <v>5.0690039999999996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0.31117299999999998</v>
      </c>
      <c r="C18" s="14">
        <v>0.13538500000000001</v>
      </c>
      <c r="D18" s="14">
        <v>8.6092000000000002E-2</v>
      </c>
      <c r="E18" s="14">
        <v>4.9402000000000001E-2</v>
      </c>
      <c r="F18" s="14">
        <v>5.1669999999999997E-3</v>
      </c>
      <c r="G18" s="15">
        <v>1.9369999999999999E-3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15.787459999999999</v>
      </c>
      <c r="C19" s="14">
        <v>38.513280000000002</v>
      </c>
      <c r="D19" s="14">
        <v>64.399619999999999</v>
      </c>
      <c r="E19" s="14">
        <v>112.12179999999999</v>
      </c>
      <c r="F19" s="14">
        <v>143.79759999999999</v>
      </c>
      <c r="G19" s="15">
        <v>-18.144210000000001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-4.3866000000000002E-2</v>
      </c>
      <c r="C20" s="14">
        <v>-0.103098</v>
      </c>
      <c r="D20" s="14">
        <v>-0.16762099999999999</v>
      </c>
      <c r="E20" s="14">
        <v>-0.27962399999999998</v>
      </c>
      <c r="F20" s="14">
        <v>-0.33396199999999998</v>
      </c>
      <c r="G20" s="15">
        <v>2.8147999999999999E-2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-0.80968399999999996</v>
      </c>
      <c r="C21" s="14">
        <v>-0.46083800000000003</v>
      </c>
      <c r="D21" s="14">
        <v>-0.25119200000000003</v>
      </c>
      <c r="E21" s="14">
        <v>-5.4005999999999998E-2</v>
      </c>
      <c r="F21" s="14">
        <v>2.2932000000000001E-2</v>
      </c>
      <c r="G21" s="15">
        <v>1.6664999999999999E-2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-0.21271999999999999</v>
      </c>
      <c r="C22" s="14">
        <v>-0.19517499999999999</v>
      </c>
      <c r="D22" s="14">
        <v>-0.123374</v>
      </c>
      <c r="E22" s="14">
        <v>5.7239999999999999E-2</v>
      </c>
      <c r="F22" s="14">
        <v>0.38414300000000001</v>
      </c>
      <c r="G22" s="15">
        <v>1.2368000000000001E-2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  <row r="26" spans="1:13" x14ac:dyDescent="0.25">
      <c r="A26" s="34" t="s">
        <v>79</v>
      </c>
      <c r="B26" s="52" t="s">
        <v>88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</row>
    <row r="27" spans="1:13" x14ac:dyDescent="0.25">
      <c r="A27" s="16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17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14">
        <f t="array" ref="B29:G47">TRANSPOSE('EXR10'!$B$3:$T$8)</f>
        <v>-1.2774000000000001E-2</v>
      </c>
      <c r="C29" s="14">
        <v>2.9656999999999999E-2</v>
      </c>
      <c r="D29" s="14">
        <v>0.110997</v>
      </c>
      <c r="E29" s="14">
        <v>0.28786800000000001</v>
      </c>
      <c r="F29" s="14">
        <v>0.49226399999999998</v>
      </c>
      <c r="G29" s="15">
        <v>-4.2139999999999997E-2</v>
      </c>
      <c r="H29" s="12">
        <v>0.48</v>
      </c>
      <c r="I29" s="36">
        <v>0.96</v>
      </c>
      <c r="J29" s="36">
        <v>1.36</v>
      </c>
      <c r="K29" s="36">
        <v>1.39</v>
      </c>
      <c r="L29" s="36">
        <v>0.99</v>
      </c>
      <c r="M29" s="32">
        <v>0.02</v>
      </c>
    </row>
    <row r="30" spans="1:13" x14ac:dyDescent="0.25">
      <c r="A30" s="31" t="s">
        <v>56</v>
      </c>
      <c r="B30" s="14">
        <v>-0.63095199999999996</v>
      </c>
      <c r="C30" s="14">
        <v>-0.87415900000000002</v>
      </c>
      <c r="D30" s="14">
        <v>-0.86523799999999995</v>
      </c>
      <c r="E30" s="14">
        <v>-0.53424499999999997</v>
      </c>
      <c r="F30" s="14">
        <v>0.32830599999999999</v>
      </c>
      <c r="G30" s="15">
        <v>-4.206E-2</v>
      </c>
      <c r="H30" s="12">
        <v>-0.03</v>
      </c>
      <c r="I30" s="36">
        <v>0.22</v>
      </c>
      <c r="J30" s="36">
        <v>0.69</v>
      </c>
      <c r="K30" s="36">
        <v>1.1599999999999999</v>
      </c>
      <c r="L30" s="36">
        <v>1.1000000000000001</v>
      </c>
      <c r="M30" s="32">
        <v>-0.03</v>
      </c>
    </row>
    <row r="31" spans="1:13" x14ac:dyDescent="0.25">
      <c r="A31" s="31" t="s">
        <v>53</v>
      </c>
      <c r="B31" s="14">
        <v>-6.5690999999999999E-2</v>
      </c>
      <c r="C31" s="14">
        <v>-7.7802999999999997E-2</v>
      </c>
      <c r="D31" s="14">
        <v>-4.1789E-2</v>
      </c>
      <c r="E31" s="14">
        <v>0.117799</v>
      </c>
      <c r="F31" s="14">
        <v>0.57927700000000004</v>
      </c>
      <c r="G31" s="15">
        <v>-5.0230999999999998E-2</v>
      </c>
      <c r="H31" s="12">
        <v>0.7</v>
      </c>
      <c r="I31" s="36">
        <v>1.61</v>
      </c>
      <c r="J31" s="36">
        <v>2.2400000000000002</v>
      </c>
      <c r="K31" s="36">
        <v>1.94</v>
      </c>
      <c r="L31" s="36">
        <v>0.93</v>
      </c>
      <c r="M31" s="32">
        <v>0</v>
      </c>
    </row>
    <row r="32" spans="1:13" x14ac:dyDescent="0.25">
      <c r="A32" s="31" t="s">
        <v>54</v>
      </c>
      <c r="B32" s="14">
        <v>0.67783000000000004</v>
      </c>
      <c r="C32" s="14">
        <v>1.058122</v>
      </c>
      <c r="D32" s="14">
        <v>1.2436990000000001</v>
      </c>
      <c r="E32" s="14">
        <v>1.275442</v>
      </c>
      <c r="F32" s="14">
        <v>0.66791</v>
      </c>
      <c r="G32" s="15">
        <v>-5.0810000000000001E-2</v>
      </c>
      <c r="H32" s="12">
        <v>1.33</v>
      </c>
      <c r="I32" s="36">
        <v>2.15</v>
      </c>
      <c r="J32" s="36">
        <v>2.37</v>
      </c>
      <c r="K32" s="36">
        <v>2.31</v>
      </c>
      <c r="L32" s="36">
        <v>1.76</v>
      </c>
      <c r="M32" s="32">
        <v>0.47</v>
      </c>
    </row>
    <row r="33" spans="1:13" x14ac:dyDescent="0.25">
      <c r="A33" s="31" t="s">
        <v>55</v>
      </c>
      <c r="B33" s="14">
        <v>-0.50768500000000005</v>
      </c>
      <c r="C33" s="14">
        <v>-0.73778299999999997</v>
      </c>
      <c r="D33" s="14">
        <v>-0.78910199999999997</v>
      </c>
      <c r="E33" s="14">
        <v>-0.62935600000000003</v>
      </c>
      <c r="F33" s="14">
        <v>1.3866E-2</v>
      </c>
      <c r="G33" s="15">
        <v>-2.1108999999999999E-2</v>
      </c>
      <c r="H33" s="12">
        <v>0.38</v>
      </c>
      <c r="I33" s="36">
        <v>0.65</v>
      </c>
      <c r="J33" s="36">
        <v>1.1399999999999999</v>
      </c>
      <c r="K33" s="36">
        <v>1.07</v>
      </c>
      <c r="L33" s="36">
        <v>0.74</v>
      </c>
      <c r="M33" s="32">
        <v>0.28999999999999998</v>
      </c>
    </row>
    <row r="34" spans="1:13" x14ac:dyDescent="0.25">
      <c r="A34" s="31" t="s">
        <v>57</v>
      </c>
      <c r="B34" s="14">
        <v>-0.92758499999999999</v>
      </c>
      <c r="C34" s="14">
        <v>-0.91054000000000002</v>
      </c>
      <c r="D34" s="14">
        <v>-0.77305599999999997</v>
      </c>
      <c r="E34" s="14">
        <v>-0.41375899999999999</v>
      </c>
      <c r="F34" s="14">
        <v>0.32920300000000002</v>
      </c>
      <c r="G34" s="15">
        <v>-4.2050999999999998E-2</v>
      </c>
      <c r="H34" s="12">
        <v>-0.12</v>
      </c>
      <c r="I34" s="36">
        <v>0.35</v>
      </c>
      <c r="J34" s="36">
        <v>0.84</v>
      </c>
      <c r="K34" s="36">
        <v>1.28</v>
      </c>
      <c r="L34" s="36">
        <v>1.06</v>
      </c>
      <c r="M34" s="32">
        <v>-0.03</v>
      </c>
    </row>
    <row r="35" spans="1:13" x14ac:dyDescent="0.25">
      <c r="A35" s="31" t="s">
        <v>58</v>
      </c>
      <c r="B35" s="14">
        <v>-0.26053900000000002</v>
      </c>
      <c r="C35" s="14">
        <v>-3.1948999999999998E-2</v>
      </c>
      <c r="D35" s="14">
        <v>8.0838999999999994E-2</v>
      </c>
      <c r="E35" s="14">
        <v>0.10528</v>
      </c>
      <c r="F35" s="14">
        <v>7.7800000000000005E-4</v>
      </c>
      <c r="G35" s="15">
        <v>8.2600000000000005E-6</v>
      </c>
      <c r="H35" s="12">
        <v>-7.0000000000000007E-2</v>
      </c>
      <c r="I35" s="36">
        <v>0.11</v>
      </c>
      <c r="J35" s="36">
        <v>0.12</v>
      </c>
      <c r="K35" s="36">
        <v>0.1</v>
      </c>
      <c r="L35" s="36">
        <v>-0.03</v>
      </c>
      <c r="M35" s="32">
        <v>0</v>
      </c>
    </row>
    <row r="36" spans="1:13" x14ac:dyDescent="0.25">
      <c r="A36" s="31" t="s">
        <v>69</v>
      </c>
      <c r="B36" s="14">
        <v>1.2276609999999999</v>
      </c>
      <c r="C36" s="14">
        <v>1.6115619999999999</v>
      </c>
      <c r="D36" s="14">
        <v>1.990389</v>
      </c>
      <c r="E36" s="14">
        <v>2.7484739999999999</v>
      </c>
      <c r="F36" s="14">
        <v>4.3732259999999998</v>
      </c>
      <c r="G36" s="15">
        <v>5.0870569999999997</v>
      </c>
      <c r="H36" s="12">
        <v>0.57999999999999996</v>
      </c>
      <c r="I36" s="36">
        <v>1.04</v>
      </c>
      <c r="J36" s="36">
        <v>1.46</v>
      </c>
      <c r="K36" s="36">
        <v>2.25</v>
      </c>
      <c r="L36" s="36">
        <v>3.26</v>
      </c>
      <c r="M36" s="32">
        <v>5.14</v>
      </c>
    </row>
    <row r="37" spans="1:13" x14ac:dyDescent="0.25">
      <c r="A37" s="31" t="s">
        <v>70</v>
      </c>
      <c r="B37" s="14">
        <v>0.54349599999999998</v>
      </c>
      <c r="C37" s="14">
        <v>1.008853</v>
      </c>
      <c r="D37" s="14">
        <v>1.455549</v>
      </c>
      <c r="E37" s="14">
        <v>2.3347380000000002</v>
      </c>
      <c r="F37" s="14">
        <v>4.2226999999999997</v>
      </c>
      <c r="G37" s="15">
        <v>5.0744689999999997</v>
      </c>
      <c r="H37" s="12">
        <v>0.41</v>
      </c>
      <c r="I37" s="36">
        <v>0.92</v>
      </c>
      <c r="J37" s="36">
        <v>1.45</v>
      </c>
      <c r="K37" s="36">
        <v>2.39</v>
      </c>
      <c r="L37" s="36">
        <v>3.42</v>
      </c>
      <c r="M37" s="32">
        <v>5.2</v>
      </c>
    </row>
    <row r="38" spans="1:13" x14ac:dyDescent="0.25">
      <c r="A38" s="31" t="s">
        <v>71</v>
      </c>
      <c r="B38" s="14">
        <v>-0.29130600000000001</v>
      </c>
      <c r="C38" s="14">
        <v>0.25533499999999998</v>
      </c>
      <c r="D38" s="14">
        <v>0.78123500000000001</v>
      </c>
      <c r="E38" s="14">
        <v>1.818632</v>
      </c>
      <c r="F38" s="14">
        <v>4.0524719999999999</v>
      </c>
      <c r="G38" s="15">
        <v>5.0669680000000001</v>
      </c>
      <c r="H38" s="12">
        <v>0.05</v>
      </c>
      <c r="I38" s="36">
        <v>0.44</v>
      </c>
      <c r="J38" s="36">
        <v>0.92</v>
      </c>
      <c r="K38" s="36">
        <v>1.81</v>
      </c>
      <c r="L38" s="36">
        <v>2.95</v>
      </c>
      <c r="M38" s="32">
        <v>5.22</v>
      </c>
    </row>
    <row r="39" spans="1:13" x14ac:dyDescent="0.25">
      <c r="A39" s="31" t="s">
        <v>75</v>
      </c>
      <c r="B39" s="14">
        <v>1.4147620000000001</v>
      </c>
      <c r="C39" s="14">
        <v>1.795892</v>
      </c>
      <c r="D39" s="14">
        <v>2.160288</v>
      </c>
      <c r="E39" s="14">
        <v>2.8744049999999999</v>
      </c>
      <c r="F39" s="14">
        <v>4.4005900000000002</v>
      </c>
      <c r="G39" s="15">
        <v>5.0822929999999999</v>
      </c>
      <c r="H39" s="12">
        <v>0.67</v>
      </c>
      <c r="I39" s="36">
        <v>1.18</v>
      </c>
      <c r="J39" s="36">
        <v>1.66</v>
      </c>
      <c r="K39" s="36">
        <v>2.54</v>
      </c>
      <c r="L39" s="36">
        <v>3.5</v>
      </c>
      <c r="M39" s="32">
        <v>5.17</v>
      </c>
    </row>
    <row r="40" spans="1:13" x14ac:dyDescent="0.25">
      <c r="A40" s="31" t="s">
        <v>67</v>
      </c>
      <c r="B40" s="14">
        <v>1.1334599999999999</v>
      </c>
      <c r="C40" s="14">
        <v>1.6737169999999999</v>
      </c>
      <c r="D40" s="14">
        <v>2.1290420000000001</v>
      </c>
      <c r="E40" s="14">
        <v>2.9083679999999998</v>
      </c>
      <c r="F40" s="14">
        <v>4.4136300000000004</v>
      </c>
      <c r="G40" s="15">
        <v>5.0887880000000001</v>
      </c>
      <c r="H40" s="12">
        <v>1.18</v>
      </c>
      <c r="I40" s="36">
        <v>1.74</v>
      </c>
      <c r="J40" s="36">
        <v>2.19</v>
      </c>
      <c r="K40" s="36">
        <v>3.01</v>
      </c>
      <c r="L40" s="36">
        <v>3.91</v>
      </c>
      <c r="M40" s="32">
        <v>5.33</v>
      </c>
    </row>
    <row r="41" spans="1:13" x14ac:dyDescent="0.25">
      <c r="A41" s="31" t="s">
        <v>68</v>
      </c>
      <c r="B41" s="14">
        <v>5</v>
      </c>
      <c r="C41" s="14">
        <v>5</v>
      </c>
      <c r="D41" s="14">
        <v>5</v>
      </c>
      <c r="E41" s="14">
        <v>5</v>
      </c>
      <c r="F41" s="14">
        <v>5</v>
      </c>
      <c r="G41" s="15">
        <v>5</v>
      </c>
      <c r="H41" s="12">
        <v>1.74</v>
      </c>
      <c r="I41" s="36">
        <v>2.34</v>
      </c>
      <c r="J41" s="36">
        <v>2.66</v>
      </c>
      <c r="K41" s="36">
        <v>3.3</v>
      </c>
      <c r="L41" s="36">
        <v>4.09</v>
      </c>
      <c r="M41" s="32">
        <v>5.35</v>
      </c>
    </row>
    <row r="42" spans="1:13" x14ac:dyDescent="0.25">
      <c r="A42" s="31" t="s">
        <v>72</v>
      </c>
      <c r="B42" s="14">
        <v>1.8960999999999999E-2</v>
      </c>
      <c r="C42" s="14">
        <v>0.391065</v>
      </c>
      <c r="D42" s="14">
        <v>0.86799899999999997</v>
      </c>
      <c r="E42" s="14">
        <v>1.868933</v>
      </c>
      <c r="F42" s="14">
        <v>4.0578479999999999</v>
      </c>
      <c r="G42" s="15">
        <v>5.0690039999999996</v>
      </c>
      <c r="H42" s="12">
        <v>0.52</v>
      </c>
      <c r="I42" s="36">
        <v>1.47</v>
      </c>
      <c r="J42" s="36">
        <v>2.3199999999999998</v>
      </c>
      <c r="K42" s="36">
        <v>3.69</v>
      </c>
      <c r="L42" s="36">
        <v>4.6399999999999997</v>
      </c>
      <c r="M42" s="32">
        <v>5.25</v>
      </c>
    </row>
    <row r="43" spans="1:13" x14ac:dyDescent="0.25">
      <c r="A43" s="31" t="s">
        <v>73</v>
      </c>
      <c r="B43" s="14">
        <v>0.31117299999999998</v>
      </c>
      <c r="C43" s="14">
        <v>0.13538500000000001</v>
      </c>
      <c r="D43" s="14">
        <v>8.6092000000000002E-2</v>
      </c>
      <c r="E43" s="14">
        <v>4.9402000000000001E-2</v>
      </c>
      <c r="F43" s="14">
        <v>5.1669999999999997E-3</v>
      </c>
      <c r="G43" s="15">
        <v>1.9369999999999999E-3</v>
      </c>
      <c r="H43" s="12">
        <v>0.47</v>
      </c>
      <c r="I43" s="36">
        <v>1.02</v>
      </c>
      <c r="J43" s="36">
        <v>1.39</v>
      </c>
      <c r="K43" s="36">
        <v>1.85</v>
      </c>
      <c r="L43" s="36">
        <v>1.65</v>
      </c>
      <c r="M43" s="32">
        <v>0.03</v>
      </c>
    </row>
    <row r="44" spans="1:13" x14ac:dyDescent="0.25">
      <c r="A44" s="31" t="s">
        <v>76</v>
      </c>
      <c r="B44" s="14">
        <v>15.787459999999999</v>
      </c>
      <c r="C44" s="14">
        <v>38.513280000000002</v>
      </c>
      <c r="D44" s="14">
        <v>64.399619999999999</v>
      </c>
      <c r="E44" s="14">
        <v>112.12179999999999</v>
      </c>
      <c r="F44" s="14">
        <v>143.79759999999999</v>
      </c>
      <c r="G44" s="15">
        <v>-18.144210000000001</v>
      </c>
      <c r="H44" s="12">
        <v>24</v>
      </c>
      <c r="I44" s="36">
        <v>90</v>
      </c>
      <c r="J44" s="36">
        <v>160</v>
      </c>
      <c r="K44" s="36">
        <v>186</v>
      </c>
      <c r="L44" s="36">
        <v>98</v>
      </c>
      <c r="M44" s="32">
        <v>2</v>
      </c>
    </row>
    <row r="45" spans="1:13" x14ac:dyDescent="0.25">
      <c r="A45" s="31" t="s">
        <v>74</v>
      </c>
      <c r="B45" s="14">
        <v>-4.3866000000000002E-2</v>
      </c>
      <c r="C45" s="14">
        <v>-0.103098</v>
      </c>
      <c r="D45" s="14">
        <v>-0.16762099999999999</v>
      </c>
      <c r="E45" s="14">
        <v>-0.27962399999999998</v>
      </c>
      <c r="F45" s="14">
        <v>-0.33396199999999998</v>
      </c>
      <c r="G45" s="15">
        <v>2.8147999999999999E-2</v>
      </c>
      <c r="H45" s="12">
        <v>-0.1</v>
      </c>
      <c r="I45" s="36">
        <v>-0.38</v>
      </c>
      <c r="J45" s="36">
        <v>-0.67</v>
      </c>
      <c r="K45" s="36">
        <v>-0.78</v>
      </c>
      <c r="L45" s="36">
        <v>-0.41</v>
      </c>
      <c r="M45" s="32">
        <v>-0.01</v>
      </c>
    </row>
    <row r="46" spans="1:13" x14ac:dyDescent="0.25">
      <c r="A46" s="31" t="s">
        <v>77</v>
      </c>
      <c r="B46" s="14">
        <v>-0.80968399999999996</v>
      </c>
      <c r="C46" s="14">
        <v>-0.46083800000000003</v>
      </c>
      <c r="D46" s="14">
        <v>-0.25119200000000003</v>
      </c>
      <c r="E46" s="14">
        <v>-5.4005999999999998E-2</v>
      </c>
      <c r="F46" s="14">
        <v>2.2932000000000001E-2</v>
      </c>
      <c r="G46" s="15">
        <v>1.6664999999999999E-2</v>
      </c>
      <c r="H46" s="12">
        <v>0.09</v>
      </c>
      <c r="I46" s="36">
        <v>0.25</v>
      </c>
      <c r="J46" s="36">
        <v>0.21</v>
      </c>
      <c r="K46" s="36">
        <v>0.28000000000000003</v>
      </c>
      <c r="L46" s="36">
        <v>0.24</v>
      </c>
      <c r="M46" s="32">
        <v>0.04</v>
      </c>
    </row>
    <row r="47" spans="1:13" x14ac:dyDescent="0.25">
      <c r="A47" s="45" t="s">
        <v>78</v>
      </c>
      <c r="B47" s="14">
        <v>-0.21271999999999999</v>
      </c>
      <c r="C47" s="14">
        <v>-0.19517499999999999</v>
      </c>
      <c r="D47" s="14">
        <v>-0.123374</v>
      </c>
      <c r="E47" s="14">
        <v>5.7239999999999999E-2</v>
      </c>
      <c r="F47" s="14">
        <v>0.38414300000000001</v>
      </c>
      <c r="G47" s="15">
        <v>1.2368000000000001E-2</v>
      </c>
      <c r="H47" s="12">
        <v>0.11</v>
      </c>
      <c r="I47" s="36">
        <v>0.28000000000000003</v>
      </c>
      <c r="J47" s="36">
        <v>0.44</v>
      </c>
      <c r="K47" s="36">
        <v>0.41</v>
      </c>
      <c r="L47" s="36">
        <v>0.16</v>
      </c>
      <c r="M47" s="32">
        <v>-0.28000000000000003</v>
      </c>
    </row>
    <row r="50" spans="1:1" x14ac:dyDescent="0.25">
      <c r="A50" s="46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-0.01 &amp; 0.03 &amp; 0.11 &amp; 0.29 &amp; 0.49 &amp; -0.04 \\</v>
      </c>
    </row>
    <row r="52" spans="1:1" x14ac:dyDescent="0.25">
      <c r="A52" t="str">
        <f t="shared" si="0"/>
        <v>\textbf{Household consumption} &amp; -0.63 &amp; -0.87 &amp; -0.87 &amp; -0.53 &amp; 0.33 &amp; -0.04 \\</v>
      </c>
    </row>
    <row r="53" spans="1:1" x14ac:dyDescent="0.25">
      <c r="A53" t="str">
        <f t="shared" si="0"/>
        <v>\textbf{Investment} &amp; -0.07 &amp; -0.08 &amp; -0.04 &amp; 0.12 &amp; 0.58 &amp; -0.05 \\</v>
      </c>
    </row>
    <row r="54" spans="1:1" x14ac:dyDescent="0.25">
      <c r="A54" t="str">
        <f t="shared" si="0"/>
        <v>\textbf{Exports} &amp; 0.68 &amp; 1.06 &amp; 1.24 &amp; 1.28 &amp; 0.67 &amp; -0.05 \\</v>
      </c>
    </row>
    <row r="55" spans="1:1" x14ac:dyDescent="0.25">
      <c r="A55" t="str">
        <f t="shared" si="0"/>
        <v>\textbf{Imports} &amp; -0.51 &amp; -0.74 &amp; -0.79 &amp; -0.63 &amp; 0.01 &amp; -0.02 \\</v>
      </c>
    </row>
    <row r="56" spans="1:1" x14ac:dyDescent="0.25">
      <c r="A56" t="str">
        <f t="shared" si="0"/>
        <v>\textbf{Household disposable income } &amp; -0.93 &amp; -0.91 &amp; -0.77 &amp; -0.41 &amp; 0.33 &amp; -0.04 \\</v>
      </c>
    </row>
    <row r="57" spans="1:1" x14ac:dyDescent="0.25">
      <c r="A57" t="str">
        <f t="shared" si="0"/>
        <v>\textbf{Saving rate} &amp; -0.26 &amp; -0.03 &amp; 0.08 &amp; 0.11 &amp; 0.00 &amp; 0.00 \\</v>
      </c>
    </row>
    <row r="58" spans="1:1" x14ac:dyDescent="0.25">
      <c r="A58" t="str">
        <f t="shared" si="0"/>
        <v>\textbf{Household consumption price index} &amp; 1.23 &amp; 1.61 &amp; 1.99 &amp; 2.75 &amp; 4.37 &amp; 5.09 \\</v>
      </c>
    </row>
    <row r="59" spans="1:1" x14ac:dyDescent="0.25">
      <c r="A59" t="str">
        <f t="shared" si="0"/>
        <v>\textbf{Production price index} &amp; 0.54 &amp; 1.01 &amp; 1.46 &amp; 2.33 &amp; 4.22 &amp; 5.07 \\</v>
      </c>
    </row>
    <row r="60" spans="1:1" x14ac:dyDescent="0.25">
      <c r="A60" t="str">
        <f t="shared" si="0"/>
        <v>\textbf{Added value price index} &amp; -0.29 &amp; 0.26 &amp; 0.78 &amp; 1.82 &amp; 4.05 &amp; 5.07 \\</v>
      </c>
    </row>
    <row r="61" spans="1:1" x14ac:dyDescent="0.25">
      <c r="A61" t="str">
        <f t="shared" si="0"/>
        <v>\textbf{Intermediate consumption price index} &amp; 1.41 &amp; 1.80 &amp; 2.16 &amp; 2.87 &amp; 4.40 &amp; 5.08 \\</v>
      </c>
    </row>
    <row r="62" spans="1:1" x14ac:dyDescent="0.25">
      <c r="A62" t="str">
        <f t="shared" si="0"/>
        <v>\textbf{Export price index} &amp; 1.13 &amp; 1.67 &amp; 2.13 &amp; 2.91 &amp; 4.41 &amp; 5.09 \\</v>
      </c>
    </row>
    <row r="63" spans="1:1" x14ac:dyDescent="0.25">
      <c r="A63" t="str">
        <f t="shared" si="0"/>
        <v>\textbf{Import price index} &amp; 5.00 &amp; 5.00 &amp; 5.00 &amp; 5.00 &amp; 5.00 &amp; 5.00 \\</v>
      </c>
    </row>
    <row r="64" spans="1:1" x14ac:dyDescent="0.25">
      <c r="A64" t="str">
        <f t="shared" si="0"/>
        <v>\textbf{Gross nominal wage} &amp; 0.02 &amp; 0.39 &amp; 0.87 &amp; 1.87 &amp; 4.06 &amp; 5.07 \\</v>
      </c>
    </row>
    <row r="65" spans="1:1" x14ac:dyDescent="0.25">
      <c r="A65" t="str">
        <f t="shared" si="0"/>
        <v>\textbf{Real cost of labor} &amp; 0.31 &amp; 0.14 &amp; 0.09 &amp; 0.05 &amp; 0.01 &amp; 0.00 \\</v>
      </c>
    </row>
    <row r="66" spans="1:1" x14ac:dyDescent="0.25">
      <c r="A66" t="str">
        <f t="shared" si="0"/>
        <v>\textbf{Wage employment (in thousands)} &amp; 15.79 &amp; 38.51 &amp; 64.40 &amp; 112.12 &amp; 143.80 &amp; -18.14 \\</v>
      </c>
    </row>
    <row r="67" spans="1:1" x14ac:dyDescent="0.25">
      <c r="A67" t="str">
        <f t="shared" si="0"/>
        <v>\textbf{Unemployment rate} &amp; -0.04 &amp; -0.10 &amp; -0.17 &amp; -0.28 &amp; -0.33 &amp; 0.03 \\</v>
      </c>
    </row>
    <row r="68" spans="1:1" x14ac:dyDescent="0.25">
      <c r="A68" t="str">
        <f t="shared" si="0"/>
        <v>\textbf{Trade balance (in points of GDP)} &amp; -0.81 &amp; -0.46 &amp; -0.25 &amp; -0.05 &amp; 0.02 &amp; 0.02 \\</v>
      </c>
    </row>
    <row r="69" spans="1:1" x14ac:dyDescent="0.25">
      <c r="A69" t="str">
        <f t="shared" si="0"/>
        <v>\textbf{Public budget balance (in points of GDP)} &amp; -0.21 &amp; -0.20 &amp; -0.12 &amp; 0.06 &amp; 0.38 &amp; 0.01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M69"/>
  <sheetViews>
    <sheetView showGridLines="0" workbookViewId="0">
      <selection activeCell="G29" sqref="G29"/>
    </sheetView>
  </sheetViews>
  <sheetFormatPr defaultColWidth="11" defaultRowHeight="15.75" x14ac:dyDescent="0.25"/>
  <cols>
    <col min="1" max="1" width="33.625" customWidth="1"/>
  </cols>
  <sheetData>
    <row r="1" spans="1:13" ht="30" customHeight="1" x14ac:dyDescent="0.25">
      <c r="A1" s="35" t="s">
        <v>30</v>
      </c>
      <c r="B1" s="59" t="s">
        <v>87</v>
      </c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</row>
    <row r="2" spans="1:13" x14ac:dyDescent="0.25">
      <c r="A2" s="16"/>
      <c r="B2" s="53" t="s">
        <v>47</v>
      </c>
      <c r="C2" s="54"/>
      <c r="D2" s="54"/>
      <c r="E2" s="54"/>
      <c r="F2" s="54"/>
      <c r="G2" s="55"/>
      <c r="H2" s="56" t="s">
        <v>46</v>
      </c>
      <c r="I2" s="57"/>
      <c r="J2" s="57"/>
      <c r="K2" s="57"/>
      <c r="L2" s="57"/>
      <c r="M2" s="58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0.80831399999999998</v>
      </c>
      <c r="C4" s="19">
        <v>1.0111889999999999</v>
      </c>
      <c r="D4" s="19">
        <v>1.133758</v>
      </c>
      <c r="E4" s="19">
        <v>1.20933</v>
      </c>
      <c r="F4" s="19">
        <v>1.010073</v>
      </c>
      <c r="G4" s="21">
        <v>2.6589000000000002E-2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0.64083699999999999</v>
      </c>
      <c r="C5" s="19">
        <v>1.085488</v>
      </c>
      <c r="D5" s="19">
        <v>1.3781429999999999</v>
      </c>
      <c r="E5" s="19">
        <v>1.647748</v>
      </c>
      <c r="F5" s="19">
        <v>1.521798</v>
      </c>
      <c r="G5" s="21">
        <v>3.3710999999999998E-2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0.39370500000000003</v>
      </c>
      <c r="C6" s="19">
        <v>0.69261600000000001</v>
      </c>
      <c r="D6" s="19">
        <v>0.896343</v>
      </c>
      <c r="E6" s="19">
        <v>1.108285</v>
      </c>
      <c r="F6" s="19">
        <v>1.1639189999999999</v>
      </c>
      <c r="G6" s="21">
        <v>-1.3984999999999999E-2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-1.4603E-2</v>
      </c>
      <c r="C7" s="19">
        <v>-4.8619000000000002E-2</v>
      </c>
      <c r="D7" s="19">
        <v>-9.9964999999999998E-2</v>
      </c>
      <c r="E7" s="19">
        <v>-0.23325100000000001</v>
      </c>
      <c r="F7" s="19">
        <v>-0.54002899999999998</v>
      </c>
      <c r="G7" s="21">
        <v>-2.5368000000000002E-2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0.51022299999999998</v>
      </c>
      <c r="C8" s="19">
        <v>0.79356099999999996</v>
      </c>
      <c r="D8" s="19">
        <v>0.982684</v>
      </c>
      <c r="E8" s="19">
        <v>1.181908</v>
      </c>
      <c r="F8" s="19">
        <v>1.208825</v>
      </c>
      <c r="G8" s="21">
        <v>3.1667000000000001E-2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0.94382500000000003</v>
      </c>
      <c r="C9" s="19">
        <v>1.2148380000000001</v>
      </c>
      <c r="D9" s="19">
        <v>1.4010670000000001</v>
      </c>
      <c r="E9" s="19">
        <v>1.579834</v>
      </c>
      <c r="F9" s="19">
        <v>1.4750589999999999</v>
      </c>
      <c r="G9" s="21">
        <v>3.3731999999999998E-2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0.261187</v>
      </c>
      <c r="C10" s="19">
        <v>0.111206</v>
      </c>
      <c r="D10" s="19">
        <v>1.9673E-2</v>
      </c>
      <c r="E10" s="19">
        <v>-5.8178000000000001E-2</v>
      </c>
      <c r="F10" s="19">
        <v>-4.0078999999999997E-2</v>
      </c>
      <c r="G10" s="21">
        <v>1.7799999999999999E-5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9.0466000000000005E-2</v>
      </c>
      <c r="C11" s="19">
        <v>0.228935</v>
      </c>
      <c r="D11" s="19">
        <v>0.38481700000000002</v>
      </c>
      <c r="E11" s="19">
        <v>0.68359599999999998</v>
      </c>
      <c r="F11" s="19">
        <v>1.139203</v>
      </c>
      <c r="G11" s="21">
        <v>4.1633000000000003E-2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0.118675</v>
      </c>
      <c r="C12" s="19">
        <v>0.28884799999999999</v>
      </c>
      <c r="D12" s="19">
        <v>0.47507500000000003</v>
      </c>
      <c r="E12" s="19">
        <v>0.82787999999999995</v>
      </c>
      <c r="F12" s="19">
        <v>1.3620220000000001</v>
      </c>
      <c r="G12" s="21">
        <v>4.9395000000000001E-2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0.15093000000000001</v>
      </c>
      <c r="C13" s="19">
        <v>0.35612899999999997</v>
      </c>
      <c r="D13" s="19">
        <v>0.57530999999999999</v>
      </c>
      <c r="E13" s="19">
        <v>0.98824100000000004</v>
      </c>
      <c r="F13" s="19">
        <v>1.6220159999999999</v>
      </c>
      <c r="G13" s="21">
        <v>5.8694999999999997E-2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8.4931000000000006E-2</v>
      </c>
      <c r="C14" s="19">
        <v>0.218531</v>
      </c>
      <c r="D14" s="19">
        <v>0.37037500000000001</v>
      </c>
      <c r="E14" s="19">
        <v>0.66049199999999997</v>
      </c>
      <c r="F14" s="19">
        <v>1.090832</v>
      </c>
      <c r="G14" s="21">
        <v>3.9694E-2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8.1170999999999993E-2</v>
      </c>
      <c r="C15" s="19">
        <v>0.213614</v>
      </c>
      <c r="D15" s="19">
        <v>0.36720999999999998</v>
      </c>
      <c r="E15" s="19">
        <v>0.66349100000000005</v>
      </c>
      <c r="F15" s="19">
        <v>1.0964830000000001</v>
      </c>
      <c r="G15" s="21">
        <v>4.0349999999999997E-2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</v>
      </c>
      <c r="C16" s="19">
        <v>0</v>
      </c>
      <c r="D16" s="19">
        <v>0</v>
      </c>
      <c r="E16" s="19">
        <v>0</v>
      </c>
      <c r="F16" s="19">
        <v>0</v>
      </c>
      <c r="G16" s="21">
        <v>0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9.9217E-2</v>
      </c>
      <c r="C17" s="19">
        <v>0.25038700000000003</v>
      </c>
      <c r="D17" s="19">
        <v>0.43404300000000001</v>
      </c>
      <c r="E17" s="19">
        <v>0.82865999999999995</v>
      </c>
      <c r="F17" s="19">
        <v>1.511684</v>
      </c>
      <c r="G17" s="21">
        <v>5.4712999999999998E-2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-5.1635E-2</v>
      </c>
      <c r="C18" s="19">
        <v>-0.105367</v>
      </c>
      <c r="D18" s="19">
        <v>-0.140459</v>
      </c>
      <c r="E18" s="19">
        <v>-0.15801899999999999</v>
      </c>
      <c r="F18" s="19">
        <v>-0.108571</v>
      </c>
      <c r="G18" s="21">
        <v>-3.98E-3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141.6377</v>
      </c>
      <c r="C19" s="19">
        <v>250.17670000000001</v>
      </c>
      <c r="D19" s="19">
        <v>323.38479999999998</v>
      </c>
      <c r="E19" s="19">
        <v>385.05290000000002</v>
      </c>
      <c r="F19" s="19">
        <v>318.7937</v>
      </c>
      <c r="G19" s="21">
        <v>13.55921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-0.39329599999999998</v>
      </c>
      <c r="C20" s="19">
        <v>-0.65998400000000002</v>
      </c>
      <c r="D20" s="19">
        <v>-0.82150999999999996</v>
      </c>
      <c r="E20" s="19">
        <v>-0.92978300000000003</v>
      </c>
      <c r="F20" s="19">
        <v>-0.72700299999999995</v>
      </c>
      <c r="G20" s="21">
        <v>-2.0917999999999999E-2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-0.12200900000000001</v>
      </c>
      <c r="C21" s="19">
        <v>-0.172844</v>
      </c>
      <c r="D21" s="19">
        <v>-0.19542599999999999</v>
      </c>
      <c r="E21" s="19">
        <v>-0.20220099999999999</v>
      </c>
      <c r="F21" s="19">
        <v>-0.17085500000000001</v>
      </c>
      <c r="G21" s="21">
        <v>-4.2729999999999999E-3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-0.55939300000000003</v>
      </c>
      <c r="C22" s="19">
        <v>-0.31056699999999998</v>
      </c>
      <c r="D22" s="19">
        <v>-0.13089200000000001</v>
      </c>
      <c r="E22" s="19">
        <v>5.9076999999999998E-2</v>
      </c>
      <c r="F22" s="19">
        <v>5.0430999999999997E-2</v>
      </c>
      <c r="G22" s="21">
        <v>-9.6010000000000002E-3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ht="30" x14ac:dyDescent="0.25">
      <c r="A26" s="35" t="s">
        <v>80</v>
      </c>
      <c r="B26" s="60" t="s">
        <v>88</v>
      </c>
      <c r="C26" s="60"/>
      <c r="D26" s="60"/>
      <c r="E26" s="60"/>
      <c r="F26" s="60"/>
      <c r="G26" s="60"/>
      <c r="H26" s="60"/>
      <c r="I26" s="60"/>
      <c r="J26" s="60"/>
      <c r="K26" s="60"/>
      <c r="L26" s="60"/>
      <c r="M26" s="60"/>
    </row>
    <row r="27" spans="1:13" x14ac:dyDescent="0.25">
      <c r="A27" s="16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0">
        <f t="array" ref="B29:G47">TRANSPOSE(EXPG1!$B$3:$T$8)</f>
        <v>0.80831399999999998</v>
      </c>
      <c r="C29" s="19">
        <v>1.0111889999999999</v>
      </c>
      <c r="D29" s="19">
        <v>1.133758</v>
      </c>
      <c r="E29" s="19">
        <v>1.20933</v>
      </c>
      <c r="F29" s="19">
        <v>1.010073</v>
      </c>
      <c r="G29" s="21">
        <v>2.6589000000000002E-2</v>
      </c>
      <c r="H29" s="13">
        <v>0.78</v>
      </c>
      <c r="I29" s="13">
        <v>1.06</v>
      </c>
      <c r="J29" s="13">
        <v>1.03</v>
      </c>
      <c r="K29" s="13">
        <v>0.86</v>
      </c>
      <c r="L29" s="13">
        <v>0.53</v>
      </c>
      <c r="M29" s="32">
        <v>0.16</v>
      </c>
    </row>
    <row r="30" spans="1:13" x14ac:dyDescent="0.25">
      <c r="A30" s="31" t="s">
        <v>56</v>
      </c>
      <c r="B30" s="20">
        <v>0.64083699999999999</v>
      </c>
      <c r="C30" s="19">
        <v>1.085488</v>
      </c>
      <c r="D30" s="19">
        <v>1.3781429999999999</v>
      </c>
      <c r="E30" s="19">
        <v>1.647748</v>
      </c>
      <c r="F30" s="19">
        <v>1.521798</v>
      </c>
      <c r="G30" s="21">
        <v>3.3710999999999998E-2</v>
      </c>
      <c r="H30" s="13">
        <v>0.69</v>
      </c>
      <c r="I30" s="13">
        <v>1.35</v>
      </c>
      <c r="J30" s="13">
        <v>1.64</v>
      </c>
      <c r="K30" s="13">
        <v>1.85</v>
      </c>
      <c r="L30" s="13">
        <v>1.63</v>
      </c>
      <c r="M30" s="32">
        <v>1.1499999999999999</v>
      </c>
    </row>
    <row r="31" spans="1:13" x14ac:dyDescent="0.25">
      <c r="A31" s="31" t="s">
        <v>53</v>
      </c>
      <c r="B31" s="20">
        <v>0.39370500000000003</v>
      </c>
      <c r="C31" s="19">
        <v>0.69261600000000001</v>
      </c>
      <c r="D31" s="19">
        <v>0.896343</v>
      </c>
      <c r="E31" s="19">
        <v>1.108285</v>
      </c>
      <c r="F31" s="19">
        <v>1.1639189999999999</v>
      </c>
      <c r="G31" s="21">
        <v>-1.3984999999999999E-2</v>
      </c>
      <c r="H31" s="13">
        <v>1.24</v>
      </c>
      <c r="I31" s="13">
        <v>1.96</v>
      </c>
      <c r="J31" s="13">
        <v>1.83</v>
      </c>
      <c r="K31" s="13">
        <v>1.29</v>
      </c>
      <c r="L31" s="13">
        <v>0.76</v>
      </c>
      <c r="M31" s="32">
        <v>0.47</v>
      </c>
    </row>
    <row r="32" spans="1:13" x14ac:dyDescent="0.25">
      <c r="A32" s="31" t="s">
        <v>54</v>
      </c>
      <c r="B32" s="20">
        <v>-1.4603E-2</v>
      </c>
      <c r="C32" s="19">
        <v>-4.8619000000000002E-2</v>
      </c>
      <c r="D32" s="19">
        <v>-9.9964999999999998E-2</v>
      </c>
      <c r="E32" s="19">
        <v>-0.23325100000000001</v>
      </c>
      <c r="F32" s="19">
        <v>-0.54002899999999998</v>
      </c>
      <c r="G32" s="21">
        <v>-2.5368000000000002E-2</v>
      </c>
      <c r="H32" s="13">
        <v>0</v>
      </c>
      <c r="I32" s="13">
        <v>-0.16</v>
      </c>
      <c r="J32" s="13">
        <v>-0.38</v>
      </c>
      <c r="K32" s="13">
        <v>-0.78</v>
      </c>
      <c r="L32" s="13">
        <v>-1.27</v>
      </c>
      <c r="M32" s="32">
        <v>-1.73</v>
      </c>
    </row>
    <row r="33" spans="1:13" x14ac:dyDescent="0.25">
      <c r="A33" s="31" t="s">
        <v>55</v>
      </c>
      <c r="B33" s="20">
        <v>0.51022299999999998</v>
      </c>
      <c r="C33" s="19">
        <v>0.79356099999999996</v>
      </c>
      <c r="D33" s="19">
        <v>0.982684</v>
      </c>
      <c r="E33" s="19">
        <v>1.181908</v>
      </c>
      <c r="F33" s="19">
        <v>1.208825</v>
      </c>
      <c r="G33" s="21">
        <v>3.1667000000000001E-2</v>
      </c>
      <c r="H33" s="13">
        <v>0.98</v>
      </c>
      <c r="I33" s="13">
        <v>1.51</v>
      </c>
      <c r="J33" s="13">
        <v>1.45</v>
      </c>
      <c r="K33" s="13">
        <v>1.33</v>
      </c>
      <c r="L33" s="13">
        <v>1.1599999999999999</v>
      </c>
      <c r="M33" s="32">
        <v>1.03</v>
      </c>
    </row>
    <row r="34" spans="1:13" x14ac:dyDescent="0.25">
      <c r="A34" s="31" t="s">
        <v>57</v>
      </c>
      <c r="B34" s="20">
        <v>0.94382500000000003</v>
      </c>
      <c r="C34" s="19">
        <v>1.2148380000000001</v>
      </c>
      <c r="D34" s="19">
        <v>1.4010670000000001</v>
      </c>
      <c r="E34" s="19">
        <v>1.579834</v>
      </c>
      <c r="F34" s="19">
        <v>1.4750589999999999</v>
      </c>
      <c r="G34" s="21">
        <v>3.3731999999999998E-2</v>
      </c>
      <c r="H34" s="13">
        <v>1.22</v>
      </c>
      <c r="I34" s="13">
        <v>1.57</v>
      </c>
      <c r="J34" s="13">
        <v>1.82</v>
      </c>
      <c r="K34" s="13">
        <v>1.98</v>
      </c>
      <c r="L34" s="13">
        <v>1.58</v>
      </c>
      <c r="M34" s="32">
        <v>1.1499999999999999</v>
      </c>
    </row>
    <row r="35" spans="1:13" x14ac:dyDescent="0.25">
      <c r="A35" s="31" t="s">
        <v>58</v>
      </c>
      <c r="B35" s="20">
        <v>0.261187</v>
      </c>
      <c r="C35" s="19">
        <v>0.111206</v>
      </c>
      <c r="D35" s="19">
        <v>1.9673E-2</v>
      </c>
      <c r="E35" s="19">
        <v>-5.8178000000000001E-2</v>
      </c>
      <c r="F35" s="19">
        <v>-4.0078999999999997E-2</v>
      </c>
      <c r="G35" s="21">
        <v>1.7799999999999999E-5</v>
      </c>
      <c r="H35" s="13">
        <v>0.46</v>
      </c>
      <c r="I35" s="13">
        <v>0.19</v>
      </c>
      <c r="J35" s="13">
        <v>0.15</v>
      </c>
      <c r="K35" s="13">
        <v>0.11</v>
      </c>
      <c r="L35" s="13">
        <v>-0.04</v>
      </c>
      <c r="M35" s="32">
        <v>0</v>
      </c>
    </row>
    <row r="36" spans="1:13" x14ac:dyDescent="0.25">
      <c r="A36" s="31" t="s">
        <v>69</v>
      </c>
      <c r="B36" s="20">
        <v>9.0466000000000005E-2</v>
      </c>
      <c r="C36" s="19">
        <v>0.228935</v>
      </c>
      <c r="D36" s="19">
        <v>0.38481700000000002</v>
      </c>
      <c r="E36" s="19">
        <v>0.68359599999999998</v>
      </c>
      <c r="F36" s="19">
        <v>1.139203</v>
      </c>
      <c r="G36" s="21">
        <v>4.1633000000000003E-2</v>
      </c>
      <c r="H36" s="13">
        <v>0.2</v>
      </c>
      <c r="I36" s="13">
        <v>0.57999999999999996</v>
      </c>
      <c r="J36" s="13">
        <v>0.94</v>
      </c>
      <c r="K36" s="13">
        <v>1.42</v>
      </c>
      <c r="L36" s="13">
        <v>1.88</v>
      </c>
      <c r="M36" s="32">
        <v>2.69</v>
      </c>
    </row>
    <row r="37" spans="1:13" x14ac:dyDescent="0.25">
      <c r="A37" s="31" t="s">
        <v>70</v>
      </c>
      <c r="B37" s="20">
        <v>0.118675</v>
      </c>
      <c r="C37" s="19">
        <v>0.28884799999999999</v>
      </c>
      <c r="D37" s="19">
        <v>0.47507500000000003</v>
      </c>
      <c r="E37" s="19">
        <v>0.82787999999999995</v>
      </c>
      <c r="F37" s="19">
        <v>1.3620220000000001</v>
      </c>
      <c r="G37" s="21">
        <v>4.9395000000000001E-2</v>
      </c>
      <c r="H37" s="13">
        <v>0.32</v>
      </c>
      <c r="I37" s="13">
        <v>0.77</v>
      </c>
      <c r="J37" s="13">
        <v>1.21</v>
      </c>
      <c r="K37" s="13">
        <v>1.76</v>
      </c>
      <c r="L37" s="13">
        <v>2.17</v>
      </c>
      <c r="M37" s="32">
        <v>2.95</v>
      </c>
    </row>
    <row r="38" spans="1:13" x14ac:dyDescent="0.25">
      <c r="A38" s="31" t="s">
        <v>71</v>
      </c>
      <c r="B38" s="20">
        <v>0.15093000000000001</v>
      </c>
      <c r="C38" s="19">
        <v>0.35612899999999997</v>
      </c>
      <c r="D38" s="19">
        <v>0.57530999999999999</v>
      </c>
      <c r="E38" s="19">
        <v>0.98824100000000004</v>
      </c>
      <c r="F38" s="19">
        <v>1.6220159999999999</v>
      </c>
      <c r="G38" s="21">
        <v>5.8694999999999997E-2</v>
      </c>
      <c r="H38" s="13">
        <v>0.15</v>
      </c>
      <c r="I38" s="13">
        <v>0.59</v>
      </c>
      <c r="J38" s="13">
        <v>0.99</v>
      </c>
      <c r="K38" s="13">
        <v>1.51</v>
      </c>
      <c r="L38" s="13">
        <v>2.0299999999999998</v>
      </c>
      <c r="M38" s="32">
        <v>3.04</v>
      </c>
    </row>
    <row r="39" spans="1:13" x14ac:dyDescent="0.25">
      <c r="A39" s="31" t="s">
        <v>75</v>
      </c>
      <c r="B39" s="20">
        <v>8.4931000000000006E-2</v>
      </c>
      <c r="C39" s="19">
        <v>0.218531</v>
      </c>
      <c r="D39" s="19">
        <v>0.37037500000000001</v>
      </c>
      <c r="E39" s="19">
        <v>0.66049199999999997</v>
      </c>
      <c r="F39" s="19">
        <v>1.090832</v>
      </c>
      <c r="G39" s="21">
        <v>3.9694E-2</v>
      </c>
      <c r="H39" s="13">
        <v>0.16</v>
      </c>
      <c r="I39" s="13">
        <v>0.55000000000000004</v>
      </c>
      <c r="J39" s="13">
        <v>0.96</v>
      </c>
      <c r="K39" s="13">
        <v>1.47</v>
      </c>
      <c r="L39" s="13">
        <v>1.88</v>
      </c>
      <c r="M39" s="32">
        <v>2.59</v>
      </c>
    </row>
    <row r="40" spans="1:13" x14ac:dyDescent="0.25">
      <c r="A40" s="31" t="s">
        <v>67</v>
      </c>
      <c r="B40" s="20">
        <v>8.1170999999999993E-2</v>
      </c>
      <c r="C40" s="19">
        <v>0.213614</v>
      </c>
      <c r="D40" s="19">
        <v>0.36720999999999998</v>
      </c>
      <c r="E40" s="19">
        <v>0.66349100000000005</v>
      </c>
      <c r="F40" s="19">
        <v>1.0964830000000001</v>
      </c>
      <c r="G40" s="21">
        <v>4.0349999999999997E-2</v>
      </c>
      <c r="H40" s="13">
        <v>0.08</v>
      </c>
      <c r="I40" s="13">
        <v>0.37</v>
      </c>
      <c r="J40" s="13">
        <v>0.7</v>
      </c>
      <c r="K40" s="13">
        <v>1.1599999999999999</v>
      </c>
      <c r="L40" s="13">
        <v>1.58</v>
      </c>
      <c r="M40" s="32">
        <v>2.09</v>
      </c>
    </row>
    <row r="41" spans="1:13" x14ac:dyDescent="0.25">
      <c r="A41" s="31" t="s">
        <v>68</v>
      </c>
      <c r="B41" s="20">
        <v>0</v>
      </c>
      <c r="C41" s="19">
        <v>0</v>
      </c>
      <c r="D41" s="19">
        <v>0</v>
      </c>
      <c r="E41" s="19">
        <v>0</v>
      </c>
      <c r="F41" s="19">
        <v>0</v>
      </c>
      <c r="G41" s="21">
        <v>0</v>
      </c>
      <c r="H41" s="13">
        <v>0.13</v>
      </c>
      <c r="I41" s="13">
        <v>0.41</v>
      </c>
      <c r="J41" s="13">
        <v>0.7</v>
      </c>
      <c r="K41" s="13">
        <v>1.1299999999999999</v>
      </c>
      <c r="L41" s="13">
        <v>1.52</v>
      </c>
      <c r="M41" s="32">
        <v>1.96</v>
      </c>
    </row>
    <row r="42" spans="1:13" x14ac:dyDescent="0.25">
      <c r="A42" s="31" t="s">
        <v>72</v>
      </c>
      <c r="B42" s="20">
        <v>9.9217E-2</v>
      </c>
      <c r="C42" s="19">
        <v>0.25038700000000003</v>
      </c>
      <c r="D42" s="19">
        <v>0.43404300000000001</v>
      </c>
      <c r="E42" s="19">
        <v>0.82865999999999995</v>
      </c>
      <c r="F42" s="19">
        <v>1.511684</v>
      </c>
      <c r="G42" s="21">
        <v>5.4712999999999998E-2</v>
      </c>
      <c r="H42" s="13">
        <v>0.52</v>
      </c>
      <c r="I42" s="13">
        <v>1.34</v>
      </c>
      <c r="J42" s="13">
        <v>2.0299999999999998</v>
      </c>
      <c r="K42" s="13">
        <v>2.85</v>
      </c>
      <c r="L42" s="13">
        <v>2.89</v>
      </c>
      <c r="M42" s="32">
        <v>3.21</v>
      </c>
    </row>
    <row r="43" spans="1:13" x14ac:dyDescent="0.25">
      <c r="A43" s="31" t="s">
        <v>73</v>
      </c>
      <c r="B43" s="20">
        <v>-5.1635E-2</v>
      </c>
      <c r="C43" s="19">
        <v>-0.105367</v>
      </c>
      <c r="D43" s="19">
        <v>-0.140459</v>
      </c>
      <c r="E43" s="19">
        <v>-0.15801899999999999</v>
      </c>
      <c r="F43" s="19">
        <v>-0.108571</v>
      </c>
      <c r="G43" s="21">
        <v>-3.98E-3</v>
      </c>
      <c r="H43" s="13">
        <v>0.37</v>
      </c>
      <c r="I43" s="13">
        <v>0.75</v>
      </c>
      <c r="J43" s="13">
        <v>1.03</v>
      </c>
      <c r="K43" s="13">
        <v>1.33</v>
      </c>
      <c r="L43" s="13">
        <v>0.84</v>
      </c>
      <c r="M43" s="32">
        <v>0.16</v>
      </c>
    </row>
    <row r="44" spans="1:13" x14ac:dyDescent="0.25">
      <c r="A44" s="31" t="s">
        <v>76</v>
      </c>
      <c r="B44" s="20">
        <v>141.6377</v>
      </c>
      <c r="C44" s="19">
        <v>250.17670000000001</v>
      </c>
      <c r="D44" s="19">
        <v>323.38479999999998</v>
      </c>
      <c r="E44" s="19">
        <v>385.05290000000002</v>
      </c>
      <c r="F44" s="19">
        <v>318.7937</v>
      </c>
      <c r="G44" s="21">
        <v>13.55921</v>
      </c>
      <c r="H44" s="13">
        <v>33</v>
      </c>
      <c r="I44" s="13">
        <v>94</v>
      </c>
      <c r="J44" s="13">
        <v>107</v>
      </c>
      <c r="K44" s="13">
        <v>44</v>
      </c>
      <c r="L44" s="13">
        <v>-8</v>
      </c>
      <c r="M44" s="32">
        <v>-42</v>
      </c>
    </row>
    <row r="45" spans="1:13" x14ac:dyDescent="0.25">
      <c r="A45" s="31" t="s">
        <v>74</v>
      </c>
      <c r="B45" s="20">
        <v>-0.39329599999999998</v>
      </c>
      <c r="C45" s="19">
        <v>-0.65998400000000002</v>
      </c>
      <c r="D45" s="19">
        <v>-0.82150999999999996</v>
      </c>
      <c r="E45" s="19">
        <v>-0.92978300000000003</v>
      </c>
      <c r="F45" s="19">
        <v>-0.72700299999999995</v>
      </c>
      <c r="G45" s="21">
        <v>-2.0917999999999999E-2</v>
      </c>
      <c r="H45" s="13">
        <v>-0.36</v>
      </c>
      <c r="I45" s="13">
        <v>-0.61</v>
      </c>
      <c r="J45" s="13">
        <v>-0.67</v>
      </c>
      <c r="K45" s="13">
        <v>-0.41</v>
      </c>
      <c r="L45" s="13">
        <v>-0.19</v>
      </c>
      <c r="M45" s="32">
        <v>-0.05</v>
      </c>
    </row>
    <row r="46" spans="1:13" x14ac:dyDescent="0.25">
      <c r="A46" s="31" t="s">
        <v>77</v>
      </c>
      <c r="B46" s="20">
        <v>-0.12200900000000001</v>
      </c>
      <c r="C46" s="19">
        <v>-0.172844</v>
      </c>
      <c r="D46" s="19">
        <v>-0.19542599999999999</v>
      </c>
      <c r="E46" s="19">
        <v>-0.20220099999999999</v>
      </c>
      <c r="F46" s="19">
        <v>-0.17085500000000001</v>
      </c>
      <c r="G46" s="21">
        <v>-4.2729999999999999E-3</v>
      </c>
      <c r="H46" s="13">
        <v>-0.3</v>
      </c>
      <c r="I46" s="13">
        <v>-0.5</v>
      </c>
      <c r="J46" s="13">
        <v>-0.54</v>
      </c>
      <c r="K46" s="13">
        <v>-0.62</v>
      </c>
      <c r="L46" s="13">
        <v>-0.71</v>
      </c>
      <c r="M46" s="32">
        <v>-0.79</v>
      </c>
    </row>
    <row r="47" spans="1:13" x14ac:dyDescent="0.25">
      <c r="A47" s="45" t="s">
        <v>78</v>
      </c>
      <c r="B47" s="20">
        <v>-0.55939300000000003</v>
      </c>
      <c r="C47" s="19">
        <v>-0.31056699999999998</v>
      </c>
      <c r="D47" s="19">
        <v>-0.13089200000000001</v>
      </c>
      <c r="E47" s="19">
        <v>5.9076999999999998E-2</v>
      </c>
      <c r="F47" s="19">
        <v>5.0430999999999997E-2</v>
      </c>
      <c r="G47" s="21">
        <v>-9.6010000000000002E-3</v>
      </c>
      <c r="H47" s="13">
        <v>-0.53</v>
      </c>
      <c r="I47" s="13">
        <v>-0.32</v>
      </c>
      <c r="J47" s="13">
        <v>-0.35</v>
      </c>
      <c r="K47" s="13">
        <v>-0.54</v>
      </c>
      <c r="L47" s="13">
        <v>-0.68</v>
      </c>
      <c r="M47" s="32">
        <v>-0.85</v>
      </c>
    </row>
    <row r="50" spans="1:1" x14ac:dyDescent="0.25">
      <c r="A50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0.81 &amp; 1.01 &amp; 1.13 &amp; 1.21 &amp; 1.01 &amp; 0.03 \\</v>
      </c>
    </row>
    <row r="52" spans="1:1" x14ac:dyDescent="0.25">
      <c r="A52" t="str">
        <f t="shared" si="0"/>
        <v>\textbf{Household consumption} &amp; 0.64 &amp; 1.09 &amp; 1.38 &amp; 1.65 &amp; 1.52 &amp; 0.03 \\</v>
      </c>
    </row>
    <row r="53" spans="1:1" x14ac:dyDescent="0.25">
      <c r="A53" t="str">
        <f t="shared" si="0"/>
        <v>\textbf{Investment} &amp; 0.39 &amp; 0.69 &amp; 0.90 &amp; 1.11 &amp; 1.16 &amp; -0.01 \\</v>
      </c>
    </row>
    <row r="54" spans="1:1" x14ac:dyDescent="0.25">
      <c r="A54" t="str">
        <f t="shared" si="0"/>
        <v>\textbf{Exports} &amp; -0.01 &amp; -0.05 &amp; -0.10 &amp; -0.23 &amp; -0.54 &amp; -0.03 \\</v>
      </c>
    </row>
    <row r="55" spans="1:1" x14ac:dyDescent="0.25">
      <c r="A55" t="str">
        <f t="shared" si="0"/>
        <v>\textbf{Imports} &amp; 0.51 &amp; 0.79 &amp; 0.98 &amp; 1.18 &amp; 1.21 &amp; 0.03 \\</v>
      </c>
    </row>
    <row r="56" spans="1:1" x14ac:dyDescent="0.25">
      <c r="A56" t="str">
        <f t="shared" si="0"/>
        <v>\textbf{Household disposable income } &amp; 0.94 &amp; 1.21 &amp; 1.40 &amp; 1.58 &amp; 1.48 &amp; 0.03 \\</v>
      </c>
    </row>
    <row r="57" spans="1:1" x14ac:dyDescent="0.25">
      <c r="A57" t="str">
        <f t="shared" si="0"/>
        <v>\textbf{Saving rate} &amp; 0.26 &amp; 0.11 &amp; 0.02 &amp; -0.06 &amp; -0.04 &amp; 0.00 \\</v>
      </c>
    </row>
    <row r="58" spans="1:1" x14ac:dyDescent="0.25">
      <c r="A58" t="str">
        <f t="shared" si="0"/>
        <v>\textbf{Household consumption price index} &amp; 0.09 &amp; 0.23 &amp; 0.38 &amp; 0.68 &amp; 1.14 &amp; 0.04 \\</v>
      </c>
    </row>
    <row r="59" spans="1:1" x14ac:dyDescent="0.25">
      <c r="A59" t="str">
        <f t="shared" si="0"/>
        <v>\textbf{Production price index} &amp; 0.12 &amp; 0.29 &amp; 0.48 &amp; 0.83 &amp; 1.36 &amp; 0.05 \\</v>
      </c>
    </row>
    <row r="60" spans="1:1" x14ac:dyDescent="0.25">
      <c r="A60" t="str">
        <f t="shared" si="0"/>
        <v>\textbf{Added value price index} &amp; 0.15 &amp; 0.36 &amp; 0.58 &amp; 0.99 &amp; 1.62 &amp; 0.06 \\</v>
      </c>
    </row>
    <row r="61" spans="1:1" x14ac:dyDescent="0.25">
      <c r="A61" t="str">
        <f t="shared" si="0"/>
        <v>\textbf{Intermediate consumption price index} &amp; 0.08 &amp; 0.22 &amp; 0.37 &amp; 0.66 &amp; 1.09 &amp; 0.04 \\</v>
      </c>
    </row>
    <row r="62" spans="1:1" x14ac:dyDescent="0.25">
      <c r="A62" t="str">
        <f t="shared" si="0"/>
        <v>\textbf{Export price index} &amp; 0.08 &amp; 0.21 &amp; 0.37 &amp; 0.66 &amp; 1.10 &amp; 0.04 \\</v>
      </c>
    </row>
    <row r="63" spans="1:1" x14ac:dyDescent="0.25">
      <c r="A63" t="str">
        <f t="shared" si="0"/>
        <v>\textbf{Import price index} &amp; 0.00 &amp; 0.00 &amp; 0.00 &amp; 0.00 &amp; 0.00 &amp; 0.00 \\</v>
      </c>
    </row>
    <row r="64" spans="1:1" x14ac:dyDescent="0.25">
      <c r="A64" t="str">
        <f t="shared" si="0"/>
        <v>\textbf{Gross nominal wage} &amp; 0.10 &amp; 0.25 &amp; 0.43 &amp; 0.83 &amp; 1.51 &amp; 0.05 \\</v>
      </c>
    </row>
    <row r="65" spans="1:1" x14ac:dyDescent="0.25">
      <c r="A65" t="str">
        <f t="shared" si="0"/>
        <v>\textbf{Real cost of labor} &amp; -0.05 &amp; -0.11 &amp; -0.14 &amp; -0.16 &amp; -0.11 &amp; 0.00 \\</v>
      </c>
    </row>
    <row r="66" spans="1:1" x14ac:dyDescent="0.25">
      <c r="A66" t="str">
        <f t="shared" si="0"/>
        <v>\textbf{Wage employment (in thousands)} &amp; 141.64 &amp; 250.18 &amp; 323.38 &amp; 385.05 &amp; 318.79 &amp; 13.56 \\</v>
      </c>
    </row>
    <row r="67" spans="1:1" x14ac:dyDescent="0.25">
      <c r="A67" t="str">
        <f t="shared" si="0"/>
        <v>\textbf{Unemployment rate} &amp; -0.39 &amp; -0.66 &amp; -0.82 &amp; -0.93 &amp; -0.73 &amp; -0.02 \\</v>
      </c>
    </row>
    <row r="68" spans="1:1" x14ac:dyDescent="0.25">
      <c r="A68" t="str">
        <f t="shared" si="0"/>
        <v>\textbf{Trade balance (in points of GDP)} &amp; -0.12 &amp; -0.17 &amp; -0.20 &amp; -0.20 &amp; -0.17 &amp; 0.00 \\</v>
      </c>
    </row>
    <row r="69" spans="1:1" x14ac:dyDescent="0.25">
      <c r="A69" t="str">
        <f t="shared" si="0"/>
        <v>\textbf{Public budget balance (in points of GDP)} &amp; -0.56 &amp; -0.31 &amp; -0.13 &amp; 0.06 &amp; 0.05 &amp; -0.01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M69"/>
  <sheetViews>
    <sheetView showGridLines="0" topLeftCell="A3" workbookViewId="0">
      <selection activeCell="G29" sqref="G29"/>
    </sheetView>
  </sheetViews>
  <sheetFormatPr defaultColWidth="11" defaultRowHeight="15.75" x14ac:dyDescent="0.25"/>
  <cols>
    <col min="1" max="1" width="33.625" customWidth="1"/>
  </cols>
  <sheetData>
    <row r="1" spans="1:13" ht="30" customHeight="1" x14ac:dyDescent="0.25">
      <c r="A1" s="33" t="s">
        <v>31</v>
      </c>
      <c r="B1" s="52" t="s">
        <v>87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</row>
    <row r="2" spans="1:13" ht="20.25" customHeight="1" x14ac:dyDescent="0.25">
      <c r="A2" s="28"/>
      <c r="B2" s="61" t="s">
        <v>47</v>
      </c>
      <c r="C2" s="61"/>
      <c r="D2" s="61"/>
      <c r="E2" s="61"/>
      <c r="F2" s="61"/>
      <c r="G2" s="62"/>
      <c r="H2" s="63" t="s">
        <v>46</v>
      </c>
      <c r="I2" s="64"/>
      <c r="J2" s="64"/>
      <c r="K2" s="64"/>
      <c r="L2" s="64"/>
      <c r="M2" s="65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0.20841899999999999</v>
      </c>
      <c r="C4" s="29">
        <v>0.42649900000000002</v>
      </c>
      <c r="D4" s="29">
        <v>0.58979899999999996</v>
      </c>
      <c r="E4" s="29">
        <v>0.74530600000000002</v>
      </c>
      <c r="F4" s="29">
        <v>0.72429699999999997</v>
      </c>
      <c r="G4" s="30">
        <v>0.80567500000000003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0.368981</v>
      </c>
      <c r="C5" s="29">
        <v>0.73316099999999995</v>
      </c>
      <c r="D5" s="29">
        <v>0.97867999999999999</v>
      </c>
      <c r="E5" s="29">
        <v>1.1373949999999999</v>
      </c>
      <c r="F5" s="29">
        <v>0.85105600000000003</v>
      </c>
      <c r="G5" s="30">
        <v>0.893571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6.2547000000000005E-2</v>
      </c>
      <c r="C6" s="29">
        <v>0.18491199999999999</v>
      </c>
      <c r="D6" s="29">
        <v>0.30726799999999999</v>
      </c>
      <c r="E6" s="29">
        <v>0.44395200000000001</v>
      </c>
      <c r="F6" s="29">
        <v>0.31306400000000001</v>
      </c>
      <c r="G6" s="30">
        <v>1.5765000000000001E-2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6.8756999999999999E-2</v>
      </c>
      <c r="C7" s="29">
        <v>0.167652</v>
      </c>
      <c r="D7" s="29">
        <v>0.273198</v>
      </c>
      <c r="E7" s="29">
        <v>0.46568599999999999</v>
      </c>
      <c r="F7" s="29">
        <v>0.80759400000000003</v>
      </c>
      <c r="G7" s="30">
        <v>1.091469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8.9341000000000004E-2</v>
      </c>
      <c r="C8" s="29">
        <v>0.20972499999999999</v>
      </c>
      <c r="D8" s="29">
        <v>0.30257899999999999</v>
      </c>
      <c r="E8" s="29">
        <v>0.356595</v>
      </c>
      <c r="F8" s="29">
        <v>0.13742699999999999</v>
      </c>
      <c r="G8" s="30">
        <v>2.0560000000000001E-3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0.54306600000000005</v>
      </c>
      <c r="C9" s="29">
        <v>0.85867599999999999</v>
      </c>
      <c r="D9" s="29">
        <v>1.014715</v>
      </c>
      <c r="E9" s="29">
        <v>1.0723720000000001</v>
      </c>
      <c r="F9" s="29">
        <v>0.82079999999999997</v>
      </c>
      <c r="G9" s="30">
        <v>0.89356100000000005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0.15066599999999999</v>
      </c>
      <c r="C10" s="29">
        <v>0.10829</v>
      </c>
      <c r="D10" s="29">
        <v>3.1042E-2</v>
      </c>
      <c r="E10" s="29">
        <v>-5.5981000000000003E-2</v>
      </c>
      <c r="F10" s="29">
        <v>-2.6113999999999998E-2</v>
      </c>
      <c r="G10" s="30">
        <v>-8.6600000000000001E-6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-0.41331099999999998</v>
      </c>
      <c r="C11" s="29">
        <v>-0.70506500000000005</v>
      </c>
      <c r="D11" s="29">
        <v>-0.91231200000000001</v>
      </c>
      <c r="E11" s="29">
        <v>-1.194394</v>
      </c>
      <c r="F11" s="29">
        <v>-1.6544540000000001</v>
      </c>
      <c r="G11" s="30">
        <v>-1.904139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-0.49722899999999998</v>
      </c>
      <c r="C12" s="29">
        <v>-0.84181099999999998</v>
      </c>
      <c r="D12" s="29">
        <v>-1.080776</v>
      </c>
      <c r="E12" s="29">
        <v>-1.3961589999999999</v>
      </c>
      <c r="F12" s="29">
        <v>-1.9176029999999999</v>
      </c>
      <c r="G12" s="30">
        <v>-2.217905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-0.59962199999999999</v>
      </c>
      <c r="C13" s="29">
        <v>-1.01017</v>
      </c>
      <c r="D13" s="29">
        <v>-1.291949</v>
      </c>
      <c r="E13" s="29">
        <v>-1.6596200000000001</v>
      </c>
      <c r="F13" s="29">
        <v>-2.2686730000000002</v>
      </c>
      <c r="G13" s="30">
        <v>-2.6249859999999998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-0.39029700000000001</v>
      </c>
      <c r="C14" s="29">
        <v>-0.66588999999999998</v>
      </c>
      <c r="D14" s="29">
        <v>-0.86010699999999995</v>
      </c>
      <c r="E14" s="29">
        <v>-1.120935</v>
      </c>
      <c r="F14" s="29">
        <v>-1.550891</v>
      </c>
      <c r="G14" s="30">
        <v>-1.7922199999999999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-0.38108599999999998</v>
      </c>
      <c r="C15" s="29">
        <v>-0.66103999999999996</v>
      </c>
      <c r="D15" s="29">
        <v>-0.86039600000000005</v>
      </c>
      <c r="E15" s="29">
        <v>-1.1231660000000001</v>
      </c>
      <c r="F15" s="29">
        <v>-1.5460160000000001</v>
      </c>
      <c r="G15" s="30">
        <v>-1.7924290000000001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2.2040000000000001E-2</v>
      </c>
      <c r="C17" s="29">
        <v>-4.6891000000000002E-2</v>
      </c>
      <c r="D17" s="29">
        <v>-0.17836099999999999</v>
      </c>
      <c r="E17" s="29">
        <v>-0.49032500000000001</v>
      </c>
      <c r="F17" s="29">
        <v>-1.134938</v>
      </c>
      <c r="G17" s="30">
        <v>-1.5240579999999999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-0.91386299999999998</v>
      </c>
      <c r="C18" s="29">
        <v>-0.57148399999999999</v>
      </c>
      <c r="D18" s="29">
        <v>-0.41880200000000001</v>
      </c>
      <c r="E18" s="29">
        <v>-0.35886800000000002</v>
      </c>
      <c r="F18" s="29">
        <v>-0.38740000000000002</v>
      </c>
      <c r="G18" s="30">
        <v>-0.41639700000000002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36.202849999999998</v>
      </c>
      <c r="C19" s="29">
        <v>90.418710000000004</v>
      </c>
      <c r="D19" s="29">
        <v>146.15029999999999</v>
      </c>
      <c r="E19" s="29">
        <v>227.9494</v>
      </c>
      <c r="F19" s="29">
        <v>268.84350000000001</v>
      </c>
      <c r="G19" s="30">
        <v>416.3879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-0.10058</v>
      </c>
      <c r="C20" s="29">
        <v>-0.24217</v>
      </c>
      <c r="D20" s="29">
        <v>-0.37949100000000002</v>
      </c>
      <c r="E20" s="29">
        <v>-0.56369499999999995</v>
      </c>
      <c r="F20" s="29">
        <v>-0.62491699999999994</v>
      </c>
      <c r="G20" s="30">
        <v>-0.64462900000000001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-0.12082900000000001</v>
      </c>
      <c r="C21" s="29">
        <v>-0.211643</v>
      </c>
      <c r="D21" s="29">
        <v>-0.26844299999999999</v>
      </c>
      <c r="E21" s="29">
        <v>-0.30859399999999998</v>
      </c>
      <c r="F21" s="29">
        <v>-0.27635599999999999</v>
      </c>
      <c r="G21" s="30">
        <v>-0.229938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-0.659941</v>
      </c>
      <c r="C22" s="29">
        <v>-0.44245699999999999</v>
      </c>
      <c r="D22" s="29">
        <v>-0.31722099999999998</v>
      </c>
      <c r="E22" s="29">
        <v>-0.23629600000000001</v>
      </c>
      <c r="F22" s="29">
        <v>-0.35784199999999999</v>
      </c>
      <c r="G22" s="30">
        <v>-0.281829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  <row r="26" spans="1:13" ht="30" x14ac:dyDescent="0.25">
      <c r="A26" s="33" t="s">
        <v>81</v>
      </c>
      <c r="B26" s="52" t="s">
        <v>88</v>
      </c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</row>
    <row r="27" spans="1:13" x14ac:dyDescent="0.25">
      <c r="A27" s="2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TRANSPOSE(RSSC1!$B$3:$T$8)</f>
        <v>0.20841899999999999</v>
      </c>
      <c r="C29" s="29">
        <v>0.42649900000000002</v>
      </c>
      <c r="D29" s="29">
        <v>0.58979899999999996</v>
      </c>
      <c r="E29" s="29">
        <v>0.74530600000000002</v>
      </c>
      <c r="F29" s="29">
        <v>0.72429699999999997</v>
      </c>
      <c r="G29" s="30">
        <v>0.80567500000000003</v>
      </c>
      <c r="H29" s="12">
        <v>0.2</v>
      </c>
      <c r="I29" s="36">
        <v>0.55000000000000004</v>
      </c>
      <c r="J29" s="36">
        <v>0.76</v>
      </c>
      <c r="K29" s="36">
        <v>0.97</v>
      </c>
      <c r="L29" s="36">
        <v>1.29</v>
      </c>
      <c r="M29" s="32">
        <v>1.73</v>
      </c>
    </row>
    <row r="30" spans="1:13" x14ac:dyDescent="0.25">
      <c r="A30" s="31" t="s">
        <v>56</v>
      </c>
      <c r="B30" s="29">
        <v>0.368981</v>
      </c>
      <c r="C30" s="29">
        <v>0.73316099999999995</v>
      </c>
      <c r="D30" s="29">
        <v>0.97867999999999999</v>
      </c>
      <c r="E30" s="29">
        <v>1.1373949999999999</v>
      </c>
      <c r="F30" s="29">
        <v>0.85105600000000003</v>
      </c>
      <c r="G30" s="30">
        <v>0.893571</v>
      </c>
      <c r="H30" s="12">
        <v>0.3</v>
      </c>
      <c r="I30" s="36">
        <v>0.73</v>
      </c>
      <c r="J30" s="36">
        <v>0.92</v>
      </c>
      <c r="K30" s="36">
        <v>1.21</v>
      </c>
      <c r="L30" s="36">
        <v>1.82</v>
      </c>
      <c r="M30" s="32">
        <v>2.33</v>
      </c>
    </row>
    <row r="31" spans="1:13" x14ac:dyDescent="0.25">
      <c r="A31" s="31" t="s">
        <v>53</v>
      </c>
      <c r="B31" s="29">
        <v>6.2547000000000005E-2</v>
      </c>
      <c r="C31" s="29">
        <v>0.18491199999999999</v>
      </c>
      <c r="D31" s="29">
        <v>0.30726799999999999</v>
      </c>
      <c r="E31" s="29">
        <v>0.44395200000000001</v>
      </c>
      <c r="F31" s="29">
        <v>0.31306400000000001</v>
      </c>
      <c r="G31" s="30">
        <v>1.5765000000000001E-2</v>
      </c>
      <c r="H31" s="12">
        <v>0.28000000000000003</v>
      </c>
      <c r="I31" s="36">
        <v>0.98</v>
      </c>
      <c r="J31" s="36">
        <v>1.38</v>
      </c>
      <c r="K31" s="36">
        <v>1.5</v>
      </c>
      <c r="L31" s="36">
        <v>1.63</v>
      </c>
      <c r="M31" s="32">
        <v>1.91</v>
      </c>
    </row>
    <row r="32" spans="1:13" x14ac:dyDescent="0.25">
      <c r="A32" s="31" t="s">
        <v>54</v>
      </c>
      <c r="B32" s="29">
        <v>6.8756999999999999E-2</v>
      </c>
      <c r="C32" s="29">
        <v>0.167652</v>
      </c>
      <c r="D32" s="29">
        <v>0.273198</v>
      </c>
      <c r="E32" s="29">
        <v>0.46568599999999999</v>
      </c>
      <c r="F32" s="29">
        <v>0.80759400000000003</v>
      </c>
      <c r="G32" s="30">
        <v>1.091469</v>
      </c>
      <c r="H32" s="12">
        <v>0.18</v>
      </c>
      <c r="I32" s="36">
        <v>0.47</v>
      </c>
      <c r="J32" s="36">
        <v>0.67</v>
      </c>
      <c r="K32" s="36">
        <v>0.96</v>
      </c>
      <c r="L32" s="36">
        <v>1.25</v>
      </c>
      <c r="M32" s="32">
        <v>1.86</v>
      </c>
    </row>
    <row r="33" spans="1:13" x14ac:dyDescent="0.25">
      <c r="A33" s="31" t="s">
        <v>55</v>
      </c>
      <c r="B33" s="29">
        <v>8.9341000000000004E-2</v>
      </c>
      <c r="C33" s="29">
        <v>0.20972499999999999</v>
      </c>
      <c r="D33" s="29">
        <v>0.30257899999999999</v>
      </c>
      <c r="E33" s="29">
        <v>0.356595</v>
      </c>
      <c r="F33" s="29">
        <v>0.13742699999999999</v>
      </c>
      <c r="G33" s="30">
        <v>2.0560000000000001E-3</v>
      </c>
      <c r="H33" s="12">
        <v>0.32</v>
      </c>
      <c r="I33" s="36">
        <v>0.72</v>
      </c>
      <c r="J33" s="36">
        <v>0.86</v>
      </c>
      <c r="K33" s="36">
        <v>0.94</v>
      </c>
      <c r="L33" s="36">
        <v>1.1000000000000001</v>
      </c>
      <c r="M33" s="32">
        <v>1.25</v>
      </c>
    </row>
    <row r="34" spans="1:13" x14ac:dyDescent="0.25">
      <c r="A34" s="31" t="s">
        <v>57</v>
      </c>
      <c r="B34" s="29">
        <v>0.54306600000000005</v>
      </c>
      <c r="C34" s="29">
        <v>0.85867599999999999</v>
      </c>
      <c r="D34" s="29">
        <v>1.014715</v>
      </c>
      <c r="E34" s="29">
        <v>1.0723720000000001</v>
      </c>
      <c r="F34" s="29">
        <v>0.82079999999999997</v>
      </c>
      <c r="G34" s="30">
        <v>0.89356100000000005</v>
      </c>
      <c r="H34" s="12">
        <v>0.4</v>
      </c>
      <c r="I34" s="36">
        <v>0.65</v>
      </c>
      <c r="J34" s="36">
        <v>0.85</v>
      </c>
      <c r="K34" s="36">
        <v>1.32</v>
      </c>
      <c r="L34" s="36">
        <v>1.87</v>
      </c>
      <c r="M34" s="32">
        <v>2.33</v>
      </c>
    </row>
    <row r="35" spans="1:13" x14ac:dyDescent="0.25">
      <c r="A35" s="31" t="s">
        <v>58</v>
      </c>
      <c r="B35" s="29">
        <v>0.15066599999999999</v>
      </c>
      <c r="C35" s="29">
        <v>0.10829</v>
      </c>
      <c r="D35" s="29">
        <v>3.1042E-2</v>
      </c>
      <c r="E35" s="29">
        <v>-5.5981000000000003E-2</v>
      </c>
      <c r="F35" s="29">
        <v>-2.6113999999999998E-2</v>
      </c>
      <c r="G35" s="30">
        <v>-8.6600000000000001E-6</v>
      </c>
      <c r="H35" s="12">
        <v>0.08</v>
      </c>
      <c r="I35" s="36">
        <v>-7.0000000000000007E-2</v>
      </c>
      <c r="J35" s="36">
        <v>-7.0000000000000007E-2</v>
      </c>
      <c r="K35" s="36">
        <v>0.09</v>
      </c>
      <c r="L35" s="36">
        <v>0.04</v>
      </c>
      <c r="M35" s="32">
        <v>0</v>
      </c>
    </row>
    <row r="36" spans="1:13" x14ac:dyDescent="0.25">
      <c r="A36" s="31" t="s">
        <v>69</v>
      </c>
      <c r="B36" s="29">
        <v>-0.41331099999999998</v>
      </c>
      <c r="C36" s="29">
        <v>-0.70506500000000005</v>
      </c>
      <c r="D36" s="29">
        <v>-0.91231200000000001</v>
      </c>
      <c r="E36" s="29">
        <v>-1.194394</v>
      </c>
      <c r="F36" s="29">
        <v>-1.6544540000000001</v>
      </c>
      <c r="G36" s="30">
        <v>-1.904139</v>
      </c>
      <c r="H36" s="12">
        <v>-0.36</v>
      </c>
      <c r="I36" s="36">
        <v>-0.7</v>
      </c>
      <c r="J36" s="36">
        <v>-0.87</v>
      </c>
      <c r="K36" s="36">
        <v>-1.0900000000000001</v>
      </c>
      <c r="L36" s="36">
        <v>-1.32</v>
      </c>
      <c r="M36" s="32">
        <v>-2.27</v>
      </c>
    </row>
    <row r="37" spans="1:13" x14ac:dyDescent="0.25">
      <c r="A37" s="31" t="s">
        <v>70</v>
      </c>
      <c r="B37" s="29">
        <v>-0.49722899999999998</v>
      </c>
      <c r="C37" s="29">
        <v>-0.84181099999999998</v>
      </c>
      <c r="D37" s="29">
        <v>-1.080776</v>
      </c>
      <c r="E37" s="29">
        <v>-1.3961589999999999</v>
      </c>
      <c r="F37" s="29">
        <v>-1.9176029999999999</v>
      </c>
      <c r="G37" s="30">
        <v>-2.217905</v>
      </c>
      <c r="H37" s="12">
        <v>-0.46</v>
      </c>
      <c r="I37" s="36">
        <v>-0.87</v>
      </c>
      <c r="J37" s="36">
        <v>-1.02</v>
      </c>
      <c r="K37" s="36">
        <v>-1.17</v>
      </c>
      <c r="L37" s="36">
        <v>-1.32</v>
      </c>
      <c r="M37" s="32">
        <v>-2.2400000000000002</v>
      </c>
    </row>
    <row r="38" spans="1:13" x14ac:dyDescent="0.25">
      <c r="A38" s="31" t="s">
        <v>71</v>
      </c>
      <c r="B38" s="29">
        <v>-0.59962199999999999</v>
      </c>
      <c r="C38" s="29">
        <v>-1.01017</v>
      </c>
      <c r="D38" s="29">
        <v>-1.291949</v>
      </c>
      <c r="E38" s="29">
        <v>-1.6596200000000001</v>
      </c>
      <c r="F38" s="29">
        <v>-2.2686730000000002</v>
      </c>
      <c r="G38" s="30">
        <v>-2.6249859999999998</v>
      </c>
      <c r="H38" s="12">
        <v>-0.49</v>
      </c>
      <c r="I38" s="36">
        <v>-0.89</v>
      </c>
      <c r="J38" s="36">
        <v>-1.06</v>
      </c>
      <c r="K38" s="36">
        <v>-1.32</v>
      </c>
      <c r="L38" s="36">
        <v>-1.62</v>
      </c>
      <c r="M38" s="32">
        <v>-2.77</v>
      </c>
    </row>
    <row r="39" spans="1:13" x14ac:dyDescent="0.25">
      <c r="A39" s="31" t="s">
        <v>75</v>
      </c>
      <c r="B39" s="29">
        <v>-0.39029700000000001</v>
      </c>
      <c r="C39" s="29">
        <v>-0.66588999999999998</v>
      </c>
      <c r="D39" s="29">
        <v>-0.86010699999999995</v>
      </c>
      <c r="E39" s="29">
        <v>-1.120935</v>
      </c>
      <c r="F39" s="29">
        <v>-1.550891</v>
      </c>
      <c r="G39" s="30">
        <v>-1.7922199999999999</v>
      </c>
      <c r="H39" s="12">
        <v>-0.51</v>
      </c>
      <c r="I39" s="36">
        <v>-0.95</v>
      </c>
      <c r="J39" s="36">
        <v>-1.0900000000000001</v>
      </c>
      <c r="K39" s="36">
        <v>-1.26</v>
      </c>
      <c r="L39" s="36">
        <v>-1.44</v>
      </c>
      <c r="M39" s="32">
        <v>-2.2999999999999998</v>
      </c>
    </row>
    <row r="40" spans="1:13" x14ac:dyDescent="0.25">
      <c r="A40" s="31" t="s">
        <v>67</v>
      </c>
      <c r="B40" s="29">
        <v>-0.38108599999999998</v>
      </c>
      <c r="C40" s="29">
        <v>-0.66103999999999996</v>
      </c>
      <c r="D40" s="29">
        <v>-0.86039600000000005</v>
      </c>
      <c r="E40" s="29">
        <v>-1.1231660000000001</v>
      </c>
      <c r="F40" s="29">
        <v>-1.5460160000000001</v>
      </c>
      <c r="G40" s="30">
        <v>-1.7924290000000001</v>
      </c>
      <c r="H40" s="12">
        <v>-0.28000000000000003</v>
      </c>
      <c r="I40" s="36">
        <v>-0.65</v>
      </c>
      <c r="J40" s="36">
        <v>-0.82</v>
      </c>
      <c r="K40" s="36">
        <v>-1.02</v>
      </c>
      <c r="L40" s="36">
        <v>-1.25</v>
      </c>
      <c r="M40" s="32">
        <v>-1.89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-0.3</v>
      </c>
      <c r="I41" s="36">
        <v>-0.6</v>
      </c>
      <c r="J41" s="36">
        <v>-0.79</v>
      </c>
      <c r="K41" s="36">
        <v>-1</v>
      </c>
      <c r="L41" s="36">
        <v>-1.18</v>
      </c>
      <c r="M41" s="32">
        <v>-1.76</v>
      </c>
    </row>
    <row r="42" spans="1:13" x14ac:dyDescent="0.25">
      <c r="A42" s="31" t="s">
        <v>72</v>
      </c>
      <c r="B42" s="29">
        <v>2.2040000000000001E-2</v>
      </c>
      <c r="C42" s="29">
        <v>-4.6891000000000002E-2</v>
      </c>
      <c r="D42" s="29">
        <v>-0.17836099999999999</v>
      </c>
      <c r="E42" s="29">
        <v>-0.49032500000000001</v>
      </c>
      <c r="F42" s="29">
        <v>-1.134938</v>
      </c>
      <c r="G42" s="30">
        <v>-1.5240579999999999</v>
      </c>
      <c r="H42" s="12">
        <v>-0.14000000000000001</v>
      </c>
      <c r="I42" s="36">
        <v>-0.48</v>
      </c>
      <c r="J42" s="36">
        <v>-0.59</v>
      </c>
      <c r="K42" s="36">
        <v>-0.28000000000000003</v>
      </c>
      <c r="L42" s="36">
        <v>0.23</v>
      </c>
      <c r="M42" s="32">
        <v>-0.25</v>
      </c>
    </row>
    <row r="43" spans="1:13" x14ac:dyDescent="0.25">
      <c r="A43" s="31" t="s">
        <v>73</v>
      </c>
      <c r="B43" s="29">
        <v>-0.91386299999999998</v>
      </c>
      <c r="C43" s="29">
        <v>-0.57148399999999999</v>
      </c>
      <c r="D43" s="29">
        <v>-0.41880200000000001</v>
      </c>
      <c r="E43" s="29">
        <v>-0.35886800000000002</v>
      </c>
      <c r="F43" s="29">
        <v>-0.38740000000000002</v>
      </c>
      <c r="G43" s="30">
        <v>-0.41639700000000002</v>
      </c>
      <c r="H43" s="12">
        <v>-2.39</v>
      </c>
      <c r="I43" s="36">
        <v>-2.34</v>
      </c>
      <c r="J43" s="36">
        <v>-2.2799999999999998</v>
      </c>
      <c r="K43" s="36">
        <v>-1.71</v>
      </c>
      <c r="L43" s="36">
        <v>-0.9</v>
      </c>
      <c r="M43" s="32">
        <v>-0.21</v>
      </c>
    </row>
    <row r="44" spans="1:13" x14ac:dyDescent="0.25">
      <c r="A44" s="31" t="s">
        <v>76</v>
      </c>
      <c r="B44" s="29">
        <v>36.202849999999998</v>
      </c>
      <c r="C44" s="29">
        <v>90.418710000000004</v>
      </c>
      <c r="D44" s="29">
        <v>146.15029999999999</v>
      </c>
      <c r="E44" s="29">
        <v>227.9494</v>
      </c>
      <c r="F44" s="29">
        <v>268.84350000000001</v>
      </c>
      <c r="G44" s="30">
        <v>416.3879</v>
      </c>
      <c r="H44" s="12">
        <v>83</v>
      </c>
      <c r="I44" s="36">
        <v>210</v>
      </c>
      <c r="J44" s="36">
        <v>290</v>
      </c>
      <c r="K44" s="36">
        <v>316</v>
      </c>
      <c r="L44" s="36">
        <v>318</v>
      </c>
      <c r="M44" s="32">
        <v>362</v>
      </c>
    </row>
    <row r="45" spans="1:13" x14ac:dyDescent="0.25">
      <c r="A45" s="31" t="s">
        <v>74</v>
      </c>
      <c r="B45" s="29">
        <v>-0.10058</v>
      </c>
      <c r="C45" s="29">
        <v>-0.24217</v>
      </c>
      <c r="D45" s="29">
        <v>-0.37949100000000002</v>
      </c>
      <c r="E45" s="29">
        <v>-0.56369499999999995</v>
      </c>
      <c r="F45" s="29">
        <v>-0.62491699999999994</v>
      </c>
      <c r="G45" s="30">
        <v>-0.64462900000000001</v>
      </c>
      <c r="H45" s="12">
        <v>-0.35</v>
      </c>
      <c r="I45" s="36">
        <v>-0.87</v>
      </c>
      <c r="J45" s="36">
        <v>-1.21</v>
      </c>
      <c r="K45" s="36">
        <v>-1.32</v>
      </c>
      <c r="L45" s="36">
        <v>-1.33</v>
      </c>
      <c r="M45" s="32">
        <v>-1.51</v>
      </c>
    </row>
    <row r="46" spans="1:13" x14ac:dyDescent="0.25">
      <c r="A46" s="31" t="s">
        <v>77</v>
      </c>
      <c r="B46" s="29">
        <v>-0.12082900000000001</v>
      </c>
      <c r="C46" s="29">
        <v>-0.211643</v>
      </c>
      <c r="D46" s="29">
        <v>-0.26844299999999999</v>
      </c>
      <c r="E46" s="29">
        <v>-0.30859399999999998</v>
      </c>
      <c r="F46" s="29">
        <v>-0.27635599999999999</v>
      </c>
      <c r="G46" s="30">
        <v>-0.229938</v>
      </c>
      <c r="H46" s="12">
        <v>-0.04</v>
      </c>
      <c r="I46" s="36">
        <v>-0.1</v>
      </c>
      <c r="J46" s="36">
        <v>-0.08</v>
      </c>
      <c r="K46" s="36">
        <v>0</v>
      </c>
      <c r="L46" s="36">
        <v>0.03</v>
      </c>
      <c r="M46" s="32">
        <v>0.14000000000000001</v>
      </c>
    </row>
    <row r="47" spans="1:13" x14ac:dyDescent="0.25">
      <c r="A47" s="45" t="s">
        <v>78</v>
      </c>
      <c r="B47" s="29">
        <v>-0.659941</v>
      </c>
      <c r="C47" s="29">
        <v>-0.44245699999999999</v>
      </c>
      <c r="D47" s="29">
        <v>-0.31722099999999998</v>
      </c>
      <c r="E47" s="29">
        <v>-0.23629600000000001</v>
      </c>
      <c r="F47" s="29">
        <v>-0.35784199999999999</v>
      </c>
      <c r="G47" s="30">
        <v>-0.281829</v>
      </c>
      <c r="H47" s="12">
        <v>-0.72</v>
      </c>
      <c r="I47" s="36">
        <v>-0.42</v>
      </c>
      <c r="J47" s="36">
        <v>-0.27</v>
      </c>
      <c r="K47" s="36">
        <v>-0.24</v>
      </c>
      <c r="L47" s="36">
        <v>-0.17</v>
      </c>
      <c r="M47" s="32">
        <v>0.03</v>
      </c>
    </row>
    <row r="50" spans="1:1" x14ac:dyDescent="0.25">
      <c r="A50" t="str">
        <f>"0.00"</f>
        <v>0.00</v>
      </c>
    </row>
    <row r="51" spans="1:1" x14ac:dyDescent="0.25">
      <c r="A51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0.21 &amp; 0.43 &amp; 0.59 &amp; 0.75 &amp; 0.72 &amp; 0.81 \\</v>
      </c>
    </row>
    <row r="52" spans="1:1" x14ac:dyDescent="0.25">
      <c r="A52" t="str">
        <f t="shared" si="0"/>
        <v>\textbf{Household consumption} &amp; 0.37 &amp; 0.73 &amp; 0.98 &amp; 1.14 &amp; 0.85 &amp; 0.89 \\</v>
      </c>
    </row>
    <row r="53" spans="1:1" x14ac:dyDescent="0.25">
      <c r="A53" t="str">
        <f t="shared" si="0"/>
        <v>\textbf{Investment} &amp; 0.06 &amp; 0.18 &amp; 0.31 &amp; 0.44 &amp; 0.31 &amp; 0.02 \\</v>
      </c>
    </row>
    <row r="54" spans="1:1" x14ac:dyDescent="0.25">
      <c r="A54" t="str">
        <f t="shared" si="0"/>
        <v>\textbf{Exports} &amp; 0.07 &amp; 0.17 &amp; 0.27 &amp; 0.47 &amp; 0.81 &amp; 1.09 \\</v>
      </c>
    </row>
    <row r="55" spans="1:1" x14ac:dyDescent="0.25">
      <c r="A55" t="str">
        <f t="shared" si="0"/>
        <v>\textbf{Imports} &amp; 0.09 &amp; 0.21 &amp; 0.30 &amp; 0.36 &amp; 0.14 &amp; 0.00 \\</v>
      </c>
    </row>
    <row r="56" spans="1:1" x14ac:dyDescent="0.25">
      <c r="A56" t="str">
        <f t="shared" si="0"/>
        <v>\textbf{Household disposable income } &amp; 0.54 &amp; 0.86 &amp; 1.01 &amp; 1.07 &amp; 0.82 &amp; 0.89 \\</v>
      </c>
    </row>
    <row r="57" spans="1:1" x14ac:dyDescent="0.25">
      <c r="A57" t="str">
        <f t="shared" si="0"/>
        <v>\textbf{Saving rate} &amp; 0.15 &amp; 0.11 &amp; 0.03 &amp; -0.06 &amp; -0.03 &amp; 0.00 \\</v>
      </c>
    </row>
    <row r="58" spans="1:1" x14ac:dyDescent="0.25">
      <c r="A58" t="str">
        <f t="shared" si="0"/>
        <v>\textbf{Household consumption price index} &amp; -0.41 &amp; -0.71 &amp; -0.91 &amp; -1.19 &amp; -1.65 &amp; -1.90 \\</v>
      </c>
    </row>
    <row r="59" spans="1:1" x14ac:dyDescent="0.25">
      <c r="A59" t="str">
        <f t="shared" si="0"/>
        <v>\textbf{Production price index} &amp; -0.50 &amp; -0.84 &amp; -1.08 &amp; -1.40 &amp; -1.92 &amp; -2.22 \\</v>
      </c>
    </row>
    <row r="60" spans="1:1" x14ac:dyDescent="0.25">
      <c r="A60" t="str">
        <f t="shared" si="0"/>
        <v>\textbf{Added value price index} &amp; -0.60 &amp; -1.01 &amp; -1.29 &amp; -1.66 &amp; -2.27 &amp; -2.62 \\</v>
      </c>
    </row>
    <row r="61" spans="1:1" x14ac:dyDescent="0.25">
      <c r="A61" t="str">
        <f t="shared" si="0"/>
        <v>\textbf{Intermediate consumption price index} &amp; -0.39 &amp; -0.67 &amp; -0.86 &amp; -1.12 &amp; -1.55 &amp; -1.79 \\</v>
      </c>
    </row>
    <row r="62" spans="1:1" x14ac:dyDescent="0.25">
      <c r="A62" t="str">
        <f t="shared" si="0"/>
        <v>\textbf{Export price index} &amp; -0.38 &amp; -0.66 &amp; -0.86 &amp; -1.12 &amp; -1.55 &amp; -1.79 \\</v>
      </c>
    </row>
    <row r="63" spans="1:1" x14ac:dyDescent="0.25">
      <c r="A63" t="str">
        <f t="shared" si="0"/>
        <v>\textbf{Import price index} &amp; 0.00 &amp; 0.00 &amp; 0.00 &amp; 0.00 &amp; 0.00 &amp; 0.00 \\</v>
      </c>
    </row>
    <row r="64" spans="1:1" x14ac:dyDescent="0.25">
      <c r="A64" t="str">
        <f t="shared" si="0"/>
        <v>\textbf{Gross nominal wage} &amp; 0.02 &amp; -0.05 &amp; -0.18 &amp; -0.49 &amp; -1.13 &amp; -1.52 \\</v>
      </c>
    </row>
    <row r="65" spans="1:1" x14ac:dyDescent="0.25">
      <c r="A65" t="str">
        <f t="shared" si="0"/>
        <v>\textbf{Real cost of labor} &amp; -0.91 &amp; -0.57 &amp; -0.42 &amp; -0.36 &amp; -0.39 &amp; -0.42 \\</v>
      </c>
    </row>
    <row r="66" spans="1:1" x14ac:dyDescent="0.25">
      <c r="A66" t="str">
        <f t="shared" si="0"/>
        <v>\textbf{Wage employment (in thousands)} &amp; 36.20 &amp; 90.42 &amp; 146.15 &amp; 227.95 &amp; 268.84 &amp; 416.39 \\</v>
      </c>
    </row>
    <row r="67" spans="1:1" x14ac:dyDescent="0.25">
      <c r="A67" t="str">
        <f t="shared" si="0"/>
        <v>\textbf{Unemployment rate} &amp; -0.10 &amp; -0.24 &amp; -0.38 &amp; -0.56 &amp; -0.62 &amp; -0.64 \\</v>
      </c>
    </row>
    <row r="68" spans="1:1" x14ac:dyDescent="0.25">
      <c r="A68" t="str">
        <f t="shared" si="0"/>
        <v>\textbf{Trade balance (in points of GDP)} &amp; -0.12 &amp; -0.21 &amp; -0.27 &amp; -0.31 &amp; -0.28 &amp; -0.23 \\</v>
      </c>
    </row>
    <row r="69" spans="1:1" x14ac:dyDescent="0.25">
      <c r="A69" t="str">
        <f t="shared" si="0"/>
        <v>\textbf{Public budget balance (in points of GDP)} &amp; -0.66 &amp; -0.44 &amp; -0.32 &amp; -0.24 &amp; -0.36 &amp; -0.28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:M69"/>
  <sheetViews>
    <sheetView workbookViewId="0">
      <selection activeCell="G29" sqref="G29"/>
    </sheetView>
  </sheetViews>
  <sheetFormatPr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49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ht="29.25" customHeight="1" x14ac:dyDescent="0.25">
      <c r="A2" s="38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-0.383351</v>
      </c>
      <c r="C4" s="29">
        <v>-0.54344999999999999</v>
      </c>
      <c r="D4" s="29">
        <v>-0.60635300000000003</v>
      </c>
      <c r="E4" s="29">
        <v>-0.647818</v>
      </c>
      <c r="F4" s="29">
        <v>-0.600746</v>
      </c>
      <c r="G4" s="30">
        <v>-3.8515000000000001E-2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-0.70080299999999995</v>
      </c>
      <c r="C5" s="29">
        <v>-0.96095900000000001</v>
      </c>
      <c r="D5" s="29">
        <v>-1.0362720000000001</v>
      </c>
      <c r="E5" s="29">
        <v>-1.0380020000000001</v>
      </c>
      <c r="F5" s="29">
        <v>-0.76549599999999995</v>
      </c>
      <c r="G5" s="30">
        <v>-4.7631E-2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-0.33042199999999999</v>
      </c>
      <c r="C6" s="29">
        <v>-0.55624700000000005</v>
      </c>
      <c r="D6" s="29">
        <v>-0.670956</v>
      </c>
      <c r="E6" s="29">
        <v>-0.71801400000000004</v>
      </c>
      <c r="F6" s="29">
        <v>-0.54491299999999998</v>
      </c>
      <c r="G6" s="30">
        <v>3.1770000000000001E-3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-1.8991000000000001E-2</v>
      </c>
      <c r="C7" s="29">
        <v>-4.1574E-2</v>
      </c>
      <c r="D7" s="29">
        <v>-6.9361999999999993E-2</v>
      </c>
      <c r="E7" s="29">
        <v>-0.149116</v>
      </c>
      <c r="F7" s="29">
        <v>-0.41744100000000001</v>
      </c>
      <c r="G7" s="30">
        <v>-4.5115000000000002E-2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-0.25653300000000001</v>
      </c>
      <c r="C8" s="29">
        <v>-0.38151600000000002</v>
      </c>
      <c r="D8" s="29">
        <v>-0.418271</v>
      </c>
      <c r="E8" s="29">
        <v>-0.39330599999999999</v>
      </c>
      <c r="F8" s="29">
        <v>-0.18543899999999999</v>
      </c>
      <c r="G8" s="30">
        <v>5.4199999999999995E-4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-1.0300769999999999</v>
      </c>
      <c r="C9" s="29">
        <v>-0.99673699999999998</v>
      </c>
      <c r="D9" s="29">
        <v>-0.97544799999999998</v>
      </c>
      <c r="E9" s="29">
        <v>-0.97230499999999997</v>
      </c>
      <c r="F9" s="29">
        <v>-0.73517999999999994</v>
      </c>
      <c r="G9" s="30">
        <v>-4.7652E-2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-0.28950799999999999</v>
      </c>
      <c r="C10" s="29">
        <v>-3.1446000000000002E-2</v>
      </c>
      <c r="D10" s="29">
        <v>5.3449000000000003E-2</v>
      </c>
      <c r="E10" s="29">
        <v>5.7729000000000003E-2</v>
      </c>
      <c r="F10" s="29">
        <v>2.6575999999999999E-2</v>
      </c>
      <c r="G10" s="30">
        <v>-1.8499999999999999E-5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1.2732049999999999</v>
      </c>
      <c r="C11" s="29">
        <v>1.3051429999999999</v>
      </c>
      <c r="D11" s="29">
        <v>1.367996</v>
      </c>
      <c r="E11" s="29">
        <v>1.5607340000000001</v>
      </c>
      <c r="F11" s="29">
        <v>1.9850699999999999</v>
      </c>
      <c r="G11" s="30">
        <v>0.139352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0.110127</v>
      </c>
      <c r="C12" s="29">
        <v>0.17669000000000001</v>
      </c>
      <c r="D12" s="29">
        <v>0.26967099999999999</v>
      </c>
      <c r="E12" s="29">
        <v>0.52785599999999999</v>
      </c>
      <c r="F12" s="29">
        <v>1.125575</v>
      </c>
      <c r="G12" s="30">
        <v>8.8395000000000001E-2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0.138041</v>
      </c>
      <c r="C13" s="29">
        <v>0.21959899999999999</v>
      </c>
      <c r="D13" s="29">
        <v>0.32977099999999998</v>
      </c>
      <c r="E13" s="29">
        <v>0.63167499999999999</v>
      </c>
      <c r="F13" s="29">
        <v>1.332738</v>
      </c>
      <c r="G13" s="30">
        <v>0.104689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8.1041000000000002E-2</v>
      </c>
      <c r="C14" s="29">
        <v>0.13197500000000001</v>
      </c>
      <c r="D14" s="29">
        <v>0.207041</v>
      </c>
      <c r="E14" s="29">
        <v>0.419686</v>
      </c>
      <c r="F14" s="29">
        <v>0.90973400000000004</v>
      </c>
      <c r="G14" s="30">
        <v>7.1401999999999993E-2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0.105586</v>
      </c>
      <c r="C15" s="29">
        <v>0.15728200000000001</v>
      </c>
      <c r="D15" s="29">
        <v>0.224023</v>
      </c>
      <c r="E15" s="29">
        <v>0.42100599999999999</v>
      </c>
      <c r="F15" s="29">
        <v>0.90652200000000005</v>
      </c>
      <c r="G15" s="30">
        <v>7.1314000000000002E-2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-2.5111999999999999E-2</v>
      </c>
      <c r="C17" s="29">
        <v>0.28376299999999999</v>
      </c>
      <c r="D17" s="29">
        <v>0.58627499999999999</v>
      </c>
      <c r="E17" s="29">
        <v>1.0121</v>
      </c>
      <c r="F17" s="29">
        <v>1.621856</v>
      </c>
      <c r="G17" s="30">
        <v>0.12454900000000001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-0.16292799999999999</v>
      </c>
      <c r="C18" s="29">
        <v>6.4022999999999997E-2</v>
      </c>
      <c r="D18" s="29">
        <v>0.25566100000000003</v>
      </c>
      <c r="E18" s="29">
        <v>0.37803599999999998</v>
      </c>
      <c r="F18" s="29">
        <v>0.28531600000000001</v>
      </c>
      <c r="G18" s="30">
        <v>1.984E-2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-44.026780000000002</v>
      </c>
      <c r="C19" s="29">
        <v>-92.873900000000006</v>
      </c>
      <c r="D19" s="29">
        <v>-132.13050000000001</v>
      </c>
      <c r="E19" s="29">
        <v>-180.1234</v>
      </c>
      <c r="F19" s="29">
        <v>-206.64490000000001</v>
      </c>
      <c r="G19" s="30">
        <v>-19.812619999999999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0.122365</v>
      </c>
      <c r="C20" s="29">
        <v>0.24745500000000001</v>
      </c>
      <c r="D20" s="29">
        <v>0.34009400000000001</v>
      </c>
      <c r="E20" s="29">
        <v>0.44226399999999999</v>
      </c>
      <c r="F20" s="29">
        <v>0.48180499999999998</v>
      </c>
      <c r="G20" s="30">
        <v>3.0577E-2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0.105069</v>
      </c>
      <c r="C21" s="29">
        <v>0.14965800000000001</v>
      </c>
      <c r="D21" s="29">
        <v>0.17197499999999999</v>
      </c>
      <c r="E21" s="29">
        <v>0.19988500000000001</v>
      </c>
      <c r="F21" s="29">
        <v>0.20498</v>
      </c>
      <c r="G21" s="30">
        <v>8.3549999999999996E-3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0.28981800000000002</v>
      </c>
      <c r="C22" s="29">
        <v>0.19911699999999999</v>
      </c>
      <c r="D22" s="29">
        <v>0.126251</v>
      </c>
      <c r="E22" s="29">
        <v>2.9318E-2</v>
      </c>
      <c r="F22" s="29">
        <v>7.6074000000000003E-2</v>
      </c>
      <c r="G22" s="30">
        <v>3.2929999999999999E-3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x14ac:dyDescent="0.25">
      <c r="A26" s="34" t="s">
        <v>82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3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39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TRANSPOSE('VAT1'!$B$3:$T$8)</f>
        <v>-0.383351</v>
      </c>
      <c r="C29" s="29">
        <v>-0.54344999999999999</v>
      </c>
      <c r="D29" s="29">
        <v>-0.60635300000000003</v>
      </c>
      <c r="E29" s="29">
        <v>-0.647818</v>
      </c>
      <c r="F29" s="29">
        <v>-0.600746</v>
      </c>
      <c r="G29" s="30">
        <v>-3.8515000000000001E-2</v>
      </c>
      <c r="H29" s="13">
        <v>-0.32</v>
      </c>
      <c r="I29" s="13">
        <v>-0.66</v>
      </c>
      <c r="J29" s="13">
        <v>-0.72</v>
      </c>
      <c r="K29" s="13">
        <v>-0.81</v>
      </c>
      <c r="L29" s="13">
        <v>-0.78</v>
      </c>
      <c r="M29" s="13">
        <v>-0.7</v>
      </c>
    </row>
    <row r="30" spans="1:13" x14ac:dyDescent="0.25">
      <c r="A30" s="31" t="s">
        <v>56</v>
      </c>
      <c r="B30" s="29">
        <v>-0.70080299999999995</v>
      </c>
      <c r="C30" s="29">
        <v>-0.96095900000000001</v>
      </c>
      <c r="D30" s="29">
        <v>-1.0362720000000001</v>
      </c>
      <c r="E30" s="29">
        <v>-1.0380020000000001</v>
      </c>
      <c r="F30" s="29">
        <v>-0.76549599999999995</v>
      </c>
      <c r="G30" s="30">
        <v>-4.7631E-2</v>
      </c>
      <c r="H30" s="13">
        <v>-0.57999999999999996</v>
      </c>
      <c r="I30" s="13">
        <v>-1.04</v>
      </c>
      <c r="J30" s="13">
        <v>-1.1399999999999999</v>
      </c>
      <c r="K30" s="13">
        <v>-1.53</v>
      </c>
      <c r="L30" s="13">
        <v>-1.87</v>
      </c>
      <c r="M30" s="13">
        <v>-1.76</v>
      </c>
    </row>
    <row r="31" spans="1:13" x14ac:dyDescent="0.25">
      <c r="A31" s="31" t="s">
        <v>53</v>
      </c>
      <c r="B31" s="29">
        <v>-0.33042199999999999</v>
      </c>
      <c r="C31" s="29">
        <v>-0.55624700000000005</v>
      </c>
      <c r="D31" s="29">
        <v>-0.670956</v>
      </c>
      <c r="E31" s="29">
        <v>-0.71801400000000004</v>
      </c>
      <c r="F31" s="29">
        <v>-0.54491299999999998</v>
      </c>
      <c r="G31" s="30">
        <v>3.1770000000000001E-3</v>
      </c>
      <c r="H31" s="13">
        <v>-0.45</v>
      </c>
      <c r="I31" s="13">
        <v>-1.36</v>
      </c>
      <c r="J31" s="13">
        <v>-1.44</v>
      </c>
      <c r="K31" s="13">
        <v>-1.34</v>
      </c>
      <c r="L31" s="13">
        <v>-1.1399999999999999</v>
      </c>
      <c r="M31" s="13">
        <v>-1.04</v>
      </c>
    </row>
    <row r="32" spans="1:13" x14ac:dyDescent="0.25">
      <c r="A32" s="31" t="s">
        <v>54</v>
      </c>
      <c r="B32" s="29">
        <v>-1.8991000000000001E-2</v>
      </c>
      <c r="C32" s="29">
        <v>-4.1574E-2</v>
      </c>
      <c r="D32" s="29">
        <v>-6.9361999999999993E-2</v>
      </c>
      <c r="E32" s="29">
        <v>-0.149116</v>
      </c>
      <c r="F32" s="29">
        <v>-0.41744100000000001</v>
      </c>
      <c r="G32" s="30">
        <v>-4.5115000000000002E-2</v>
      </c>
      <c r="H32" s="13">
        <v>-0.17</v>
      </c>
      <c r="I32" s="13">
        <v>-0.33</v>
      </c>
      <c r="J32" s="13">
        <v>-0.37</v>
      </c>
      <c r="K32" s="13">
        <v>-0.32</v>
      </c>
      <c r="L32" s="13">
        <v>0.02</v>
      </c>
      <c r="M32" s="13">
        <v>0.08</v>
      </c>
    </row>
    <row r="33" spans="1:13" x14ac:dyDescent="0.25">
      <c r="A33" s="31" t="s">
        <v>55</v>
      </c>
      <c r="B33" s="29">
        <v>-0.25653300000000001</v>
      </c>
      <c r="C33" s="29">
        <v>-0.38151600000000002</v>
      </c>
      <c r="D33" s="29">
        <v>-0.418271</v>
      </c>
      <c r="E33" s="29">
        <v>-0.39330599999999999</v>
      </c>
      <c r="F33" s="29">
        <v>-0.18543899999999999</v>
      </c>
      <c r="G33" s="30">
        <v>5.4199999999999995E-4</v>
      </c>
      <c r="H33" s="13">
        <v>-0.65</v>
      </c>
      <c r="I33" s="13">
        <v>-1.08</v>
      </c>
      <c r="J33" s="13">
        <v>-1.02</v>
      </c>
      <c r="K33" s="13">
        <v>-1.1299999999999999</v>
      </c>
      <c r="L33" s="13">
        <v>-1.18</v>
      </c>
      <c r="M33" s="13">
        <v>-1.1599999999999999</v>
      </c>
    </row>
    <row r="34" spans="1:13" x14ac:dyDescent="0.25">
      <c r="A34" s="31" t="s">
        <v>57</v>
      </c>
      <c r="B34" s="29">
        <v>-1.0300769999999999</v>
      </c>
      <c r="C34" s="29">
        <v>-0.99673699999999998</v>
      </c>
      <c r="D34" s="29">
        <v>-0.97544799999999998</v>
      </c>
      <c r="E34" s="29">
        <v>-0.97230499999999997</v>
      </c>
      <c r="F34" s="29">
        <v>-0.73517999999999994</v>
      </c>
      <c r="G34" s="30">
        <v>-4.7652E-2</v>
      </c>
      <c r="H34" s="13">
        <v>-1.1000000000000001</v>
      </c>
      <c r="I34" s="13">
        <v>-1.01</v>
      </c>
      <c r="J34" s="13">
        <v>-1.22</v>
      </c>
      <c r="K34" s="13">
        <v>-1.73</v>
      </c>
      <c r="L34" s="13">
        <v>-1.88</v>
      </c>
      <c r="M34" s="13">
        <v>-1.76</v>
      </c>
    </row>
    <row r="35" spans="1:13" x14ac:dyDescent="0.25">
      <c r="A35" s="31" t="s">
        <v>58</v>
      </c>
      <c r="B35" s="29">
        <v>-0.28950799999999999</v>
      </c>
      <c r="C35" s="29">
        <v>-3.1446000000000002E-2</v>
      </c>
      <c r="D35" s="29">
        <v>5.3449000000000003E-2</v>
      </c>
      <c r="E35" s="29">
        <v>5.7729000000000003E-2</v>
      </c>
      <c r="F35" s="29">
        <v>2.6575999999999999E-2</v>
      </c>
      <c r="G35" s="30">
        <v>-1.8499999999999999E-5</v>
      </c>
      <c r="H35" s="13">
        <v>-0.45</v>
      </c>
      <c r="I35" s="13">
        <v>0.03</v>
      </c>
      <c r="J35" s="13">
        <v>-7.0000000000000007E-2</v>
      </c>
      <c r="K35" s="13">
        <v>-0.18</v>
      </c>
      <c r="L35" s="13">
        <v>-0.01</v>
      </c>
      <c r="M35" s="13">
        <v>0</v>
      </c>
    </row>
    <row r="36" spans="1:13" x14ac:dyDescent="0.25">
      <c r="A36" s="31" t="s">
        <v>69</v>
      </c>
      <c r="B36" s="29">
        <v>1.2732049999999999</v>
      </c>
      <c r="C36" s="29">
        <v>1.3051429999999999</v>
      </c>
      <c r="D36" s="29">
        <v>1.367996</v>
      </c>
      <c r="E36" s="29">
        <v>1.5607340000000001</v>
      </c>
      <c r="F36" s="29">
        <v>1.9850699999999999</v>
      </c>
      <c r="G36" s="30">
        <v>0.139352</v>
      </c>
      <c r="H36" s="13">
        <v>1.48</v>
      </c>
      <c r="I36" s="13">
        <v>1.58</v>
      </c>
      <c r="J36" s="13">
        <v>1.52</v>
      </c>
      <c r="K36" s="13">
        <v>1.3</v>
      </c>
      <c r="L36" s="13">
        <v>0.89</v>
      </c>
      <c r="M36" s="13">
        <v>0.76</v>
      </c>
    </row>
    <row r="37" spans="1:13" x14ac:dyDescent="0.25">
      <c r="A37" s="31" t="s">
        <v>70</v>
      </c>
      <c r="B37" s="29">
        <v>0.110127</v>
      </c>
      <c r="C37" s="29">
        <v>0.17669000000000001</v>
      </c>
      <c r="D37" s="29">
        <v>0.26967099999999999</v>
      </c>
      <c r="E37" s="29">
        <v>0.52785599999999999</v>
      </c>
      <c r="F37" s="29">
        <v>1.125575</v>
      </c>
      <c r="G37" s="30">
        <v>8.8395000000000001E-2</v>
      </c>
      <c r="H37" s="13">
        <v>0.43</v>
      </c>
      <c r="I37" s="13">
        <v>0.54</v>
      </c>
      <c r="J37" s="13">
        <v>0.41</v>
      </c>
      <c r="K37" s="13">
        <v>0.05</v>
      </c>
      <c r="L37" s="13">
        <v>-0.41</v>
      </c>
      <c r="M37" s="13">
        <v>-0.51</v>
      </c>
    </row>
    <row r="38" spans="1:13" x14ac:dyDescent="0.25">
      <c r="A38" s="31" t="s">
        <v>71</v>
      </c>
      <c r="B38" s="29">
        <v>0.138041</v>
      </c>
      <c r="C38" s="29">
        <v>0.21959899999999999</v>
      </c>
      <c r="D38" s="29">
        <v>0.32977099999999998</v>
      </c>
      <c r="E38" s="29">
        <v>0.63167499999999999</v>
      </c>
      <c r="F38" s="29">
        <v>1.332738</v>
      </c>
      <c r="G38" s="30">
        <v>0.104689</v>
      </c>
      <c r="H38" s="13">
        <v>0.02</v>
      </c>
      <c r="I38" s="13">
        <v>0.12</v>
      </c>
      <c r="J38" s="13">
        <v>0.06</v>
      </c>
      <c r="K38" s="13">
        <v>-0.17</v>
      </c>
      <c r="L38" s="13">
        <v>-0.6</v>
      </c>
      <c r="M38" s="13">
        <v>-0.76</v>
      </c>
    </row>
    <row r="39" spans="1:13" x14ac:dyDescent="0.25">
      <c r="A39" s="31" t="s">
        <v>75</v>
      </c>
      <c r="B39" s="29">
        <v>8.1041000000000002E-2</v>
      </c>
      <c r="C39" s="29">
        <v>0.13197500000000001</v>
      </c>
      <c r="D39" s="29">
        <v>0.207041</v>
      </c>
      <c r="E39" s="29">
        <v>0.419686</v>
      </c>
      <c r="F39" s="29">
        <v>0.90973400000000004</v>
      </c>
      <c r="G39" s="30">
        <v>7.1401999999999993E-2</v>
      </c>
      <c r="H39" s="13">
        <v>0.72</v>
      </c>
      <c r="I39" s="13">
        <v>0.84</v>
      </c>
      <c r="J39" s="13">
        <v>0.76</v>
      </c>
      <c r="K39" s="13">
        <v>0.48</v>
      </c>
      <c r="L39" s="13">
        <v>0.06</v>
      </c>
      <c r="M39" s="13">
        <v>-0.02</v>
      </c>
    </row>
    <row r="40" spans="1:13" x14ac:dyDescent="0.25">
      <c r="A40" s="31" t="s">
        <v>67</v>
      </c>
      <c r="B40" s="29">
        <v>0.105586</v>
      </c>
      <c r="C40" s="29">
        <v>0.15728200000000001</v>
      </c>
      <c r="D40" s="29">
        <v>0.224023</v>
      </c>
      <c r="E40" s="29">
        <v>0.42100599999999999</v>
      </c>
      <c r="F40" s="29">
        <v>0.90652200000000005</v>
      </c>
      <c r="G40" s="30">
        <v>7.1314000000000002E-2</v>
      </c>
      <c r="H40" s="13">
        <v>0.31</v>
      </c>
      <c r="I40" s="13">
        <v>0.47</v>
      </c>
      <c r="J40" s="13">
        <v>0.45</v>
      </c>
      <c r="K40" s="13">
        <v>0.27</v>
      </c>
      <c r="L40" s="13">
        <v>-0.09</v>
      </c>
      <c r="M40" s="13">
        <v>-0.14000000000000001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3">
        <v>0.3</v>
      </c>
      <c r="I41" s="13">
        <v>0.4</v>
      </c>
      <c r="J41" s="13">
        <v>0.4</v>
      </c>
      <c r="K41" s="13">
        <v>0.23</v>
      </c>
      <c r="L41" s="13">
        <v>-0.14000000000000001</v>
      </c>
      <c r="M41" s="13">
        <v>-0.16</v>
      </c>
    </row>
    <row r="42" spans="1:13" x14ac:dyDescent="0.25">
      <c r="A42" s="31" t="s">
        <v>72</v>
      </c>
      <c r="B42" s="29">
        <v>-2.5111999999999999E-2</v>
      </c>
      <c r="C42" s="29">
        <v>0.28376299999999999</v>
      </c>
      <c r="D42" s="29">
        <v>0.58627499999999999</v>
      </c>
      <c r="E42" s="29">
        <v>1.0121</v>
      </c>
      <c r="F42" s="29">
        <v>1.621856</v>
      </c>
      <c r="G42" s="30">
        <v>0.12454900000000001</v>
      </c>
      <c r="H42" s="13">
        <v>0.61</v>
      </c>
      <c r="I42" s="13">
        <v>0.65</v>
      </c>
      <c r="J42" s="13">
        <v>0.15</v>
      </c>
      <c r="K42" s="13">
        <v>-0.93</v>
      </c>
      <c r="L42" s="13">
        <v>-1.67</v>
      </c>
      <c r="M42" s="13">
        <v>-1.64</v>
      </c>
    </row>
    <row r="43" spans="1:13" x14ac:dyDescent="0.25">
      <c r="A43" s="31" t="s">
        <v>73</v>
      </c>
      <c r="B43" s="29">
        <v>-0.16292799999999999</v>
      </c>
      <c r="C43" s="29">
        <v>6.4022999999999997E-2</v>
      </c>
      <c r="D43" s="29">
        <v>0.25566100000000003</v>
      </c>
      <c r="E43" s="29">
        <v>0.37803599999999998</v>
      </c>
      <c r="F43" s="29">
        <v>0.28531600000000001</v>
      </c>
      <c r="G43" s="30">
        <v>1.984E-2</v>
      </c>
      <c r="H43" s="13">
        <v>0.59</v>
      </c>
      <c r="I43" s="13">
        <v>0.53</v>
      </c>
      <c r="J43" s="13">
        <v>0.1</v>
      </c>
      <c r="K43" s="13">
        <v>-0.77</v>
      </c>
      <c r="L43" s="13">
        <v>-1.08</v>
      </c>
      <c r="M43" s="13">
        <v>-0.89</v>
      </c>
    </row>
    <row r="44" spans="1:13" x14ac:dyDescent="0.25">
      <c r="A44" s="31" t="s">
        <v>76</v>
      </c>
      <c r="B44" s="29">
        <v>-44.026780000000002</v>
      </c>
      <c r="C44" s="29">
        <v>-92.873900000000006</v>
      </c>
      <c r="D44" s="29">
        <v>-132.13050000000001</v>
      </c>
      <c r="E44" s="29">
        <v>-180.1234</v>
      </c>
      <c r="F44" s="29">
        <v>-206.64490000000001</v>
      </c>
      <c r="G44" s="30">
        <v>-19.812619999999999</v>
      </c>
      <c r="H44" s="13">
        <v>-32</v>
      </c>
      <c r="I44" s="13">
        <v>-118</v>
      </c>
      <c r="J44" s="13">
        <v>-153</v>
      </c>
      <c r="K44" s="13">
        <v>-113</v>
      </c>
      <c r="L44" s="13">
        <v>-69</v>
      </c>
      <c r="M44" s="13">
        <v>-64</v>
      </c>
    </row>
    <row r="45" spans="1:13" x14ac:dyDescent="0.25">
      <c r="A45" s="31" t="s">
        <v>74</v>
      </c>
      <c r="B45" s="29">
        <v>0.122365</v>
      </c>
      <c r="C45" s="29">
        <v>0.24745500000000001</v>
      </c>
      <c r="D45" s="29">
        <v>0.34009400000000001</v>
      </c>
      <c r="E45" s="29">
        <v>0.44226399999999999</v>
      </c>
      <c r="F45" s="29">
        <v>0.48180499999999998</v>
      </c>
      <c r="G45" s="30">
        <v>3.0577E-2</v>
      </c>
      <c r="H45" s="13">
        <v>0.13</v>
      </c>
      <c r="I45" s="13">
        <v>0.49</v>
      </c>
      <c r="J45" s="13">
        <v>0.64</v>
      </c>
      <c r="K45" s="13">
        <v>0.47</v>
      </c>
      <c r="L45" s="13">
        <v>0.28999999999999998</v>
      </c>
      <c r="M45" s="13">
        <v>0.27</v>
      </c>
    </row>
    <row r="46" spans="1:13" x14ac:dyDescent="0.25">
      <c r="A46" s="31" t="s">
        <v>77</v>
      </c>
      <c r="B46" s="29">
        <v>0.105069</v>
      </c>
      <c r="C46" s="29">
        <v>0.14965800000000001</v>
      </c>
      <c r="D46" s="29">
        <v>0.17197499999999999</v>
      </c>
      <c r="E46" s="29">
        <v>0.19988500000000001</v>
      </c>
      <c r="F46" s="29">
        <v>0.20498</v>
      </c>
      <c r="G46" s="30">
        <v>8.3549999999999996E-3</v>
      </c>
      <c r="H46" s="13">
        <v>0.17</v>
      </c>
      <c r="I46" s="13">
        <v>0.27</v>
      </c>
      <c r="J46" s="13">
        <v>0.24</v>
      </c>
      <c r="K46" s="13">
        <v>0.28000000000000003</v>
      </c>
      <c r="L46" s="13">
        <v>0.4</v>
      </c>
      <c r="M46" s="13">
        <v>0.41</v>
      </c>
    </row>
    <row r="47" spans="1:13" x14ac:dyDescent="0.25">
      <c r="A47" s="45" t="s">
        <v>78</v>
      </c>
      <c r="B47" s="29">
        <v>0.28981800000000002</v>
      </c>
      <c r="C47" s="29">
        <v>0.19911699999999999</v>
      </c>
      <c r="D47" s="29">
        <v>0.126251</v>
      </c>
      <c r="E47" s="29">
        <v>2.9318E-2</v>
      </c>
      <c r="F47" s="29">
        <v>7.6074000000000003E-2</v>
      </c>
      <c r="G47" s="30">
        <v>3.2929999999999999E-3</v>
      </c>
      <c r="H47" s="13">
        <v>0.8</v>
      </c>
      <c r="I47" s="13">
        <v>0.36</v>
      </c>
      <c r="J47" s="13">
        <v>0.28000000000000003</v>
      </c>
      <c r="K47" s="13">
        <v>0.37</v>
      </c>
      <c r="L47" s="13">
        <v>0.44</v>
      </c>
      <c r="M47" s="13">
        <v>0.47</v>
      </c>
    </row>
    <row r="50" spans="1:1" x14ac:dyDescent="0.25">
      <c r="A50" s="37" t="str">
        <f>"0.00"</f>
        <v>0.00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-0.38 &amp; -0.54 &amp; -0.61 &amp; -0.65 &amp; -0.60 &amp; -0.04 \\</v>
      </c>
    </row>
    <row r="52" spans="1:1" x14ac:dyDescent="0.25">
      <c r="A52" s="37" t="str">
        <f t="shared" si="0"/>
        <v>\textbf{Household consumption} &amp; -0.70 &amp; -0.96 &amp; -1.04 &amp; -1.04 &amp; -0.77 &amp; -0.05 \\</v>
      </c>
    </row>
    <row r="53" spans="1:1" x14ac:dyDescent="0.25">
      <c r="A53" s="37" t="str">
        <f t="shared" si="0"/>
        <v>\textbf{Investment} &amp; -0.33 &amp; -0.56 &amp; -0.67 &amp; -0.72 &amp; -0.54 &amp; 0.00 \\</v>
      </c>
    </row>
    <row r="54" spans="1:1" x14ac:dyDescent="0.25">
      <c r="A54" s="37" t="str">
        <f t="shared" si="0"/>
        <v>\textbf{Exports} &amp; -0.02 &amp; -0.04 &amp; -0.07 &amp; -0.15 &amp; -0.42 &amp; -0.05 \\</v>
      </c>
    </row>
    <row r="55" spans="1:1" x14ac:dyDescent="0.25">
      <c r="A55" s="37" t="str">
        <f t="shared" si="0"/>
        <v>\textbf{Imports} &amp; -0.26 &amp; -0.38 &amp; -0.42 &amp; -0.39 &amp; -0.19 &amp; 0.00 \\</v>
      </c>
    </row>
    <row r="56" spans="1:1" x14ac:dyDescent="0.25">
      <c r="A56" s="37" t="str">
        <f t="shared" si="0"/>
        <v>\textbf{Household disposable income } &amp; -1.03 &amp; -1.00 &amp; -0.98 &amp; -0.97 &amp; -0.74 &amp; -0.05 \\</v>
      </c>
    </row>
    <row r="57" spans="1:1" x14ac:dyDescent="0.25">
      <c r="A57" s="37" t="str">
        <f t="shared" si="0"/>
        <v>\textbf{Saving rate} &amp; -0.29 &amp; -0.03 &amp; 0.05 &amp; 0.06 &amp; 0.03 &amp; 0.00 \\</v>
      </c>
    </row>
    <row r="58" spans="1:1" x14ac:dyDescent="0.25">
      <c r="A58" s="37" t="str">
        <f t="shared" si="0"/>
        <v>\textbf{Household consumption price index} &amp; 1.27 &amp; 1.31 &amp; 1.37 &amp; 1.56 &amp; 1.99 &amp; 0.14 \\</v>
      </c>
    </row>
    <row r="59" spans="1:1" x14ac:dyDescent="0.25">
      <c r="A59" s="37" t="str">
        <f t="shared" si="0"/>
        <v>\textbf{Production price index} &amp; 0.11 &amp; 0.18 &amp; 0.27 &amp; 0.53 &amp; 1.13 &amp; 0.09 \\</v>
      </c>
    </row>
    <row r="60" spans="1:1" x14ac:dyDescent="0.25">
      <c r="A60" s="37" t="str">
        <f t="shared" si="0"/>
        <v>\textbf{Added value price index} &amp; 0.14 &amp; 0.22 &amp; 0.33 &amp; 0.63 &amp; 1.33 &amp; 0.10 \\</v>
      </c>
    </row>
    <row r="61" spans="1:1" x14ac:dyDescent="0.25">
      <c r="A61" s="37" t="str">
        <f t="shared" si="0"/>
        <v>\textbf{Intermediate consumption price index} &amp; 0.08 &amp; 0.13 &amp; 0.21 &amp; 0.42 &amp; 0.91 &amp; 0.07 \\</v>
      </c>
    </row>
    <row r="62" spans="1:1" x14ac:dyDescent="0.25">
      <c r="A62" s="37" t="str">
        <f t="shared" si="0"/>
        <v>\textbf{Export price index} &amp; 0.11 &amp; 0.16 &amp; 0.22 &amp; 0.42 &amp; 0.91 &amp; 0.07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-0.03 &amp; 0.28 &amp; 0.59 &amp; 1.01 &amp; 1.62 &amp; 0.12 \\</v>
      </c>
    </row>
    <row r="65" spans="1:1" x14ac:dyDescent="0.25">
      <c r="A65" s="37" t="str">
        <f t="shared" si="0"/>
        <v>\textbf{Real cost of labor} &amp; -0.16 &amp; 0.06 &amp; 0.26 &amp; 0.38 &amp; 0.29 &amp; 0.02 \\</v>
      </c>
    </row>
    <row r="66" spans="1:1" x14ac:dyDescent="0.25">
      <c r="A66" s="37" t="str">
        <f t="shared" si="0"/>
        <v>\textbf{Wage employment (in thousands)} &amp; -44.03 &amp; -92.87 &amp; -132.13 &amp; -180.12 &amp; -206.64 &amp; -19.81 \\</v>
      </c>
    </row>
    <row r="67" spans="1:1" x14ac:dyDescent="0.25">
      <c r="A67" s="37" t="str">
        <f t="shared" si="0"/>
        <v>\textbf{Unemployment rate} &amp; 0.12 &amp; 0.25 &amp; 0.34 &amp; 0.44 &amp; 0.48 &amp; 0.03 \\</v>
      </c>
    </row>
    <row r="68" spans="1:1" x14ac:dyDescent="0.25">
      <c r="A68" s="37" t="str">
        <f t="shared" si="0"/>
        <v>\textbf{Trade balance (in points of GDP)} &amp; 0.11 &amp; 0.15 &amp; 0.17 &amp; 0.20 &amp; 0.20 &amp; 0.01 \\</v>
      </c>
    </row>
    <row r="69" spans="1:1" x14ac:dyDescent="0.25">
      <c r="A69" s="37" t="str">
        <f t="shared" si="0"/>
        <v>\textbf{Public budget balance (in points of GDP)} &amp; 0.29 &amp; 0.20 &amp; 0.13 &amp; 0.03 &amp; 0.08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6"/>
  <dimension ref="A1:M69"/>
  <sheetViews>
    <sheetView workbookViewId="0">
      <selection activeCell="G29" sqref="G29"/>
    </sheetView>
  </sheetViews>
  <sheetFormatPr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48</v>
      </c>
      <c r="B1" s="66" t="s">
        <v>86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ht="29.25" customHeight="1" x14ac:dyDescent="0.25">
      <c r="A2" s="38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TRANSPOSE(INCT1!$B$3:$T$8)</f>
        <v>0</v>
      </c>
      <c r="C4" s="29">
        <v>0</v>
      </c>
      <c r="D4" s="29">
        <v>0</v>
      </c>
      <c r="E4" s="29">
        <v>0</v>
      </c>
      <c r="F4" s="29">
        <v>0</v>
      </c>
      <c r="G4" s="30">
        <v>0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0</v>
      </c>
      <c r="C5" s="29">
        <v>0</v>
      </c>
      <c r="D5" s="29">
        <v>0</v>
      </c>
      <c r="E5" s="29">
        <v>0</v>
      </c>
      <c r="F5" s="29">
        <v>0</v>
      </c>
      <c r="G5" s="30">
        <v>0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  <c r="G6" s="30">
        <v>0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0</v>
      </c>
      <c r="C7" s="29">
        <v>0</v>
      </c>
      <c r="D7" s="29">
        <v>0</v>
      </c>
      <c r="E7" s="29">
        <v>0</v>
      </c>
      <c r="F7" s="29">
        <v>0</v>
      </c>
      <c r="G7" s="30">
        <v>0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</v>
      </c>
      <c r="C8" s="29">
        <v>0</v>
      </c>
      <c r="D8" s="29">
        <v>0</v>
      </c>
      <c r="E8" s="29">
        <v>0</v>
      </c>
      <c r="F8" s="29">
        <v>0</v>
      </c>
      <c r="G8" s="30">
        <v>0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0</v>
      </c>
      <c r="C9" s="29">
        <v>0</v>
      </c>
      <c r="D9" s="29">
        <v>0</v>
      </c>
      <c r="E9" s="29">
        <v>0</v>
      </c>
      <c r="F9" s="29">
        <v>0</v>
      </c>
      <c r="G9" s="30">
        <v>0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</v>
      </c>
      <c r="C10" s="29">
        <v>0</v>
      </c>
      <c r="D10" s="29">
        <v>0</v>
      </c>
      <c r="E10" s="29">
        <v>0</v>
      </c>
      <c r="F10" s="29">
        <v>0</v>
      </c>
      <c r="G10" s="30">
        <v>0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0</v>
      </c>
      <c r="C11" s="29">
        <v>0</v>
      </c>
      <c r="D11" s="29">
        <v>0</v>
      </c>
      <c r="E11" s="29">
        <v>0</v>
      </c>
      <c r="F11" s="29">
        <v>0</v>
      </c>
      <c r="G11" s="30">
        <v>0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0</v>
      </c>
      <c r="C12" s="29">
        <v>0</v>
      </c>
      <c r="D12" s="29">
        <v>0</v>
      </c>
      <c r="E12" s="29">
        <v>0</v>
      </c>
      <c r="F12" s="29">
        <v>0</v>
      </c>
      <c r="G12" s="30">
        <v>0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0</v>
      </c>
      <c r="C13" s="29">
        <v>0</v>
      </c>
      <c r="D13" s="29">
        <v>0</v>
      </c>
      <c r="E13" s="29">
        <v>0</v>
      </c>
      <c r="F13" s="29">
        <v>0</v>
      </c>
      <c r="G13" s="30">
        <v>0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0</v>
      </c>
      <c r="C14" s="29">
        <v>0</v>
      </c>
      <c r="D14" s="29">
        <v>0</v>
      </c>
      <c r="E14" s="29">
        <v>0</v>
      </c>
      <c r="F14" s="29">
        <v>0</v>
      </c>
      <c r="G14" s="30">
        <v>0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0</v>
      </c>
      <c r="C15" s="29">
        <v>0</v>
      </c>
      <c r="D15" s="29">
        <v>0</v>
      </c>
      <c r="E15" s="29">
        <v>0</v>
      </c>
      <c r="F15" s="29">
        <v>0</v>
      </c>
      <c r="G15" s="30">
        <v>0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0</v>
      </c>
      <c r="C17" s="29">
        <v>0</v>
      </c>
      <c r="D17" s="29">
        <v>0</v>
      </c>
      <c r="E17" s="29">
        <v>0</v>
      </c>
      <c r="F17" s="29">
        <v>0</v>
      </c>
      <c r="G17" s="30">
        <v>0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0</v>
      </c>
      <c r="C18" s="29">
        <v>0</v>
      </c>
      <c r="D18" s="29">
        <v>0</v>
      </c>
      <c r="E18" s="29">
        <v>0</v>
      </c>
      <c r="F18" s="29">
        <v>0</v>
      </c>
      <c r="G18" s="30">
        <v>0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0</v>
      </c>
      <c r="C19" s="29">
        <v>0</v>
      </c>
      <c r="D19" s="29">
        <v>0</v>
      </c>
      <c r="E19" s="29">
        <v>0</v>
      </c>
      <c r="F19" s="29">
        <v>0</v>
      </c>
      <c r="G19" s="30">
        <v>0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0</v>
      </c>
      <c r="C20" s="29">
        <v>0</v>
      </c>
      <c r="D20" s="29">
        <v>0</v>
      </c>
      <c r="E20" s="29">
        <v>0</v>
      </c>
      <c r="F20" s="29">
        <v>0</v>
      </c>
      <c r="G20" s="30">
        <v>0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0</v>
      </c>
      <c r="C21" s="29">
        <v>0</v>
      </c>
      <c r="D21" s="29">
        <v>0</v>
      </c>
      <c r="E21" s="29">
        <v>0</v>
      </c>
      <c r="F21" s="29">
        <v>0</v>
      </c>
      <c r="G21" s="30">
        <v>0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-1</v>
      </c>
      <c r="C22" s="29">
        <v>-1</v>
      </c>
      <c r="D22" s="29">
        <v>-1</v>
      </c>
      <c r="E22" s="29">
        <v>-1</v>
      </c>
      <c r="F22" s="29">
        <v>-1</v>
      </c>
      <c r="G22" s="30">
        <v>-1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ht="30" x14ac:dyDescent="0.25">
      <c r="A26" s="34" t="s">
        <v>83</v>
      </c>
      <c r="B26" s="67" t="s">
        <v>88</v>
      </c>
      <c r="C26" s="67"/>
      <c r="D26" s="67"/>
      <c r="E26" s="67"/>
      <c r="F26" s="67"/>
      <c r="G26" s="67"/>
      <c r="H26" s="67"/>
      <c r="I26" s="67"/>
      <c r="J26" s="67"/>
      <c r="K26" s="67"/>
      <c r="L26" s="67"/>
      <c r="M26" s="67"/>
    </row>
    <row r="27" spans="1:13" x14ac:dyDescent="0.25">
      <c r="A27" s="38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39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TRANSPOSE(INCT1!$B$3:$T$8)</f>
        <v>0</v>
      </c>
      <c r="C29" s="29">
        <v>0</v>
      </c>
      <c r="D29" s="29">
        <v>0</v>
      </c>
      <c r="E29" s="29">
        <v>0</v>
      </c>
      <c r="F29" s="29">
        <v>0</v>
      </c>
      <c r="G29" s="30">
        <v>0</v>
      </c>
      <c r="H29" s="12">
        <v>0.41</v>
      </c>
      <c r="I29" s="36">
        <v>0.83</v>
      </c>
      <c r="J29" s="36">
        <v>0.88</v>
      </c>
      <c r="K29" s="36">
        <v>0.81</v>
      </c>
      <c r="L29" s="36">
        <v>0.87</v>
      </c>
      <c r="M29" s="32">
        <v>1.05</v>
      </c>
    </row>
    <row r="30" spans="1:13" x14ac:dyDescent="0.25">
      <c r="A30" s="31" t="s">
        <v>56</v>
      </c>
      <c r="B30" s="29">
        <v>0</v>
      </c>
      <c r="C30" s="29">
        <v>0</v>
      </c>
      <c r="D30" s="29">
        <v>0</v>
      </c>
      <c r="E30" s="29">
        <v>0</v>
      </c>
      <c r="F30" s="29">
        <v>0</v>
      </c>
      <c r="G30" s="30">
        <v>0</v>
      </c>
      <c r="H30" s="12">
        <v>0.81</v>
      </c>
      <c r="I30" s="36">
        <v>1.66</v>
      </c>
      <c r="J30" s="36">
        <v>1.9</v>
      </c>
      <c r="K30" s="36">
        <v>2.0099999999999998</v>
      </c>
      <c r="L30" s="36">
        <v>2.06</v>
      </c>
      <c r="M30" s="32">
        <v>2.27</v>
      </c>
    </row>
    <row r="31" spans="1:13" x14ac:dyDescent="0.25">
      <c r="A31" s="31" t="s">
        <v>53</v>
      </c>
      <c r="B31" s="29">
        <v>0</v>
      </c>
      <c r="C31" s="29">
        <v>0</v>
      </c>
      <c r="D31" s="29">
        <v>0</v>
      </c>
      <c r="E31" s="29">
        <v>0</v>
      </c>
      <c r="F31" s="29">
        <v>0</v>
      </c>
      <c r="G31" s="30">
        <v>0</v>
      </c>
      <c r="H31" s="12">
        <v>0.61</v>
      </c>
      <c r="I31" s="36">
        <v>1.6</v>
      </c>
      <c r="J31" s="36">
        <v>1.65</v>
      </c>
      <c r="K31" s="36">
        <v>1.23</v>
      </c>
      <c r="L31" s="36">
        <v>1.1499999999999999</v>
      </c>
      <c r="M31" s="32">
        <v>1.27</v>
      </c>
    </row>
    <row r="32" spans="1:13" x14ac:dyDescent="0.25">
      <c r="A32" s="31" t="s">
        <v>54</v>
      </c>
      <c r="B32" s="29">
        <v>0</v>
      </c>
      <c r="C32" s="29">
        <v>0</v>
      </c>
      <c r="D32" s="29">
        <v>0</v>
      </c>
      <c r="E32" s="29">
        <v>0</v>
      </c>
      <c r="F32" s="29">
        <v>0</v>
      </c>
      <c r="G32" s="30">
        <v>0</v>
      </c>
      <c r="H32" s="12">
        <v>0.04</v>
      </c>
      <c r="I32" s="36">
        <v>0.01</v>
      </c>
      <c r="J32" s="36">
        <v>-7.0000000000000007E-2</v>
      </c>
      <c r="K32" s="36">
        <v>-0.13</v>
      </c>
      <c r="L32" s="36">
        <v>0.01</v>
      </c>
      <c r="M32" s="32">
        <v>0.28000000000000003</v>
      </c>
    </row>
    <row r="33" spans="1:13" x14ac:dyDescent="0.25">
      <c r="A33" s="31" t="s">
        <v>55</v>
      </c>
      <c r="B33" s="29">
        <v>0</v>
      </c>
      <c r="C33" s="29">
        <v>0</v>
      </c>
      <c r="D33" s="29">
        <v>0</v>
      </c>
      <c r="E33" s="29">
        <v>0</v>
      </c>
      <c r="F33" s="29">
        <v>0</v>
      </c>
      <c r="G33" s="30">
        <v>0</v>
      </c>
      <c r="H33" s="12">
        <v>0.7</v>
      </c>
      <c r="I33" s="36">
        <v>1.42</v>
      </c>
      <c r="J33" s="36">
        <v>1.43</v>
      </c>
      <c r="K33" s="36">
        <v>1.27</v>
      </c>
      <c r="L33" s="36">
        <v>1.24</v>
      </c>
      <c r="M33" s="32">
        <v>1.31</v>
      </c>
    </row>
    <row r="34" spans="1:13" x14ac:dyDescent="0.25">
      <c r="A34" s="31" t="s">
        <v>57</v>
      </c>
      <c r="B34" s="29">
        <v>0</v>
      </c>
      <c r="C34" s="29">
        <v>0</v>
      </c>
      <c r="D34" s="29">
        <v>0</v>
      </c>
      <c r="E34" s="29">
        <v>0</v>
      </c>
      <c r="F34" s="29">
        <v>0</v>
      </c>
      <c r="G34" s="30">
        <v>0</v>
      </c>
      <c r="H34" s="12">
        <v>1.7</v>
      </c>
      <c r="I34" s="36">
        <v>1.82</v>
      </c>
      <c r="J34" s="36">
        <v>1.92</v>
      </c>
      <c r="K34" s="36">
        <v>2.04</v>
      </c>
      <c r="L34" s="36">
        <v>2.06</v>
      </c>
      <c r="M34" s="32">
        <v>2.27</v>
      </c>
    </row>
    <row r="35" spans="1:13" x14ac:dyDescent="0.25">
      <c r="A35" s="31" t="s">
        <v>58</v>
      </c>
      <c r="B35" s="29">
        <v>0</v>
      </c>
      <c r="C35" s="29">
        <v>0</v>
      </c>
      <c r="D35" s="29">
        <v>0</v>
      </c>
      <c r="E35" s="29">
        <v>0</v>
      </c>
      <c r="F35" s="29">
        <v>0</v>
      </c>
      <c r="G35" s="30">
        <v>0</v>
      </c>
      <c r="H35" s="12">
        <v>0.75</v>
      </c>
      <c r="I35" s="36">
        <v>0.14000000000000001</v>
      </c>
      <c r="J35" s="36">
        <v>0.02</v>
      </c>
      <c r="K35" s="36">
        <v>0.03</v>
      </c>
      <c r="L35" s="36">
        <v>0</v>
      </c>
      <c r="M35" s="32">
        <v>0</v>
      </c>
    </row>
    <row r="36" spans="1:13" x14ac:dyDescent="0.25">
      <c r="A36" s="31" t="s">
        <v>69</v>
      </c>
      <c r="B36" s="29">
        <v>0</v>
      </c>
      <c r="C36" s="29">
        <v>0</v>
      </c>
      <c r="D36" s="29">
        <v>0</v>
      </c>
      <c r="E36" s="29">
        <v>0</v>
      </c>
      <c r="F36" s="29">
        <v>0</v>
      </c>
      <c r="G36" s="30">
        <v>0</v>
      </c>
      <c r="H36" s="12">
        <v>0.04</v>
      </c>
      <c r="I36" s="36">
        <v>0.21</v>
      </c>
      <c r="J36" s="36">
        <v>0.34</v>
      </c>
      <c r="K36" s="36">
        <v>0.35</v>
      </c>
      <c r="L36" s="36">
        <v>0.14000000000000001</v>
      </c>
      <c r="M36" s="32">
        <v>-0.18</v>
      </c>
    </row>
    <row r="37" spans="1:13" x14ac:dyDescent="0.25">
      <c r="A37" s="31" t="s">
        <v>70</v>
      </c>
      <c r="B37" s="29">
        <v>0</v>
      </c>
      <c r="C37" s="29">
        <v>0</v>
      </c>
      <c r="D37" s="29">
        <v>0</v>
      </c>
      <c r="E37" s="29">
        <v>0</v>
      </c>
      <c r="F37" s="29">
        <v>0</v>
      </c>
      <c r="G37" s="30">
        <v>0</v>
      </c>
      <c r="H37" s="12">
        <v>0.04</v>
      </c>
      <c r="I37" s="36">
        <v>0.2</v>
      </c>
      <c r="J37" s="36">
        <v>0.33</v>
      </c>
      <c r="K37" s="36">
        <v>0.34</v>
      </c>
      <c r="L37" s="36">
        <v>0.12</v>
      </c>
      <c r="M37" s="32">
        <v>-0.19</v>
      </c>
    </row>
    <row r="38" spans="1:13" x14ac:dyDescent="0.25">
      <c r="A38" s="31" t="s">
        <v>71</v>
      </c>
      <c r="B38" s="29">
        <v>0</v>
      </c>
      <c r="C38" s="29">
        <v>0</v>
      </c>
      <c r="D38" s="29">
        <v>0</v>
      </c>
      <c r="E38" s="29">
        <v>0</v>
      </c>
      <c r="F38" s="29">
        <v>0</v>
      </c>
      <c r="G38" s="30">
        <v>0</v>
      </c>
      <c r="H38" s="12">
        <v>0.04</v>
      </c>
      <c r="I38" s="36">
        <v>0.26</v>
      </c>
      <c r="J38" s="36">
        <v>0.41</v>
      </c>
      <c r="K38" s="36">
        <v>0.41</v>
      </c>
      <c r="L38" s="36">
        <v>0.17</v>
      </c>
      <c r="M38" s="32">
        <v>-0.22</v>
      </c>
    </row>
    <row r="39" spans="1:13" x14ac:dyDescent="0.25">
      <c r="A39" s="31" t="s">
        <v>75</v>
      </c>
      <c r="B39" s="29">
        <v>0</v>
      </c>
      <c r="C39" s="29">
        <v>0</v>
      </c>
      <c r="D39" s="29">
        <v>0</v>
      </c>
      <c r="E39" s="29">
        <v>0</v>
      </c>
      <c r="F39" s="29">
        <v>0</v>
      </c>
      <c r="G39" s="30">
        <v>0</v>
      </c>
      <c r="H39" s="12">
        <v>0.03</v>
      </c>
      <c r="I39" s="36">
        <v>0.18</v>
      </c>
      <c r="J39" s="36">
        <v>0.32</v>
      </c>
      <c r="K39" s="36">
        <v>0.35</v>
      </c>
      <c r="L39" s="36">
        <v>0.13</v>
      </c>
      <c r="M39" s="32">
        <v>-0.17</v>
      </c>
    </row>
    <row r="40" spans="1:13" x14ac:dyDescent="0.25">
      <c r="A40" s="31" t="s">
        <v>67</v>
      </c>
      <c r="B40" s="29">
        <v>0</v>
      </c>
      <c r="C40" s="29">
        <v>0</v>
      </c>
      <c r="D40" s="29">
        <v>0</v>
      </c>
      <c r="E40" s="29">
        <v>0</v>
      </c>
      <c r="F40" s="29">
        <v>0</v>
      </c>
      <c r="G40" s="30">
        <v>0</v>
      </c>
      <c r="H40" s="12">
        <v>0.02</v>
      </c>
      <c r="I40" s="36">
        <v>0.14000000000000001</v>
      </c>
      <c r="J40" s="36">
        <v>0.26</v>
      </c>
      <c r="K40" s="36">
        <v>0.31</v>
      </c>
      <c r="L40" s="36">
        <v>0.12</v>
      </c>
      <c r="M40" s="32">
        <v>-0.15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0.05</v>
      </c>
      <c r="I41" s="36">
        <v>0.17</v>
      </c>
      <c r="J41" s="36">
        <v>0.27</v>
      </c>
      <c r="K41" s="36">
        <v>0.3</v>
      </c>
      <c r="L41" s="36">
        <v>0.11</v>
      </c>
      <c r="M41" s="32">
        <v>-0.13</v>
      </c>
    </row>
    <row r="42" spans="1:13" x14ac:dyDescent="0.25">
      <c r="A42" s="31" t="s">
        <v>72</v>
      </c>
      <c r="B42" s="29">
        <v>0</v>
      </c>
      <c r="C42" s="29">
        <v>0</v>
      </c>
      <c r="D42" s="29">
        <v>0</v>
      </c>
      <c r="E42" s="29">
        <v>0</v>
      </c>
      <c r="F42" s="29">
        <v>0</v>
      </c>
      <c r="G42" s="30">
        <v>0</v>
      </c>
      <c r="H42" s="12">
        <v>0.05</v>
      </c>
      <c r="I42" s="36">
        <v>0.09</v>
      </c>
      <c r="J42" s="36">
        <v>0.09</v>
      </c>
      <c r="K42" s="36">
        <v>0.05</v>
      </c>
      <c r="L42" s="36">
        <v>-0.16</v>
      </c>
      <c r="M42" s="32">
        <v>-0.25</v>
      </c>
    </row>
    <row r="43" spans="1:13" x14ac:dyDescent="0.25">
      <c r="A43" s="31" t="s">
        <v>73</v>
      </c>
      <c r="B43" s="29">
        <v>0</v>
      </c>
      <c r="C43" s="29">
        <v>0</v>
      </c>
      <c r="D43" s="29">
        <v>0</v>
      </c>
      <c r="E43" s="29">
        <v>0</v>
      </c>
      <c r="F43" s="29">
        <v>0</v>
      </c>
      <c r="G43" s="30">
        <v>0</v>
      </c>
      <c r="H43" s="12">
        <v>0.01</v>
      </c>
      <c r="I43" s="36">
        <v>-0.16</v>
      </c>
      <c r="J43" s="36">
        <v>-0.32</v>
      </c>
      <c r="K43" s="36">
        <v>-0.35</v>
      </c>
      <c r="L43" s="36">
        <v>-0.33</v>
      </c>
      <c r="M43" s="32">
        <v>-0.03</v>
      </c>
    </row>
    <row r="44" spans="1:13" x14ac:dyDescent="0.25">
      <c r="A44" s="31" t="s">
        <v>76</v>
      </c>
      <c r="B44" s="29">
        <v>0</v>
      </c>
      <c r="C44" s="29">
        <v>0</v>
      </c>
      <c r="D44" s="29">
        <v>0</v>
      </c>
      <c r="E44" s="29">
        <v>0</v>
      </c>
      <c r="F44" s="29">
        <v>0</v>
      </c>
      <c r="G44" s="30">
        <v>0</v>
      </c>
      <c r="H44" s="12">
        <v>24</v>
      </c>
      <c r="I44" s="36">
        <v>109</v>
      </c>
      <c r="J44" s="36">
        <v>174</v>
      </c>
      <c r="K44" s="36">
        <v>184</v>
      </c>
      <c r="L44" s="36">
        <v>181</v>
      </c>
      <c r="M44" s="32">
        <v>200</v>
      </c>
    </row>
    <row r="45" spans="1:13" x14ac:dyDescent="0.25">
      <c r="A45" s="31" t="s">
        <v>74</v>
      </c>
      <c r="B45" s="29">
        <v>0</v>
      </c>
      <c r="C45" s="29">
        <v>0</v>
      </c>
      <c r="D45" s="29">
        <v>0</v>
      </c>
      <c r="E45" s="29">
        <v>0</v>
      </c>
      <c r="F45" s="29">
        <v>0</v>
      </c>
      <c r="G45" s="30">
        <v>0</v>
      </c>
      <c r="H45" s="12">
        <v>-0.1</v>
      </c>
      <c r="I45" s="36">
        <v>-0.45</v>
      </c>
      <c r="J45" s="36">
        <v>-0.72</v>
      </c>
      <c r="K45" s="36">
        <v>-0.77</v>
      </c>
      <c r="L45" s="36">
        <v>-0.75</v>
      </c>
      <c r="M45" s="32">
        <v>-0.83</v>
      </c>
    </row>
    <row r="46" spans="1:13" x14ac:dyDescent="0.25">
      <c r="A46" s="31" t="s">
        <v>77</v>
      </c>
      <c r="B46" s="29">
        <v>0</v>
      </c>
      <c r="C46" s="29">
        <v>0</v>
      </c>
      <c r="D46" s="29">
        <v>0</v>
      </c>
      <c r="E46" s="29">
        <v>0</v>
      </c>
      <c r="F46" s="29">
        <v>0</v>
      </c>
      <c r="G46" s="30">
        <v>0</v>
      </c>
      <c r="H46" s="12">
        <v>-0.21</v>
      </c>
      <c r="I46" s="36">
        <v>-0.44</v>
      </c>
      <c r="J46" s="36">
        <v>-0.47</v>
      </c>
      <c r="K46" s="36">
        <v>-0.44</v>
      </c>
      <c r="L46" s="36">
        <v>-0.38</v>
      </c>
      <c r="M46" s="32">
        <v>-0.33</v>
      </c>
    </row>
    <row r="47" spans="1:13" x14ac:dyDescent="0.25">
      <c r="A47" s="45" t="s">
        <v>78</v>
      </c>
      <c r="B47" s="29">
        <v>-1</v>
      </c>
      <c r="C47" s="29">
        <v>-1</v>
      </c>
      <c r="D47" s="29">
        <v>-1</v>
      </c>
      <c r="E47" s="29">
        <v>-1</v>
      </c>
      <c r="F47" s="29">
        <v>-1</v>
      </c>
      <c r="G47" s="30">
        <v>-1</v>
      </c>
      <c r="H47" s="12">
        <v>-0.81</v>
      </c>
      <c r="I47" s="36">
        <v>-0.5</v>
      </c>
      <c r="J47" s="36">
        <v>-0.42</v>
      </c>
      <c r="K47" s="36">
        <v>-0.51</v>
      </c>
      <c r="L47" s="36">
        <v>-0.5</v>
      </c>
      <c r="M47" s="32">
        <v>-0.43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0.00 &amp; 0.00 &amp; 0.00 &amp; 0.00 &amp; 0.00 &amp; 0.00 \\</v>
      </c>
    </row>
    <row r="52" spans="1:1" x14ac:dyDescent="0.25">
      <c r="A52" s="37" t="str">
        <f t="shared" si="0"/>
        <v>\textbf{Household consumption} &amp; 0.00 &amp; 0.00 &amp; 0.00 &amp; 0.00 &amp; 0.00 &amp; 0.00 \\</v>
      </c>
    </row>
    <row r="53" spans="1:1" x14ac:dyDescent="0.25">
      <c r="A53" s="37" t="str">
        <f t="shared" si="0"/>
        <v>\textbf{Investment} &amp; 0.00 &amp; 0.00 &amp; 0.00 &amp; 0.00 &amp; 0.00 &amp; 0.00 \\</v>
      </c>
    </row>
    <row r="54" spans="1:1" x14ac:dyDescent="0.25">
      <c r="A54" s="37" t="str">
        <f t="shared" si="0"/>
        <v>\textbf{Exports} &amp; 0.00 &amp; 0.00 &amp; 0.00 &amp; 0.00 &amp; 0.00 &amp; 0.00 \\</v>
      </c>
    </row>
    <row r="55" spans="1:1" x14ac:dyDescent="0.25">
      <c r="A55" s="37" t="str">
        <f t="shared" si="0"/>
        <v>\textbf{Imports} &amp; 0.00 &amp; 0.00 &amp; 0.00 &amp; 0.00 &amp; 0.00 &amp; 0.00 \\</v>
      </c>
    </row>
    <row r="56" spans="1:1" x14ac:dyDescent="0.25">
      <c r="A56" s="37" t="str">
        <f t="shared" si="0"/>
        <v>\textbf{Household disposable income } &amp; 0.00 &amp; 0.00 &amp; 0.00 &amp; 0.00 &amp; 0.00 &amp; 0.00 \\</v>
      </c>
    </row>
    <row r="57" spans="1:1" x14ac:dyDescent="0.25">
      <c r="A57" s="37" t="str">
        <f t="shared" si="0"/>
        <v>\textbf{Saving rate} &amp; 0.00 &amp; 0.00 &amp; 0.00 &amp; 0.00 &amp; 0.00 &amp; 0.00 \\</v>
      </c>
    </row>
    <row r="58" spans="1:1" x14ac:dyDescent="0.25">
      <c r="A58" s="37" t="str">
        <f t="shared" si="0"/>
        <v>\textbf{Household consumption price index} &amp; 0.00 &amp; 0.00 &amp; 0.00 &amp; 0.00 &amp; 0.00 &amp; 0.00 \\</v>
      </c>
    </row>
    <row r="59" spans="1:1" x14ac:dyDescent="0.25">
      <c r="A59" s="37" t="str">
        <f t="shared" si="0"/>
        <v>\textbf{Production price index} &amp; 0.00 &amp; 0.00 &amp; 0.00 &amp; 0.00 &amp; 0.00 &amp; 0.00 \\</v>
      </c>
    </row>
    <row r="60" spans="1:1" x14ac:dyDescent="0.25">
      <c r="A60" s="37" t="str">
        <f t="shared" si="0"/>
        <v>\textbf{Added value price index} &amp; 0.00 &amp; 0.00 &amp; 0.00 &amp; 0.00 &amp; 0.00 &amp; 0.00 \\</v>
      </c>
    </row>
    <row r="61" spans="1:1" x14ac:dyDescent="0.25">
      <c r="A61" s="37" t="str">
        <f t="shared" si="0"/>
        <v>\textbf{Intermediate consumption price index} &amp; 0.00 &amp; 0.00 &amp; 0.00 &amp; 0.00 &amp; 0.00 &amp; 0.00 \\</v>
      </c>
    </row>
    <row r="62" spans="1:1" x14ac:dyDescent="0.25">
      <c r="A62" s="37" t="str">
        <f t="shared" si="0"/>
        <v>\textbf{Export price index} &amp; 0.00 &amp; 0.00 &amp; 0.00 &amp; 0.00 &amp; 0.00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0.00 &amp; 0.00 &amp; 0.00 &amp; 0.00 &amp; 0.00 &amp; 0.00 \\</v>
      </c>
    </row>
    <row r="65" spans="1:1" x14ac:dyDescent="0.25">
      <c r="A65" s="37" t="str">
        <f t="shared" si="0"/>
        <v>\textbf{Real cost of labor} &amp; 0.00 &amp; 0.00 &amp; 0.00 &amp; 0.00 &amp; 0.00 &amp; 0.00 \\</v>
      </c>
    </row>
    <row r="66" spans="1:1" x14ac:dyDescent="0.25">
      <c r="A66" s="37" t="str">
        <f t="shared" si="0"/>
        <v>\textbf{Wage employment (in thousands)} &amp; 0.00 &amp; 0.00 &amp; 0.00 &amp; 0.00 &amp; 0.00 &amp; 0.00 \\</v>
      </c>
    </row>
    <row r="67" spans="1:1" x14ac:dyDescent="0.25">
      <c r="A67" s="37" t="str">
        <f t="shared" si="0"/>
        <v>\textbf{Unemployment rate} &amp; 0.00 &amp; 0.00 &amp; 0.00 &amp; 0.00 &amp; 0.00 &amp; 0.00 \\</v>
      </c>
    </row>
    <row r="68" spans="1:1" x14ac:dyDescent="0.25">
      <c r="A68" s="37" t="str">
        <f t="shared" si="0"/>
        <v>\textbf{Trade balance (in points of GDP)} &amp; 0.00 &amp; 0.00 &amp; 0.00 &amp; 0.00 &amp; 0.00 &amp; 0.00 \\</v>
      </c>
    </row>
    <row r="69" spans="1:1" x14ac:dyDescent="0.25">
      <c r="A69" s="37" t="str">
        <f t="shared" si="0"/>
        <v>\textbf{Public budget balance (in points of GDP)} &amp; -1.00 &amp; -1.00 &amp; -1.00 &amp; -1.00 &amp; -1.00 &amp; -1.00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9"/>
  <dimension ref="A1:M69"/>
  <sheetViews>
    <sheetView workbookViewId="0">
      <selection activeCell="G4" sqref="G4"/>
    </sheetView>
  </sheetViews>
  <sheetFormatPr defaultColWidth="11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50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0.27159800000000001</v>
      </c>
      <c r="C4" s="29">
        <v>0.31316699999999997</v>
      </c>
      <c r="D4" s="29">
        <v>0.34867100000000001</v>
      </c>
      <c r="E4" s="29">
        <v>0.38807900000000001</v>
      </c>
      <c r="F4" s="29">
        <v>0.38226599999999999</v>
      </c>
      <c r="G4" s="30">
        <v>0.28031699999999998</v>
      </c>
      <c r="H4" s="42">
        <v>0.27</v>
      </c>
      <c r="I4" s="43">
        <v>0.32</v>
      </c>
      <c r="J4" s="43">
        <v>0.31</v>
      </c>
      <c r="K4" s="43">
        <v>0.26</v>
      </c>
      <c r="L4" s="43">
        <v>0.17</v>
      </c>
      <c r="M4" s="44">
        <v>0.05</v>
      </c>
    </row>
    <row r="5" spans="1:13" x14ac:dyDescent="0.25">
      <c r="A5" s="31" t="s">
        <v>8</v>
      </c>
      <c r="B5" s="29">
        <v>7.9961000000000004E-2</v>
      </c>
      <c r="C5" s="29">
        <v>0.17188999999999999</v>
      </c>
      <c r="D5" s="29">
        <v>0.25167699999999998</v>
      </c>
      <c r="E5" s="29">
        <v>0.35596499999999998</v>
      </c>
      <c r="F5" s="29">
        <v>0.40158100000000002</v>
      </c>
      <c r="G5" s="30">
        <v>0.260411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0.18993099999999999</v>
      </c>
      <c r="C6" s="29">
        <v>0.30165199999999998</v>
      </c>
      <c r="D6" s="29">
        <v>0.36981399999999998</v>
      </c>
      <c r="E6" s="29">
        <v>0.44856299999999999</v>
      </c>
      <c r="F6" s="29">
        <v>0.52532100000000004</v>
      </c>
      <c r="G6" s="30">
        <v>0.24512600000000001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0.99131199999999997</v>
      </c>
      <c r="C7" s="29">
        <v>0.97562199999999999</v>
      </c>
      <c r="D7" s="29">
        <v>0.95576499999999998</v>
      </c>
      <c r="E7" s="29">
        <v>0.91151300000000002</v>
      </c>
      <c r="F7" s="29">
        <v>0.81430100000000005</v>
      </c>
      <c r="G7" s="30">
        <v>0.82274400000000003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0.32989000000000002</v>
      </c>
      <c r="C8" s="29">
        <v>0.42456500000000003</v>
      </c>
      <c r="D8" s="29">
        <v>0.48185699999999998</v>
      </c>
      <c r="E8" s="29">
        <v>0.55508900000000005</v>
      </c>
      <c r="F8" s="29">
        <v>0.61979200000000001</v>
      </c>
      <c r="G8" s="30">
        <v>0.50878199999999996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0.11761099999999999</v>
      </c>
      <c r="C9" s="29">
        <v>0.205202</v>
      </c>
      <c r="D9" s="29">
        <v>0.27043499999999998</v>
      </c>
      <c r="E9" s="29">
        <v>0.35108800000000001</v>
      </c>
      <c r="F9" s="29">
        <v>0.38977600000000001</v>
      </c>
      <c r="G9" s="30">
        <v>0.26041199999999998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3.2724000000000003E-2</v>
      </c>
      <c r="C10" s="29">
        <v>2.8927999999999999E-2</v>
      </c>
      <c r="D10" s="29">
        <v>1.6278999999999998E-2</v>
      </c>
      <c r="E10" s="29">
        <v>-4.2290000000000001E-3</v>
      </c>
      <c r="F10" s="29">
        <v>-1.0232E-2</v>
      </c>
      <c r="G10" s="30">
        <v>2.2999999999999999E-7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3.4472999999999997E-2</v>
      </c>
      <c r="C11" s="29">
        <v>8.0028000000000002E-2</v>
      </c>
      <c r="D11" s="29">
        <v>0.127554</v>
      </c>
      <c r="E11" s="29">
        <v>0.21677199999999999</v>
      </c>
      <c r="F11" s="29">
        <v>0.37298100000000001</v>
      </c>
      <c r="G11" s="30">
        <v>0.30199199999999998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4.2068000000000001E-2</v>
      </c>
      <c r="C12" s="29">
        <v>9.7444000000000003E-2</v>
      </c>
      <c r="D12" s="29">
        <v>0.15509500000000001</v>
      </c>
      <c r="E12" s="29">
        <v>0.26260600000000001</v>
      </c>
      <c r="F12" s="29">
        <v>0.44656299999999999</v>
      </c>
      <c r="G12" s="30">
        <v>0.35955300000000001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4.9426999999999999E-2</v>
      </c>
      <c r="C13" s="29">
        <v>0.11513900000000001</v>
      </c>
      <c r="D13" s="29">
        <v>0.18409200000000001</v>
      </c>
      <c r="E13" s="29">
        <v>0.31323499999999999</v>
      </c>
      <c r="F13" s="29">
        <v>0.53264900000000004</v>
      </c>
      <c r="G13" s="30">
        <v>0.42808299999999999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3.4394000000000001E-2</v>
      </c>
      <c r="C14" s="29">
        <v>7.9005000000000006E-2</v>
      </c>
      <c r="D14" s="29">
        <v>0.12488100000000001</v>
      </c>
      <c r="E14" s="29">
        <v>0.20985899999999999</v>
      </c>
      <c r="F14" s="29">
        <v>0.35689700000000002</v>
      </c>
      <c r="G14" s="30">
        <v>0.28816799999999998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4.7803999999999999E-2</v>
      </c>
      <c r="C15" s="29">
        <v>0.10070800000000001</v>
      </c>
      <c r="D15" s="29">
        <v>0.14960999999999999</v>
      </c>
      <c r="E15" s="29">
        <v>0.23270399999999999</v>
      </c>
      <c r="F15" s="29">
        <v>0.36981000000000003</v>
      </c>
      <c r="G15" s="30">
        <v>0.29319099999999998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3.0473E-2</v>
      </c>
      <c r="C17" s="29">
        <v>7.7178999999999998E-2</v>
      </c>
      <c r="D17" s="29">
        <v>0.13426199999999999</v>
      </c>
      <c r="E17" s="29">
        <v>0.25749100000000003</v>
      </c>
      <c r="F17" s="29">
        <v>0.490784</v>
      </c>
      <c r="G17" s="30">
        <v>0.40996100000000002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-1.8945E-2</v>
      </c>
      <c r="C18" s="29">
        <v>-3.7915999999999998E-2</v>
      </c>
      <c r="D18" s="29">
        <v>-4.9738999999999998E-2</v>
      </c>
      <c r="E18" s="29">
        <v>-5.5570000000000001E-2</v>
      </c>
      <c r="F18" s="29">
        <v>-4.1642999999999999E-2</v>
      </c>
      <c r="G18" s="30">
        <v>-1.8044999999999999E-2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39.813609999999997</v>
      </c>
      <c r="C19" s="29">
        <v>70.563360000000003</v>
      </c>
      <c r="D19" s="29">
        <v>91.678049999999999</v>
      </c>
      <c r="E19" s="29">
        <v>112.6152</v>
      </c>
      <c r="F19" s="29">
        <v>108.8806</v>
      </c>
      <c r="G19" s="30">
        <v>113.3533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-0.110609</v>
      </c>
      <c r="C20" s="29">
        <v>-0.18638299999999999</v>
      </c>
      <c r="D20" s="29">
        <v>-0.23336299999999999</v>
      </c>
      <c r="E20" s="29">
        <v>-0.27331499999999997</v>
      </c>
      <c r="F20" s="29">
        <v>-0.25130200000000003</v>
      </c>
      <c r="G20" s="30">
        <v>-0.17574000000000001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0.20353299999999999</v>
      </c>
      <c r="C21" s="29">
        <v>0.187107</v>
      </c>
      <c r="D21" s="29">
        <v>0.17941799999999999</v>
      </c>
      <c r="E21" s="29">
        <v>0.17042299999999999</v>
      </c>
      <c r="F21" s="29">
        <v>0.164691</v>
      </c>
      <c r="G21" s="30">
        <v>0.176151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0.107918</v>
      </c>
      <c r="C22" s="29">
        <v>0.17533599999999999</v>
      </c>
      <c r="D22" s="29">
        <v>0.22137799999999999</v>
      </c>
      <c r="E22" s="29">
        <v>0.268901</v>
      </c>
      <c r="F22" s="29">
        <v>0.26727899999999999</v>
      </c>
      <c r="G22" s="30">
        <v>0.17358000000000001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  <row r="26" spans="1:13" ht="30" x14ac:dyDescent="0.25">
      <c r="A26" s="34" t="s">
        <v>84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TRANSPOSE('WD1'!$B$3:$T$8)</f>
        <v>0.27159800000000001</v>
      </c>
      <c r="C29" s="29">
        <v>0.31316699999999997</v>
      </c>
      <c r="D29" s="29">
        <v>0.34867100000000001</v>
      </c>
      <c r="E29" s="29">
        <v>0.38807900000000001</v>
      </c>
      <c r="F29" s="29">
        <v>0.38226599999999999</v>
      </c>
      <c r="G29" s="30">
        <v>0.28031699999999998</v>
      </c>
      <c r="H29" s="42">
        <v>0.27</v>
      </c>
      <c r="I29" s="43">
        <v>0.32</v>
      </c>
      <c r="J29" s="43">
        <v>0.31</v>
      </c>
      <c r="K29" s="43">
        <v>0.26</v>
      </c>
      <c r="L29" s="43">
        <v>0.17</v>
      </c>
      <c r="M29" s="44">
        <v>0.05</v>
      </c>
    </row>
    <row r="30" spans="1:13" x14ac:dyDescent="0.25">
      <c r="A30" s="31" t="s">
        <v>56</v>
      </c>
      <c r="B30" s="29">
        <v>7.9961000000000004E-2</v>
      </c>
      <c r="C30" s="29">
        <v>0.17188999999999999</v>
      </c>
      <c r="D30" s="29">
        <v>0.25167699999999998</v>
      </c>
      <c r="E30" s="29">
        <v>0.35596499999999998</v>
      </c>
      <c r="F30" s="29">
        <v>0.40158100000000002</v>
      </c>
      <c r="G30" s="30">
        <v>0.260411</v>
      </c>
      <c r="H30" s="12">
        <v>0.09</v>
      </c>
      <c r="I30" s="36">
        <v>0.21</v>
      </c>
      <c r="J30" s="36">
        <v>0.28000000000000003</v>
      </c>
      <c r="K30" s="36">
        <v>0.33</v>
      </c>
      <c r="L30" s="36">
        <v>0.27</v>
      </c>
      <c r="M30" s="32">
        <v>0.12</v>
      </c>
    </row>
    <row r="31" spans="1:13" x14ac:dyDescent="0.25">
      <c r="A31" s="31" t="s">
        <v>53</v>
      </c>
      <c r="B31" s="29">
        <v>0.18993099999999999</v>
      </c>
      <c r="C31" s="29">
        <v>0.30165199999999998</v>
      </c>
      <c r="D31" s="29">
        <v>0.36981399999999998</v>
      </c>
      <c r="E31" s="29">
        <v>0.44856299999999999</v>
      </c>
      <c r="F31" s="29">
        <v>0.52532100000000004</v>
      </c>
      <c r="G31" s="30">
        <v>0.24512600000000001</v>
      </c>
      <c r="H31" s="12">
        <v>0.39</v>
      </c>
      <c r="I31" s="36">
        <v>0.55000000000000004</v>
      </c>
      <c r="J31" s="36">
        <v>0.49</v>
      </c>
      <c r="K31" s="36">
        <v>0.32</v>
      </c>
      <c r="L31" s="36">
        <v>0.16</v>
      </c>
      <c r="M31" s="32">
        <v>0.05</v>
      </c>
    </row>
    <row r="32" spans="1:13" x14ac:dyDescent="0.25">
      <c r="A32" s="31" t="s">
        <v>54</v>
      </c>
      <c r="B32" s="29">
        <v>0.99131199999999997</v>
      </c>
      <c r="C32" s="29">
        <v>0.97562199999999999</v>
      </c>
      <c r="D32" s="29">
        <v>0.95576499999999998</v>
      </c>
      <c r="E32" s="29">
        <v>0.91151300000000002</v>
      </c>
      <c r="F32" s="29">
        <v>0.81430100000000005</v>
      </c>
      <c r="G32" s="30">
        <v>0.82274400000000003</v>
      </c>
      <c r="H32" s="12">
        <v>0.72</v>
      </c>
      <c r="I32" s="36">
        <v>0.73</v>
      </c>
      <c r="J32" s="36">
        <v>0.69</v>
      </c>
      <c r="K32" s="36">
        <v>0.61</v>
      </c>
      <c r="L32" s="36">
        <v>0.49</v>
      </c>
      <c r="M32" s="32">
        <v>0.33</v>
      </c>
    </row>
    <row r="33" spans="1:13" x14ac:dyDescent="0.25">
      <c r="A33" s="31" t="s">
        <v>55</v>
      </c>
      <c r="B33" s="29">
        <v>0.32989000000000002</v>
      </c>
      <c r="C33" s="29">
        <v>0.42456500000000003</v>
      </c>
      <c r="D33" s="29">
        <v>0.48185699999999998</v>
      </c>
      <c r="E33" s="29">
        <v>0.55508900000000005</v>
      </c>
      <c r="F33" s="29">
        <v>0.61979200000000001</v>
      </c>
      <c r="G33" s="30">
        <v>0.50878199999999996</v>
      </c>
      <c r="H33" s="12">
        <v>0.42</v>
      </c>
      <c r="I33" s="36">
        <v>0.52</v>
      </c>
      <c r="J33" s="36">
        <v>0.51</v>
      </c>
      <c r="K33" s="36">
        <v>0.47</v>
      </c>
      <c r="L33" s="36">
        <v>0.42</v>
      </c>
      <c r="M33" s="32">
        <v>0.38</v>
      </c>
    </row>
    <row r="34" spans="1:13" x14ac:dyDescent="0.25">
      <c r="A34" s="31" t="s">
        <v>57</v>
      </c>
      <c r="B34" s="29">
        <v>0.11761099999999999</v>
      </c>
      <c r="C34" s="29">
        <v>0.205202</v>
      </c>
      <c r="D34" s="29">
        <v>0.27043499999999998</v>
      </c>
      <c r="E34" s="29">
        <v>0.35108800000000001</v>
      </c>
      <c r="F34" s="29">
        <v>0.38977600000000001</v>
      </c>
      <c r="G34" s="30">
        <v>0.26041199999999998</v>
      </c>
      <c r="H34" s="12">
        <v>0.13</v>
      </c>
      <c r="I34" s="36">
        <v>0.24</v>
      </c>
      <c r="J34" s="36">
        <v>0.31</v>
      </c>
      <c r="K34" s="36">
        <v>0.37</v>
      </c>
      <c r="L34" s="36">
        <v>0.26</v>
      </c>
      <c r="M34" s="32">
        <v>0.12</v>
      </c>
    </row>
    <row r="35" spans="1:13" x14ac:dyDescent="0.25">
      <c r="A35" s="31" t="s">
        <v>58</v>
      </c>
      <c r="B35" s="29">
        <v>3.2724000000000003E-2</v>
      </c>
      <c r="C35" s="29">
        <v>2.8927999999999999E-2</v>
      </c>
      <c r="D35" s="29">
        <v>1.6278999999999998E-2</v>
      </c>
      <c r="E35" s="29">
        <v>-4.2290000000000001E-3</v>
      </c>
      <c r="F35" s="29">
        <v>-1.0232E-2</v>
      </c>
      <c r="G35" s="30">
        <v>2.2999999999999999E-7</v>
      </c>
      <c r="H35" s="12">
        <v>0.04</v>
      </c>
      <c r="I35" s="36">
        <v>0.02</v>
      </c>
      <c r="J35" s="36">
        <v>0.03</v>
      </c>
      <c r="K35" s="36">
        <v>0.03</v>
      </c>
      <c r="L35" s="36">
        <v>-0.01</v>
      </c>
      <c r="M35" s="32">
        <v>0</v>
      </c>
    </row>
    <row r="36" spans="1:13" x14ac:dyDescent="0.25">
      <c r="A36" s="31" t="s">
        <v>69</v>
      </c>
      <c r="B36" s="29">
        <v>3.4472999999999997E-2</v>
      </c>
      <c r="C36" s="29">
        <v>8.0028000000000002E-2</v>
      </c>
      <c r="D36" s="29">
        <v>0.127554</v>
      </c>
      <c r="E36" s="29">
        <v>0.21677199999999999</v>
      </c>
      <c r="F36" s="29">
        <v>0.37298100000000001</v>
      </c>
      <c r="G36" s="30">
        <v>0.30199199999999998</v>
      </c>
      <c r="H36" s="12">
        <v>0.06</v>
      </c>
      <c r="I36" s="36">
        <v>0.18</v>
      </c>
      <c r="J36" s="36">
        <v>0.28000000000000003</v>
      </c>
      <c r="K36" s="36">
        <v>0.43</v>
      </c>
      <c r="L36" s="36">
        <v>0.57999999999999996</v>
      </c>
      <c r="M36" s="32">
        <v>0.87</v>
      </c>
    </row>
    <row r="37" spans="1:13" x14ac:dyDescent="0.25">
      <c r="A37" s="31" t="s">
        <v>70</v>
      </c>
      <c r="B37" s="29">
        <v>4.2068000000000001E-2</v>
      </c>
      <c r="C37" s="29">
        <v>9.7444000000000003E-2</v>
      </c>
      <c r="D37" s="29">
        <v>0.15509500000000001</v>
      </c>
      <c r="E37" s="29">
        <v>0.26260600000000001</v>
      </c>
      <c r="F37" s="29">
        <v>0.44656299999999999</v>
      </c>
      <c r="G37" s="30">
        <v>0.35955300000000001</v>
      </c>
      <c r="H37" s="12">
        <v>0.08</v>
      </c>
      <c r="I37" s="36">
        <v>0.22</v>
      </c>
      <c r="J37" s="36">
        <v>0.35</v>
      </c>
      <c r="K37" s="36">
        <v>0.52</v>
      </c>
      <c r="L37" s="36">
        <v>0.66</v>
      </c>
      <c r="M37" s="32">
        <v>0.94</v>
      </c>
    </row>
    <row r="38" spans="1:13" x14ac:dyDescent="0.25">
      <c r="A38" s="31" t="s">
        <v>71</v>
      </c>
      <c r="B38" s="29">
        <v>4.9426999999999999E-2</v>
      </c>
      <c r="C38" s="29">
        <v>0.11513900000000001</v>
      </c>
      <c r="D38" s="29">
        <v>0.18409200000000001</v>
      </c>
      <c r="E38" s="29">
        <v>0.31323499999999999</v>
      </c>
      <c r="F38" s="29">
        <v>0.53264900000000004</v>
      </c>
      <c r="G38" s="30">
        <v>0.42808299999999999</v>
      </c>
      <c r="H38" s="12">
        <v>7.0000000000000007E-2</v>
      </c>
      <c r="I38" s="36">
        <v>0.2</v>
      </c>
      <c r="J38" s="36">
        <v>0.32</v>
      </c>
      <c r="K38" s="36">
        <v>0.47</v>
      </c>
      <c r="L38" s="36">
        <v>0.65</v>
      </c>
      <c r="M38" s="32">
        <v>1.01</v>
      </c>
    </row>
    <row r="39" spans="1:13" x14ac:dyDescent="0.25">
      <c r="A39" s="31" t="s">
        <v>75</v>
      </c>
      <c r="B39" s="29">
        <v>3.4394000000000001E-2</v>
      </c>
      <c r="C39" s="29">
        <v>7.9005000000000006E-2</v>
      </c>
      <c r="D39" s="29">
        <v>0.12488100000000001</v>
      </c>
      <c r="E39" s="29">
        <v>0.20985899999999999</v>
      </c>
      <c r="F39" s="29">
        <v>0.35689700000000002</v>
      </c>
      <c r="G39" s="30">
        <v>0.28816799999999998</v>
      </c>
      <c r="H39" s="12">
        <v>0.06</v>
      </c>
      <c r="I39" s="36">
        <v>0.19</v>
      </c>
      <c r="J39" s="36">
        <v>0.31</v>
      </c>
      <c r="K39" s="36">
        <v>0.47</v>
      </c>
      <c r="L39" s="36">
        <v>0.6</v>
      </c>
      <c r="M39" s="32">
        <v>0.85</v>
      </c>
    </row>
    <row r="40" spans="1:13" x14ac:dyDescent="0.25">
      <c r="A40" s="31" t="s">
        <v>67</v>
      </c>
      <c r="B40" s="29">
        <v>4.7803999999999999E-2</v>
      </c>
      <c r="C40" s="29">
        <v>0.10070800000000001</v>
      </c>
      <c r="D40" s="29">
        <v>0.14960999999999999</v>
      </c>
      <c r="E40" s="29">
        <v>0.23270399999999999</v>
      </c>
      <c r="F40" s="29">
        <v>0.36981000000000003</v>
      </c>
      <c r="G40" s="30">
        <v>0.29319099999999998</v>
      </c>
      <c r="H40" s="12">
        <v>0.04</v>
      </c>
      <c r="I40" s="36">
        <v>0.14000000000000001</v>
      </c>
      <c r="J40" s="36">
        <v>0.24</v>
      </c>
      <c r="K40" s="36">
        <v>0.38</v>
      </c>
      <c r="L40" s="36">
        <v>0.51</v>
      </c>
      <c r="M40" s="32">
        <v>0.69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0.06</v>
      </c>
      <c r="I41" s="36">
        <v>0.15</v>
      </c>
      <c r="J41" s="36">
        <v>0.25</v>
      </c>
      <c r="K41" s="36">
        <v>0.37</v>
      </c>
      <c r="L41" s="36">
        <v>0.49</v>
      </c>
      <c r="M41" s="32">
        <v>0.65</v>
      </c>
    </row>
    <row r="42" spans="1:13" x14ac:dyDescent="0.25">
      <c r="A42" s="31" t="s">
        <v>72</v>
      </c>
      <c r="B42" s="29">
        <v>3.0473E-2</v>
      </c>
      <c r="C42" s="29">
        <v>7.7178999999999998E-2</v>
      </c>
      <c r="D42" s="29">
        <v>0.13426199999999999</v>
      </c>
      <c r="E42" s="29">
        <v>0.25749100000000003</v>
      </c>
      <c r="F42" s="29">
        <v>0.490784</v>
      </c>
      <c r="G42" s="30">
        <v>0.40996100000000002</v>
      </c>
      <c r="H42" s="12">
        <v>0.18</v>
      </c>
      <c r="I42" s="36">
        <v>0.42</v>
      </c>
      <c r="J42" s="36">
        <v>0.62</v>
      </c>
      <c r="K42" s="36">
        <v>0.88</v>
      </c>
      <c r="L42" s="36">
        <v>0.93</v>
      </c>
      <c r="M42" s="32">
        <v>1.07</v>
      </c>
    </row>
    <row r="43" spans="1:13" x14ac:dyDescent="0.25">
      <c r="A43" s="31" t="s">
        <v>73</v>
      </c>
      <c r="B43" s="29">
        <v>-1.8945E-2</v>
      </c>
      <c r="C43" s="29">
        <v>-3.7915999999999998E-2</v>
      </c>
      <c r="D43" s="29">
        <v>-4.9738999999999998E-2</v>
      </c>
      <c r="E43" s="29">
        <v>-5.5570000000000001E-2</v>
      </c>
      <c r="F43" s="29">
        <v>-4.1642999999999999E-2</v>
      </c>
      <c r="G43" s="30">
        <v>-1.8044999999999999E-2</v>
      </c>
      <c r="H43" s="12">
        <v>0.11</v>
      </c>
      <c r="I43" s="36">
        <v>0.22</v>
      </c>
      <c r="J43" s="36">
        <v>0.3</v>
      </c>
      <c r="K43" s="36">
        <v>0.41</v>
      </c>
      <c r="L43" s="36">
        <v>0.28000000000000003</v>
      </c>
      <c r="M43" s="32">
        <v>0.06</v>
      </c>
    </row>
    <row r="44" spans="1:13" x14ac:dyDescent="0.25">
      <c r="A44" s="31" t="s">
        <v>76</v>
      </c>
      <c r="B44" s="29">
        <v>39.813609999999997</v>
      </c>
      <c r="C44" s="29">
        <v>70.563360000000003</v>
      </c>
      <c r="D44" s="29">
        <v>91.678049999999999</v>
      </c>
      <c r="E44" s="29">
        <v>112.6152</v>
      </c>
      <c r="F44" s="29">
        <v>108.8806</v>
      </c>
      <c r="G44" s="30">
        <v>113.3533</v>
      </c>
      <c r="H44" s="12">
        <v>19</v>
      </c>
      <c r="I44" s="36">
        <v>45</v>
      </c>
      <c r="J44" s="36">
        <v>50</v>
      </c>
      <c r="K44" s="36">
        <v>31</v>
      </c>
      <c r="L44" s="36">
        <v>16</v>
      </c>
      <c r="M44" s="32">
        <v>4</v>
      </c>
    </row>
    <row r="45" spans="1:13" x14ac:dyDescent="0.25">
      <c r="A45" s="31" t="s">
        <v>74</v>
      </c>
      <c r="B45" s="29">
        <v>-0.110609</v>
      </c>
      <c r="C45" s="29">
        <v>-0.18638299999999999</v>
      </c>
      <c r="D45" s="29">
        <v>-0.23336299999999999</v>
      </c>
      <c r="E45" s="29">
        <v>-0.27331499999999997</v>
      </c>
      <c r="F45" s="29">
        <v>-0.25130200000000003</v>
      </c>
      <c r="G45" s="30">
        <v>-0.17574000000000001</v>
      </c>
      <c r="H45" s="12">
        <v>-0.08</v>
      </c>
      <c r="I45" s="36">
        <v>-0.19</v>
      </c>
      <c r="J45" s="36">
        <v>-0.21</v>
      </c>
      <c r="K45" s="36">
        <v>-0.13</v>
      </c>
      <c r="L45" s="36">
        <v>-7.0000000000000007E-2</v>
      </c>
      <c r="M45" s="32">
        <v>-0.02</v>
      </c>
    </row>
    <row r="46" spans="1:13" x14ac:dyDescent="0.25">
      <c r="A46" s="31" t="s">
        <v>77</v>
      </c>
      <c r="B46" s="29">
        <v>0.20353299999999999</v>
      </c>
      <c r="C46" s="29">
        <v>0.187107</v>
      </c>
      <c r="D46" s="29">
        <v>0.17941799999999999</v>
      </c>
      <c r="E46" s="29">
        <v>0.17042299999999999</v>
      </c>
      <c r="F46" s="29">
        <v>0.164691</v>
      </c>
      <c r="G46" s="30">
        <v>0.176151</v>
      </c>
      <c r="H46" s="12">
        <v>0.08</v>
      </c>
      <c r="I46" s="36">
        <v>0.05</v>
      </c>
      <c r="J46" s="36">
        <v>0.05</v>
      </c>
      <c r="K46" s="36">
        <v>0.04</v>
      </c>
      <c r="L46" s="36">
        <v>0.02</v>
      </c>
      <c r="M46" s="32">
        <v>0</v>
      </c>
    </row>
    <row r="47" spans="1:13" x14ac:dyDescent="0.25">
      <c r="A47" s="45" t="s">
        <v>78</v>
      </c>
      <c r="B47" s="29">
        <v>0.107918</v>
      </c>
      <c r="C47" s="29">
        <v>0.17533599999999999</v>
      </c>
      <c r="D47" s="29">
        <v>0.22137799999999999</v>
      </c>
      <c r="E47" s="29">
        <v>0.268901</v>
      </c>
      <c r="F47" s="29">
        <v>0.26727899999999999</v>
      </c>
      <c r="G47" s="30">
        <v>0.17358000000000001</v>
      </c>
      <c r="H47" s="12">
        <v>0.09</v>
      </c>
      <c r="I47" s="36">
        <v>0.16</v>
      </c>
      <c r="J47" s="36">
        <v>0.15</v>
      </c>
      <c r="K47" s="36">
        <v>0.09</v>
      </c>
      <c r="L47" s="36">
        <v>0.05</v>
      </c>
      <c r="M47" s="32">
        <v>-0.01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0.27 &amp; 0.31 &amp; 0.35 &amp; 0.39 &amp; 0.38 &amp; 0.28 \\</v>
      </c>
    </row>
    <row r="52" spans="1:1" x14ac:dyDescent="0.25">
      <c r="A52" s="37" t="str">
        <f t="shared" si="0"/>
        <v>\textbf{Household consumption} &amp; 0.08 &amp; 0.17 &amp; 0.25 &amp; 0.36 &amp; 0.40 &amp; 0.26 \\</v>
      </c>
    </row>
    <row r="53" spans="1:1" x14ac:dyDescent="0.25">
      <c r="A53" s="37" t="str">
        <f t="shared" si="0"/>
        <v>\textbf{Investment} &amp; 0.19 &amp; 0.30 &amp; 0.37 &amp; 0.45 &amp; 0.53 &amp; 0.25 \\</v>
      </c>
    </row>
    <row r="54" spans="1:1" x14ac:dyDescent="0.25">
      <c r="A54" s="37" t="str">
        <f t="shared" si="0"/>
        <v>\textbf{Exports} &amp; 0.99 &amp; 0.98 &amp; 0.96 &amp; 0.91 &amp; 0.81 &amp; 0.82 \\</v>
      </c>
    </row>
    <row r="55" spans="1:1" x14ac:dyDescent="0.25">
      <c r="A55" s="37" t="str">
        <f t="shared" si="0"/>
        <v>\textbf{Imports} &amp; 0.33 &amp; 0.42 &amp; 0.48 &amp; 0.56 &amp; 0.62 &amp; 0.51 \\</v>
      </c>
    </row>
    <row r="56" spans="1:1" x14ac:dyDescent="0.25">
      <c r="A56" s="37" t="str">
        <f t="shared" si="0"/>
        <v>\textbf{Household disposable income } &amp; 0.12 &amp; 0.21 &amp; 0.27 &amp; 0.35 &amp; 0.39 &amp; 0.26 \\</v>
      </c>
    </row>
    <row r="57" spans="1:1" x14ac:dyDescent="0.25">
      <c r="A57" s="37" t="str">
        <f t="shared" si="0"/>
        <v>\textbf{Saving rate} &amp; 0.03 &amp; 0.03 &amp; 0.02 &amp; 0.00 &amp; -0.01 &amp; 0.00 \\</v>
      </c>
    </row>
    <row r="58" spans="1:1" x14ac:dyDescent="0.25">
      <c r="A58" s="37" t="str">
        <f t="shared" si="0"/>
        <v>\textbf{Household consumption price index} &amp; 0.03 &amp; 0.08 &amp; 0.13 &amp; 0.22 &amp; 0.37 &amp; 0.30 \\</v>
      </c>
    </row>
    <row r="59" spans="1:1" x14ac:dyDescent="0.25">
      <c r="A59" s="37" t="str">
        <f t="shared" si="0"/>
        <v>\textbf{Production price index} &amp; 0.04 &amp; 0.10 &amp; 0.16 &amp; 0.26 &amp; 0.45 &amp; 0.36 \\</v>
      </c>
    </row>
    <row r="60" spans="1:1" x14ac:dyDescent="0.25">
      <c r="A60" s="37" t="str">
        <f t="shared" si="0"/>
        <v>\textbf{Added value price index} &amp; 0.05 &amp; 0.12 &amp; 0.18 &amp; 0.31 &amp; 0.53 &amp; 0.43 \\</v>
      </c>
    </row>
    <row r="61" spans="1:1" x14ac:dyDescent="0.25">
      <c r="A61" s="37" t="str">
        <f t="shared" si="0"/>
        <v>\textbf{Intermediate consumption price index} &amp; 0.03 &amp; 0.08 &amp; 0.12 &amp; 0.21 &amp; 0.36 &amp; 0.29 \\</v>
      </c>
    </row>
    <row r="62" spans="1:1" x14ac:dyDescent="0.25">
      <c r="A62" s="37" t="str">
        <f t="shared" si="0"/>
        <v>\textbf{Export price index} &amp; 0.05 &amp; 0.10 &amp; 0.15 &amp; 0.23 &amp; 0.37 &amp; 0.29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0.03 &amp; 0.08 &amp; 0.13 &amp; 0.26 &amp; 0.49 &amp; 0.41 \\</v>
      </c>
    </row>
    <row r="65" spans="1:1" x14ac:dyDescent="0.25">
      <c r="A65" s="37" t="str">
        <f t="shared" si="0"/>
        <v>\textbf{Real cost of labor} &amp; -0.02 &amp; -0.04 &amp; -0.05 &amp; -0.06 &amp; -0.04 &amp; -0.02 \\</v>
      </c>
    </row>
    <row r="66" spans="1:1" x14ac:dyDescent="0.25">
      <c r="A66" s="37" t="str">
        <f t="shared" si="0"/>
        <v>\textbf{Wage employment (in thousands)} &amp; 39.81 &amp; 70.56 &amp; 91.68 &amp; 112.62 &amp; 108.88 &amp; 113.35 \\</v>
      </c>
    </row>
    <row r="67" spans="1:1" x14ac:dyDescent="0.25">
      <c r="A67" s="37" t="str">
        <f t="shared" si="0"/>
        <v>\textbf{Unemployment rate} &amp; -0.11 &amp; -0.19 &amp; -0.23 &amp; -0.27 &amp; -0.25 &amp; -0.18 \\</v>
      </c>
    </row>
    <row r="68" spans="1:1" x14ac:dyDescent="0.25">
      <c r="A68" s="37" t="str">
        <f t="shared" si="0"/>
        <v>\textbf{Trade balance (in points of GDP)} &amp; 0.20 &amp; 0.19 &amp; 0.18 &amp; 0.17 &amp; 0.16 &amp; 0.18 \\</v>
      </c>
    </row>
    <row r="69" spans="1:1" x14ac:dyDescent="0.25">
      <c r="A69" s="37" t="str">
        <f t="shared" si="0"/>
        <v>\textbf{Public budget balance (in points of GDP)} &amp; 0.11 &amp; 0.18 &amp; 0.22 &amp; 0.27 &amp; 0.27 &amp; 0.17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0"/>
  <dimension ref="A1:M69"/>
  <sheetViews>
    <sheetView workbookViewId="0">
      <selection activeCell="G29" sqref="G29"/>
    </sheetView>
  </sheetViews>
  <sheetFormatPr defaultColWidth="11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51</v>
      </c>
      <c r="B1" s="66" t="s">
        <v>87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-2.0105999999999999E-2</v>
      </c>
      <c r="C4" s="29">
        <v>-4.2092999999999998E-2</v>
      </c>
      <c r="D4" s="29">
        <v>-5.8831000000000001E-2</v>
      </c>
      <c r="E4" s="29">
        <v>-7.4968999999999994E-2</v>
      </c>
      <c r="F4" s="29">
        <v>-7.2039000000000006E-2</v>
      </c>
      <c r="G4" s="30">
        <v>-7.9809000000000005E-2</v>
      </c>
      <c r="H4" s="43">
        <v>-0.1</v>
      </c>
      <c r="I4" s="43">
        <v>-0.24</v>
      </c>
      <c r="J4" s="43">
        <v>-0.18</v>
      </c>
      <c r="K4" s="43">
        <v>-0.21</v>
      </c>
      <c r="L4" s="43">
        <v>-0.22</v>
      </c>
      <c r="M4" s="44">
        <v>-0.17</v>
      </c>
    </row>
    <row r="5" spans="1:13" x14ac:dyDescent="0.25">
      <c r="A5" s="31" t="s">
        <v>8</v>
      </c>
      <c r="B5" s="29">
        <v>-4.7021E-2</v>
      </c>
      <c r="C5" s="29">
        <v>-9.2091000000000006E-2</v>
      </c>
      <c r="D5" s="29">
        <v>-0.12062</v>
      </c>
      <c r="E5" s="29">
        <v>-0.13340299999999999</v>
      </c>
      <c r="F5" s="29">
        <v>-8.1295000000000006E-2</v>
      </c>
      <c r="G5" s="30">
        <v>-7.9858999999999999E-2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-1.2695E-2</v>
      </c>
      <c r="C6" s="29">
        <v>-3.1917000000000001E-2</v>
      </c>
      <c r="D6" s="29">
        <v>-5.0103000000000002E-2</v>
      </c>
      <c r="E6" s="29">
        <v>-7.1163000000000004E-2</v>
      </c>
      <c r="F6" s="29">
        <v>-5.7221000000000001E-2</v>
      </c>
      <c r="G6" s="30">
        <v>-3.2070000000000002E-3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-1.6743999999999998E-2</v>
      </c>
      <c r="C7" s="29">
        <v>-4.1514000000000002E-2</v>
      </c>
      <c r="D7" s="29">
        <v>-6.8310999999999997E-2</v>
      </c>
      <c r="E7" s="29">
        <v>-0.11647299999999999</v>
      </c>
      <c r="F7" s="29">
        <v>-0.18960199999999999</v>
      </c>
      <c r="G7" s="30">
        <v>-0.231936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-4.4152999999999998E-2</v>
      </c>
      <c r="C8" s="29">
        <v>-9.0880000000000002E-2</v>
      </c>
      <c r="D8" s="29">
        <v>-0.12607099999999999</v>
      </c>
      <c r="E8" s="29">
        <v>-0.15708800000000001</v>
      </c>
      <c r="F8" s="29">
        <v>-0.13186800000000001</v>
      </c>
      <c r="G8" s="30">
        <v>-0.10507900000000001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-6.9227999999999998E-2</v>
      </c>
      <c r="C9" s="29">
        <v>-0.107559</v>
      </c>
      <c r="D9" s="29">
        <v>-0.12418899999999999</v>
      </c>
      <c r="E9" s="29">
        <v>-0.124097</v>
      </c>
      <c r="F9" s="29">
        <v>-7.7537999999999996E-2</v>
      </c>
      <c r="G9" s="30">
        <v>-7.9857999999999998E-2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-1.9338000000000001E-2</v>
      </c>
      <c r="C10" s="29">
        <v>-1.3475000000000001E-2</v>
      </c>
      <c r="D10" s="29">
        <v>-3.1089999999999998E-3</v>
      </c>
      <c r="E10" s="29">
        <v>8.1080000000000006E-3</v>
      </c>
      <c r="F10" s="29">
        <v>3.271E-3</v>
      </c>
      <c r="G10" s="30">
        <v>1.26E-6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6.1892000000000003E-2</v>
      </c>
      <c r="C11" s="29">
        <v>0.108635</v>
      </c>
      <c r="D11" s="29">
        <v>0.144453</v>
      </c>
      <c r="E11" s="29">
        <v>0.19775999999999999</v>
      </c>
      <c r="F11" s="29">
        <v>0.28643099999999999</v>
      </c>
      <c r="G11" s="30">
        <v>0.32295400000000002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5.3345999999999998E-2</v>
      </c>
      <c r="C12" s="29">
        <v>9.8568000000000003E-2</v>
      </c>
      <c r="D12" s="29">
        <v>0.13583700000000001</v>
      </c>
      <c r="E12" s="29">
        <v>0.194662</v>
      </c>
      <c r="F12" s="29">
        <v>0.297759</v>
      </c>
      <c r="G12" s="30">
        <v>0.34320299999999998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-7.0094000000000004E-2</v>
      </c>
      <c r="C13" s="29">
        <v>-2.8670000000000001E-2</v>
      </c>
      <c r="D13" s="29">
        <v>9.5960000000000004E-3</v>
      </c>
      <c r="E13" s="29">
        <v>7.6273999999999995E-2</v>
      </c>
      <c r="F13" s="29">
        <v>0.200764</v>
      </c>
      <c r="G13" s="30">
        <v>0.256492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0.18210599999999999</v>
      </c>
      <c r="C14" s="29">
        <v>0.23131399999999999</v>
      </c>
      <c r="D14" s="29">
        <v>0.26756799999999997</v>
      </c>
      <c r="E14" s="29">
        <v>0.31823000000000001</v>
      </c>
      <c r="F14" s="29">
        <v>0.39900999999999998</v>
      </c>
      <c r="G14" s="30">
        <v>0.43370399999999998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9.3782000000000004E-2</v>
      </c>
      <c r="C15" s="29">
        <v>0.166991</v>
      </c>
      <c r="D15" s="29">
        <v>0.219999</v>
      </c>
      <c r="E15" s="29">
        <v>0.28451100000000001</v>
      </c>
      <c r="F15" s="29">
        <v>0.359097</v>
      </c>
      <c r="G15" s="30">
        <v>0.388625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0.329517</v>
      </c>
      <c r="C16" s="29">
        <v>0.327428</v>
      </c>
      <c r="D16" s="29">
        <v>0.32578099999999999</v>
      </c>
      <c r="E16" s="29">
        <v>0.32384299999999999</v>
      </c>
      <c r="F16" s="29">
        <v>0.322822</v>
      </c>
      <c r="G16" s="30">
        <v>0.32287500000000002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-7.3800000000000005E-4</v>
      </c>
      <c r="C17" s="29">
        <v>1.4442999999999999E-2</v>
      </c>
      <c r="D17" s="29">
        <v>4.1036000000000003E-2</v>
      </c>
      <c r="E17" s="29">
        <v>0.104828</v>
      </c>
      <c r="F17" s="29">
        <v>0.23466500000000001</v>
      </c>
      <c r="G17" s="30">
        <v>0.29422599999999999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6.9403999999999993E-2</v>
      </c>
      <c r="C18" s="29">
        <v>4.3125999999999998E-2</v>
      </c>
      <c r="D18" s="29">
        <v>3.1437E-2</v>
      </c>
      <c r="E18" s="29">
        <v>2.8532999999999999E-2</v>
      </c>
      <c r="F18" s="29">
        <v>3.3832000000000001E-2</v>
      </c>
      <c r="G18" s="30">
        <v>3.7636999999999997E-2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-1.43293</v>
      </c>
      <c r="C19" s="29">
        <v>-4.1339199999999998</v>
      </c>
      <c r="D19" s="29">
        <v>-7.28599</v>
      </c>
      <c r="E19" s="29">
        <v>-12.60337</v>
      </c>
      <c r="F19" s="29">
        <v>-17.05613</v>
      </c>
      <c r="G19" s="30">
        <v>-28.98122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3.9820000000000003E-3</v>
      </c>
      <c r="C20" s="29">
        <v>1.1128000000000001E-2</v>
      </c>
      <c r="D20" s="29">
        <v>1.9057000000000001E-2</v>
      </c>
      <c r="E20" s="29">
        <v>3.1441999999999998E-2</v>
      </c>
      <c r="F20" s="29">
        <v>3.9958E-2</v>
      </c>
      <c r="G20" s="30">
        <v>4.4963000000000003E-2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-6.3403000000000001E-2</v>
      </c>
      <c r="C21" s="29">
        <v>-3.4513000000000002E-2</v>
      </c>
      <c r="D21" s="29">
        <v>-1.5688000000000001E-2</v>
      </c>
      <c r="E21" s="29">
        <v>-6.5200000000000002E-4</v>
      </c>
      <c r="F21" s="29">
        <v>-6.3359999999999996E-3</v>
      </c>
      <c r="G21" s="30">
        <v>-1.763E-2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-4.4019999999999997E-3</v>
      </c>
      <c r="C22" s="29">
        <v>-1.1906E-2</v>
      </c>
      <c r="D22" s="29">
        <v>-1.8454999999999999E-2</v>
      </c>
      <c r="E22" s="29">
        <v>-2.4560999999999999E-2</v>
      </c>
      <c r="F22" s="29">
        <v>-1.2304000000000001E-2</v>
      </c>
      <c r="G22" s="30">
        <v>-2.0660999999999999E-2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  <row r="26" spans="1:13" x14ac:dyDescent="0.25">
      <c r="A26" s="34" t="s">
        <v>85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TRANSPOSE('FF10'!$B$3:$T$8)</f>
        <v>-2.0105999999999999E-2</v>
      </c>
      <c r="C29" s="29">
        <v>-4.2092999999999998E-2</v>
      </c>
      <c r="D29" s="29">
        <v>-5.8831000000000001E-2</v>
      </c>
      <c r="E29" s="29">
        <v>-7.4968999999999994E-2</v>
      </c>
      <c r="F29" s="29">
        <v>-7.2039000000000006E-2</v>
      </c>
      <c r="G29" s="30">
        <v>-7.9809000000000005E-2</v>
      </c>
      <c r="H29" s="43">
        <v>-0.1</v>
      </c>
      <c r="I29" s="43">
        <v>-0.24</v>
      </c>
      <c r="J29" s="43">
        <v>-0.18</v>
      </c>
      <c r="K29" s="43">
        <v>-0.21</v>
      </c>
      <c r="L29" s="43">
        <v>-0.22</v>
      </c>
      <c r="M29" s="44">
        <v>-0.17</v>
      </c>
    </row>
    <row r="30" spans="1:13" x14ac:dyDescent="0.25">
      <c r="A30" s="31" t="s">
        <v>56</v>
      </c>
      <c r="B30" s="29">
        <v>-4.7021E-2</v>
      </c>
      <c r="C30" s="29">
        <v>-9.2091000000000006E-2</v>
      </c>
      <c r="D30" s="29">
        <v>-0.12062</v>
      </c>
      <c r="E30" s="29">
        <v>-0.13340299999999999</v>
      </c>
      <c r="F30" s="29">
        <v>-8.1295000000000006E-2</v>
      </c>
      <c r="G30" s="30">
        <v>-7.9858999999999999E-2</v>
      </c>
      <c r="H30" s="13">
        <v>-0.14000000000000001</v>
      </c>
      <c r="I30" s="13">
        <v>-0.33</v>
      </c>
      <c r="J30" s="13">
        <v>-0.35</v>
      </c>
      <c r="K30" s="13">
        <v>-0.42</v>
      </c>
      <c r="L30" s="13">
        <v>-0.53</v>
      </c>
      <c r="M30" s="32">
        <v>-0.48</v>
      </c>
    </row>
    <row r="31" spans="1:13" x14ac:dyDescent="0.25">
      <c r="A31" s="31" t="s">
        <v>53</v>
      </c>
      <c r="B31" s="29">
        <v>-1.2695E-2</v>
      </c>
      <c r="C31" s="29">
        <v>-3.1917000000000001E-2</v>
      </c>
      <c r="D31" s="29">
        <v>-5.0103000000000002E-2</v>
      </c>
      <c r="E31" s="29">
        <v>-7.1163000000000004E-2</v>
      </c>
      <c r="F31" s="29">
        <v>-5.7221000000000001E-2</v>
      </c>
      <c r="G31" s="30">
        <v>-3.2070000000000002E-3</v>
      </c>
      <c r="H31" s="13">
        <v>-0.12</v>
      </c>
      <c r="I31" s="13">
        <v>-0.39</v>
      </c>
      <c r="J31" s="13">
        <v>-0.27</v>
      </c>
      <c r="K31" s="13">
        <v>-0.25</v>
      </c>
      <c r="L31" s="13">
        <v>-0.23</v>
      </c>
      <c r="M31" s="32">
        <v>-0.17</v>
      </c>
    </row>
    <row r="32" spans="1:13" x14ac:dyDescent="0.25">
      <c r="A32" s="31" t="s">
        <v>54</v>
      </c>
      <c r="B32" s="29">
        <v>-1.6743999999999998E-2</v>
      </c>
      <c r="C32" s="29">
        <v>-4.1514000000000002E-2</v>
      </c>
      <c r="D32" s="29">
        <v>-6.8310999999999997E-2</v>
      </c>
      <c r="E32" s="29">
        <v>-0.11647299999999999</v>
      </c>
      <c r="F32" s="29">
        <v>-0.18960199999999999</v>
      </c>
      <c r="G32" s="30">
        <v>-0.231936</v>
      </c>
      <c r="H32" s="13">
        <v>-0.06</v>
      </c>
      <c r="I32" s="13">
        <v>-0.12</v>
      </c>
      <c r="J32" s="13">
        <v>-0.14000000000000001</v>
      </c>
      <c r="K32" s="13">
        <v>-0.16</v>
      </c>
      <c r="L32" s="13">
        <v>-0.08</v>
      </c>
      <c r="M32" s="32">
        <v>-0.02</v>
      </c>
    </row>
    <row r="33" spans="1:13" x14ac:dyDescent="0.25">
      <c r="A33" s="31" t="s">
        <v>55</v>
      </c>
      <c r="B33" s="29">
        <v>-4.4152999999999998E-2</v>
      </c>
      <c r="C33" s="29">
        <v>-9.0880000000000002E-2</v>
      </c>
      <c r="D33" s="29">
        <v>-0.12607099999999999</v>
      </c>
      <c r="E33" s="29">
        <v>-0.15708800000000001</v>
      </c>
      <c r="F33" s="29">
        <v>-0.13186800000000001</v>
      </c>
      <c r="G33" s="30">
        <v>-0.10507900000000001</v>
      </c>
      <c r="H33" s="13">
        <v>-0.17</v>
      </c>
      <c r="I33" s="13">
        <v>-0.44</v>
      </c>
      <c r="J33" s="13">
        <v>-0.31</v>
      </c>
      <c r="K33" s="13">
        <v>-0.37</v>
      </c>
      <c r="L33" s="13">
        <v>-0.43</v>
      </c>
      <c r="M33" s="32">
        <v>-0.41</v>
      </c>
    </row>
    <row r="34" spans="1:13" x14ac:dyDescent="0.25">
      <c r="A34" s="31" t="s">
        <v>57</v>
      </c>
      <c r="B34" s="29">
        <v>-6.9227999999999998E-2</v>
      </c>
      <c r="C34" s="29">
        <v>-0.107559</v>
      </c>
      <c r="D34" s="29">
        <v>-0.12418899999999999</v>
      </c>
      <c r="E34" s="29">
        <v>-0.124097</v>
      </c>
      <c r="F34" s="29">
        <v>-7.7537999999999996E-2</v>
      </c>
      <c r="G34" s="30">
        <v>-7.9857999999999998E-2</v>
      </c>
      <c r="H34" s="13">
        <v>-0.28000000000000003</v>
      </c>
      <c r="I34" s="13">
        <v>-0.34</v>
      </c>
      <c r="J34" s="13">
        <v>-0.36</v>
      </c>
      <c r="K34" s="13">
        <v>-0.48</v>
      </c>
      <c r="L34" s="13">
        <v>-0.54</v>
      </c>
      <c r="M34" s="32">
        <v>-0.48</v>
      </c>
    </row>
    <row r="35" spans="1:13" x14ac:dyDescent="0.25">
      <c r="A35" s="31" t="s">
        <v>58</v>
      </c>
      <c r="B35" s="29">
        <v>-1.9338000000000001E-2</v>
      </c>
      <c r="C35" s="29">
        <v>-1.3475000000000001E-2</v>
      </c>
      <c r="D35" s="29">
        <v>-3.1089999999999998E-3</v>
      </c>
      <c r="E35" s="29">
        <v>8.1080000000000006E-3</v>
      </c>
      <c r="F35" s="29">
        <v>3.271E-3</v>
      </c>
      <c r="G35" s="30">
        <v>1.26E-6</v>
      </c>
      <c r="H35" s="13">
        <v>-0.12</v>
      </c>
      <c r="I35" s="13">
        <v>-0.01</v>
      </c>
      <c r="J35" s="13">
        <v>-0.01</v>
      </c>
      <c r="K35" s="13">
        <v>-0.05</v>
      </c>
      <c r="L35" s="13">
        <v>0</v>
      </c>
      <c r="M35" s="32">
        <v>0</v>
      </c>
    </row>
    <row r="36" spans="1:13" x14ac:dyDescent="0.25">
      <c r="A36" s="31" t="s">
        <v>69</v>
      </c>
      <c r="B36" s="29">
        <v>6.1892000000000003E-2</v>
      </c>
      <c r="C36" s="29">
        <v>0.108635</v>
      </c>
      <c r="D36" s="29">
        <v>0.144453</v>
      </c>
      <c r="E36" s="29">
        <v>0.19775999999999999</v>
      </c>
      <c r="F36" s="29">
        <v>0.28643099999999999</v>
      </c>
      <c r="G36" s="30">
        <v>0.32295400000000002</v>
      </c>
      <c r="H36" s="13">
        <v>0.33</v>
      </c>
      <c r="I36" s="13">
        <v>0.4</v>
      </c>
      <c r="J36" s="13">
        <v>0.4</v>
      </c>
      <c r="K36" s="13">
        <v>0.37</v>
      </c>
      <c r="L36" s="13">
        <v>0.24</v>
      </c>
      <c r="M36" s="32">
        <v>0.13</v>
      </c>
    </row>
    <row r="37" spans="1:13" x14ac:dyDescent="0.25">
      <c r="A37" s="31" t="s">
        <v>70</v>
      </c>
      <c r="B37" s="29">
        <v>5.3345999999999998E-2</v>
      </c>
      <c r="C37" s="29">
        <v>9.8568000000000003E-2</v>
      </c>
      <c r="D37" s="29">
        <v>0.13583700000000001</v>
      </c>
      <c r="E37" s="29">
        <v>0.194662</v>
      </c>
      <c r="F37" s="29">
        <v>0.297759</v>
      </c>
      <c r="G37" s="30">
        <v>0.34320299999999998</v>
      </c>
      <c r="H37" s="13">
        <v>0.21</v>
      </c>
      <c r="I37" s="13">
        <v>0.26</v>
      </c>
      <c r="J37" s="13">
        <v>0.23</v>
      </c>
      <c r="K37" s="13">
        <v>0.17</v>
      </c>
      <c r="L37" s="13">
        <v>0.02</v>
      </c>
      <c r="M37" s="32">
        <v>-0.08</v>
      </c>
    </row>
    <row r="38" spans="1:13" x14ac:dyDescent="0.25">
      <c r="A38" s="31" t="s">
        <v>71</v>
      </c>
      <c r="B38" s="29">
        <v>-7.0094000000000004E-2</v>
      </c>
      <c r="C38" s="29">
        <v>-2.8670000000000001E-2</v>
      </c>
      <c r="D38" s="29">
        <v>9.5960000000000004E-3</v>
      </c>
      <c r="E38" s="29">
        <v>7.6273999999999995E-2</v>
      </c>
      <c r="F38" s="29">
        <v>0.200764</v>
      </c>
      <c r="G38" s="30">
        <v>0.256492</v>
      </c>
      <c r="H38" s="13">
        <v>-0.03</v>
      </c>
      <c r="I38" s="13">
        <v>-0.03</v>
      </c>
      <c r="J38" s="13">
        <v>-0.05</v>
      </c>
      <c r="K38" s="13">
        <v>-7.0000000000000007E-2</v>
      </c>
      <c r="L38" s="13">
        <v>-0.22</v>
      </c>
      <c r="M38" s="32">
        <v>-0.35</v>
      </c>
    </row>
    <row r="39" spans="1:13" x14ac:dyDescent="0.25">
      <c r="A39" s="31" t="s">
        <v>75</v>
      </c>
      <c r="B39" s="29">
        <v>0.18210599999999999</v>
      </c>
      <c r="C39" s="29">
        <v>0.23131399999999999</v>
      </c>
      <c r="D39" s="29">
        <v>0.26756799999999997</v>
      </c>
      <c r="E39" s="29">
        <v>0.31823000000000001</v>
      </c>
      <c r="F39" s="29">
        <v>0.39900999999999998</v>
      </c>
      <c r="G39" s="30">
        <v>0.43370399999999998</v>
      </c>
      <c r="H39" s="13">
        <v>0.43</v>
      </c>
      <c r="I39" s="13">
        <v>0.52</v>
      </c>
      <c r="J39" s="13">
        <v>0.51</v>
      </c>
      <c r="K39" s="13">
        <v>0.47</v>
      </c>
      <c r="L39" s="13">
        <v>0.34</v>
      </c>
      <c r="M39" s="32">
        <v>0.25</v>
      </c>
    </row>
    <row r="40" spans="1:13" x14ac:dyDescent="0.25">
      <c r="A40" s="31" t="s">
        <v>67</v>
      </c>
      <c r="B40" s="29">
        <v>9.3782000000000004E-2</v>
      </c>
      <c r="C40" s="29">
        <v>0.166991</v>
      </c>
      <c r="D40" s="29">
        <v>0.219999</v>
      </c>
      <c r="E40" s="29">
        <v>0.28451100000000001</v>
      </c>
      <c r="F40" s="29">
        <v>0.359097</v>
      </c>
      <c r="G40" s="30">
        <v>0.388625</v>
      </c>
      <c r="H40" s="13">
        <v>0.19</v>
      </c>
      <c r="I40" s="13">
        <v>0.25</v>
      </c>
      <c r="J40" s="13">
        <v>0.24</v>
      </c>
      <c r="K40" s="13">
        <v>0.22</v>
      </c>
      <c r="L40" s="13">
        <v>0.12</v>
      </c>
      <c r="M40" s="32">
        <v>0.06</v>
      </c>
    </row>
    <row r="41" spans="1:13" x14ac:dyDescent="0.25">
      <c r="A41" s="31" t="s">
        <v>68</v>
      </c>
      <c r="B41" s="29">
        <v>0.329517</v>
      </c>
      <c r="C41" s="29">
        <v>0.327428</v>
      </c>
      <c r="D41" s="29">
        <v>0.32578099999999999</v>
      </c>
      <c r="E41" s="29">
        <v>0.32384299999999999</v>
      </c>
      <c r="F41" s="29">
        <v>0.322822</v>
      </c>
      <c r="G41" s="30">
        <v>0.32287500000000002</v>
      </c>
      <c r="H41" s="13">
        <v>0.93</v>
      </c>
      <c r="I41" s="13">
        <v>1.1299999999999999</v>
      </c>
      <c r="J41" s="13">
        <v>1.1399999999999999</v>
      </c>
      <c r="K41" s="13">
        <v>1.1299999999999999</v>
      </c>
      <c r="L41" s="13">
        <v>1.03</v>
      </c>
      <c r="M41" s="32">
        <v>0.98</v>
      </c>
    </row>
    <row r="42" spans="1:13" x14ac:dyDescent="0.25">
      <c r="A42" s="31" t="s">
        <v>72</v>
      </c>
      <c r="B42" s="29">
        <v>-7.3800000000000005E-4</v>
      </c>
      <c r="C42" s="29">
        <v>1.4442999999999999E-2</v>
      </c>
      <c r="D42" s="29">
        <v>4.1036000000000003E-2</v>
      </c>
      <c r="E42" s="29">
        <v>0.104828</v>
      </c>
      <c r="F42" s="29">
        <v>0.23466500000000001</v>
      </c>
      <c r="G42" s="30">
        <v>0.29422599999999999</v>
      </c>
      <c r="H42" s="13">
        <v>0.11</v>
      </c>
      <c r="I42" s="13">
        <v>0.11</v>
      </c>
      <c r="J42" s="13">
        <v>0.01</v>
      </c>
      <c r="K42" s="13">
        <v>-0.25</v>
      </c>
      <c r="L42" s="13">
        <v>-0.49</v>
      </c>
      <c r="M42" s="32">
        <v>-0.53</v>
      </c>
    </row>
    <row r="43" spans="1:13" x14ac:dyDescent="0.25">
      <c r="A43" s="31" t="s">
        <v>73</v>
      </c>
      <c r="B43" s="29">
        <v>6.9403999999999993E-2</v>
      </c>
      <c r="C43" s="29">
        <v>4.3125999999999998E-2</v>
      </c>
      <c r="D43" s="29">
        <v>3.1437E-2</v>
      </c>
      <c r="E43" s="29">
        <v>2.8532999999999999E-2</v>
      </c>
      <c r="F43" s="29">
        <v>3.3832000000000001E-2</v>
      </c>
      <c r="G43" s="30">
        <v>3.7636999999999997E-2</v>
      </c>
      <c r="H43" s="13">
        <v>0.14000000000000001</v>
      </c>
      <c r="I43" s="13">
        <v>0.14000000000000001</v>
      </c>
      <c r="J43" s="13">
        <v>0.05</v>
      </c>
      <c r="K43" s="13">
        <v>-0.18</v>
      </c>
      <c r="L43" s="13">
        <v>-0.27</v>
      </c>
      <c r="M43" s="32">
        <v>-0.19</v>
      </c>
    </row>
    <row r="44" spans="1:13" x14ac:dyDescent="0.25">
      <c r="A44" s="31" t="s">
        <v>76</v>
      </c>
      <c r="B44" s="29">
        <v>-1.43293</v>
      </c>
      <c r="C44" s="29">
        <v>-4.1339199999999998</v>
      </c>
      <c r="D44" s="29">
        <v>-7.28599</v>
      </c>
      <c r="E44" s="29">
        <v>-12.60337</v>
      </c>
      <c r="F44" s="29">
        <v>-17.05613</v>
      </c>
      <c r="G44" s="30">
        <v>-28.98122</v>
      </c>
      <c r="H44" s="13">
        <v>-9</v>
      </c>
      <c r="I44" s="13">
        <v>-38</v>
      </c>
      <c r="J44" s="13">
        <v>-45</v>
      </c>
      <c r="K44" s="13">
        <v>-25</v>
      </c>
      <c r="L44" s="13">
        <v>-19</v>
      </c>
      <c r="M44" s="32">
        <v>-13</v>
      </c>
    </row>
    <row r="45" spans="1:13" x14ac:dyDescent="0.25">
      <c r="A45" s="31" t="s">
        <v>74</v>
      </c>
      <c r="B45" s="29">
        <v>3.9820000000000003E-3</v>
      </c>
      <c r="C45" s="29">
        <v>1.1128000000000001E-2</v>
      </c>
      <c r="D45" s="29">
        <v>1.9057000000000001E-2</v>
      </c>
      <c r="E45" s="29">
        <v>3.1441999999999998E-2</v>
      </c>
      <c r="F45" s="29">
        <v>3.9958E-2</v>
      </c>
      <c r="G45" s="30">
        <v>4.4963000000000003E-2</v>
      </c>
      <c r="H45" s="13">
        <v>0.04</v>
      </c>
      <c r="I45" s="13">
        <v>0.16</v>
      </c>
      <c r="J45" s="13">
        <v>0.19</v>
      </c>
      <c r="K45" s="13">
        <v>0.11</v>
      </c>
      <c r="L45" s="13">
        <v>0.08</v>
      </c>
      <c r="M45" s="32">
        <v>0.06</v>
      </c>
    </row>
    <row r="46" spans="1:13" x14ac:dyDescent="0.25">
      <c r="A46" s="31" t="s">
        <v>77</v>
      </c>
      <c r="B46" s="29">
        <v>-6.3403000000000001E-2</v>
      </c>
      <c r="C46" s="29">
        <v>-3.4513000000000002E-2</v>
      </c>
      <c r="D46" s="29">
        <v>-1.5688000000000001E-2</v>
      </c>
      <c r="E46" s="29">
        <v>-6.5200000000000002E-4</v>
      </c>
      <c r="F46" s="29">
        <v>-6.3359999999999996E-3</v>
      </c>
      <c r="G46" s="30">
        <v>-1.763E-2</v>
      </c>
      <c r="H46" s="13">
        <v>-0.2</v>
      </c>
      <c r="I46" s="13">
        <v>-0.18</v>
      </c>
      <c r="J46" s="13">
        <v>-0.24</v>
      </c>
      <c r="K46" s="13">
        <v>-0.24</v>
      </c>
      <c r="L46" s="13">
        <v>-0.2</v>
      </c>
      <c r="M46" s="32">
        <v>-0.19</v>
      </c>
    </row>
    <row r="47" spans="1:13" ht="30" x14ac:dyDescent="0.25">
      <c r="A47" s="45" t="s">
        <v>78</v>
      </c>
      <c r="B47" s="29">
        <v>-4.4019999999999997E-3</v>
      </c>
      <c r="C47" s="29">
        <v>-1.1906E-2</v>
      </c>
      <c r="D47" s="29">
        <v>-1.8454999999999999E-2</v>
      </c>
      <c r="E47" s="29">
        <v>-2.4560999999999999E-2</v>
      </c>
      <c r="F47" s="29">
        <v>-1.2304000000000001E-2</v>
      </c>
      <c r="G47" s="30">
        <v>-2.0660999999999999E-2</v>
      </c>
      <c r="H47" s="13">
        <v>-0.05</v>
      </c>
      <c r="I47" s="13">
        <v>-0.2</v>
      </c>
      <c r="J47" s="13">
        <v>-0.21</v>
      </c>
      <c r="K47" s="13">
        <v>-0.18</v>
      </c>
      <c r="L47" s="13">
        <v>-0.17</v>
      </c>
      <c r="M47" s="32">
        <v>-0.15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-0.02 &amp; -0.04 &amp; -0.06 &amp; -0.07 &amp; -0.07 &amp; -0.08 \\</v>
      </c>
    </row>
    <row r="52" spans="1:1" x14ac:dyDescent="0.25">
      <c r="A52" s="37" t="str">
        <f t="shared" si="0"/>
        <v>\textbf{Household consumption} &amp; -0.05 &amp; -0.09 &amp; -0.12 &amp; -0.13 &amp; -0.08 &amp; -0.08 \\</v>
      </c>
    </row>
    <row r="53" spans="1:1" x14ac:dyDescent="0.25">
      <c r="A53" s="37" t="str">
        <f t="shared" si="0"/>
        <v>\textbf{Investment} &amp; -0.01 &amp; -0.03 &amp; -0.05 &amp; -0.07 &amp; -0.06 &amp; 0.00 \\</v>
      </c>
    </row>
    <row r="54" spans="1:1" x14ac:dyDescent="0.25">
      <c r="A54" s="37" t="str">
        <f t="shared" si="0"/>
        <v>\textbf{Exports} &amp; -0.02 &amp; -0.04 &amp; -0.07 &amp; -0.12 &amp; -0.19 &amp; -0.23 \\</v>
      </c>
    </row>
    <row r="55" spans="1:1" x14ac:dyDescent="0.25">
      <c r="A55" s="37" t="str">
        <f t="shared" si="0"/>
        <v>\textbf{Imports} &amp; -0.04 &amp; -0.09 &amp; -0.13 &amp; -0.16 &amp; -0.13 &amp; -0.11 \\</v>
      </c>
    </row>
    <row r="56" spans="1:1" x14ac:dyDescent="0.25">
      <c r="A56" s="37" t="str">
        <f t="shared" si="0"/>
        <v>\textbf{Household disposable income } &amp; -0.07 &amp; -0.11 &amp; -0.12 &amp; -0.12 &amp; -0.08 &amp; -0.08 \\</v>
      </c>
    </row>
    <row r="57" spans="1:1" x14ac:dyDescent="0.25">
      <c r="A57" s="37" t="str">
        <f t="shared" si="0"/>
        <v>\textbf{Saving rate} &amp; -0.02 &amp; -0.01 &amp; 0.00 &amp; 0.01 &amp; 0.00 &amp; 0.00 \\</v>
      </c>
    </row>
    <row r="58" spans="1:1" x14ac:dyDescent="0.25">
      <c r="A58" s="37" t="str">
        <f t="shared" si="0"/>
        <v>\textbf{Household consumption price index} &amp; 0.06 &amp; 0.11 &amp; 0.14 &amp; 0.20 &amp; 0.29 &amp; 0.32 \\</v>
      </c>
    </row>
    <row r="59" spans="1:1" x14ac:dyDescent="0.25">
      <c r="A59" s="37" t="str">
        <f t="shared" si="0"/>
        <v>\textbf{Production price index} &amp; 0.05 &amp; 0.10 &amp; 0.14 &amp; 0.19 &amp; 0.30 &amp; 0.34 \\</v>
      </c>
    </row>
    <row r="60" spans="1:1" x14ac:dyDescent="0.25">
      <c r="A60" s="37" t="str">
        <f t="shared" si="0"/>
        <v>\textbf{Added value price index} &amp; -0.07 &amp; -0.03 &amp; 0.01 &amp; 0.08 &amp; 0.20 &amp; 0.26 \\</v>
      </c>
    </row>
    <row r="61" spans="1:1" x14ac:dyDescent="0.25">
      <c r="A61" s="37" t="str">
        <f t="shared" si="0"/>
        <v>\textbf{Intermediate consumption price index} &amp; 0.18 &amp; 0.23 &amp; 0.27 &amp; 0.32 &amp; 0.40 &amp; 0.43 \\</v>
      </c>
    </row>
    <row r="62" spans="1:1" x14ac:dyDescent="0.25">
      <c r="A62" s="37" t="str">
        <f t="shared" si="0"/>
        <v>\textbf{Export price index} &amp; 0.09 &amp; 0.17 &amp; 0.22 &amp; 0.28 &amp; 0.36 &amp; 0.39 \\</v>
      </c>
    </row>
    <row r="63" spans="1:1" x14ac:dyDescent="0.25">
      <c r="A63" s="37" t="str">
        <f t="shared" si="0"/>
        <v>\textbf{Import price index} &amp; 0.33 &amp; 0.33 &amp; 0.33 &amp; 0.32 &amp; 0.32 &amp; 0.32 \\</v>
      </c>
    </row>
    <row r="64" spans="1:1" x14ac:dyDescent="0.25">
      <c r="A64" s="37" t="str">
        <f t="shared" si="0"/>
        <v>\textbf{Gross nominal wage} &amp; 0.00 &amp; 0.01 &amp; 0.04 &amp; 0.10 &amp; 0.23 &amp; 0.29 \\</v>
      </c>
    </row>
    <row r="65" spans="1:1" x14ac:dyDescent="0.25">
      <c r="A65" s="37" t="str">
        <f t="shared" si="0"/>
        <v>\textbf{Real cost of labor} &amp; 0.07 &amp; 0.04 &amp; 0.03 &amp; 0.03 &amp; 0.03 &amp; 0.04 \\</v>
      </c>
    </row>
    <row r="66" spans="1:1" x14ac:dyDescent="0.25">
      <c r="A66" s="37" t="str">
        <f t="shared" si="0"/>
        <v>\textbf{Wage employment (in thousands)} &amp; -1.43 &amp; -4.13 &amp; -7.29 &amp; -12.60 &amp; -17.06 &amp; -28.98 \\</v>
      </c>
    </row>
    <row r="67" spans="1:1" x14ac:dyDescent="0.25">
      <c r="A67" s="37" t="str">
        <f t="shared" si="0"/>
        <v>\textbf{Unemployment rate} &amp; 0.00 &amp; 0.01 &amp; 0.02 &amp; 0.03 &amp; 0.04 &amp; 0.04 \\</v>
      </c>
    </row>
    <row r="68" spans="1:1" x14ac:dyDescent="0.25">
      <c r="A68" s="37" t="str">
        <f t="shared" si="0"/>
        <v>\textbf{Trade balance (in points of GDP)} &amp; -0.06 &amp; -0.03 &amp; -0.02 &amp; 0.00 &amp; -0.01 &amp; -0.02 \\</v>
      </c>
    </row>
    <row r="69" spans="1:1" x14ac:dyDescent="0.25">
      <c r="A69" s="37" t="str">
        <f t="shared" si="0"/>
        <v>\textbf{Public budget balance (in points of GDP)} &amp; 0.00 &amp; -0.01 &amp; -0.02 &amp; -0.02 &amp; -0.01 &amp; -0.02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M69"/>
  <sheetViews>
    <sheetView tabSelected="1" workbookViewId="0">
      <selection activeCell="G29" sqref="G29"/>
    </sheetView>
  </sheetViews>
  <sheetFormatPr defaultColWidth="11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52</v>
      </c>
      <c r="B1" s="66" t="s">
        <v>86</v>
      </c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</row>
    <row r="2" spans="1:13" x14ac:dyDescent="0.25">
      <c r="A2" s="41"/>
      <c r="B2" s="47" t="s">
        <v>45</v>
      </c>
      <c r="C2" s="47"/>
      <c r="D2" s="47"/>
      <c r="E2" s="47"/>
      <c r="F2" s="47"/>
      <c r="G2" s="48"/>
      <c r="H2" s="49" t="s">
        <v>46</v>
      </c>
      <c r="I2" s="50"/>
      <c r="J2" s="50"/>
      <c r="K2" s="50"/>
      <c r="L2" s="50"/>
      <c r="M2" s="51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90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-0.24940399999999999</v>
      </c>
      <c r="C4" s="29">
        <v>-0.40836</v>
      </c>
      <c r="D4" s="29">
        <v>-0.49874600000000002</v>
      </c>
      <c r="E4" s="29">
        <v>-0.56187900000000002</v>
      </c>
      <c r="F4" s="29">
        <v>-0.47564899999999999</v>
      </c>
      <c r="G4" s="30">
        <v>3.1210000000000001E-3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-0.52817199999999997</v>
      </c>
      <c r="C5" s="29">
        <v>-0.809504</v>
      </c>
      <c r="D5" s="29">
        <v>-0.918825</v>
      </c>
      <c r="E5" s="29">
        <v>-0.88262700000000005</v>
      </c>
      <c r="F5" s="29">
        <v>-0.43239499999999997</v>
      </c>
      <c r="G5" s="30">
        <v>-2.8800000000000001E-4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-0.18762899999999999</v>
      </c>
      <c r="C6" s="29">
        <v>-0.36393500000000001</v>
      </c>
      <c r="D6" s="29">
        <v>-0.49224499999999999</v>
      </c>
      <c r="E6" s="29">
        <v>-0.60312699999999997</v>
      </c>
      <c r="F6" s="29">
        <v>-0.449797</v>
      </c>
      <c r="G6" s="30">
        <v>-1.108E-2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-8.7817000000000006E-2</v>
      </c>
      <c r="C7" s="29">
        <v>-0.205486</v>
      </c>
      <c r="D7" s="29">
        <v>-0.32644699999999999</v>
      </c>
      <c r="E7" s="29">
        <v>-0.54098900000000005</v>
      </c>
      <c r="F7" s="29">
        <v>-0.87884099999999998</v>
      </c>
      <c r="G7" s="30">
        <v>2.2339999999999999E-3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-0.35259299999999999</v>
      </c>
      <c r="C8" s="29">
        <v>-0.57636299999999996</v>
      </c>
      <c r="D8" s="29">
        <v>-0.68311100000000002</v>
      </c>
      <c r="E8" s="29">
        <v>-0.69207200000000002</v>
      </c>
      <c r="F8" s="29">
        <v>-0.37087700000000001</v>
      </c>
      <c r="G8" s="30">
        <v>-1.6836E-2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-0.78825500000000004</v>
      </c>
      <c r="C9" s="29">
        <v>-0.87906899999999999</v>
      </c>
      <c r="D9" s="29">
        <v>-0.88545300000000005</v>
      </c>
      <c r="E9" s="29">
        <v>-0.80213299999999998</v>
      </c>
      <c r="F9" s="29">
        <v>-0.40925699999999998</v>
      </c>
      <c r="G9" s="30">
        <v>-2.8899999999999998E-4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-0.22811500000000001</v>
      </c>
      <c r="C10" s="29">
        <v>-6.1069999999999999E-2</v>
      </c>
      <c r="D10" s="29">
        <v>2.9298999999999999E-2</v>
      </c>
      <c r="E10" s="29">
        <v>7.0610000000000006E-2</v>
      </c>
      <c r="F10" s="29">
        <v>2.0216000000000001E-2</v>
      </c>
      <c r="G10" s="30">
        <v>-1.2899999999999999E-6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0.88842900000000002</v>
      </c>
      <c r="C11" s="29">
        <v>1.0889720000000001</v>
      </c>
      <c r="D11" s="29">
        <v>1.256642</v>
      </c>
      <c r="E11" s="29">
        <v>1.5320579999999999</v>
      </c>
      <c r="F11" s="29">
        <v>1.9307080000000001</v>
      </c>
      <c r="G11" s="30">
        <v>-4.62E-3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0.38660299999999997</v>
      </c>
      <c r="C12" s="29">
        <v>0.66064400000000001</v>
      </c>
      <c r="D12" s="29">
        <v>0.87911799999999996</v>
      </c>
      <c r="E12" s="29">
        <v>1.2287589999999999</v>
      </c>
      <c r="F12" s="29">
        <v>1.7719780000000001</v>
      </c>
      <c r="G12" s="30">
        <v>-7.6210000000000002E-3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-0.21928400000000001</v>
      </c>
      <c r="C13" s="29">
        <v>0.125227</v>
      </c>
      <c r="D13" s="29">
        <v>0.407605</v>
      </c>
      <c r="E13" s="29">
        <v>0.86967799999999995</v>
      </c>
      <c r="F13" s="29">
        <v>1.6156239999999999</v>
      </c>
      <c r="G13" s="30">
        <v>-1.103E-2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1.0190109999999999</v>
      </c>
      <c r="C14" s="29">
        <v>1.2201679999999999</v>
      </c>
      <c r="D14" s="29">
        <v>1.3723339999999999</v>
      </c>
      <c r="E14" s="29">
        <v>1.604746</v>
      </c>
      <c r="F14" s="29">
        <v>1.935689</v>
      </c>
      <c r="G14" s="30">
        <v>-4.0639999999999999E-3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0.49033399999999999</v>
      </c>
      <c r="C15" s="29">
        <v>0.80661700000000003</v>
      </c>
      <c r="D15" s="29">
        <v>1.0245880000000001</v>
      </c>
      <c r="E15" s="29">
        <v>1.311248</v>
      </c>
      <c r="F15" s="29">
        <v>1.6737</v>
      </c>
      <c r="G15" s="30">
        <v>-4.6839999999999998E-3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</v>
      </c>
      <c r="C16" s="29">
        <v>0</v>
      </c>
      <c r="D16" s="29">
        <v>0</v>
      </c>
      <c r="E16" s="29">
        <v>0</v>
      </c>
      <c r="F16" s="29">
        <v>0</v>
      </c>
      <c r="G16" s="30">
        <v>0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-1.1405E-2</v>
      </c>
      <c r="C17" s="29">
        <v>0.21173800000000001</v>
      </c>
      <c r="D17" s="29">
        <v>0.47670099999999999</v>
      </c>
      <c r="E17" s="29">
        <v>0.94844200000000001</v>
      </c>
      <c r="F17" s="29">
        <v>1.6807369999999999</v>
      </c>
      <c r="G17" s="30">
        <v>-9.2680000000000002E-3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0.20833599999999999</v>
      </c>
      <c r="C18" s="29">
        <v>8.6402999999999994E-2</v>
      </c>
      <c r="D18" s="29">
        <v>6.8816000000000002E-2</v>
      </c>
      <c r="E18" s="29">
        <v>7.8085000000000002E-2</v>
      </c>
      <c r="F18" s="29">
        <v>6.4076999999999995E-2</v>
      </c>
      <c r="G18" s="30">
        <v>1.763E-3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-16.78116</v>
      </c>
      <c r="C19" s="29">
        <v>-42.472920000000002</v>
      </c>
      <c r="D19" s="29">
        <v>-68.624840000000006</v>
      </c>
      <c r="E19" s="29">
        <v>-107.7225</v>
      </c>
      <c r="F19" s="29">
        <v>-129.42490000000001</v>
      </c>
      <c r="G19" s="30">
        <v>-4.8174900000000003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4.6634000000000002E-2</v>
      </c>
      <c r="C20" s="29">
        <v>0.113894</v>
      </c>
      <c r="D20" s="29">
        <v>0.17844599999999999</v>
      </c>
      <c r="E20" s="29">
        <v>0.26716899999999999</v>
      </c>
      <c r="F20" s="29">
        <v>0.30155900000000002</v>
      </c>
      <c r="G20" s="30">
        <v>7.4619999999999999E-3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0.22468399999999999</v>
      </c>
      <c r="C21" s="29">
        <v>0.348439</v>
      </c>
      <c r="D21" s="29">
        <v>0.408194</v>
      </c>
      <c r="E21" s="29">
        <v>0.43220500000000001</v>
      </c>
      <c r="F21" s="29">
        <v>0.346779</v>
      </c>
      <c r="G21" s="30">
        <v>4.2630000000000003E-3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0.61788299999999996</v>
      </c>
      <c r="C22" s="29">
        <v>0.46557199999999999</v>
      </c>
      <c r="D22" s="29">
        <v>0.37094199999999999</v>
      </c>
      <c r="E22" s="29">
        <v>0.27934999999999999</v>
      </c>
      <c r="F22" s="29">
        <v>0.31012000000000001</v>
      </c>
      <c r="G22" s="30">
        <v>2.0990000000000002E-3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  <row r="26" spans="1:13" ht="30" x14ac:dyDescent="0.25">
      <c r="A26" s="34" t="s">
        <v>66</v>
      </c>
      <c r="B26" s="66" t="s">
        <v>88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41"/>
      <c r="B27" s="47" t="s">
        <v>45</v>
      </c>
      <c r="C27" s="47"/>
      <c r="D27" s="47"/>
      <c r="E27" s="47"/>
      <c r="F27" s="47"/>
      <c r="G27" s="48"/>
      <c r="H27" s="49" t="s">
        <v>46</v>
      </c>
      <c r="I27" s="50"/>
      <c r="J27" s="50"/>
      <c r="K27" s="50"/>
      <c r="L27" s="50"/>
      <c r="M27" s="51"/>
    </row>
    <row r="28" spans="1:13" x14ac:dyDescent="0.25">
      <c r="A28" s="22"/>
      <c r="B28" s="9" t="s">
        <v>59</v>
      </c>
      <c r="C28" s="9" t="s">
        <v>60</v>
      </c>
      <c r="D28" s="9" t="s">
        <v>61</v>
      </c>
      <c r="E28" s="9" t="s">
        <v>62</v>
      </c>
      <c r="F28" s="9" t="s">
        <v>63</v>
      </c>
      <c r="G28" s="11" t="s">
        <v>90</v>
      </c>
      <c r="H28" s="24" t="s">
        <v>59</v>
      </c>
      <c r="I28" s="10" t="s">
        <v>60</v>
      </c>
      <c r="J28" s="10" t="s">
        <v>65</v>
      </c>
      <c r="K28" s="10" t="s">
        <v>62</v>
      </c>
      <c r="L28" s="10" t="s">
        <v>63</v>
      </c>
      <c r="M28" s="25" t="s">
        <v>64</v>
      </c>
    </row>
    <row r="29" spans="1:13" x14ac:dyDescent="0.25">
      <c r="A29" s="31" t="s">
        <v>89</v>
      </c>
      <c r="B29" s="29">
        <f t="array" ref="B29:G47">TRANSPOSE('CT1'!$B$3:$T$8)</f>
        <v>-0.24940399999999999</v>
      </c>
      <c r="C29" s="29">
        <v>-0.40836</v>
      </c>
      <c r="D29" s="29">
        <v>-0.49874600000000002</v>
      </c>
      <c r="E29" s="29">
        <v>-0.56187900000000002</v>
      </c>
      <c r="F29" s="29">
        <v>-0.47564899999999999</v>
      </c>
      <c r="G29" s="30">
        <v>3.1210000000000001E-3</v>
      </c>
      <c r="H29" s="12">
        <v>-0.51</v>
      </c>
      <c r="I29" s="36">
        <v>-0.8</v>
      </c>
      <c r="J29" s="36">
        <v>-0.75</v>
      </c>
      <c r="K29" s="36">
        <v>-0.87</v>
      </c>
      <c r="L29" s="36">
        <v>-0.86</v>
      </c>
      <c r="M29" s="32">
        <v>-0.68</v>
      </c>
    </row>
    <row r="30" spans="1:13" x14ac:dyDescent="0.25">
      <c r="A30" s="31" t="s">
        <v>56</v>
      </c>
      <c r="B30" s="29">
        <v>-0.52817199999999997</v>
      </c>
      <c r="C30" s="29">
        <v>-0.809504</v>
      </c>
      <c r="D30" s="29">
        <v>-0.918825</v>
      </c>
      <c r="E30" s="29">
        <v>-0.88262700000000005</v>
      </c>
      <c r="F30" s="29">
        <v>-0.43239499999999997</v>
      </c>
      <c r="G30" s="30">
        <v>-2.8800000000000001E-4</v>
      </c>
      <c r="H30" s="12">
        <v>-0.75</v>
      </c>
      <c r="I30" s="36">
        <v>-1.3</v>
      </c>
      <c r="J30" s="36">
        <v>-1.34</v>
      </c>
      <c r="K30" s="36">
        <v>-1.71</v>
      </c>
      <c r="L30" s="36">
        <v>-2.09</v>
      </c>
      <c r="M30" s="32">
        <v>-1.9</v>
      </c>
    </row>
    <row r="31" spans="1:13" x14ac:dyDescent="0.25">
      <c r="A31" s="31" t="s">
        <v>53</v>
      </c>
      <c r="B31" s="29">
        <v>-0.18762899999999999</v>
      </c>
      <c r="C31" s="29">
        <v>-0.36393500000000001</v>
      </c>
      <c r="D31" s="29">
        <v>-0.49224499999999999</v>
      </c>
      <c r="E31" s="29">
        <v>-0.60312699999999997</v>
      </c>
      <c r="F31" s="29">
        <v>-0.449797</v>
      </c>
      <c r="G31" s="30">
        <v>-1.108E-2</v>
      </c>
      <c r="H31" s="12">
        <v>-0.7</v>
      </c>
      <c r="I31" s="36">
        <v>-1.32</v>
      </c>
      <c r="J31" s="36">
        <v>-1.06</v>
      </c>
      <c r="K31" s="36">
        <v>-1.03</v>
      </c>
      <c r="L31" s="36">
        <v>-0.86</v>
      </c>
      <c r="M31" s="32">
        <v>-0.66</v>
      </c>
    </row>
    <row r="32" spans="1:13" x14ac:dyDescent="0.25">
      <c r="A32" s="31" t="s">
        <v>54</v>
      </c>
      <c r="B32" s="29">
        <v>-8.7817000000000006E-2</v>
      </c>
      <c r="C32" s="29">
        <v>-0.205486</v>
      </c>
      <c r="D32" s="29">
        <v>-0.32644699999999999</v>
      </c>
      <c r="E32" s="29">
        <v>-0.54098900000000005</v>
      </c>
      <c r="F32" s="29">
        <v>-0.87884099999999998</v>
      </c>
      <c r="G32" s="30">
        <v>2.2339999999999999E-3</v>
      </c>
      <c r="H32" s="12">
        <v>-0.3</v>
      </c>
      <c r="I32" s="36">
        <v>-0.53</v>
      </c>
      <c r="J32" s="36">
        <v>-0.6</v>
      </c>
      <c r="K32" s="36">
        <v>-0.62</v>
      </c>
      <c r="L32" s="36">
        <v>-0.3</v>
      </c>
      <c r="M32" s="32">
        <v>-7.0000000000000007E-2</v>
      </c>
    </row>
    <row r="33" spans="1:13" x14ac:dyDescent="0.25">
      <c r="A33" s="31" t="s">
        <v>55</v>
      </c>
      <c r="B33" s="29">
        <v>-0.35259299999999999</v>
      </c>
      <c r="C33" s="29">
        <v>-0.57636299999999996</v>
      </c>
      <c r="D33" s="29">
        <v>-0.68311100000000002</v>
      </c>
      <c r="E33" s="29">
        <v>-0.69207200000000002</v>
      </c>
      <c r="F33" s="29">
        <v>-0.37087700000000001</v>
      </c>
      <c r="G33" s="30">
        <v>-1.6836E-2</v>
      </c>
      <c r="H33" s="12">
        <v>-0.85</v>
      </c>
      <c r="I33" s="36">
        <v>-1.4</v>
      </c>
      <c r="J33" s="36">
        <v>-1.18</v>
      </c>
      <c r="K33" s="36">
        <v>-1.35</v>
      </c>
      <c r="L33" s="36">
        <v>-1.43</v>
      </c>
      <c r="M33" s="32">
        <v>-1.36</v>
      </c>
    </row>
    <row r="34" spans="1:13" x14ac:dyDescent="0.25">
      <c r="A34" s="31" t="s">
        <v>57</v>
      </c>
      <c r="B34" s="29">
        <v>-0.78825500000000004</v>
      </c>
      <c r="C34" s="29">
        <v>-0.87906899999999999</v>
      </c>
      <c r="D34" s="29">
        <v>-0.88545300000000005</v>
      </c>
      <c r="E34" s="29">
        <v>-0.80213299999999998</v>
      </c>
      <c r="F34" s="29">
        <v>-0.40925699999999998</v>
      </c>
      <c r="G34" s="30">
        <v>-2.8899999999999998E-4</v>
      </c>
      <c r="H34" s="12">
        <v>-1.33</v>
      </c>
      <c r="I34" s="36">
        <v>-1.25</v>
      </c>
      <c r="J34" s="36">
        <v>-1.44</v>
      </c>
      <c r="K34" s="36">
        <v>-1.94</v>
      </c>
      <c r="L34" s="36">
        <v>-2.1</v>
      </c>
      <c r="M34" s="32">
        <v>-1.9</v>
      </c>
    </row>
    <row r="35" spans="1:13" x14ac:dyDescent="0.25">
      <c r="A35" s="31" t="s">
        <v>58</v>
      </c>
      <c r="B35" s="29">
        <v>-0.22811500000000001</v>
      </c>
      <c r="C35" s="29">
        <v>-6.1069999999999999E-2</v>
      </c>
      <c r="D35" s="29">
        <v>2.9298999999999999E-2</v>
      </c>
      <c r="E35" s="29">
        <v>7.0610000000000006E-2</v>
      </c>
      <c r="F35" s="29">
        <v>2.0216000000000001E-2</v>
      </c>
      <c r="G35" s="30">
        <v>-1.2899999999999999E-6</v>
      </c>
      <c r="H35" s="12">
        <v>-0.51</v>
      </c>
      <c r="I35" s="36">
        <v>0.04</v>
      </c>
      <c r="J35" s="36">
        <v>-0.09</v>
      </c>
      <c r="K35" s="36">
        <v>-0.2</v>
      </c>
      <c r="L35" s="36">
        <v>-0.01</v>
      </c>
      <c r="M35" s="32">
        <v>0</v>
      </c>
    </row>
    <row r="36" spans="1:13" x14ac:dyDescent="0.25">
      <c r="A36" s="31" t="s">
        <v>69</v>
      </c>
      <c r="B36" s="29">
        <v>0.88842900000000002</v>
      </c>
      <c r="C36" s="29">
        <v>1.0889720000000001</v>
      </c>
      <c r="D36" s="29">
        <v>1.256642</v>
      </c>
      <c r="E36" s="29">
        <v>1.5320579999999999</v>
      </c>
      <c r="F36" s="29">
        <v>1.9307080000000001</v>
      </c>
      <c r="G36" s="30">
        <v>-4.62E-3</v>
      </c>
      <c r="H36" s="12">
        <v>1.64</v>
      </c>
      <c r="I36" s="36">
        <v>1.72</v>
      </c>
      <c r="J36" s="36">
        <v>1.68</v>
      </c>
      <c r="K36" s="36">
        <v>1.49</v>
      </c>
      <c r="L36" s="36">
        <v>1.01</v>
      </c>
      <c r="M36" s="32">
        <v>0.61</v>
      </c>
    </row>
    <row r="37" spans="1:13" x14ac:dyDescent="0.25">
      <c r="A37" s="31" t="s">
        <v>70</v>
      </c>
      <c r="B37" s="29">
        <v>0.38660299999999997</v>
      </c>
      <c r="C37" s="29">
        <v>0.66064400000000001</v>
      </c>
      <c r="D37" s="29">
        <v>0.87911799999999996</v>
      </c>
      <c r="E37" s="29">
        <v>1.2287589999999999</v>
      </c>
      <c r="F37" s="29">
        <v>1.7719780000000001</v>
      </c>
      <c r="G37" s="30">
        <v>-7.6210000000000002E-3</v>
      </c>
      <c r="H37" s="12">
        <v>1</v>
      </c>
      <c r="I37" s="36">
        <v>1.06</v>
      </c>
      <c r="J37" s="36">
        <v>0.94</v>
      </c>
      <c r="K37" s="36">
        <v>0.62</v>
      </c>
      <c r="L37" s="36">
        <v>0.08</v>
      </c>
      <c r="M37" s="32">
        <v>-0.28999999999999998</v>
      </c>
    </row>
    <row r="38" spans="1:13" x14ac:dyDescent="0.25">
      <c r="A38" s="31" t="s">
        <v>71</v>
      </c>
      <c r="B38" s="29">
        <v>-0.21928400000000001</v>
      </c>
      <c r="C38" s="29">
        <v>0.125227</v>
      </c>
      <c r="D38" s="29">
        <v>0.407605</v>
      </c>
      <c r="E38" s="29">
        <v>0.86967799999999995</v>
      </c>
      <c r="F38" s="29">
        <v>1.6156239999999999</v>
      </c>
      <c r="G38" s="30">
        <v>-1.103E-2</v>
      </c>
      <c r="H38" s="12">
        <v>-0.13</v>
      </c>
      <c r="I38" s="36">
        <v>-0.08</v>
      </c>
      <c r="J38" s="36">
        <v>-0.12</v>
      </c>
      <c r="K38" s="36">
        <v>-0.3</v>
      </c>
      <c r="L38" s="36">
        <v>-0.84</v>
      </c>
      <c r="M38" s="32">
        <v>-1.33</v>
      </c>
    </row>
    <row r="39" spans="1:13" x14ac:dyDescent="0.25">
      <c r="A39" s="31" t="s">
        <v>75</v>
      </c>
      <c r="B39" s="29">
        <v>1.0190109999999999</v>
      </c>
      <c r="C39" s="29">
        <v>1.2201679999999999</v>
      </c>
      <c r="D39" s="29">
        <v>1.3723339999999999</v>
      </c>
      <c r="E39" s="29">
        <v>1.604746</v>
      </c>
      <c r="F39" s="29">
        <v>1.935689</v>
      </c>
      <c r="G39" s="30">
        <v>-4.0639999999999999E-3</v>
      </c>
      <c r="H39" s="12">
        <v>2.0099999999999998</v>
      </c>
      <c r="I39" s="36">
        <v>2.09</v>
      </c>
      <c r="J39" s="36">
        <v>2</v>
      </c>
      <c r="K39" s="36">
        <v>1.77</v>
      </c>
      <c r="L39" s="36">
        <v>1.3</v>
      </c>
      <c r="M39" s="32">
        <v>0.97</v>
      </c>
    </row>
    <row r="40" spans="1:13" x14ac:dyDescent="0.25">
      <c r="A40" s="31" t="s">
        <v>67</v>
      </c>
      <c r="B40" s="29">
        <v>0.49033399999999999</v>
      </c>
      <c r="C40" s="29">
        <v>0.80661700000000003</v>
      </c>
      <c r="D40" s="29">
        <v>1.0245880000000001</v>
      </c>
      <c r="E40" s="29">
        <v>1.311248</v>
      </c>
      <c r="F40" s="29">
        <v>1.6737</v>
      </c>
      <c r="G40" s="30">
        <v>-4.6839999999999998E-3</v>
      </c>
      <c r="H40" s="12">
        <v>0.9</v>
      </c>
      <c r="I40" s="36">
        <v>1.01</v>
      </c>
      <c r="J40" s="36">
        <v>0.97</v>
      </c>
      <c r="K40" s="36">
        <v>0.83</v>
      </c>
      <c r="L40" s="36">
        <v>0.45</v>
      </c>
      <c r="M40" s="32">
        <v>0.22</v>
      </c>
    </row>
    <row r="41" spans="1:13" x14ac:dyDescent="0.25">
      <c r="A41" s="31" t="s">
        <v>68</v>
      </c>
      <c r="B41" s="29">
        <v>0</v>
      </c>
      <c r="C41" s="29">
        <v>0</v>
      </c>
      <c r="D41" s="29">
        <v>0</v>
      </c>
      <c r="E41" s="29">
        <v>0</v>
      </c>
      <c r="F41" s="29">
        <v>0</v>
      </c>
      <c r="G41" s="30">
        <v>0</v>
      </c>
      <c r="H41" s="12">
        <v>0.53</v>
      </c>
      <c r="I41" s="36">
        <v>0.66</v>
      </c>
      <c r="J41" s="36">
        <v>0.68</v>
      </c>
      <c r="K41" s="36">
        <v>0.56999999999999995</v>
      </c>
      <c r="L41" s="36">
        <v>0.17</v>
      </c>
      <c r="M41" s="32">
        <v>-0.02</v>
      </c>
    </row>
    <row r="42" spans="1:13" x14ac:dyDescent="0.25">
      <c r="A42" s="31" t="s">
        <v>72</v>
      </c>
      <c r="B42" s="29">
        <v>-1.1405E-2</v>
      </c>
      <c r="C42" s="29">
        <v>0.21173800000000001</v>
      </c>
      <c r="D42" s="29">
        <v>0.47670099999999999</v>
      </c>
      <c r="E42" s="29">
        <v>0.94844200000000001</v>
      </c>
      <c r="F42" s="29">
        <v>1.6807369999999999</v>
      </c>
      <c r="G42" s="30">
        <v>-9.2680000000000002E-3</v>
      </c>
      <c r="H42" s="12">
        <v>0.6</v>
      </c>
      <c r="I42" s="36">
        <v>0.56000000000000005</v>
      </c>
      <c r="J42" s="36">
        <v>0.06</v>
      </c>
      <c r="K42" s="36">
        <v>-1.06</v>
      </c>
      <c r="L42" s="36">
        <v>-1.87</v>
      </c>
      <c r="M42" s="32">
        <v>-2.0299999999999998</v>
      </c>
    </row>
    <row r="43" spans="1:13" x14ac:dyDescent="0.25">
      <c r="A43" s="31" t="s">
        <v>73</v>
      </c>
      <c r="B43" s="29">
        <v>0.20833599999999999</v>
      </c>
      <c r="C43" s="29">
        <v>8.6402999999999994E-2</v>
      </c>
      <c r="D43" s="29">
        <v>6.8816000000000002E-2</v>
      </c>
      <c r="E43" s="29">
        <v>7.8085000000000002E-2</v>
      </c>
      <c r="F43" s="29">
        <v>6.4076999999999995E-2</v>
      </c>
      <c r="G43" s="30">
        <v>1.763E-3</v>
      </c>
      <c r="H43" s="12">
        <v>0.73</v>
      </c>
      <c r="I43" s="36">
        <v>0.64</v>
      </c>
      <c r="J43" s="36">
        <v>0.18</v>
      </c>
      <c r="K43" s="36">
        <v>-0.76</v>
      </c>
      <c r="L43" s="36">
        <v>-1.05</v>
      </c>
      <c r="M43" s="32">
        <v>-0.71</v>
      </c>
    </row>
    <row r="44" spans="1:13" x14ac:dyDescent="0.25">
      <c r="A44" s="31" t="s">
        <v>76</v>
      </c>
      <c r="B44" s="29">
        <v>-16.78116</v>
      </c>
      <c r="C44" s="29">
        <v>-42.472920000000002</v>
      </c>
      <c r="D44" s="29">
        <v>-68.624840000000006</v>
      </c>
      <c r="E44" s="29">
        <v>-107.7225</v>
      </c>
      <c r="F44" s="29">
        <v>-129.42490000000001</v>
      </c>
      <c r="G44" s="30">
        <v>-4.8174900000000003</v>
      </c>
      <c r="H44" s="12">
        <v>-53</v>
      </c>
      <c r="I44" s="36">
        <v>-157</v>
      </c>
      <c r="J44" s="36">
        <v>-173</v>
      </c>
      <c r="K44" s="36">
        <v>-105</v>
      </c>
      <c r="L44" s="36">
        <v>-69</v>
      </c>
      <c r="M44" s="32">
        <v>-51</v>
      </c>
    </row>
    <row r="45" spans="1:13" x14ac:dyDescent="0.25">
      <c r="A45" s="31" t="s">
        <v>74</v>
      </c>
      <c r="B45" s="29">
        <v>4.6634000000000002E-2</v>
      </c>
      <c r="C45" s="29">
        <v>0.113894</v>
      </c>
      <c r="D45" s="29">
        <v>0.17844599999999999</v>
      </c>
      <c r="E45" s="29">
        <v>0.26716899999999999</v>
      </c>
      <c r="F45" s="29">
        <v>0.30155900000000002</v>
      </c>
      <c r="G45" s="30">
        <v>7.4619999999999999E-3</v>
      </c>
      <c r="H45" s="12">
        <v>0.22</v>
      </c>
      <c r="I45" s="36">
        <v>0.66</v>
      </c>
      <c r="J45" s="36">
        <v>0.72</v>
      </c>
      <c r="K45" s="36">
        <v>0.44</v>
      </c>
      <c r="L45" s="36">
        <v>0.28999999999999998</v>
      </c>
      <c r="M45" s="32">
        <v>0.21</v>
      </c>
    </row>
    <row r="46" spans="1:13" x14ac:dyDescent="0.25">
      <c r="A46" s="31" t="s">
        <v>77</v>
      </c>
      <c r="B46" s="29">
        <v>0.22468399999999999</v>
      </c>
      <c r="C46" s="29">
        <v>0.348439</v>
      </c>
      <c r="D46" s="29">
        <v>0.408194</v>
      </c>
      <c r="E46" s="29">
        <v>0.43220500000000001</v>
      </c>
      <c r="F46" s="29">
        <v>0.346779</v>
      </c>
      <c r="G46" s="30">
        <v>4.2630000000000003E-3</v>
      </c>
      <c r="H46" s="12">
        <v>0.28999999999999998</v>
      </c>
      <c r="I46" s="36">
        <v>0.39</v>
      </c>
      <c r="J46" s="36">
        <v>0.28000000000000003</v>
      </c>
      <c r="K46" s="36">
        <v>0.32</v>
      </c>
      <c r="L46" s="36">
        <v>0.45</v>
      </c>
      <c r="M46" s="32">
        <v>0.49</v>
      </c>
    </row>
    <row r="47" spans="1:13" ht="30" x14ac:dyDescent="0.25">
      <c r="A47" s="45" t="s">
        <v>78</v>
      </c>
      <c r="B47" s="29">
        <v>0.61788299999999996</v>
      </c>
      <c r="C47" s="29">
        <v>0.46557199999999999</v>
      </c>
      <c r="D47" s="29">
        <v>0.37094199999999999</v>
      </c>
      <c r="E47" s="29">
        <v>0.27934999999999999</v>
      </c>
      <c r="F47" s="29">
        <v>0.31012000000000001</v>
      </c>
      <c r="G47" s="30">
        <v>2.0990000000000002E-3</v>
      </c>
      <c r="H47" s="12">
        <v>0.68</v>
      </c>
      <c r="I47" s="36">
        <v>0.15</v>
      </c>
      <c r="J47" s="36">
        <v>0.14000000000000001</v>
      </c>
      <c r="K47" s="36">
        <v>0.24</v>
      </c>
      <c r="L47" s="36">
        <v>0.28000000000000003</v>
      </c>
      <c r="M47" s="32">
        <v>0.37</v>
      </c>
    </row>
    <row r="51" spans="1:1" x14ac:dyDescent="0.25">
      <c r="A51" s="37" t="str">
        <f t="shared" ref="A51:A69" si="0">"\textbf{"&amp;A29&amp;"} &amp; "&amp;TEXT(B29,formatResults)&amp;" &amp; "&amp;TEXT(C29,formatResults)&amp;" &amp; "&amp;TEXT(D29,formatResults)&amp;" &amp; "&amp;TEXT(E29,formatResults)&amp;" &amp; "&amp;TEXT(F29,formatResults)&amp;" &amp; "&amp;TEXT(G29,formatResults)&amp;" \\"</f>
        <v>\textbf{GDP in volume} &amp; -0.25 &amp; -0.41 &amp; -0.50 &amp; -0.56 &amp; -0.48 &amp; 0.00 \\</v>
      </c>
    </row>
    <row r="52" spans="1:1" x14ac:dyDescent="0.25">
      <c r="A52" s="37" t="str">
        <f t="shared" si="0"/>
        <v>\textbf{Household consumption} &amp; -0.53 &amp; -0.81 &amp; -0.92 &amp; -0.88 &amp; -0.43 &amp; 0.00 \\</v>
      </c>
    </row>
    <row r="53" spans="1:1" x14ac:dyDescent="0.25">
      <c r="A53" s="37" t="str">
        <f t="shared" si="0"/>
        <v>\textbf{Investment} &amp; -0.19 &amp; -0.36 &amp; -0.49 &amp; -0.60 &amp; -0.45 &amp; -0.01 \\</v>
      </c>
    </row>
    <row r="54" spans="1:1" x14ac:dyDescent="0.25">
      <c r="A54" s="37" t="str">
        <f t="shared" si="0"/>
        <v>\textbf{Exports} &amp; -0.09 &amp; -0.21 &amp; -0.33 &amp; -0.54 &amp; -0.88 &amp; 0.00 \\</v>
      </c>
    </row>
    <row r="55" spans="1:1" x14ac:dyDescent="0.25">
      <c r="A55" s="37" t="str">
        <f t="shared" si="0"/>
        <v>\textbf{Imports} &amp; -0.35 &amp; -0.58 &amp; -0.68 &amp; -0.69 &amp; -0.37 &amp; -0.02 \\</v>
      </c>
    </row>
    <row r="56" spans="1:1" x14ac:dyDescent="0.25">
      <c r="A56" s="37" t="str">
        <f t="shared" si="0"/>
        <v>\textbf{Household disposable income } &amp; -0.79 &amp; -0.88 &amp; -0.89 &amp; -0.80 &amp; -0.41 &amp; 0.00 \\</v>
      </c>
    </row>
    <row r="57" spans="1:1" x14ac:dyDescent="0.25">
      <c r="A57" s="37" t="str">
        <f t="shared" si="0"/>
        <v>\textbf{Saving rate} &amp; -0.23 &amp; -0.06 &amp; 0.03 &amp; 0.07 &amp; 0.02 &amp; 0.00 \\</v>
      </c>
    </row>
    <row r="58" spans="1:1" x14ac:dyDescent="0.25">
      <c r="A58" s="37" t="str">
        <f t="shared" si="0"/>
        <v>\textbf{Household consumption price index} &amp; 0.89 &amp; 1.09 &amp; 1.26 &amp; 1.53 &amp; 1.93 &amp; 0.00 \\</v>
      </c>
    </row>
    <row r="59" spans="1:1" x14ac:dyDescent="0.25">
      <c r="A59" s="37" t="str">
        <f t="shared" si="0"/>
        <v>\textbf{Production price index} &amp; 0.39 &amp; 0.66 &amp; 0.88 &amp; 1.23 &amp; 1.77 &amp; -0.01 \\</v>
      </c>
    </row>
    <row r="60" spans="1:1" x14ac:dyDescent="0.25">
      <c r="A60" s="37" t="str">
        <f t="shared" si="0"/>
        <v>\textbf{Added value price index} &amp; -0.22 &amp; 0.13 &amp; 0.41 &amp; 0.87 &amp; 1.62 &amp; -0.01 \\</v>
      </c>
    </row>
    <row r="61" spans="1:1" x14ac:dyDescent="0.25">
      <c r="A61" s="37" t="str">
        <f t="shared" si="0"/>
        <v>\textbf{Intermediate consumption price index} &amp; 1.02 &amp; 1.22 &amp; 1.37 &amp; 1.60 &amp; 1.94 &amp; 0.00 \\</v>
      </c>
    </row>
    <row r="62" spans="1:1" x14ac:dyDescent="0.25">
      <c r="A62" s="37" t="str">
        <f t="shared" si="0"/>
        <v>\textbf{Export price index} &amp; 0.49 &amp; 0.81 &amp; 1.02 &amp; 1.31 &amp; 1.67 &amp; 0.00 \\</v>
      </c>
    </row>
    <row r="63" spans="1:1" x14ac:dyDescent="0.25">
      <c r="A63" s="37" t="str">
        <f t="shared" si="0"/>
        <v>\textbf{Import price index} &amp; 0.00 &amp; 0.00 &amp; 0.00 &amp; 0.00 &amp; 0.00 &amp; 0.00 \\</v>
      </c>
    </row>
    <row r="64" spans="1:1" x14ac:dyDescent="0.25">
      <c r="A64" s="37" t="str">
        <f t="shared" si="0"/>
        <v>\textbf{Gross nominal wage} &amp; -0.01 &amp; 0.21 &amp; 0.48 &amp; 0.95 &amp; 1.68 &amp; -0.01 \\</v>
      </c>
    </row>
    <row r="65" spans="1:1" x14ac:dyDescent="0.25">
      <c r="A65" s="37" t="str">
        <f t="shared" si="0"/>
        <v>\textbf{Real cost of labor} &amp; 0.21 &amp; 0.09 &amp; 0.07 &amp; 0.08 &amp; 0.06 &amp; 0.00 \\</v>
      </c>
    </row>
    <row r="66" spans="1:1" x14ac:dyDescent="0.25">
      <c r="A66" s="37" t="str">
        <f t="shared" si="0"/>
        <v>\textbf{Wage employment (in thousands)} &amp; -16.78 &amp; -42.47 &amp; -68.62 &amp; -107.72 &amp; -129.42 &amp; -4.82 \\</v>
      </c>
    </row>
    <row r="67" spans="1:1" x14ac:dyDescent="0.25">
      <c r="A67" s="37" t="str">
        <f t="shared" si="0"/>
        <v>\textbf{Unemployment rate} &amp; 0.05 &amp; 0.11 &amp; 0.18 &amp; 0.27 &amp; 0.30 &amp; 0.01 \\</v>
      </c>
    </row>
    <row r="68" spans="1:1" x14ac:dyDescent="0.25">
      <c r="A68" s="37" t="str">
        <f t="shared" si="0"/>
        <v>\textbf{Trade balance (in points of GDP)} &amp; 0.22 &amp; 0.35 &amp; 0.41 &amp; 0.43 &amp; 0.35 &amp; 0.00 \\</v>
      </c>
    </row>
    <row r="69" spans="1:1" x14ac:dyDescent="0.25">
      <c r="A69" s="37" t="str">
        <f t="shared" si="0"/>
        <v>\textbf{Public budget balance (in points of GDP)} &amp; 0.62 &amp; 0.47 &amp; 0.37 &amp; 0.28 &amp; 0.31 &amp; 0.00 \\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91</v>
      </c>
      <c r="C1" t="s">
        <v>92</v>
      </c>
      <c r="D1" t="s">
        <v>93</v>
      </c>
      <c r="E1" t="s">
        <v>94</v>
      </c>
      <c r="F1" t="s">
        <v>95</v>
      </c>
      <c r="G1" t="s">
        <v>96</v>
      </c>
      <c r="H1" t="s">
        <v>97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104</v>
      </c>
      <c r="P1" t="s">
        <v>105</v>
      </c>
      <c r="Q1" t="s">
        <v>106</v>
      </c>
      <c r="R1" t="s">
        <v>107</v>
      </c>
      <c r="S1" t="s">
        <v>108</v>
      </c>
      <c r="T1" t="s">
        <v>109</v>
      </c>
    </row>
    <row r="3" spans="1:20" x14ac:dyDescent="0.25">
      <c r="A3">
        <v>2016</v>
      </c>
      <c r="B3">
        <v>-0.24940399999999999</v>
      </c>
      <c r="C3">
        <v>-0.52817199999999997</v>
      </c>
      <c r="D3">
        <v>-0.18762899999999999</v>
      </c>
      <c r="E3">
        <v>-8.7817000000000006E-2</v>
      </c>
      <c r="F3">
        <v>-0.35259299999999999</v>
      </c>
      <c r="G3">
        <v>-0.78825500000000004</v>
      </c>
      <c r="H3">
        <v>-0.22811500000000001</v>
      </c>
      <c r="I3">
        <v>0.88842900000000002</v>
      </c>
      <c r="J3">
        <v>0.38660299999999997</v>
      </c>
      <c r="K3">
        <v>-0.21928400000000001</v>
      </c>
      <c r="L3">
        <v>1.0190109999999999</v>
      </c>
      <c r="M3">
        <v>0.49033399999999999</v>
      </c>
      <c r="N3">
        <v>0</v>
      </c>
      <c r="O3">
        <v>-1.1405E-2</v>
      </c>
      <c r="P3">
        <v>0.20833599999999999</v>
      </c>
      <c r="Q3">
        <v>-16.78116</v>
      </c>
      <c r="R3">
        <v>4.6634000000000002E-2</v>
      </c>
      <c r="S3">
        <v>0.22468399999999999</v>
      </c>
      <c r="T3">
        <v>0.61788299999999996</v>
      </c>
    </row>
    <row r="4" spans="1:20" x14ac:dyDescent="0.25">
      <c r="A4">
        <v>2017</v>
      </c>
      <c r="B4">
        <v>-0.40836</v>
      </c>
      <c r="C4">
        <v>-0.809504</v>
      </c>
      <c r="D4">
        <v>-0.36393500000000001</v>
      </c>
      <c r="E4">
        <v>-0.205486</v>
      </c>
      <c r="F4">
        <v>-0.57636299999999996</v>
      </c>
      <c r="G4">
        <v>-0.87906899999999999</v>
      </c>
      <c r="H4">
        <v>-6.1069999999999999E-2</v>
      </c>
      <c r="I4">
        <v>1.0889720000000001</v>
      </c>
      <c r="J4">
        <v>0.66064400000000001</v>
      </c>
      <c r="K4">
        <v>0.125227</v>
      </c>
      <c r="L4">
        <v>1.2201679999999999</v>
      </c>
      <c r="M4">
        <v>0.80661700000000003</v>
      </c>
      <c r="N4">
        <v>0</v>
      </c>
      <c r="O4">
        <v>0.21173800000000001</v>
      </c>
      <c r="P4">
        <v>8.6402999999999994E-2</v>
      </c>
      <c r="Q4">
        <v>-42.472920000000002</v>
      </c>
      <c r="R4">
        <v>0.113894</v>
      </c>
      <c r="S4">
        <v>0.348439</v>
      </c>
      <c r="T4">
        <v>0.46557199999999999</v>
      </c>
    </row>
    <row r="5" spans="1:20" x14ac:dyDescent="0.25">
      <c r="A5">
        <v>2018</v>
      </c>
      <c r="B5">
        <v>-0.49874600000000002</v>
      </c>
      <c r="C5">
        <v>-0.918825</v>
      </c>
      <c r="D5">
        <v>-0.49224499999999999</v>
      </c>
      <c r="E5">
        <v>-0.32644699999999999</v>
      </c>
      <c r="F5">
        <v>-0.68311100000000002</v>
      </c>
      <c r="G5">
        <v>-0.88545300000000005</v>
      </c>
      <c r="H5">
        <v>2.9298999999999999E-2</v>
      </c>
      <c r="I5">
        <v>1.256642</v>
      </c>
      <c r="J5">
        <v>0.87911799999999996</v>
      </c>
      <c r="K5">
        <v>0.407605</v>
      </c>
      <c r="L5">
        <v>1.3723339999999999</v>
      </c>
      <c r="M5">
        <v>1.0245880000000001</v>
      </c>
      <c r="N5">
        <v>0</v>
      </c>
      <c r="O5">
        <v>0.47670099999999999</v>
      </c>
      <c r="P5">
        <v>6.8816000000000002E-2</v>
      </c>
      <c r="Q5">
        <v>-68.624840000000006</v>
      </c>
      <c r="R5">
        <v>0.17844599999999999</v>
      </c>
      <c r="S5">
        <v>0.408194</v>
      </c>
      <c r="T5">
        <v>0.37094199999999999</v>
      </c>
    </row>
    <row r="6" spans="1:20" x14ac:dyDescent="0.25">
      <c r="A6">
        <v>2020</v>
      </c>
      <c r="B6">
        <v>-0.56187900000000002</v>
      </c>
      <c r="C6">
        <v>-0.88262700000000005</v>
      </c>
      <c r="D6">
        <v>-0.60312699999999997</v>
      </c>
      <c r="E6">
        <v>-0.54098900000000005</v>
      </c>
      <c r="F6">
        <v>-0.69207200000000002</v>
      </c>
      <c r="G6">
        <v>-0.80213299999999998</v>
      </c>
      <c r="H6">
        <v>7.0610000000000006E-2</v>
      </c>
      <c r="I6">
        <v>1.5320579999999999</v>
      </c>
      <c r="J6">
        <v>1.2287589999999999</v>
      </c>
      <c r="K6">
        <v>0.86967799999999995</v>
      </c>
      <c r="L6">
        <v>1.604746</v>
      </c>
      <c r="M6">
        <v>1.311248</v>
      </c>
      <c r="N6">
        <v>0</v>
      </c>
      <c r="O6">
        <v>0.94844200000000001</v>
      </c>
      <c r="P6">
        <v>7.8085000000000002E-2</v>
      </c>
      <c r="Q6">
        <v>-107.7225</v>
      </c>
      <c r="R6">
        <v>0.26716899999999999</v>
      </c>
      <c r="S6">
        <v>0.43220500000000001</v>
      </c>
      <c r="T6">
        <v>0.27934999999999999</v>
      </c>
    </row>
    <row r="7" spans="1:20" x14ac:dyDescent="0.25">
      <c r="A7">
        <v>2025</v>
      </c>
      <c r="B7">
        <v>-0.47564899999999999</v>
      </c>
      <c r="C7">
        <v>-0.43239499999999997</v>
      </c>
      <c r="D7">
        <v>-0.449797</v>
      </c>
      <c r="E7">
        <v>-0.87884099999999998</v>
      </c>
      <c r="F7">
        <v>-0.37087700000000001</v>
      </c>
      <c r="G7">
        <v>-0.40925699999999998</v>
      </c>
      <c r="H7">
        <v>2.0216000000000001E-2</v>
      </c>
      <c r="I7">
        <v>1.9307080000000001</v>
      </c>
      <c r="J7">
        <v>1.7719780000000001</v>
      </c>
      <c r="K7">
        <v>1.6156239999999999</v>
      </c>
      <c r="L7">
        <v>1.935689</v>
      </c>
      <c r="M7">
        <v>1.6737</v>
      </c>
      <c r="N7">
        <v>0</v>
      </c>
      <c r="O7">
        <v>1.6807369999999999</v>
      </c>
      <c r="P7">
        <v>6.4076999999999995E-2</v>
      </c>
      <c r="Q7">
        <v>-129.42490000000001</v>
      </c>
      <c r="R7">
        <v>0.30155900000000002</v>
      </c>
      <c r="S7">
        <v>0.346779</v>
      </c>
      <c r="T7">
        <v>0.31012000000000001</v>
      </c>
    </row>
    <row r="8" spans="1:20" x14ac:dyDescent="0.25">
      <c r="A8">
        <v>2165</v>
      </c>
      <c r="B8">
        <v>3.1210000000000001E-3</v>
      </c>
      <c r="C8">
        <v>-2.8800000000000001E-4</v>
      </c>
      <c r="D8">
        <v>-1.108E-2</v>
      </c>
      <c r="E8">
        <v>2.2339999999999999E-3</v>
      </c>
      <c r="F8">
        <v>-1.6836E-2</v>
      </c>
      <c r="G8">
        <v>-2.8899999999999998E-4</v>
      </c>
      <c r="H8" s="68">
        <v>-1.2899999999999999E-6</v>
      </c>
      <c r="I8">
        <v>-4.62E-3</v>
      </c>
      <c r="J8">
        <v>-7.6210000000000002E-3</v>
      </c>
      <c r="K8">
        <v>-1.103E-2</v>
      </c>
      <c r="L8">
        <v>-4.0639999999999999E-3</v>
      </c>
      <c r="M8">
        <v>-4.6839999999999998E-3</v>
      </c>
      <c r="N8">
        <v>0</v>
      </c>
      <c r="O8">
        <v>-9.2680000000000002E-3</v>
      </c>
      <c r="P8">
        <v>1.763E-3</v>
      </c>
      <c r="Q8">
        <v>-4.8174900000000003</v>
      </c>
      <c r="R8">
        <v>7.4619999999999999E-3</v>
      </c>
      <c r="S8">
        <v>4.2630000000000003E-3</v>
      </c>
      <c r="T8">
        <v>2.0990000000000002E-3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1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224</v>
      </c>
      <c r="C1" t="s">
        <v>225</v>
      </c>
      <c r="D1" t="s">
        <v>226</v>
      </c>
      <c r="E1" t="s">
        <v>227</v>
      </c>
      <c r="F1" t="s">
        <v>228</v>
      </c>
      <c r="G1" t="s">
        <v>229</v>
      </c>
      <c r="H1" t="s">
        <v>230</v>
      </c>
      <c r="I1" t="s">
        <v>231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237</v>
      </c>
      <c r="P1" t="s">
        <v>238</v>
      </c>
      <c r="Q1" t="s">
        <v>239</v>
      </c>
      <c r="R1" t="s">
        <v>240</v>
      </c>
      <c r="S1" t="s">
        <v>241</v>
      </c>
      <c r="T1" t="s">
        <v>242</v>
      </c>
    </row>
    <row r="3" spans="1:20" x14ac:dyDescent="0.25">
      <c r="A3">
        <v>2016</v>
      </c>
      <c r="B3">
        <v>0.27159800000000001</v>
      </c>
      <c r="C3">
        <v>7.9961000000000004E-2</v>
      </c>
      <c r="D3">
        <v>0.18993099999999999</v>
      </c>
      <c r="E3">
        <v>0.99131199999999997</v>
      </c>
      <c r="F3">
        <v>0.32989000000000002</v>
      </c>
      <c r="G3">
        <v>0.11761099999999999</v>
      </c>
      <c r="H3">
        <v>3.2724000000000003E-2</v>
      </c>
      <c r="I3">
        <v>3.4472999999999997E-2</v>
      </c>
      <c r="J3">
        <v>4.2068000000000001E-2</v>
      </c>
      <c r="K3">
        <v>4.9426999999999999E-2</v>
      </c>
      <c r="L3">
        <v>3.4394000000000001E-2</v>
      </c>
      <c r="M3">
        <v>4.7803999999999999E-2</v>
      </c>
      <c r="N3">
        <v>0</v>
      </c>
      <c r="O3">
        <v>3.0473E-2</v>
      </c>
      <c r="P3">
        <v>-1.8945E-2</v>
      </c>
      <c r="Q3">
        <v>39.813609999999997</v>
      </c>
      <c r="R3">
        <v>-0.110609</v>
      </c>
      <c r="S3">
        <v>0.20353299999999999</v>
      </c>
      <c r="T3">
        <v>0.107918</v>
      </c>
    </row>
    <row r="4" spans="1:20" x14ac:dyDescent="0.25">
      <c r="A4">
        <v>2017</v>
      </c>
      <c r="B4">
        <v>0.31316699999999997</v>
      </c>
      <c r="C4">
        <v>0.17188999999999999</v>
      </c>
      <c r="D4">
        <v>0.30165199999999998</v>
      </c>
      <c r="E4">
        <v>0.97562199999999999</v>
      </c>
      <c r="F4">
        <v>0.42456500000000003</v>
      </c>
      <c r="G4">
        <v>0.205202</v>
      </c>
      <c r="H4">
        <v>2.8927999999999999E-2</v>
      </c>
      <c r="I4">
        <v>8.0028000000000002E-2</v>
      </c>
      <c r="J4">
        <v>9.7444000000000003E-2</v>
      </c>
      <c r="K4">
        <v>0.11513900000000001</v>
      </c>
      <c r="L4">
        <v>7.9005000000000006E-2</v>
      </c>
      <c r="M4">
        <v>0.10070800000000001</v>
      </c>
      <c r="N4">
        <v>0</v>
      </c>
      <c r="O4">
        <v>7.7178999999999998E-2</v>
      </c>
      <c r="P4">
        <v>-3.7915999999999998E-2</v>
      </c>
      <c r="Q4">
        <v>70.563360000000003</v>
      </c>
      <c r="R4">
        <v>-0.18638299999999999</v>
      </c>
      <c r="S4">
        <v>0.187107</v>
      </c>
      <c r="T4">
        <v>0.17533599999999999</v>
      </c>
    </row>
    <row r="5" spans="1:20" x14ac:dyDescent="0.25">
      <c r="A5">
        <v>2018</v>
      </c>
      <c r="B5">
        <v>0.34867100000000001</v>
      </c>
      <c r="C5">
        <v>0.25167699999999998</v>
      </c>
      <c r="D5">
        <v>0.36981399999999998</v>
      </c>
      <c r="E5">
        <v>0.95576499999999998</v>
      </c>
      <c r="F5">
        <v>0.48185699999999998</v>
      </c>
      <c r="G5">
        <v>0.27043499999999998</v>
      </c>
      <c r="H5">
        <v>1.6278999999999998E-2</v>
      </c>
      <c r="I5">
        <v>0.127554</v>
      </c>
      <c r="J5">
        <v>0.15509500000000001</v>
      </c>
      <c r="K5">
        <v>0.18409200000000001</v>
      </c>
      <c r="L5">
        <v>0.12488100000000001</v>
      </c>
      <c r="M5">
        <v>0.14960999999999999</v>
      </c>
      <c r="N5">
        <v>0</v>
      </c>
      <c r="O5">
        <v>0.13426199999999999</v>
      </c>
      <c r="P5">
        <v>-4.9738999999999998E-2</v>
      </c>
      <c r="Q5">
        <v>91.678049999999999</v>
      </c>
      <c r="R5">
        <v>-0.23336299999999999</v>
      </c>
      <c r="S5">
        <v>0.17941799999999999</v>
      </c>
      <c r="T5">
        <v>0.22137799999999999</v>
      </c>
    </row>
    <row r="6" spans="1:20" x14ac:dyDescent="0.25">
      <c r="A6">
        <v>2020</v>
      </c>
      <c r="B6">
        <v>0.38807900000000001</v>
      </c>
      <c r="C6">
        <v>0.35596499999999998</v>
      </c>
      <c r="D6">
        <v>0.44856299999999999</v>
      </c>
      <c r="E6">
        <v>0.91151300000000002</v>
      </c>
      <c r="F6">
        <v>0.55508900000000005</v>
      </c>
      <c r="G6">
        <v>0.35108800000000001</v>
      </c>
      <c r="H6">
        <v>-4.2290000000000001E-3</v>
      </c>
      <c r="I6">
        <v>0.21677199999999999</v>
      </c>
      <c r="J6">
        <v>0.26260600000000001</v>
      </c>
      <c r="K6">
        <v>0.31323499999999999</v>
      </c>
      <c r="L6">
        <v>0.20985899999999999</v>
      </c>
      <c r="M6">
        <v>0.23270399999999999</v>
      </c>
      <c r="N6">
        <v>0</v>
      </c>
      <c r="O6">
        <v>0.25749100000000003</v>
      </c>
      <c r="P6">
        <v>-5.5570000000000001E-2</v>
      </c>
      <c r="Q6">
        <v>112.6152</v>
      </c>
      <c r="R6">
        <v>-0.27331499999999997</v>
      </c>
      <c r="S6">
        <v>0.17042299999999999</v>
      </c>
      <c r="T6">
        <v>0.268901</v>
      </c>
    </row>
    <row r="7" spans="1:20" x14ac:dyDescent="0.25">
      <c r="A7">
        <v>2025</v>
      </c>
      <c r="B7">
        <v>0.38226599999999999</v>
      </c>
      <c r="C7">
        <v>0.40158100000000002</v>
      </c>
      <c r="D7">
        <v>0.52532100000000004</v>
      </c>
      <c r="E7">
        <v>0.81430100000000005</v>
      </c>
      <c r="F7">
        <v>0.61979200000000001</v>
      </c>
      <c r="G7">
        <v>0.38977600000000001</v>
      </c>
      <c r="H7">
        <v>-1.0232E-2</v>
      </c>
      <c r="I7">
        <v>0.37298100000000001</v>
      </c>
      <c r="J7">
        <v>0.44656299999999999</v>
      </c>
      <c r="K7">
        <v>0.53264900000000004</v>
      </c>
      <c r="L7">
        <v>0.35689700000000002</v>
      </c>
      <c r="M7">
        <v>0.36981000000000003</v>
      </c>
      <c r="N7">
        <v>0</v>
      </c>
      <c r="O7">
        <v>0.490784</v>
      </c>
      <c r="P7">
        <v>-4.1642999999999999E-2</v>
      </c>
      <c r="Q7">
        <v>108.8806</v>
      </c>
      <c r="R7">
        <v>-0.25130200000000003</v>
      </c>
      <c r="S7">
        <v>0.164691</v>
      </c>
      <c r="T7">
        <v>0.26727899999999999</v>
      </c>
    </row>
    <row r="8" spans="1:20" x14ac:dyDescent="0.25">
      <c r="A8">
        <v>2165</v>
      </c>
      <c r="B8">
        <v>0.28031699999999998</v>
      </c>
      <c r="C8">
        <v>0.260411</v>
      </c>
      <c r="D8">
        <v>0.24512600000000001</v>
      </c>
      <c r="E8">
        <v>0.82274400000000003</v>
      </c>
      <c r="F8">
        <v>0.50878199999999996</v>
      </c>
      <c r="G8">
        <v>0.26041199999999998</v>
      </c>
      <c r="H8" s="68">
        <v>2.2999999999999999E-7</v>
      </c>
      <c r="I8">
        <v>0.30199199999999998</v>
      </c>
      <c r="J8">
        <v>0.35955300000000001</v>
      </c>
      <c r="K8">
        <v>0.42808299999999999</v>
      </c>
      <c r="L8">
        <v>0.28816799999999998</v>
      </c>
      <c r="M8">
        <v>0.29319099999999998</v>
      </c>
      <c r="N8">
        <v>0</v>
      </c>
      <c r="O8">
        <v>0.40996100000000002</v>
      </c>
      <c r="P8">
        <v>-1.8044999999999999E-2</v>
      </c>
      <c r="Q8">
        <v>113.3533</v>
      </c>
      <c r="R8">
        <v>-0.17574000000000001</v>
      </c>
      <c r="S8">
        <v>0.176151</v>
      </c>
      <c r="T8">
        <v>0.17358000000000001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2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148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  <c r="H1" t="s">
        <v>154</v>
      </c>
      <c r="I1" t="s">
        <v>155</v>
      </c>
      <c r="J1" t="s">
        <v>156</v>
      </c>
      <c r="K1" t="s">
        <v>157</v>
      </c>
      <c r="L1" t="s">
        <v>158</v>
      </c>
      <c r="M1" t="s">
        <v>159</v>
      </c>
      <c r="N1" t="s">
        <v>160</v>
      </c>
      <c r="O1" t="s">
        <v>161</v>
      </c>
      <c r="P1" t="s">
        <v>162</v>
      </c>
      <c r="Q1" t="s">
        <v>163</v>
      </c>
      <c r="R1" t="s">
        <v>164</v>
      </c>
      <c r="S1" t="s">
        <v>165</v>
      </c>
      <c r="T1" t="s">
        <v>166</v>
      </c>
    </row>
    <row r="3" spans="1:20" x14ac:dyDescent="0.25">
      <c r="A3">
        <v>2016</v>
      </c>
      <c r="B3">
        <v>-2.0105999999999999E-2</v>
      </c>
      <c r="C3">
        <v>-4.7021E-2</v>
      </c>
      <c r="D3">
        <v>-1.2695E-2</v>
      </c>
      <c r="E3">
        <v>-1.6743999999999998E-2</v>
      </c>
      <c r="F3">
        <v>-4.4152999999999998E-2</v>
      </c>
      <c r="G3">
        <v>-6.9227999999999998E-2</v>
      </c>
      <c r="H3">
        <v>-1.9338000000000001E-2</v>
      </c>
      <c r="I3">
        <v>6.1892000000000003E-2</v>
      </c>
      <c r="J3">
        <v>5.3345999999999998E-2</v>
      </c>
      <c r="K3">
        <v>-7.0094000000000004E-2</v>
      </c>
      <c r="L3">
        <v>0.18210599999999999</v>
      </c>
      <c r="M3">
        <v>9.3782000000000004E-2</v>
      </c>
      <c r="N3">
        <v>0.329517</v>
      </c>
      <c r="O3">
        <v>-7.3800000000000005E-4</v>
      </c>
      <c r="P3">
        <v>6.9403999999999993E-2</v>
      </c>
      <c r="Q3">
        <v>-1.43293</v>
      </c>
      <c r="R3">
        <v>3.9820000000000003E-3</v>
      </c>
      <c r="S3">
        <v>-6.3403000000000001E-2</v>
      </c>
      <c r="T3">
        <v>-4.4019999999999997E-3</v>
      </c>
    </row>
    <row r="4" spans="1:20" x14ac:dyDescent="0.25">
      <c r="A4">
        <v>2017</v>
      </c>
      <c r="B4">
        <v>-4.2092999999999998E-2</v>
      </c>
      <c r="C4">
        <v>-9.2091000000000006E-2</v>
      </c>
      <c r="D4">
        <v>-3.1917000000000001E-2</v>
      </c>
      <c r="E4">
        <v>-4.1514000000000002E-2</v>
      </c>
      <c r="F4">
        <v>-9.0880000000000002E-2</v>
      </c>
      <c r="G4">
        <v>-0.107559</v>
      </c>
      <c r="H4">
        <v>-1.3475000000000001E-2</v>
      </c>
      <c r="I4">
        <v>0.108635</v>
      </c>
      <c r="J4">
        <v>9.8568000000000003E-2</v>
      </c>
      <c r="K4">
        <v>-2.8670000000000001E-2</v>
      </c>
      <c r="L4">
        <v>0.23131399999999999</v>
      </c>
      <c r="M4">
        <v>0.166991</v>
      </c>
      <c r="N4">
        <v>0.327428</v>
      </c>
      <c r="O4">
        <v>1.4442999999999999E-2</v>
      </c>
      <c r="P4">
        <v>4.3125999999999998E-2</v>
      </c>
      <c r="Q4">
        <v>-4.1339199999999998</v>
      </c>
      <c r="R4">
        <v>1.1128000000000001E-2</v>
      </c>
      <c r="S4">
        <v>-3.4513000000000002E-2</v>
      </c>
      <c r="T4">
        <v>-1.1906E-2</v>
      </c>
    </row>
    <row r="5" spans="1:20" x14ac:dyDescent="0.25">
      <c r="A5">
        <v>2018</v>
      </c>
      <c r="B5">
        <v>-5.8831000000000001E-2</v>
      </c>
      <c r="C5">
        <v>-0.12062</v>
      </c>
      <c r="D5">
        <v>-5.0103000000000002E-2</v>
      </c>
      <c r="E5">
        <v>-6.8310999999999997E-2</v>
      </c>
      <c r="F5">
        <v>-0.12607099999999999</v>
      </c>
      <c r="G5">
        <v>-0.12418899999999999</v>
      </c>
      <c r="H5">
        <v>-3.1089999999999998E-3</v>
      </c>
      <c r="I5">
        <v>0.144453</v>
      </c>
      <c r="J5">
        <v>0.13583700000000001</v>
      </c>
      <c r="K5">
        <v>9.5960000000000004E-3</v>
      </c>
      <c r="L5">
        <v>0.26756799999999997</v>
      </c>
      <c r="M5">
        <v>0.219999</v>
      </c>
      <c r="N5">
        <v>0.32578099999999999</v>
      </c>
      <c r="O5">
        <v>4.1036000000000003E-2</v>
      </c>
      <c r="P5">
        <v>3.1437E-2</v>
      </c>
      <c r="Q5">
        <v>-7.28599</v>
      </c>
      <c r="R5">
        <v>1.9057000000000001E-2</v>
      </c>
      <c r="S5">
        <v>-1.5688000000000001E-2</v>
      </c>
      <c r="T5">
        <v>-1.8454999999999999E-2</v>
      </c>
    </row>
    <row r="6" spans="1:20" x14ac:dyDescent="0.25">
      <c r="A6">
        <v>2020</v>
      </c>
      <c r="B6">
        <v>-7.4968999999999994E-2</v>
      </c>
      <c r="C6">
        <v>-0.13340299999999999</v>
      </c>
      <c r="D6">
        <v>-7.1163000000000004E-2</v>
      </c>
      <c r="E6">
        <v>-0.11647299999999999</v>
      </c>
      <c r="F6">
        <v>-0.15708800000000001</v>
      </c>
      <c r="G6">
        <v>-0.124097</v>
      </c>
      <c r="H6">
        <v>8.1080000000000006E-3</v>
      </c>
      <c r="I6">
        <v>0.19775999999999999</v>
      </c>
      <c r="J6">
        <v>0.194662</v>
      </c>
      <c r="K6">
        <v>7.6273999999999995E-2</v>
      </c>
      <c r="L6">
        <v>0.31823000000000001</v>
      </c>
      <c r="M6">
        <v>0.28451100000000001</v>
      </c>
      <c r="N6">
        <v>0.32384299999999999</v>
      </c>
      <c r="O6">
        <v>0.104828</v>
      </c>
      <c r="P6">
        <v>2.8532999999999999E-2</v>
      </c>
      <c r="Q6">
        <v>-12.60337</v>
      </c>
      <c r="R6">
        <v>3.1441999999999998E-2</v>
      </c>
      <c r="S6">
        <v>-6.5200000000000002E-4</v>
      </c>
      <c r="T6">
        <v>-2.4560999999999999E-2</v>
      </c>
    </row>
    <row r="7" spans="1:20" x14ac:dyDescent="0.25">
      <c r="A7">
        <v>2025</v>
      </c>
      <c r="B7">
        <v>-7.2039000000000006E-2</v>
      </c>
      <c r="C7">
        <v>-8.1295000000000006E-2</v>
      </c>
      <c r="D7">
        <v>-5.7221000000000001E-2</v>
      </c>
      <c r="E7">
        <v>-0.18960199999999999</v>
      </c>
      <c r="F7">
        <v>-0.13186800000000001</v>
      </c>
      <c r="G7">
        <v>-7.7537999999999996E-2</v>
      </c>
      <c r="H7">
        <v>3.271E-3</v>
      </c>
      <c r="I7">
        <v>0.28643099999999999</v>
      </c>
      <c r="J7">
        <v>0.297759</v>
      </c>
      <c r="K7">
        <v>0.200764</v>
      </c>
      <c r="L7">
        <v>0.39900999999999998</v>
      </c>
      <c r="M7">
        <v>0.359097</v>
      </c>
      <c r="N7">
        <v>0.322822</v>
      </c>
      <c r="O7">
        <v>0.23466500000000001</v>
      </c>
      <c r="P7">
        <v>3.3832000000000001E-2</v>
      </c>
      <c r="Q7">
        <v>-17.05613</v>
      </c>
      <c r="R7">
        <v>3.9958E-2</v>
      </c>
      <c r="S7">
        <v>-6.3359999999999996E-3</v>
      </c>
      <c r="T7">
        <v>-1.2304000000000001E-2</v>
      </c>
    </row>
    <row r="8" spans="1:20" x14ac:dyDescent="0.25">
      <c r="A8">
        <v>2165</v>
      </c>
      <c r="B8">
        <v>-7.9809000000000005E-2</v>
      </c>
      <c r="C8">
        <v>-7.9858999999999999E-2</v>
      </c>
      <c r="D8">
        <v>-3.2070000000000002E-3</v>
      </c>
      <c r="E8">
        <v>-0.231936</v>
      </c>
      <c r="F8">
        <v>-0.10507900000000001</v>
      </c>
      <c r="G8">
        <v>-7.9857999999999998E-2</v>
      </c>
      <c r="H8" s="68">
        <v>1.26E-6</v>
      </c>
      <c r="I8">
        <v>0.32295400000000002</v>
      </c>
      <c r="J8">
        <v>0.34320299999999998</v>
      </c>
      <c r="K8">
        <v>0.256492</v>
      </c>
      <c r="L8">
        <v>0.43370399999999998</v>
      </c>
      <c r="M8">
        <v>0.388625</v>
      </c>
      <c r="N8">
        <v>0.32287500000000002</v>
      </c>
      <c r="O8">
        <v>0.29422599999999999</v>
      </c>
      <c r="P8">
        <v>3.7636999999999997E-2</v>
      </c>
      <c r="Q8">
        <v>-28.98122</v>
      </c>
      <c r="R8">
        <v>4.4963000000000003E-2</v>
      </c>
      <c r="S8">
        <v>-1.763E-2</v>
      </c>
      <c r="T8">
        <v>-2.0660999999999999E-2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7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205</v>
      </c>
      <c r="C1" t="s">
        <v>206</v>
      </c>
      <c r="D1" t="s">
        <v>207</v>
      </c>
      <c r="E1" t="s">
        <v>208</v>
      </c>
      <c r="F1" t="s">
        <v>209</v>
      </c>
      <c r="G1" t="s">
        <v>210</v>
      </c>
      <c r="H1" t="s">
        <v>211</v>
      </c>
      <c r="I1" t="s">
        <v>212</v>
      </c>
      <c r="J1" t="s">
        <v>213</v>
      </c>
      <c r="K1" t="s">
        <v>214</v>
      </c>
      <c r="L1" t="s">
        <v>215</v>
      </c>
      <c r="M1" t="s">
        <v>216</v>
      </c>
      <c r="N1" t="s">
        <v>217</v>
      </c>
      <c r="O1" t="s">
        <v>218</v>
      </c>
      <c r="P1" t="s">
        <v>219</v>
      </c>
      <c r="Q1" t="s">
        <v>220</v>
      </c>
      <c r="R1" t="s">
        <v>221</v>
      </c>
      <c r="S1" t="s">
        <v>222</v>
      </c>
      <c r="T1" t="s">
        <v>223</v>
      </c>
    </row>
    <row r="3" spans="1:20" x14ac:dyDescent="0.25">
      <c r="A3">
        <v>2016</v>
      </c>
      <c r="B3">
        <v>-0.383351</v>
      </c>
      <c r="C3">
        <v>-0.70080299999999995</v>
      </c>
      <c r="D3">
        <v>-0.33042199999999999</v>
      </c>
      <c r="E3">
        <v>-1.8991000000000001E-2</v>
      </c>
      <c r="F3">
        <v>-0.25653300000000001</v>
      </c>
      <c r="G3">
        <v>-1.0300769999999999</v>
      </c>
      <c r="H3">
        <v>-0.28950799999999999</v>
      </c>
      <c r="I3">
        <v>1.2732049999999999</v>
      </c>
      <c r="J3">
        <v>0.110127</v>
      </c>
      <c r="K3">
        <v>0.138041</v>
      </c>
      <c r="L3">
        <v>8.1041000000000002E-2</v>
      </c>
      <c r="M3">
        <v>0.105586</v>
      </c>
      <c r="N3">
        <v>0</v>
      </c>
      <c r="O3">
        <v>-2.5111999999999999E-2</v>
      </c>
      <c r="P3">
        <v>-0.16292799999999999</v>
      </c>
      <c r="Q3">
        <v>-44.026780000000002</v>
      </c>
      <c r="R3">
        <v>0.122365</v>
      </c>
      <c r="S3">
        <v>0.105069</v>
      </c>
      <c r="T3">
        <v>0.28981800000000002</v>
      </c>
    </row>
    <row r="4" spans="1:20" x14ac:dyDescent="0.25">
      <c r="A4">
        <v>2017</v>
      </c>
      <c r="B4">
        <v>-0.54344999999999999</v>
      </c>
      <c r="C4">
        <v>-0.96095900000000001</v>
      </c>
      <c r="D4">
        <v>-0.55624700000000005</v>
      </c>
      <c r="E4">
        <v>-4.1574E-2</v>
      </c>
      <c r="F4">
        <v>-0.38151600000000002</v>
      </c>
      <c r="G4">
        <v>-0.99673699999999998</v>
      </c>
      <c r="H4">
        <v>-3.1446000000000002E-2</v>
      </c>
      <c r="I4">
        <v>1.3051429999999999</v>
      </c>
      <c r="J4">
        <v>0.17669000000000001</v>
      </c>
      <c r="K4">
        <v>0.21959899999999999</v>
      </c>
      <c r="L4">
        <v>0.13197500000000001</v>
      </c>
      <c r="M4">
        <v>0.15728200000000001</v>
      </c>
      <c r="N4">
        <v>0</v>
      </c>
      <c r="O4">
        <v>0.28376299999999999</v>
      </c>
      <c r="P4">
        <v>6.4022999999999997E-2</v>
      </c>
      <c r="Q4">
        <v>-92.873900000000006</v>
      </c>
      <c r="R4">
        <v>0.24745500000000001</v>
      </c>
      <c r="S4">
        <v>0.14965800000000001</v>
      </c>
      <c r="T4">
        <v>0.19911699999999999</v>
      </c>
    </row>
    <row r="5" spans="1:20" x14ac:dyDescent="0.25">
      <c r="A5">
        <v>2018</v>
      </c>
      <c r="B5">
        <v>-0.60635300000000003</v>
      </c>
      <c r="C5">
        <v>-1.0362720000000001</v>
      </c>
      <c r="D5">
        <v>-0.670956</v>
      </c>
      <c r="E5">
        <v>-6.9361999999999993E-2</v>
      </c>
      <c r="F5">
        <v>-0.418271</v>
      </c>
      <c r="G5">
        <v>-0.97544799999999998</v>
      </c>
      <c r="H5">
        <v>5.3449000000000003E-2</v>
      </c>
      <c r="I5">
        <v>1.367996</v>
      </c>
      <c r="J5">
        <v>0.26967099999999999</v>
      </c>
      <c r="K5">
        <v>0.32977099999999998</v>
      </c>
      <c r="L5">
        <v>0.207041</v>
      </c>
      <c r="M5">
        <v>0.224023</v>
      </c>
      <c r="N5">
        <v>0</v>
      </c>
      <c r="O5">
        <v>0.58627499999999999</v>
      </c>
      <c r="P5">
        <v>0.25566100000000003</v>
      </c>
      <c r="Q5">
        <v>-132.13050000000001</v>
      </c>
      <c r="R5">
        <v>0.34009400000000001</v>
      </c>
      <c r="S5">
        <v>0.17197499999999999</v>
      </c>
      <c r="T5">
        <v>0.126251</v>
      </c>
    </row>
    <row r="6" spans="1:20" x14ac:dyDescent="0.25">
      <c r="A6">
        <v>2020</v>
      </c>
      <c r="B6">
        <v>-0.647818</v>
      </c>
      <c r="C6">
        <v>-1.0380020000000001</v>
      </c>
      <c r="D6">
        <v>-0.71801400000000004</v>
      </c>
      <c r="E6">
        <v>-0.149116</v>
      </c>
      <c r="F6">
        <v>-0.39330599999999999</v>
      </c>
      <c r="G6">
        <v>-0.97230499999999997</v>
      </c>
      <c r="H6">
        <v>5.7729000000000003E-2</v>
      </c>
      <c r="I6">
        <v>1.5607340000000001</v>
      </c>
      <c r="J6">
        <v>0.52785599999999999</v>
      </c>
      <c r="K6">
        <v>0.63167499999999999</v>
      </c>
      <c r="L6">
        <v>0.419686</v>
      </c>
      <c r="M6">
        <v>0.42100599999999999</v>
      </c>
      <c r="N6">
        <v>0</v>
      </c>
      <c r="O6">
        <v>1.0121</v>
      </c>
      <c r="P6">
        <v>0.37803599999999998</v>
      </c>
      <c r="Q6">
        <v>-180.1234</v>
      </c>
      <c r="R6">
        <v>0.44226399999999999</v>
      </c>
      <c r="S6">
        <v>0.19988500000000001</v>
      </c>
      <c r="T6">
        <v>2.9318E-2</v>
      </c>
    </row>
    <row r="7" spans="1:20" x14ac:dyDescent="0.25">
      <c r="A7">
        <v>2025</v>
      </c>
      <c r="B7">
        <v>-0.600746</v>
      </c>
      <c r="C7">
        <v>-0.76549599999999995</v>
      </c>
      <c r="D7">
        <v>-0.54491299999999998</v>
      </c>
      <c r="E7">
        <v>-0.41744100000000001</v>
      </c>
      <c r="F7">
        <v>-0.18543899999999999</v>
      </c>
      <c r="G7">
        <v>-0.73517999999999994</v>
      </c>
      <c r="H7">
        <v>2.6575999999999999E-2</v>
      </c>
      <c r="I7">
        <v>1.9850699999999999</v>
      </c>
      <c r="J7">
        <v>1.125575</v>
      </c>
      <c r="K7">
        <v>1.332738</v>
      </c>
      <c r="L7">
        <v>0.90973400000000004</v>
      </c>
      <c r="M7">
        <v>0.90652200000000005</v>
      </c>
      <c r="N7">
        <v>0</v>
      </c>
      <c r="O7">
        <v>1.621856</v>
      </c>
      <c r="P7">
        <v>0.28531600000000001</v>
      </c>
      <c r="Q7">
        <v>-206.64490000000001</v>
      </c>
      <c r="R7">
        <v>0.48180499999999998</v>
      </c>
      <c r="S7">
        <v>0.20498</v>
      </c>
      <c r="T7">
        <v>7.6074000000000003E-2</v>
      </c>
    </row>
    <row r="8" spans="1:20" x14ac:dyDescent="0.25">
      <c r="A8">
        <v>2165</v>
      </c>
      <c r="B8">
        <v>-3.8515000000000001E-2</v>
      </c>
      <c r="C8">
        <v>-4.7631E-2</v>
      </c>
      <c r="D8">
        <v>3.1770000000000001E-3</v>
      </c>
      <c r="E8">
        <v>-4.5115000000000002E-2</v>
      </c>
      <c r="F8">
        <v>5.4199999999999995E-4</v>
      </c>
      <c r="G8">
        <v>-4.7652E-2</v>
      </c>
      <c r="H8" s="68">
        <v>-1.8499999999999999E-5</v>
      </c>
      <c r="I8">
        <v>0.139352</v>
      </c>
      <c r="J8">
        <v>8.8395000000000001E-2</v>
      </c>
      <c r="K8">
        <v>0.104689</v>
      </c>
      <c r="L8">
        <v>7.1401999999999993E-2</v>
      </c>
      <c r="M8">
        <v>7.1314000000000002E-2</v>
      </c>
      <c r="N8">
        <v>0</v>
      </c>
      <c r="O8">
        <v>0.12454900000000001</v>
      </c>
      <c r="P8">
        <v>1.984E-2</v>
      </c>
      <c r="Q8">
        <v>-19.812619999999999</v>
      </c>
      <c r="R8">
        <v>3.0577E-2</v>
      </c>
      <c r="S8">
        <v>8.3549999999999996E-3</v>
      </c>
      <c r="T8">
        <v>3.2929999999999999E-3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8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174</v>
      </c>
      <c r="J1" t="s">
        <v>175</v>
      </c>
      <c r="K1" t="s">
        <v>176</v>
      </c>
      <c r="L1" t="s">
        <v>177</v>
      </c>
      <c r="M1" t="s">
        <v>178</v>
      </c>
      <c r="N1" t="s">
        <v>179</v>
      </c>
      <c r="O1" t="s">
        <v>180</v>
      </c>
      <c r="P1" t="s">
        <v>181</v>
      </c>
      <c r="Q1" t="s">
        <v>182</v>
      </c>
      <c r="R1" t="s">
        <v>183</v>
      </c>
      <c r="S1" t="s">
        <v>184</v>
      </c>
      <c r="T1" t="s">
        <v>185</v>
      </c>
    </row>
    <row r="3" spans="1:20" x14ac:dyDescent="0.25">
      <c r="A3">
        <v>2016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-1</v>
      </c>
    </row>
    <row r="4" spans="1:20" x14ac:dyDescent="0.25">
      <c r="A4">
        <v>2017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-1</v>
      </c>
    </row>
    <row r="5" spans="1:20" x14ac:dyDescent="0.25">
      <c r="A5">
        <v>2018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-1</v>
      </c>
    </row>
    <row r="6" spans="1:20" x14ac:dyDescent="0.25">
      <c r="A6">
        <v>2020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-1</v>
      </c>
    </row>
    <row r="7" spans="1:20" x14ac:dyDescent="0.25">
      <c r="A7">
        <v>2025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-1</v>
      </c>
    </row>
    <row r="8" spans="1:20" x14ac:dyDescent="0.25">
      <c r="A8">
        <v>2165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-1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"/>
  <dimension ref="A1:T8"/>
  <sheetViews>
    <sheetView workbookViewId="0"/>
  </sheetViews>
  <sheetFormatPr defaultColWidth="11" defaultRowHeight="15.75" x14ac:dyDescent="0.25"/>
  <sheetData>
    <row r="1" spans="1:20" x14ac:dyDescent="0.25">
      <c r="B1" t="s">
        <v>110</v>
      </c>
      <c r="C1" t="s">
        <v>111</v>
      </c>
      <c r="D1" t="s">
        <v>112</v>
      </c>
      <c r="E1" t="s">
        <v>113</v>
      </c>
      <c r="F1" t="s">
        <v>114</v>
      </c>
      <c r="G1" t="s">
        <v>115</v>
      </c>
      <c r="H1" t="s">
        <v>116</v>
      </c>
      <c r="I1" t="s">
        <v>117</v>
      </c>
      <c r="J1" t="s">
        <v>118</v>
      </c>
      <c r="K1" t="s">
        <v>119</v>
      </c>
      <c r="L1" t="s">
        <v>120</v>
      </c>
      <c r="M1" t="s">
        <v>121</v>
      </c>
      <c r="N1" t="s">
        <v>122</v>
      </c>
      <c r="O1" t="s">
        <v>123</v>
      </c>
      <c r="P1" t="s">
        <v>124</v>
      </c>
      <c r="Q1" t="s">
        <v>125</v>
      </c>
      <c r="R1" t="s">
        <v>126</v>
      </c>
      <c r="S1" t="s">
        <v>127</v>
      </c>
      <c r="T1" t="s">
        <v>128</v>
      </c>
    </row>
    <row r="3" spans="1:20" x14ac:dyDescent="0.25">
      <c r="A3">
        <v>2016</v>
      </c>
      <c r="B3">
        <v>0.80831399999999998</v>
      </c>
      <c r="C3">
        <v>0.64083699999999999</v>
      </c>
      <c r="D3">
        <v>0.39370500000000003</v>
      </c>
      <c r="E3">
        <v>-1.4603E-2</v>
      </c>
      <c r="F3">
        <v>0.51022299999999998</v>
      </c>
      <c r="G3">
        <v>0.94382500000000003</v>
      </c>
      <c r="H3">
        <v>0.261187</v>
      </c>
      <c r="I3">
        <v>9.0466000000000005E-2</v>
      </c>
      <c r="J3">
        <v>0.118675</v>
      </c>
      <c r="K3">
        <v>0.15093000000000001</v>
      </c>
      <c r="L3">
        <v>8.4931000000000006E-2</v>
      </c>
      <c r="M3">
        <v>8.1170999999999993E-2</v>
      </c>
      <c r="N3">
        <v>0</v>
      </c>
      <c r="O3">
        <v>9.9217E-2</v>
      </c>
      <c r="P3">
        <v>-5.1635E-2</v>
      </c>
      <c r="Q3">
        <v>141.6377</v>
      </c>
      <c r="R3">
        <v>-0.39329599999999998</v>
      </c>
      <c r="S3">
        <v>-0.12200900000000001</v>
      </c>
      <c r="T3">
        <v>-0.55939300000000003</v>
      </c>
    </row>
    <row r="4" spans="1:20" x14ac:dyDescent="0.25">
      <c r="A4">
        <v>2017</v>
      </c>
      <c r="B4">
        <v>1.0111889999999999</v>
      </c>
      <c r="C4">
        <v>1.085488</v>
      </c>
      <c r="D4">
        <v>0.69261600000000001</v>
      </c>
      <c r="E4">
        <v>-4.8619000000000002E-2</v>
      </c>
      <c r="F4">
        <v>0.79356099999999996</v>
      </c>
      <c r="G4">
        <v>1.2148380000000001</v>
      </c>
      <c r="H4">
        <v>0.111206</v>
      </c>
      <c r="I4">
        <v>0.228935</v>
      </c>
      <c r="J4">
        <v>0.28884799999999999</v>
      </c>
      <c r="K4">
        <v>0.35612899999999997</v>
      </c>
      <c r="L4">
        <v>0.218531</v>
      </c>
      <c r="M4">
        <v>0.213614</v>
      </c>
      <c r="N4">
        <v>0</v>
      </c>
      <c r="O4">
        <v>0.25038700000000003</v>
      </c>
      <c r="P4">
        <v>-0.105367</v>
      </c>
      <c r="Q4">
        <v>250.17670000000001</v>
      </c>
      <c r="R4">
        <v>-0.65998400000000002</v>
      </c>
      <c r="S4">
        <v>-0.172844</v>
      </c>
      <c r="T4">
        <v>-0.31056699999999998</v>
      </c>
    </row>
    <row r="5" spans="1:20" x14ac:dyDescent="0.25">
      <c r="A5">
        <v>2018</v>
      </c>
      <c r="B5">
        <v>1.133758</v>
      </c>
      <c r="C5">
        <v>1.3781429999999999</v>
      </c>
      <c r="D5">
        <v>0.896343</v>
      </c>
      <c r="E5">
        <v>-9.9964999999999998E-2</v>
      </c>
      <c r="F5">
        <v>0.982684</v>
      </c>
      <c r="G5">
        <v>1.4010670000000001</v>
      </c>
      <c r="H5">
        <v>1.9673E-2</v>
      </c>
      <c r="I5">
        <v>0.38481700000000002</v>
      </c>
      <c r="J5">
        <v>0.47507500000000003</v>
      </c>
      <c r="K5">
        <v>0.57530999999999999</v>
      </c>
      <c r="L5">
        <v>0.37037500000000001</v>
      </c>
      <c r="M5">
        <v>0.36720999999999998</v>
      </c>
      <c r="N5">
        <v>0</v>
      </c>
      <c r="O5">
        <v>0.43404300000000001</v>
      </c>
      <c r="P5">
        <v>-0.140459</v>
      </c>
      <c r="Q5">
        <v>323.38479999999998</v>
      </c>
      <c r="R5">
        <v>-0.82150999999999996</v>
      </c>
      <c r="S5">
        <v>-0.19542599999999999</v>
      </c>
      <c r="T5">
        <v>-0.13089200000000001</v>
      </c>
    </row>
    <row r="6" spans="1:20" x14ac:dyDescent="0.25">
      <c r="A6">
        <v>2020</v>
      </c>
      <c r="B6">
        <v>1.20933</v>
      </c>
      <c r="C6">
        <v>1.647748</v>
      </c>
      <c r="D6">
        <v>1.108285</v>
      </c>
      <c r="E6">
        <v>-0.23325100000000001</v>
      </c>
      <c r="F6">
        <v>1.181908</v>
      </c>
      <c r="G6">
        <v>1.579834</v>
      </c>
      <c r="H6">
        <v>-5.8178000000000001E-2</v>
      </c>
      <c r="I6">
        <v>0.68359599999999998</v>
      </c>
      <c r="J6">
        <v>0.82787999999999995</v>
      </c>
      <c r="K6">
        <v>0.98824100000000004</v>
      </c>
      <c r="L6">
        <v>0.66049199999999997</v>
      </c>
      <c r="M6">
        <v>0.66349100000000005</v>
      </c>
      <c r="N6">
        <v>0</v>
      </c>
      <c r="O6">
        <v>0.82865999999999995</v>
      </c>
      <c r="P6">
        <v>-0.15801899999999999</v>
      </c>
      <c r="Q6">
        <v>385.05290000000002</v>
      </c>
      <c r="R6">
        <v>-0.92978300000000003</v>
      </c>
      <c r="S6">
        <v>-0.20220099999999999</v>
      </c>
      <c r="T6">
        <v>5.9076999999999998E-2</v>
      </c>
    </row>
    <row r="7" spans="1:20" x14ac:dyDescent="0.25">
      <c r="A7">
        <v>2025</v>
      </c>
      <c r="B7">
        <v>1.010073</v>
      </c>
      <c r="C7">
        <v>1.521798</v>
      </c>
      <c r="D7">
        <v>1.1639189999999999</v>
      </c>
      <c r="E7">
        <v>-0.54002899999999998</v>
      </c>
      <c r="F7">
        <v>1.208825</v>
      </c>
      <c r="G7">
        <v>1.4750589999999999</v>
      </c>
      <c r="H7">
        <v>-4.0078999999999997E-2</v>
      </c>
      <c r="I7">
        <v>1.139203</v>
      </c>
      <c r="J7">
        <v>1.3620220000000001</v>
      </c>
      <c r="K7">
        <v>1.6220159999999999</v>
      </c>
      <c r="L7">
        <v>1.090832</v>
      </c>
      <c r="M7">
        <v>1.0964830000000001</v>
      </c>
      <c r="N7">
        <v>0</v>
      </c>
      <c r="O7">
        <v>1.511684</v>
      </c>
      <c r="P7">
        <v>-0.108571</v>
      </c>
      <c r="Q7">
        <v>318.7937</v>
      </c>
      <c r="R7">
        <v>-0.72700299999999995</v>
      </c>
      <c r="S7">
        <v>-0.17085500000000001</v>
      </c>
      <c r="T7">
        <v>5.0430999999999997E-2</v>
      </c>
    </row>
    <row r="8" spans="1:20" x14ac:dyDescent="0.25">
      <c r="A8">
        <v>2165</v>
      </c>
      <c r="B8">
        <v>2.6589000000000002E-2</v>
      </c>
      <c r="C8">
        <v>3.3710999999999998E-2</v>
      </c>
      <c r="D8">
        <v>-1.3984999999999999E-2</v>
      </c>
      <c r="E8">
        <v>-2.5368000000000002E-2</v>
      </c>
      <c r="F8">
        <v>3.1667000000000001E-2</v>
      </c>
      <c r="G8">
        <v>3.3731999999999998E-2</v>
      </c>
      <c r="H8" s="68">
        <v>1.7799999999999999E-5</v>
      </c>
      <c r="I8">
        <v>4.1633000000000003E-2</v>
      </c>
      <c r="J8">
        <v>4.9395000000000001E-2</v>
      </c>
      <c r="K8">
        <v>5.8694999999999997E-2</v>
      </c>
      <c r="L8">
        <v>3.9694E-2</v>
      </c>
      <c r="M8">
        <v>4.0349999999999997E-2</v>
      </c>
      <c r="N8">
        <v>0</v>
      </c>
      <c r="O8">
        <v>5.4712999999999998E-2</v>
      </c>
      <c r="P8">
        <v>-3.98E-3</v>
      </c>
      <c r="Q8">
        <v>13.55921</v>
      </c>
      <c r="R8">
        <v>-2.0917999999999999E-2</v>
      </c>
      <c r="S8">
        <v>-4.2729999999999999E-3</v>
      </c>
      <c r="T8">
        <v>-9.6010000000000002E-3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5"/>
  <dimension ref="A1:G20"/>
  <sheetViews>
    <sheetView showGridLines="0" workbookViewId="0">
      <selection activeCell="C5" sqref="C5"/>
    </sheetView>
  </sheetViews>
  <sheetFormatPr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6"/>
  <dimension ref="A1:G20"/>
  <sheetViews>
    <sheetView showGridLines="0" workbookViewId="0">
      <selection activeCell="B2" sqref="B2"/>
    </sheetView>
  </sheetViews>
  <sheetFormatPr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7"/>
  <dimension ref="A1:T8"/>
  <sheetViews>
    <sheetView workbookViewId="0">
      <selection activeCell="I22" sqref="I22"/>
    </sheetView>
  </sheetViews>
  <sheetFormatPr defaultColWidth="11" defaultRowHeight="15.75" x14ac:dyDescent="0.25"/>
  <sheetData>
    <row r="1" spans="1:20" x14ac:dyDescent="0.25">
      <c r="B1" t="s">
        <v>129</v>
      </c>
      <c r="C1" t="s">
        <v>130</v>
      </c>
      <c r="D1" t="s">
        <v>131</v>
      </c>
      <c r="E1" t="s">
        <v>132</v>
      </c>
      <c r="F1" t="s">
        <v>133</v>
      </c>
      <c r="G1" t="s">
        <v>134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145</v>
      </c>
      <c r="S1" t="s">
        <v>146</v>
      </c>
      <c r="T1" t="s">
        <v>147</v>
      </c>
    </row>
    <row r="3" spans="1:20" x14ac:dyDescent="0.25">
      <c r="A3">
        <v>2016</v>
      </c>
      <c r="B3">
        <v>-1.2774000000000001E-2</v>
      </c>
      <c r="C3">
        <v>-0.63095199999999996</v>
      </c>
      <c r="D3">
        <v>-6.5690999999999999E-2</v>
      </c>
      <c r="E3">
        <v>0.67783000000000004</v>
      </c>
      <c r="F3">
        <v>-0.50768500000000005</v>
      </c>
      <c r="G3">
        <v>-0.92758499999999999</v>
      </c>
      <c r="H3">
        <v>-0.26053900000000002</v>
      </c>
      <c r="I3">
        <v>1.2276609999999999</v>
      </c>
      <c r="J3">
        <v>0.54349599999999998</v>
      </c>
      <c r="K3">
        <v>-0.29130600000000001</v>
      </c>
      <c r="L3">
        <v>1.4147620000000001</v>
      </c>
      <c r="M3">
        <v>1.1334599999999999</v>
      </c>
      <c r="N3">
        <v>5</v>
      </c>
      <c r="O3">
        <v>1.8960999999999999E-2</v>
      </c>
      <c r="P3">
        <v>0.31117299999999998</v>
      </c>
      <c r="Q3">
        <v>15.787459999999999</v>
      </c>
      <c r="R3">
        <v>-4.3866000000000002E-2</v>
      </c>
      <c r="S3">
        <v>-0.80968399999999996</v>
      </c>
      <c r="T3">
        <v>-0.21271999999999999</v>
      </c>
    </row>
    <row r="4" spans="1:20" x14ac:dyDescent="0.25">
      <c r="A4">
        <v>2017</v>
      </c>
      <c r="B4">
        <v>2.9656999999999999E-2</v>
      </c>
      <c r="C4">
        <v>-0.87415900000000002</v>
      </c>
      <c r="D4">
        <v>-7.7802999999999997E-2</v>
      </c>
      <c r="E4">
        <v>1.058122</v>
      </c>
      <c r="F4">
        <v>-0.73778299999999997</v>
      </c>
      <c r="G4">
        <v>-0.91054000000000002</v>
      </c>
      <c r="H4">
        <v>-3.1948999999999998E-2</v>
      </c>
      <c r="I4">
        <v>1.6115619999999999</v>
      </c>
      <c r="J4">
        <v>1.008853</v>
      </c>
      <c r="K4">
        <v>0.25533499999999998</v>
      </c>
      <c r="L4">
        <v>1.795892</v>
      </c>
      <c r="M4">
        <v>1.6737169999999999</v>
      </c>
      <c r="N4">
        <v>5</v>
      </c>
      <c r="O4">
        <v>0.391065</v>
      </c>
      <c r="P4">
        <v>0.13538500000000001</v>
      </c>
      <c r="Q4">
        <v>38.513280000000002</v>
      </c>
      <c r="R4">
        <v>-0.103098</v>
      </c>
      <c r="S4">
        <v>-0.46083800000000003</v>
      </c>
      <c r="T4">
        <v>-0.19517499999999999</v>
      </c>
    </row>
    <row r="5" spans="1:20" x14ac:dyDescent="0.25">
      <c r="A5">
        <v>2018</v>
      </c>
      <c r="B5">
        <v>0.110997</v>
      </c>
      <c r="C5">
        <v>-0.86523799999999995</v>
      </c>
      <c r="D5">
        <v>-4.1789E-2</v>
      </c>
      <c r="E5">
        <v>1.2436990000000001</v>
      </c>
      <c r="F5">
        <v>-0.78910199999999997</v>
      </c>
      <c r="G5">
        <v>-0.77305599999999997</v>
      </c>
      <c r="H5">
        <v>8.0838999999999994E-2</v>
      </c>
      <c r="I5">
        <v>1.990389</v>
      </c>
      <c r="J5">
        <v>1.455549</v>
      </c>
      <c r="K5">
        <v>0.78123500000000001</v>
      </c>
      <c r="L5">
        <v>2.160288</v>
      </c>
      <c r="M5">
        <v>2.1290420000000001</v>
      </c>
      <c r="N5">
        <v>5</v>
      </c>
      <c r="O5">
        <v>0.86799899999999997</v>
      </c>
      <c r="P5">
        <v>8.6092000000000002E-2</v>
      </c>
      <c r="Q5">
        <v>64.399619999999999</v>
      </c>
      <c r="R5">
        <v>-0.16762099999999999</v>
      </c>
      <c r="S5">
        <v>-0.25119200000000003</v>
      </c>
      <c r="T5">
        <v>-0.123374</v>
      </c>
    </row>
    <row r="6" spans="1:20" x14ac:dyDescent="0.25">
      <c r="A6">
        <v>2020</v>
      </c>
      <c r="B6">
        <v>0.28786800000000001</v>
      </c>
      <c r="C6">
        <v>-0.53424499999999997</v>
      </c>
      <c r="D6">
        <v>0.117799</v>
      </c>
      <c r="E6">
        <v>1.275442</v>
      </c>
      <c r="F6">
        <v>-0.62935600000000003</v>
      </c>
      <c r="G6">
        <v>-0.41375899999999999</v>
      </c>
      <c r="H6">
        <v>0.10528</v>
      </c>
      <c r="I6">
        <v>2.7484739999999999</v>
      </c>
      <c r="J6">
        <v>2.3347380000000002</v>
      </c>
      <c r="K6">
        <v>1.818632</v>
      </c>
      <c r="L6">
        <v>2.8744049999999999</v>
      </c>
      <c r="M6">
        <v>2.9083679999999998</v>
      </c>
      <c r="N6">
        <v>5</v>
      </c>
      <c r="O6">
        <v>1.868933</v>
      </c>
      <c r="P6">
        <v>4.9402000000000001E-2</v>
      </c>
      <c r="Q6">
        <v>112.12179999999999</v>
      </c>
      <c r="R6">
        <v>-0.27962399999999998</v>
      </c>
      <c r="S6">
        <v>-5.4005999999999998E-2</v>
      </c>
      <c r="T6">
        <v>5.7239999999999999E-2</v>
      </c>
    </row>
    <row r="7" spans="1:20" x14ac:dyDescent="0.25">
      <c r="A7">
        <v>2025</v>
      </c>
      <c r="B7">
        <v>0.49226399999999998</v>
      </c>
      <c r="C7">
        <v>0.32830599999999999</v>
      </c>
      <c r="D7">
        <v>0.57927700000000004</v>
      </c>
      <c r="E7">
        <v>0.66791</v>
      </c>
      <c r="F7">
        <v>1.3866E-2</v>
      </c>
      <c r="G7">
        <v>0.32920300000000002</v>
      </c>
      <c r="H7">
        <v>7.7800000000000005E-4</v>
      </c>
      <c r="I7">
        <v>4.3732259999999998</v>
      </c>
      <c r="J7">
        <v>4.2226999999999997</v>
      </c>
      <c r="K7">
        <v>4.0524719999999999</v>
      </c>
      <c r="L7">
        <v>4.4005900000000002</v>
      </c>
      <c r="M7">
        <v>4.4136300000000004</v>
      </c>
      <c r="N7">
        <v>5</v>
      </c>
      <c r="O7">
        <v>4.0578479999999999</v>
      </c>
      <c r="P7">
        <v>5.1669999999999997E-3</v>
      </c>
      <c r="Q7">
        <v>143.79759999999999</v>
      </c>
      <c r="R7">
        <v>-0.33396199999999998</v>
      </c>
      <c r="S7">
        <v>2.2932000000000001E-2</v>
      </c>
      <c r="T7">
        <v>0.38414300000000001</v>
      </c>
    </row>
    <row r="8" spans="1:20" x14ac:dyDescent="0.25">
      <c r="A8">
        <v>2165</v>
      </c>
      <c r="B8">
        <v>-4.2139999999999997E-2</v>
      </c>
      <c r="C8">
        <v>-4.206E-2</v>
      </c>
      <c r="D8">
        <v>-5.0230999999999998E-2</v>
      </c>
      <c r="E8">
        <v>-5.0810000000000001E-2</v>
      </c>
      <c r="F8">
        <v>-2.1108999999999999E-2</v>
      </c>
      <c r="G8">
        <v>-4.2050999999999998E-2</v>
      </c>
      <c r="H8" s="68">
        <v>8.2600000000000005E-6</v>
      </c>
      <c r="I8">
        <v>5.0870569999999997</v>
      </c>
      <c r="J8">
        <v>5.0744689999999997</v>
      </c>
      <c r="K8">
        <v>5.0669680000000001</v>
      </c>
      <c r="L8">
        <v>5.0822929999999999</v>
      </c>
      <c r="M8">
        <v>5.0887880000000001</v>
      </c>
      <c r="N8">
        <v>5</v>
      </c>
      <c r="O8">
        <v>5.0690039999999996</v>
      </c>
      <c r="P8">
        <v>1.9369999999999999E-3</v>
      </c>
      <c r="Q8">
        <v>-18.144210000000001</v>
      </c>
      <c r="R8">
        <v>2.8147999999999999E-2</v>
      </c>
      <c r="S8">
        <v>1.6664999999999999E-2</v>
      </c>
      <c r="T8">
        <v>1.2368000000000001E-2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9"/>
  <dimension ref="A1:T8"/>
  <sheetViews>
    <sheetView workbookViewId="0">
      <selection activeCell="R17" sqref="A1:R17"/>
    </sheetView>
  </sheetViews>
  <sheetFormatPr defaultColWidth="11" defaultRowHeight="15.75" x14ac:dyDescent="0.25"/>
  <sheetData>
    <row r="1" spans="1:20" x14ac:dyDescent="0.25">
      <c r="B1" t="s">
        <v>186</v>
      </c>
      <c r="C1" t="s">
        <v>187</v>
      </c>
      <c r="D1" t="s">
        <v>188</v>
      </c>
      <c r="E1" t="s">
        <v>189</v>
      </c>
      <c r="F1" t="s">
        <v>190</v>
      </c>
      <c r="G1" t="s">
        <v>191</v>
      </c>
      <c r="H1" t="s">
        <v>192</v>
      </c>
      <c r="I1" t="s">
        <v>193</v>
      </c>
      <c r="J1" t="s">
        <v>194</v>
      </c>
      <c r="K1" t="s">
        <v>195</v>
      </c>
      <c r="L1" t="s">
        <v>196</v>
      </c>
      <c r="M1" t="s">
        <v>197</v>
      </c>
      <c r="N1" t="s">
        <v>198</v>
      </c>
      <c r="O1" t="s">
        <v>199</v>
      </c>
      <c r="P1" t="s">
        <v>200</v>
      </c>
      <c r="Q1" t="s">
        <v>201</v>
      </c>
      <c r="R1" t="s">
        <v>202</v>
      </c>
      <c r="S1" t="s">
        <v>203</v>
      </c>
      <c r="T1" t="s">
        <v>204</v>
      </c>
    </row>
    <row r="3" spans="1:20" x14ac:dyDescent="0.25">
      <c r="A3">
        <v>2016</v>
      </c>
      <c r="B3">
        <v>0.20841899999999999</v>
      </c>
      <c r="C3">
        <v>0.368981</v>
      </c>
      <c r="D3">
        <v>6.2547000000000005E-2</v>
      </c>
      <c r="E3">
        <v>6.8756999999999999E-2</v>
      </c>
      <c r="F3">
        <v>8.9341000000000004E-2</v>
      </c>
      <c r="G3">
        <v>0.54306600000000005</v>
      </c>
      <c r="H3">
        <v>0.15066599999999999</v>
      </c>
      <c r="I3">
        <v>-0.41331099999999998</v>
      </c>
      <c r="J3">
        <v>-0.49722899999999998</v>
      </c>
      <c r="K3">
        <v>-0.59962199999999999</v>
      </c>
      <c r="L3">
        <v>-0.39029700000000001</v>
      </c>
      <c r="M3">
        <v>-0.38108599999999998</v>
      </c>
      <c r="N3">
        <v>0</v>
      </c>
      <c r="O3">
        <v>2.2040000000000001E-2</v>
      </c>
      <c r="P3">
        <v>-0.91386299999999998</v>
      </c>
      <c r="Q3">
        <v>36.202849999999998</v>
      </c>
      <c r="R3">
        <v>-0.10058</v>
      </c>
      <c r="S3">
        <v>-0.12082900000000001</v>
      </c>
      <c r="T3">
        <v>-0.659941</v>
      </c>
    </row>
    <row r="4" spans="1:20" x14ac:dyDescent="0.25">
      <c r="A4">
        <v>2017</v>
      </c>
      <c r="B4">
        <v>0.42649900000000002</v>
      </c>
      <c r="C4">
        <v>0.73316099999999995</v>
      </c>
      <c r="D4">
        <v>0.18491199999999999</v>
      </c>
      <c r="E4">
        <v>0.167652</v>
      </c>
      <c r="F4">
        <v>0.20972499999999999</v>
      </c>
      <c r="G4">
        <v>0.85867599999999999</v>
      </c>
      <c r="H4">
        <v>0.10829</v>
      </c>
      <c r="I4">
        <v>-0.70506500000000005</v>
      </c>
      <c r="J4">
        <v>-0.84181099999999998</v>
      </c>
      <c r="K4">
        <v>-1.01017</v>
      </c>
      <c r="L4">
        <v>-0.66588999999999998</v>
      </c>
      <c r="M4">
        <v>-0.66103999999999996</v>
      </c>
      <c r="N4">
        <v>0</v>
      </c>
      <c r="O4">
        <v>-4.6891000000000002E-2</v>
      </c>
      <c r="P4">
        <v>-0.57148399999999999</v>
      </c>
      <c r="Q4">
        <v>90.418710000000004</v>
      </c>
      <c r="R4">
        <v>-0.24217</v>
      </c>
      <c r="S4">
        <v>-0.211643</v>
      </c>
      <c r="T4">
        <v>-0.44245699999999999</v>
      </c>
    </row>
    <row r="5" spans="1:20" x14ac:dyDescent="0.25">
      <c r="A5">
        <v>2018</v>
      </c>
      <c r="B5">
        <v>0.58979899999999996</v>
      </c>
      <c r="C5">
        <v>0.97867999999999999</v>
      </c>
      <c r="D5">
        <v>0.30726799999999999</v>
      </c>
      <c r="E5">
        <v>0.273198</v>
      </c>
      <c r="F5">
        <v>0.30257899999999999</v>
      </c>
      <c r="G5">
        <v>1.014715</v>
      </c>
      <c r="H5">
        <v>3.1042E-2</v>
      </c>
      <c r="I5">
        <v>-0.91231200000000001</v>
      </c>
      <c r="J5">
        <v>-1.080776</v>
      </c>
      <c r="K5">
        <v>-1.291949</v>
      </c>
      <c r="L5">
        <v>-0.86010699999999995</v>
      </c>
      <c r="M5">
        <v>-0.86039600000000005</v>
      </c>
      <c r="N5">
        <v>0</v>
      </c>
      <c r="O5">
        <v>-0.17836099999999999</v>
      </c>
      <c r="P5">
        <v>-0.41880200000000001</v>
      </c>
      <c r="Q5">
        <v>146.15029999999999</v>
      </c>
      <c r="R5">
        <v>-0.37949100000000002</v>
      </c>
      <c r="S5">
        <v>-0.26844299999999999</v>
      </c>
      <c r="T5">
        <v>-0.31722099999999998</v>
      </c>
    </row>
    <row r="6" spans="1:20" x14ac:dyDescent="0.25">
      <c r="A6">
        <v>2020</v>
      </c>
      <c r="B6">
        <v>0.74530600000000002</v>
      </c>
      <c r="C6">
        <v>1.1373949999999999</v>
      </c>
      <c r="D6">
        <v>0.44395200000000001</v>
      </c>
      <c r="E6">
        <v>0.46568599999999999</v>
      </c>
      <c r="F6">
        <v>0.356595</v>
      </c>
      <c r="G6">
        <v>1.0723720000000001</v>
      </c>
      <c r="H6">
        <v>-5.5981000000000003E-2</v>
      </c>
      <c r="I6">
        <v>-1.194394</v>
      </c>
      <c r="J6">
        <v>-1.3961589999999999</v>
      </c>
      <c r="K6">
        <v>-1.6596200000000001</v>
      </c>
      <c r="L6">
        <v>-1.120935</v>
      </c>
      <c r="M6">
        <v>-1.1231660000000001</v>
      </c>
      <c r="N6">
        <v>0</v>
      </c>
      <c r="O6">
        <v>-0.49032500000000001</v>
      </c>
      <c r="P6">
        <v>-0.35886800000000002</v>
      </c>
      <c r="Q6">
        <v>227.9494</v>
      </c>
      <c r="R6">
        <v>-0.56369499999999995</v>
      </c>
      <c r="S6">
        <v>-0.30859399999999998</v>
      </c>
      <c r="T6">
        <v>-0.23629600000000001</v>
      </c>
    </row>
    <row r="7" spans="1:20" x14ac:dyDescent="0.25">
      <c r="A7">
        <v>2025</v>
      </c>
      <c r="B7">
        <v>0.72429699999999997</v>
      </c>
      <c r="C7">
        <v>0.85105600000000003</v>
      </c>
      <c r="D7">
        <v>0.31306400000000001</v>
      </c>
      <c r="E7">
        <v>0.80759400000000003</v>
      </c>
      <c r="F7">
        <v>0.13742699999999999</v>
      </c>
      <c r="G7">
        <v>0.82079999999999997</v>
      </c>
      <c r="H7">
        <v>-2.6113999999999998E-2</v>
      </c>
      <c r="I7">
        <v>-1.6544540000000001</v>
      </c>
      <c r="J7">
        <v>-1.9176029999999999</v>
      </c>
      <c r="K7">
        <v>-2.2686730000000002</v>
      </c>
      <c r="L7">
        <v>-1.550891</v>
      </c>
      <c r="M7">
        <v>-1.5460160000000001</v>
      </c>
      <c r="N7">
        <v>0</v>
      </c>
      <c r="O7">
        <v>-1.134938</v>
      </c>
      <c r="P7">
        <v>-0.38740000000000002</v>
      </c>
      <c r="Q7">
        <v>268.84350000000001</v>
      </c>
      <c r="R7">
        <v>-0.62491699999999994</v>
      </c>
      <c r="S7">
        <v>-0.27635599999999999</v>
      </c>
      <c r="T7">
        <v>-0.35784199999999999</v>
      </c>
    </row>
    <row r="8" spans="1:20" x14ac:dyDescent="0.25">
      <c r="A8">
        <v>2165</v>
      </c>
      <c r="B8">
        <v>0.80567500000000003</v>
      </c>
      <c r="C8">
        <v>0.893571</v>
      </c>
      <c r="D8">
        <v>1.5765000000000001E-2</v>
      </c>
      <c r="E8">
        <v>1.091469</v>
      </c>
      <c r="F8">
        <v>2.0560000000000001E-3</v>
      </c>
      <c r="G8">
        <v>0.89356100000000005</v>
      </c>
      <c r="H8" s="68">
        <v>-8.6600000000000001E-6</v>
      </c>
      <c r="I8">
        <v>-1.904139</v>
      </c>
      <c r="J8">
        <v>-2.217905</v>
      </c>
      <c r="K8">
        <v>-2.6249859999999998</v>
      </c>
      <c r="L8">
        <v>-1.7922199999999999</v>
      </c>
      <c r="M8">
        <v>-1.7924290000000001</v>
      </c>
      <c r="N8">
        <v>0</v>
      </c>
      <c r="O8">
        <v>-1.5240579999999999</v>
      </c>
      <c r="P8">
        <v>-0.41639700000000002</v>
      </c>
      <c r="Q8">
        <v>416.3879</v>
      </c>
      <c r="R8">
        <v>-0.64462900000000001</v>
      </c>
      <c r="S8">
        <v>-0.229938</v>
      </c>
      <c r="T8">
        <v>-0.281829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0"/>
  <dimension ref="A1"/>
  <sheetViews>
    <sheetView workbookViewId="0">
      <selection activeCell="R17" sqref="A1:R17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1"/>
  <dimension ref="A1"/>
  <sheetViews>
    <sheetView workbookViewId="0">
      <selection activeCell="R17" sqref="A1:R17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3"/>
  <dimension ref="A1:G20"/>
  <sheetViews>
    <sheetView showGridLines="0" workbookViewId="0">
      <selection activeCell="B4" sqref="B4"/>
    </sheetView>
  </sheetViews>
  <sheetFormatPr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4"/>
  <dimension ref="A1:G20"/>
  <sheetViews>
    <sheetView showGridLines="0" workbookViewId="0">
      <selection activeCell="G12" sqref="G12"/>
    </sheetView>
  </sheetViews>
  <sheetFormatPr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2"/>
  <dimension ref="A1"/>
  <sheetViews>
    <sheetView workbookViewId="0">
      <selection activeCell="D39" sqref="D39"/>
    </sheetView>
  </sheetViews>
  <sheetFormatPr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5"/>
  <dimension ref="A1"/>
  <sheetViews>
    <sheetView workbookViewId="0">
      <selection activeCell="F39" sqref="F39"/>
    </sheetView>
  </sheetViews>
  <sheetFormatPr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ResultsEXR10</vt:lpstr>
      <vt:lpstr>ResultsEXPG1</vt:lpstr>
      <vt:lpstr>ResultsRSSC1</vt:lpstr>
      <vt:lpstr>ResultsVAT1</vt:lpstr>
      <vt:lpstr>ResultsINCT1</vt:lpstr>
      <vt:lpstr>ResultsWD1</vt:lpstr>
      <vt:lpstr>ResultsFF10</vt:lpstr>
      <vt:lpstr>ResultsCT1</vt:lpstr>
      <vt:lpstr>CT1</vt:lpstr>
      <vt:lpstr>WD1</vt:lpstr>
      <vt:lpstr>FF10</vt:lpstr>
      <vt:lpstr>VAT1</vt:lpstr>
      <vt:lpstr>INCT1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  <vt:lpstr>formatResults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</cp:lastModifiedBy>
  <dcterms:created xsi:type="dcterms:W3CDTF">2014-09-05T13:26:46Z</dcterms:created>
  <dcterms:modified xsi:type="dcterms:W3CDTF">2021-01-12T20:23:09Z</dcterms:modified>
</cp:coreProperties>
</file>