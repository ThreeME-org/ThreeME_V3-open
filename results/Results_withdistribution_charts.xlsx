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GitHub\ThreeME_V3\doc\"/>
    </mc:Choice>
  </mc:AlternateContent>
  <xr:revisionPtr revIDLastSave="0" documentId="13_ncr:1_{57BBD7DF-2CF2-4322-AE6C-BDDBE8E8B72B}" xr6:coauthVersionLast="47" xr6:coauthVersionMax="47" xr10:uidLastSave="{00000000-0000-0000-0000-000000000000}"/>
  <bookViews>
    <workbookView xWindow="820" yWindow="-110" windowWidth="18490" windowHeight="11020" activeTab="8" xr2:uid="{00000000-000D-0000-FFFF-FFFF00000000}"/>
  </bookViews>
  <sheets>
    <sheet name="Raw" sheetId="1" r:id="rId1"/>
    <sheet name="Combinaison" sheetId="16" r:id="rId2"/>
    <sheet name="Table_Dynam_GDP" sheetId="11" r:id="rId3"/>
    <sheet name="Table_Dynam_EMS" sheetId="14" r:id="rId4"/>
    <sheet name="Overview" sheetId="2" r:id="rId5"/>
    <sheet name="Paper charts" sheetId="17" r:id="rId6"/>
    <sheet name="Explorer" sheetId="4" r:id="rId7"/>
    <sheet name="Redistribution" sheetId="7" r:id="rId8"/>
    <sheet name="Wage equation" sheetId="10" r:id="rId9"/>
    <sheet name="Flexibility" sheetId="8" r:id="rId10"/>
    <sheet name="Exposure" sheetId="9" r:id="rId11"/>
    <sheet name="Dynamique_GDP" sheetId="12" r:id="rId12"/>
    <sheet name="Dynamique_EMS" sheetId="15" r:id="rId13"/>
    <sheet name="TCD" sheetId="6" state="hidden" r:id="rId14"/>
    <sheet name="Lists" sheetId="3" state="hidden" r:id="rId15"/>
    <sheet name="index" sheetId="5" state="hidden" r:id="rId16"/>
  </sheets>
  <definedNames>
    <definedName name="_xlnm._FilterDatabase" localSheetId="0" hidden="1">'Raw'!$B$1:$Z$1225</definedName>
    <definedName name="Output_variable">Lists!$A$1:$A$20</definedName>
    <definedName name="Redistribution" localSheetId="6">Lists!$C$1:$C$2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8" i="17" l="1"/>
  <c r="K47" i="17"/>
  <c r="H58" i="17"/>
  <c r="H59" i="17"/>
  <c r="H60" i="17"/>
  <c r="H57" i="17"/>
  <c r="G58" i="17"/>
  <c r="G59" i="17"/>
  <c r="G60" i="17"/>
  <c r="G57" i="17"/>
  <c r="F58" i="17"/>
  <c r="F59" i="17"/>
  <c r="F60" i="17"/>
  <c r="F57" i="17"/>
  <c r="E58" i="17"/>
  <c r="E59" i="17"/>
  <c r="E60" i="17"/>
  <c r="E57" i="17"/>
  <c r="D58" i="17"/>
  <c r="D59" i="17"/>
  <c r="D60" i="17"/>
  <c r="D57" i="17"/>
  <c r="C59" i="17"/>
  <c r="C58" i="17"/>
  <c r="C60" i="17"/>
  <c r="C57" i="17"/>
  <c r="H9" i="17"/>
  <c r="G9" i="17"/>
  <c r="F9" i="17"/>
  <c r="E9" i="17"/>
  <c r="D9" i="17"/>
  <c r="C9" i="17"/>
  <c r="H8" i="17"/>
  <c r="G8" i="17"/>
  <c r="F8" i="17"/>
  <c r="E8" i="17"/>
  <c r="D8" i="17"/>
  <c r="C8" i="17"/>
  <c r="H7" i="17"/>
  <c r="G7" i="17"/>
  <c r="F7" i="17"/>
  <c r="E7" i="17"/>
  <c r="D7" i="17"/>
  <c r="C7" i="17"/>
  <c r="H6" i="17"/>
  <c r="G6" i="17"/>
  <c r="F6" i="17"/>
  <c r="E6" i="17"/>
  <c r="D6" i="17"/>
  <c r="C6" i="17"/>
  <c r="F3" i="2"/>
  <c r="G3" i="2"/>
  <c r="F4" i="2"/>
  <c r="G4" i="2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C7" i="14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C7" i="11"/>
  <c r="D1" i="16"/>
  <c r="E1" i="16"/>
  <c r="F1" i="16"/>
  <c r="G1" i="16"/>
  <c r="H1" i="16"/>
  <c r="I1" i="16"/>
  <c r="J1" i="16"/>
  <c r="K1" i="16"/>
  <c r="L1" i="16"/>
  <c r="M1" i="16"/>
  <c r="N1" i="16"/>
  <c r="O1" i="16"/>
  <c r="P1" i="16"/>
  <c r="Q1" i="16"/>
  <c r="R1" i="16"/>
  <c r="S1" i="16"/>
  <c r="T1" i="16"/>
  <c r="U1" i="16"/>
  <c r="V1" i="16"/>
  <c r="W1" i="16"/>
  <c r="X1" i="16"/>
  <c r="Y1" i="16"/>
  <c r="Z1" i="16"/>
  <c r="C1" i="16"/>
  <c r="P3" i="16"/>
  <c r="Q3" i="16"/>
  <c r="R3" i="16"/>
  <c r="S3" i="16"/>
  <c r="T3" i="16"/>
  <c r="U3" i="16"/>
  <c r="V3" i="16"/>
  <c r="W3" i="16"/>
  <c r="X3" i="16"/>
  <c r="Y3" i="16"/>
  <c r="Z3" i="16"/>
  <c r="O3" i="16"/>
  <c r="A3" i="14"/>
  <c r="A2" i="1"/>
  <c r="N8" i="11" l="1"/>
  <c r="N8" i="14"/>
  <c r="A3" i="11"/>
  <c r="A3" i="1"/>
  <c r="K42" i="11" s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4" i="1"/>
  <c r="A5" i="1"/>
  <c r="A6" i="1"/>
  <c r="A7" i="1"/>
  <c r="A8" i="1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26" i="2"/>
  <c r="G25" i="2"/>
  <c r="G24" i="2"/>
  <c r="G23" i="2"/>
  <c r="G14" i="2"/>
  <c r="G13" i="2"/>
  <c r="G12" i="2"/>
  <c r="G11" i="2"/>
  <c r="G22" i="2"/>
  <c r="G21" i="2"/>
  <c r="G20" i="2"/>
  <c r="G19" i="2"/>
  <c r="G10" i="2"/>
  <c r="G9" i="2"/>
  <c r="G8" i="2"/>
  <c r="G7" i="2"/>
  <c r="G18" i="2"/>
  <c r="G17" i="2"/>
  <c r="G16" i="2"/>
  <c r="G15" i="2"/>
  <c r="G6" i="2"/>
  <c r="G5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5" i="2"/>
  <c r="F6" i="2"/>
  <c r="U32" i="11" l="1"/>
  <c r="S22" i="11"/>
  <c r="K40" i="11"/>
  <c r="C51" i="11"/>
  <c r="U56" i="11"/>
  <c r="Q9" i="11"/>
  <c r="I12" i="11"/>
  <c r="Y14" i="11"/>
  <c r="R8" i="11"/>
  <c r="U51" i="11"/>
  <c r="E49" i="11"/>
  <c r="M46" i="11"/>
  <c r="U43" i="11"/>
  <c r="E41" i="11"/>
  <c r="M38" i="11"/>
  <c r="U35" i="11"/>
  <c r="F31" i="11"/>
  <c r="S24" i="11"/>
  <c r="G8" i="14"/>
  <c r="T53" i="11"/>
  <c r="D51" i="11"/>
  <c r="L48" i="11"/>
  <c r="T45" i="11"/>
  <c r="D43" i="11"/>
  <c r="L40" i="11"/>
  <c r="T37" i="11"/>
  <c r="Z34" i="11"/>
  <c r="U29" i="11"/>
  <c r="T22" i="11"/>
  <c r="S56" i="14"/>
  <c r="Y52" i="11"/>
  <c r="I50" i="11"/>
  <c r="Q47" i="11"/>
  <c r="Y44" i="11"/>
  <c r="I42" i="11"/>
  <c r="Q39" i="11"/>
  <c r="Y36" i="11"/>
  <c r="N33" i="11"/>
  <c r="T27" i="11"/>
  <c r="S20" i="11"/>
  <c r="C44" i="14"/>
  <c r="H54" i="11"/>
  <c r="P51" i="11"/>
  <c r="X48" i="11"/>
  <c r="H46" i="11"/>
  <c r="P43" i="11"/>
  <c r="X40" i="11"/>
  <c r="P37" i="11"/>
  <c r="E34" i="11"/>
  <c r="S27" i="11"/>
  <c r="S19" i="11"/>
  <c r="F25" i="14"/>
  <c r="O54" i="11"/>
  <c r="O51" i="11"/>
  <c r="G48" i="11"/>
  <c r="G45" i="11"/>
  <c r="G42" i="11"/>
  <c r="G39" i="11"/>
  <c r="G36" i="11"/>
  <c r="L31" i="11"/>
  <c r="C24" i="11"/>
  <c r="F20" i="14"/>
  <c r="V50" i="11"/>
  <c r="N43" i="11"/>
  <c r="F36" i="11"/>
  <c r="D22" i="11"/>
  <c r="W58" i="14"/>
  <c r="H17" i="17" s="1"/>
  <c r="F32" i="14"/>
  <c r="M24" i="11"/>
  <c r="E17" i="11"/>
  <c r="I40" i="14"/>
  <c r="J30" i="11"/>
  <c r="Z22" i="11"/>
  <c r="K58" i="14"/>
  <c r="E17" i="17" s="1"/>
  <c r="T34" i="14"/>
  <c r="Q29" i="11"/>
  <c r="I22" i="11"/>
  <c r="R58" i="14"/>
  <c r="F20" i="17" s="1"/>
  <c r="F29" i="14"/>
  <c r="H29" i="11"/>
  <c r="P22" i="11"/>
  <c r="I58" i="14"/>
  <c r="D19" i="17" s="1"/>
  <c r="V22" i="14"/>
  <c r="G29" i="11"/>
  <c r="W21" i="11"/>
  <c r="P57" i="14"/>
  <c r="N22" i="14"/>
  <c r="R37" i="14"/>
  <c r="H44" i="14"/>
  <c r="G51" i="14"/>
  <c r="N11" i="14"/>
  <c r="T35" i="14"/>
  <c r="E39" i="14"/>
  <c r="T21" i="14"/>
  <c r="C22" i="14"/>
  <c r="I32" i="14"/>
  <c r="V19" i="11"/>
  <c r="F26" i="11"/>
  <c r="S41" i="11"/>
  <c r="K52" i="11"/>
  <c r="I57" i="11"/>
  <c r="Y9" i="11"/>
  <c r="Q12" i="11"/>
  <c r="I15" i="11"/>
  <c r="Z8" i="11"/>
  <c r="M51" i="11"/>
  <c r="U48" i="11"/>
  <c r="E46" i="11"/>
  <c r="M43" i="11"/>
  <c r="U40" i="11"/>
  <c r="E38" i="11"/>
  <c r="M35" i="11"/>
  <c r="N30" i="11"/>
  <c r="T23" i="11"/>
  <c r="M58" i="14"/>
  <c r="E19" i="17" s="1"/>
  <c r="L53" i="11"/>
  <c r="T50" i="11"/>
  <c r="D48" i="11"/>
  <c r="L45" i="11"/>
  <c r="T42" i="11"/>
  <c r="D40" i="11"/>
  <c r="L37" i="11"/>
  <c r="L34" i="11"/>
  <c r="C29" i="11"/>
  <c r="V21" i="11"/>
  <c r="Y51" i="14"/>
  <c r="Q52" i="11"/>
  <c r="Y49" i="11"/>
  <c r="I47" i="11"/>
  <c r="Q44" i="11"/>
  <c r="Y41" i="11"/>
  <c r="I39" i="11"/>
  <c r="Q36" i="11"/>
  <c r="V32" i="11"/>
  <c r="V26" i="11"/>
  <c r="T19" i="11"/>
  <c r="S38" i="14"/>
  <c r="X53" i="11"/>
  <c r="H51" i="11"/>
  <c r="P48" i="11"/>
  <c r="X45" i="11"/>
  <c r="H43" i="11"/>
  <c r="H40" i="11"/>
  <c r="H37" i="11"/>
  <c r="M33" i="11"/>
  <c r="T26" i="11"/>
  <c r="L18" i="11"/>
  <c r="E47" i="17" s="1"/>
  <c r="G57" i="11"/>
  <c r="G54" i="11"/>
  <c r="W50" i="11"/>
  <c r="W47" i="11"/>
  <c r="W44" i="11"/>
  <c r="W41" i="11"/>
  <c r="W38" i="11"/>
  <c r="W35" i="11"/>
  <c r="T30" i="11"/>
  <c r="F22" i="11"/>
  <c r="V56" i="11"/>
  <c r="N49" i="11"/>
  <c r="V42" i="11"/>
  <c r="N35" i="11"/>
  <c r="D18" i="11"/>
  <c r="C47" i="17" s="1"/>
  <c r="G58" i="14"/>
  <c r="D17" i="17" s="1"/>
  <c r="N21" i="14"/>
  <c r="E23" i="11"/>
  <c r="O8" i="14"/>
  <c r="Q37" i="14"/>
  <c r="Z28" i="11"/>
  <c r="J22" i="11"/>
  <c r="S57" i="14"/>
  <c r="N13" i="14"/>
  <c r="Y28" i="11"/>
  <c r="Q21" i="11"/>
  <c r="H57" i="14"/>
  <c r="N18" i="14"/>
  <c r="E103" i="17" s="1"/>
  <c r="P28" i="11"/>
  <c r="H21" i="11"/>
  <c r="Q57" i="14"/>
  <c r="F12" i="14"/>
  <c r="W27" i="11"/>
  <c r="G21" i="11"/>
  <c r="I56" i="14"/>
  <c r="J56" i="14"/>
  <c r="D32" i="14"/>
  <c r="P41" i="14"/>
  <c r="O48" i="14"/>
  <c r="V54" i="14"/>
  <c r="D26" i="14"/>
  <c r="C35" i="14"/>
  <c r="U33" i="14"/>
  <c r="S16" i="14"/>
  <c r="Q25" i="14"/>
  <c r="I10" i="11"/>
  <c r="E51" i="11"/>
  <c r="M40" i="11"/>
  <c r="V22" i="11"/>
  <c r="L50" i="11"/>
  <c r="D37" i="11"/>
  <c r="I52" i="11"/>
  <c r="Q41" i="11"/>
  <c r="F32" i="11"/>
  <c r="S18" i="11"/>
  <c r="G46" i="17" s="1"/>
  <c r="N25" i="14"/>
  <c r="P53" i="11"/>
  <c r="X50" i="11"/>
  <c r="H48" i="11"/>
  <c r="P45" i="11"/>
  <c r="X42" i="11"/>
  <c r="X39" i="11"/>
  <c r="W56" i="11"/>
  <c r="O53" i="11"/>
  <c r="O50" i="11"/>
  <c r="O47" i="11"/>
  <c r="O44" i="11"/>
  <c r="O41" i="11"/>
  <c r="O38" i="11"/>
  <c r="O35" i="11"/>
  <c r="K29" i="11"/>
  <c r="K21" i="11"/>
  <c r="F56" i="11"/>
  <c r="V48" i="11"/>
  <c r="N41" i="11"/>
  <c r="N34" i="11"/>
  <c r="K57" i="14"/>
  <c r="E56" i="14"/>
  <c r="V10" i="14"/>
  <c r="M22" i="11"/>
  <c r="F58" i="14"/>
  <c r="C20" i="17" s="1"/>
  <c r="V31" i="14"/>
  <c r="J28" i="11"/>
  <c r="Z20" i="11"/>
  <c r="Q56" i="14"/>
  <c r="Y34" i="11"/>
  <c r="Q27" i="11"/>
  <c r="Y20" i="11"/>
  <c r="Q55" i="14"/>
  <c r="P34" i="11"/>
  <c r="X27" i="11"/>
  <c r="P20" i="11"/>
  <c r="C54" i="14"/>
  <c r="O34" i="11"/>
  <c r="G27" i="11"/>
  <c r="W19" i="11"/>
  <c r="Y53" i="14"/>
  <c r="R53" i="14"/>
  <c r="L21" i="14"/>
  <c r="X38" i="14"/>
  <c r="W45" i="14"/>
  <c r="F52" i="14"/>
  <c r="L15" i="14"/>
  <c r="V21" i="14"/>
  <c r="M28" i="14"/>
  <c r="K11" i="14"/>
  <c r="I18" i="14"/>
  <c r="D102" i="17" s="1"/>
  <c r="K11" i="11"/>
  <c r="C40" i="14"/>
  <c r="R54" i="11"/>
  <c r="U13" i="11"/>
  <c r="I8" i="11"/>
  <c r="P14" i="11"/>
  <c r="X11" i="11"/>
  <c r="H9" i="11"/>
  <c r="J56" i="11"/>
  <c r="R49" i="11"/>
  <c r="Z38" i="11"/>
  <c r="T18" i="11"/>
  <c r="G47" i="17" s="1"/>
  <c r="F58" i="11"/>
  <c r="C71" i="17" s="1"/>
  <c r="U15" i="11"/>
  <c r="K46" i="11"/>
  <c r="W15" i="11"/>
  <c r="G13" i="11"/>
  <c r="O10" i="11"/>
  <c r="W57" i="11"/>
  <c r="E54" i="11"/>
  <c r="C44" i="11"/>
  <c r="T31" i="11"/>
  <c r="V15" i="11"/>
  <c r="R38" i="11"/>
  <c r="Q56" i="11"/>
  <c r="T16" i="11"/>
  <c r="D14" i="11"/>
  <c r="L11" i="11"/>
  <c r="T58" i="11"/>
  <c r="G69" i="17" s="1"/>
  <c r="Q55" i="11"/>
  <c r="R47" i="11"/>
  <c r="Z36" i="11"/>
  <c r="K45" i="14"/>
  <c r="Z51" i="11"/>
  <c r="M12" i="11"/>
  <c r="S35" i="11"/>
  <c r="S15" i="11"/>
  <c r="C13" i="11"/>
  <c r="K10" i="11"/>
  <c r="S57" i="11"/>
  <c r="Y53" i="11"/>
  <c r="K43" i="11"/>
  <c r="L30" i="11"/>
  <c r="V14" i="11"/>
  <c r="Z43" i="11"/>
  <c r="U58" i="11"/>
  <c r="G70" i="17" s="1"/>
  <c r="V20" i="11"/>
  <c r="J16" i="11"/>
  <c r="R13" i="11"/>
  <c r="Z10" i="11"/>
  <c r="J58" i="11"/>
  <c r="D71" i="17" s="1"/>
  <c r="Y54" i="11"/>
  <c r="Z45" i="11"/>
  <c r="J35" i="11"/>
  <c r="O9" i="14"/>
  <c r="G12" i="14"/>
  <c r="W14" i="14"/>
  <c r="O17" i="14"/>
  <c r="G20" i="14"/>
  <c r="W22" i="14"/>
  <c r="O25" i="14"/>
  <c r="G28" i="14"/>
  <c r="W30" i="14"/>
  <c r="O33" i="14"/>
  <c r="G36" i="14"/>
  <c r="P10" i="14"/>
  <c r="H13" i="14"/>
  <c r="X15" i="14"/>
  <c r="P18" i="14"/>
  <c r="F101" i="17" s="1"/>
  <c r="H21" i="14"/>
  <c r="X23" i="14"/>
  <c r="P26" i="14"/>
  <c r="H29" i="14"/>
  <c r="X31" i="14"/>
  <c r="P34" i="14"/>
  <c r="I11" i="14"/>
  <c r="Y13" i="14"/>
  <c r="Q16" i="14"/>
  <c r="I19" i="14"/>
  <c r="Y21" i="14"/>
  <c r="Q24" i="14"/>
  <c r="I27" i="14"/>
  <c r="Y29" i="14"/>
  <c r="Q32" i="14"/>
  <c r="I35" i="14"/>
  <c r="Z10" i="14"/>
  <c r="R13" i="14"/>
  <c r="J16" i="14"/>
  <c r="Z18" i="14"/>
  <c r="H103" i="17" s="1"/>
  <c r="R21" i="14"/>
  <c r="J24" i="14"/>
  <c r="Z26" i="14"/>
  <c r="R29" i="14"/>
  <c r="J32" i="14"/>
  <c r="Z34" i="14"/>
  <c r="S9" i="14"/>
  <c r="K12" i="14"/>
  <c r="C15" i="14"/>
  <c r="S17" i="14"/>
  <c r="K20" i="14"/>
  <c r="C23" i="14"/>
  <c r="S25" i="14"/>
  <c r="K28" i="14"/>
  <c r="C31" i="14"/>
  <c r="S33" i="14"/>
  <c r="U10" i="14"/>
  <c r="M13" i="14"/>
  <c r="E16" i="14"/>
  <c r="U18" i="14"/>
  <c r="G102" i="17" s="1"/>
  <c r="M21" i="14"/>
  <c r="E24" i="14"/>
  <c r="U26" i="14"/>
  <c r="M29" i="14"/>
  <c r="E32" i="14"/>
  <c r="U34" i="14"/>
  <c r="D15" i="14"/>
  <c r="T25" i="14"/>
  <c r="P35" i="14"/>
  <c r="T38" i="14"/>
  <c r="L41" i="14"/>
  <c r="D44" i="14"/>
  <c r="T46" i="14"/>
  <c r="L49" i="14"/>
  <c r="D52" i="14"/>
  <c r="T54" i="14"/>
  <c r="L57" i="14"/>
  <c r="F19" i="14"/>
  <c r="V29" i="14"/>
  <c r="D37" i="14"/>
  <c r="U39" i="14"/>
  <c r="M42" i="14"/>
  <c r="E45" i="14"/>
  <c r="W8" i="11"/>
  <c r="J49" i="11"/>
  <c r="E12" i="11"/>
  <c r="X16" i="11"/>
  <c r="H14" i="11"/>
  <c r="P11" i="11"/>
  <c r="X58" i="11"/>
  <c r="H69" i="17" s="1"/>
  <c r="U55" i="11"/>
  <c r="J48" i="11"/>
  <c r="R37" i="11"/>
  <c r="Y55" i="14"/>
  <c r="H56" i="11"/>
  <c r="E14" i="11"/>
  <c r="S39" i="11"/>
  <c r="O15" i="11"/>
  <c r="W12" i="11"/>
  <c r="G10" i="11"/>
  <c r="O57" i="11"/>
  <c r="K53" i="11"/>
  <c r="S42" i="11"/>
  <c r="V28" i="11"/>
  <c r="F14" i="11"/>
  <c r="S50" i="14"/>
  <c r="C54" i="11"/>
  <c r="L16" i="11"/>
  <c r="T13" i="11"/>
  <c r="D11" i="11"/>
  <c r="L58" i="11"/>
  <c r="E69" i="17" s="1"/>
  <c r="C55" i="11"/>
  <c r="J46" i="11"/>
  <c r="R35" i="11"/>
  <c r="N16" i="11"/>
  <c r="R46" i="11"/>
  <c r="U10" i="11"/>
  <c r="L24" i="11"/>
  <c r="K15" i="11"/>
  <c r="S12" i="11"/>
  <c r="C10" i="11"/>
  <c r="K57" i="11"/>
  <c r="S52" i="11"/>
  <c r="C42" i="11"/>
  <c r="D27" i="11"/>
  <c r="N13" i="11"/>
  <c r="Z35" i="11"/>
  <c r="C57" i="11"/>
  <c r="M8" i="11"/>
  <c r="Z15" i="11"/>
  <c r="J13" i="11"/>
  <c r="R10" i="11"/>
  <c r="Z57" i="11"/>
  <c r="K54" i="11"/>
  <c r="R44" i="11"/>
  <c r="C33" i="11"/>
  <c r="W9" i="14"/>
  <c r="O12" i="14"/>
  <c r="G15" i="14"/>
  <c r="W17" i="14"/>
  <c r="O20" i="14"/>
  <c r="G23" i="14"/>
  <c r="W25" i="14"/>
  <c r="O28" i="14"/>
  <c r="G31" i="14"/>
  <c r="W33" i="14"/>
  <c r="O36" i="14"/>
  <c r="X10" i="14"/>
  <c r="P13" i="14"/>
  <c r="H16" i="14"/>
  <c r="X18" i="14"/>
  <c r="H101" i="17" s="1"/>
  <c r="P21" i="14"/>
  <c r="H24" i="14"/>
  <c r="X26" i="14"/>
  <c r="P29" i="14"/>
  <c r="H32" i="14"/>
  <c r="X34" i="14"/>
  <c r="Q11" i="14"/>
  <c r="I14" i="14"/>
  <c r="Y16" i="14"/>
  <c r="Q19" i="14"/>
  <c r="I22" i="14"/>
  <c r="Y24" i="14"/>
  <c r="Q27" i="14"/>
  <c r="I30" i="14"/>
  <c r="Y32" i="14"/>
  <c r="Q35" i="14"/>
  <c r="J11" i="14"/>
  <c r="Z13" i="14"/>
  <c r="R16" i="14"/>
  <c r="J19" i="14"/>
  <c r="Z21" i="14"/>
  <c r="R24" i="14"/>
  <c r="J27" i="14"/>
  <c r="Z29" i="14"/>
  <c r="R32" i="14"/>
  <c r="J35" i="14"/>
  <c r="C10" i="14"/>
  <c r="S12" i="14"/>
  <c r="K15" i="14"/>
  <c r="C18" i="14"/>
  <c r="C100" i="17" s="1"/>
  <c r="S20" i="14"/>
  <c r="K23" i="14"/>
  <c r="C26" i="14"/>
  <c r="S28" i="14"/>
  <c r="K31" i="14"/>
  <c r="C34" i="14"/>
  <c r="E11" i="14"/>
  <c r="U13" i="14"/>
  <c r="M16" i="14"/>
  <c r="E19" i="14"/>
  <c r="U21" i="14"/>
  <c r="M24" i="14"/>
  <c r="E27" i="14"/>
  <c r="U29" i="14"/>
  <c r="M32" i="14"/>
  <c r="E35" i="14"/>
  <c r="L16" i="14"/>
  <c r="D27" i="14"/>
  <c r="F36" i="14"/>
  <c r="D39" i="14"/>
  <c r="T41" i="14"/>
  <c r="L44" i="14"/>
  <c r="D47" i="14"/>
  <c r="T49" i="14"/>
  <c r="L52" i="14"/>
  <c r="D55" i="14"/>
  <c r="V9" i="14"/>
  <c r="N20" i="14"/>
  <c r="F31" i="14"/>
  <c r="M37" i="14"/>
  <c r="E40" i="14"/>
  <c r="U42" i="14"/>
  <c r="M45" i="14"/>
  <c r="N15" i="11"/>
  <c r="R42" i="11"/>
  <c r="M10" i="11"/>
  <c r="P16" i="11"/>
  <c r="X13" i="11"/>
  <c r="H11" i="11"/>
  <c r="P58" i="11"/>
  <c r="F69" i="17" s="1"/>
  <c r="J55" i="11"/>
  <c r="Z46" i="11"/>
  <c r="J36" i="11"/>
  <c r="V30" i="14"/>
  <c r="J53" i="11"/>
  <c r="U12" i="11"/>
  <c r="X8" i="11"/>
  <c r="G15" i="11"/>
  <c r="O12" i="11"/>
  <c r="W9" i="11"/>
  <c r="E57" i="11"/>
  <c r="C52" i="11"/>
  <c r="K41" i="11"/>
  <c r="K25" i="11"/>
  <c r="N12" i="11"/>
  <c r="U16" i="11"/>
  <c r="C49" i="11"/>
  <c r="D16" i="11"/>
  <c r="L13" i="11"/>
  <c r="T10" i="11"/>
  <c r="D58" i="11"/>
  <c r="C69" i="17" s="1"/>
  <c r="M54" i="11"/>
  <c r="Z44" i="11"/>
  <c r="S33" i="11"/>
  <c r="N14" i="11"/>
  <c r="J41" i="11"/>
  <c r="E9" i="11"/>
  <c r="F9" i="14"/>
  <c r="C15" i="11"/>
  <c r="K12" i="11"/>
  <c r="S9" i="11"/>
  <c r="Y56" i="11"/>
  <c r="K51" i="11"/>
  <c r="S40" i="11"/>
  <c r="N23" i="11"/>
  <c r="V11" i="11"/>
  <c r="N9" i="14"/>
  <c r="D55" i="11"/>
  <c r="T8" i="11"/>
  <c r="R15" i="11"/>
  <c r="Z12" i="11"/>
  <c r="J10" i="11"/>
  <c r="R57" i="11"/>
  <c r="U53" i="11"/>
  <c r="J43" i="11"/>
  <c r="K30" i="11"/>
  <c r="G10" i="14"/>
  <c r="W12" i="14"/>
  <c r="O15" i="14"/>
  <c r="G18" i="14"/>
  <c r="D100" i="17" s="1"/>
  <c r="W20" i="14"/>
  <c r="O23" i="14"/>
  <c r="G26" i="14"/>
  <c r="W28" i="14"/>
  <c r="O31" i="14"/>
  <c r="G34" i="14"/>
  <c r="W36" i="14"/>
  <c r="H11" i="14"/>
  <c r="X13" i="14"/>
  <c r="P16" i="14"/>
  <c r="H19" i="14"/>
  <c r="X21" i="14"/>
  <c r="P24" i="14"/>
  <c r="H27" i="14"/>
  <c r="X29" i="14"/>
  <c r="P32" i="14"/>
  <c r="I9" i="14"/>
  <c r="Y11" i="14"/>
  <c r="Q14" i="14"/>
  <c r="I17" i="14"/>
  <c r="Y19" i="14"/>
  <c r="Q22" i="14"/>
  <c r="I25" i="14"/>
  <c r="Y27" i="14"/>
  <c r="Q30" i="14"/>
  <c r="I33" i="14"/>
  <c r="Y35" i="14"/>
  <c r="R11" i="14"/>
  <c r="J14" i="14"/>
  <c r="Z16" i="14"/>
  <c r="R19" i="14"/>
  <c r="J22" i="14"/>
  <c r="Z24" i="14"/>
  <c r="R27" i="14"/>
  <c r="J30" i="14"/>
  <c r="Z32" i="14"/>
  <c r="R35" i="14"/>
  <c r="K10" i="14"/>
  <c r="C13" i="14"/>
  <c r="S15" i="14"/>
  <c r="K18" i="14"/>
  <c r="E100" i="17" s="1"/>
  <c r="C21" i="14"/>
  <c r="S23" i="14"/>
  <c r="K26" i="14"/>
  <c r="C29" i="14"/>
  <c r="S31" i="14"/>
  <c r="K34" i="14"/>
  <c r="M11" i="14"/>
  <c r="E14" i="14"/>
  <c r="U16" i="14"/>
  <c r="M19" i="14"/>
  <c r="E22" i="14"/>
  <c r="U24" i="14"/>
  <c r="M27" i="14"/>
  <c r="E30" i="14"/>
  <c r="U32" i="14"/>
  <c r="M35" i="14"/>
  <c r="T17" i="14"/>
  <c r="L28" i="14"/>
  <c r="Q36" i="14"/>
  <c r="L39" i="14"/>
  <c r="D42" i="14"/>
  <c r="T44" i="14"/>
  <c r="L47" i="14"/>
  <c r="D50" i="14"/>
  <c r="T52" i="14"/>
  <c r="V13" i="11"/>
  <c r="J37" i="11"/>
  <c r="M58" i="11"/>
  <c r="E70" i="17" s="1"/>
  <c r="H16" i="11"/>
  <c r="P13" i="11"/>
  <c r="X10" i="11"/>
  <c r="H58" i="11"/>
  <c r="D69" i="17" s="1"/>
  <c r="T54" i="11"/>
  <c r="R45" i="11"/>
  <c r="U34" i="11"/>
  <c r="V16" i="11"/>
  <c r="J45" i="11"/>
  <c r="E11" i="11"/>
  <c r="P8" i="11"/>
  <c r="W14" i="11"/>
  <c r="G12" i="11"/>
  <c r="O9" i="11"/>
  <c r="S56" i="11"/>
  <c r="S50" i="11"/>
  <c r="C40" i="11"/>
  <c r="T21" i="11"/>
  <c r="F10" i="11"/>
  <c r="E15" i="11"/>
  <c r="S43" i="11"/>
  <c r="T15" i="11"/>
  <c r="D13" i="11"/>
  <c r="L10" i="11"/>
  <c r="T57" i="11"/>
  <c r="Z53" i="11"/>
  <c r="R43" i="11"/>
  <c r="C31" i="11"/>
  <c r="V12" i="11"/>
  <c r="J34" i="11"/>
  <c r="U57" i="11"/>
  <c r="U8" i="11"/>
  <c r="S14" i="11"/>
  <c r="C12" i="11"/>
  <c r="K9" i="11"/>
  <c r="M56" i="11"/>
  <c r="C50" i="11"/>
  <c r="K39" i="11"/>
  <c r="C20" i="11"/>
  <c r="N10" i="11"/>
  <c r="M16" i="11"/>
  <c r="C53" i="11"/>
  <c r="C8" i="11"/>
  <c r="J15" i="11"/>
  <c r="R12" i="11"/>
  <c r="Z9" i="11"/>
  <c r="J57" i="11"/>
  <c r="R52" i="11"/>
  <c r="Z41" i="11"/>
  <c r="C27" i="11"/>
  <c r="O10" i="14"/>
  <c r="G13" i="14"/>
  <c r="W15" i="14"/>
  <c r="O18" i="14"/>
  <c r="F100" i="17" s="1"/>
  <c r="G21" i="14"/>
  <c r="W23" i="14"/>
  <c r="O26" i="14"/>
  <c r="G29" i="14"/>
  <c r="W31" i="14"/>
  <c r="O34" i="14"/>
  <c r="G37" i="14"/>
  <c r="P11" i="14"/>
  <c r="F12" i="11"/>
  <c r="T28" i="11"/>
  <c r="E56" i="11"/>
  <c r="X15" i="11"/>
  <c r="H13" i="11"/>
  <c r="P10" i="11"/>
  <c r="X57" i="11"/>
  <c r="I54" i="11"/>
  <c r="J44" i="11"/>
  <c r="K32" i="11"/>
  <c r="F15" i="11"/>
  <c r="Z39" i="11"/>
  <c r="M9" i="11"/>
  <c r="H8" i="11"/>
  <c r="O14" i="11"/>
  <c r="W11" i="11"/>
  <c r="G9" i="11"/>
  <c r="I56" i="11"/>
  <c r="K49" i="11"/>
  <c r="S38" i="11"/>
  <c r="S17" i="11"/>
  <c r="V58" i="11"/>
  <c r="G71" i="17" s="1"/>
  <c r="M13" i="11"/>
  <c r="K38" i="11"/>
  <c r="L15" i="11"/>
  <c r="T12" i="11"/>
  <c r="D10" i="11"/>
  <c r="L57" i="11"/>
  <c r="Z52" i="11"/>
  <c r="J42" i="11"/>
  <c r="V27" i="11"/>
  <c r="N11" i="11"/>
  <c r="F25" i="11"/>
  <c r="R55" i="11"/>
  <c r="L8" i="11"/>
  <c r="K14" i="11"/>
  <c r="S11" i="11"/>
  <c r="C9" i="11"/>
  <c r="C56" i="11"/>
  <c r="S48" i="11"/>
  <c r="C38" i="11"/>
  <c r="Q8" i="14"/>
  <c r="F9" i="11"/>
  <c r="U14" i="11"/>
  <c r="S47" i="11"/>
  <c r="S8" i="11"/>
  <c r="Z14" i="11"/>
  <c r="J12" i="11"/>
  <c r="R9" i="11"/>
  <c r="X56" i="11"/>
  <c r="J51" i="11"/>
  <c r="R40" i="11"/>
  <c r="L23" i="11"/>
  <c r="W10" i="14"/>
  <c r="O13" i="14"/>
  <c r="G16" i="14"/>
  <c r="W18" i="14"/>
  <c r="H100" i="17" s="1"/>
  <c r="O21" i="14"/>
  <c r="G24" i="14"/>
  <c r="W26" i="14"/>
  <c r="O29" i="14"/>
  <c r="G32" i="14"/>
  <c r="W34" i="14"/>
  <c r="H9" i="14"/>
  <c r="X11" i="14"/>
  <c r="P14" i="14"/>
  <c r="H17" i="14"/>
  <c r="X19" i="14"/>
  <c r="P22" i="14"/>
  <c r="H25" i="14"/>
  <c r="X27" i="14"/>
  <c r="P30" i="14"/>
  <c r="H33" i="14"/>
  <c r="Y9" i="14"/>
  <c r="Q12" i="14"/>
  <c r="I15" i="14"/>
  <c r="Y17" i="14"/>
  <c r="Q20" i="14"/>
  <c r="I23" i="14"/>
  <c r="Y25" i="14"/>
  <c r="Q28" i="14"/>
  <c r="I31" i="14"/>
  <c r="Y33" i="14"/>
  <c r="R9" i="14"/>
  <c r="J12" i="14"/>
  <c r="N58" i="11"/>
  <c r="E71" i="17" s="1"/>
  <c r="F8" i="11"/>
  <c r="Y8" i="11"/>
  <c r="H15" i="11"/>
  <c r="P12" i="11"/>
  <c r="X9" i="11"/>
  <c r="H57" i="11"/>
  <c r="J52" i="11"/>
  <c r="R41" i="11"/>
  <c r="D26" i="11"/>
  <c r="F11" i="11"/>
  <c r="S21" i="11"/>
  <c r="Q54" i="11"/>
  <c r="O16" i="11"/>
  <c r="W13" i="11"/>
  <c r="G11" i="11"/>
  <c r="O58" i="11"/>
  <c r="F68" i="17" s="1"/>
  <c r="I55" i="11"/>
  <c r="S46" i="11"/>
  <c r="C36" i="11"/>
  <c r="N30" i="14"/>
  <c r="D54" i="11"/>
  <c r="U9" i="11"/>
  <c r="Q50" i="14"/>
  <c r="T14" i="11"/>
  <c r="D12" i="11"/>
  <c r="L9" i="11"/>
  <c r="P56" i="11"/>
  <c r="J50" i="11"/>
  <c r="R39" i="11"/>
  <c r="T20" i="11"/>
  <c r="V57" i="11"/>
  <c r="E16" i="11"/>
  <c r="C45" i="11"/>
  <c r="K16" i="11"/>
  <c r="S13" i="11"/>
  <c r="C11" i="11"/>
  <c r="K58" i="11"/>
  <c r="E68" i="17" s="1"/>
  <c r="Z54" i="11"/>
  <c r="C46" i="11"/>
  <c r="K35" i="11"/>
  <c r="O8" i="11"/>
  <c r="E55" i="11"/>
  <c r="U11" i="11"/>
  <c r="C37" i="11"/>
  <c r="Z16" i="11"/>
  <c r="J14" i="11"/>
  <c r="R11" i="11"/>
  <c r="Z58" i="11"/>
  <c r="H71" i="17" s="1"/>
  <c r="Z55" i="11"/>
  <c r="R48" i="11"/>
  <c r="Z37" i="11"/>
  <c r="E58" i="14"/>
  <c r="C19" i="17" s="1"/>
  <c r="O11" i="14"/>
  <c r="G14" i="14"/>
  <c r="W16" i="14"/>
  <c r="O19" i="14"/>
  <c r="G22" i="14"/>
  <c r="W24" i="14"/>
  <c r="O27" i="14"/>
  <c r="G30" i="14"/>
  <c r="W32" i="14"/>
  <c r="O35" i="14"/>
  <c r="X9" i="14"/>
  <c r="P12" i="14"/>
  <c r="H15" i="14"/>
  <c r="X17" i="14"/>
  <c r="P20" i="14"/>
  <c r="H23" i="14"/>
  <c r="X25" i="14"/>
  <c r="P28" i="14"/>
  <c r="H31" i="14"/>
  <c r="X33" i="14"/>
  <c r="Q10" i="14"/>
  <c r="I13" i="14"/>
  <c r="Y15" i="14"/>
  <c r="Q18" i="14"/>
  <c r="F102" i="17" s="1"/>
  <c r="I21" i="14"/>
  <c r="Y23" i="14"/>
  <c r="Q26" i="14"/>
  <c r="I29" i="14"/>
  <c r="Y31" i="14"/>
  <c r="Q34" i="14"/>
  <c r="J10" i="14"/>
  <c r="Z12" i="14"/>
  <c r="R15" i="14"/>
  <c r="J18" i="14"/>
  <c r="D103" i="17" s="1"/>
  <c r="Z20" i="14"/>
  <c r="R23" i="14"/>
  <c r="J26" i="14"/>
  <c r="Z28" i="14"/>
  <c r="R31" i="14"/>
  <c r="J34" i="14"/>
  <c r="C9" i="14"/>
  <c r="S11" i="14"/>
  <c r="K14" i="14"/>
  <c r="C17" i="14"/>
  <c r="S19" i="14"/>
  <c r="K22" i="14"/>
  <c r="C25" i="14"/>
  <c r="S27" i="14"/>
  <c r="K30" i="14"/>
  <c r="C33" i="14"/>
  <c r="E10" i="14"/>
  <c r="U12" i="14"/>
  <c r="M15" i="14"/>
  <c r="E18" i="14"/>
  <c r="C102" i="17" s="1"/>
  <c r="U20" i="14"/>
  <c r="M23" i="14"/>
  <c r="E26" i="14"/>
  <c r="U28" i="14"/>
  <c r="M31" i="14"/>
  <c r="E34" i="14"/>
  <c r="L12" i="14"/>
  <c r="D23" i="14"/>
  <c r="T33" i="14"/>
  <c r="D38" i="14"/>
  <c r="T40" i="14"/>
  <c r="L43" i="14"/>
  <c r="D46" i="14"/>
  <c r="T48" i="14"/>
  <c r="R56" i="11"/>
  <c r="M15" i="11"/>
  <c r="Q8" i="11"/>
  <c r="X14" i="11"/>
  <c r="H12" i="11"/>
  <c r="P9" i="11"/>
  <c r="T56" i="11"/>
  <c r="Z50" i="11"/>
  <c r="J40" i="11"/>
  <c r="N22" i="11"/>
  <c r="V9" i="11"/>
  <c r="S51" i="11"/>
  <c r="G16" i="11"/>
  <c r="O13" i="11"/>
  <c r="W10" i="11"/>
  <c r="G58" i="11"/>
  <c r="D68" i="17" s="1"/>
  <c r="S54" i="11"/>
  <c r="K45" i="11"/>
  <c r="K34" i="11"/>
  <c r="G8" i="11"/>
  <c r="Z47" i="11"/>
  <c r="E58" i="11"/>
  <c r="C70" i="17" s="1"/>
  <c r="E8" i="11"/>
  <c r="L14" i="11"/>
  <c r="T11" i="11"/>
  <c r="D9" i="11"/>
  <c r="D56" i="11"/>
  <c r="Z48" i="11"/>
  <c r="J38" i="11"/>
  <c r="P8" i="14"/>
  <c r="S55" i="11"/>
  <c r="M14" i="11"/>
  <c r="C41" i="11"/>
  <c r="C16" i="11"/>
  <c r="K13" i="11"/>
  <c r="S10" i="11"/>
  <c r="C58" i="11"/>
  <c r="C68" i="17" s="1"/>
  <c r="L54" i="11"/>
  <c r="S44" i="11"/>
  <c r="D33" i="11"/>
  <c r="F16" i="11"/>
  <c r="R50" i="11"/>
  <c r="E10" i="11"/>
  <c r="D31" i="11"/>
  <c r="R16" i="11"/>
  <c r="Z13" i="11"/>
  <c r="J11" i="11"/>
  <c r="R58" i="11"/>
  <c r="F71" i="17" s="1"/>
  <c r="L55" i="11"/>
  <c r="J47" i="11"/>
  <c r="R36" i="11"/>
  <c r="G9" i="14"/>
  <c r="W11" i="14"/>
  <c r="O14" i="14"/>
  <c r="G17" i="14"/>
  <c r="W19" i="14"/>
  <c r="O22" i="14"/>
  <c r="G25" i="14"/>
  <c r="W27" i="14"/>
  <c r="O30" i="14"/>
  <c r="G33" i="14"/>
  <c r="W35" i="14"/>
  <c r="H10" i="14"/>
  <c r="V10" i="11"/>
  <c r="Z42" i="11"/>
  <c r="O11" i="11"/>
  <c r="C28" i="11"/>
  <c r="N9" i="11"/>
  <c r="K47" i="11"/>
  <c r="Z11" i="11"/>
  <c r="O16" i="14"/>
  <c r="P9" i="14"/>
  <c r="H18" i="14"/>
  <c r="D101" i="17" s="1"/>
  <c r="P25" i="14"/>
  <c r="X32" i="14"/>
  <c r="Q13" i="14"/>
  <c r="Y20" i="14"/>
  <c r="I28" i="14"/>
  <c r="Y34" i="14"/>
  <c r="Z14" i="14"/>
  <c r="J20" i="14"/>
  <c r="R25" i="14"/>
  <c r="Z30" i="14"/>
  <c r="J36" i="14"/>
  <c r="S13" i="14"/>
  <c r="C19" i="14"/>
  <c r="K24" i="14"/>
  <c r="S29" i="14"/>
  <c r="M9" i="14"/>
  <c r="U14" i="14"/>
  <c r="E20" i="14"/>
  <c r="M25" i="14"/>
  <c r="U30" i="14"/>
  <c r="T9" i="14"/>
  <c r="D31" i="14"/>
  <c r="D40" i="14"/>
  <c r="L45" i="14"/>
  <c r="T50" i="14"/>
  <c r="L54" i="14"/>
  <c r="N12" i="14"/>
  <c r="V25" i="14"/>
  <c r="S36" i="14"/>
  <c r="U40" i="14"/>
  <c r="E44" i="14"/>
  <c r="M47" i="14"/>
  <c r="E50" i="14"/>
  <c r="U52" i="14"/>
  <c r="M55" i="14"/>
  <c r="L19" i="14"/>
  <c r="D30" i="14"/>
  <c r="E37" i="14"/>
  <c r="V39" i="14"/>
  <c r="N42" i="14"/>
  <c r="F45" i="14"/>
  <c r="V47" i="14"/>
  <c r="N50" i="14"/>
  <c r="F53" i="14"/>
  <c r="V55" i="14"/>
  <c r="N15" i="14"/>
  <c r="F26" i="14"/>
  <c r="V35" i="14"/>
  <c r="W38" i="14"/>
  <c r="O41" i="14"/>
  <c r="G44" i="14"/>
  <c r="W46" i="14"/>
  <c r="O49" i="14"/>
  <c r="G52" i="14"/>
  <c r="W54" i="14"/>
  <c r="D9" i="14"/>
  <c r="T19" i="14"/>
  <c r="L30" i="14"/>
  <c r="H37" i="14"/>
  <c r="X39" i="14"/>
  <c r="P42" i="14"/>
  <c r="H45" i="14"/>
  <c r="X47" i="14"/>
  <c r="P50" i="14"/>
  <c r="H53" i="14"/>
  <c r="X55" i="14"/>
  <c r="T14" i="14"/>
  <c r="L25" i="14"/>
  <c r="L35" i="14"/>
  <c r="R38" i="14"/>
  <c r="J41" i="14"/>
  <c r="Z43" i="14"/>
  <c r="R46" i="14"/>
  <c r="J49" i="14"/>
  <c r="Z51" i="14"/>
  <c r="R54" i="14"/>
  <c r="J57" i="14"/>
  <c r="I39" i="14"/>
  <c r="Y49" i="14"/>
  <c r="X57" i="14"/>
  <c r="O17" i="11"/>
  <c r="G20" i="11"/>
  <c r="W22" i="11"/>
  <c r="O25" i="11"/>
  <c r="G28" i="11"/>
  <c r="W30" i="11"/>
  <c r="O33" i="11"/>
  <c r="F28" i="14"/>
  <c r="S44" i="14"/>
  <c r="K55" i="14"/>
  <c r="T8" i="14"/>
  <c r="X18" i="11"/>
  <c r="H47" i="17" s="1"/>
  <c r="P21" i="11"/>
  <c r="H24" i="11"/>
  <c r="X26" i="11"/>
  <c r="P29" i="11"/>
  <c r="H32" i="11"/>
  <c r="X34" i="11"/>
  <c r="I38" i="14"/>
  <c r="Y48" i="14"/>
  <c r="R57" i="14"/>
  <c r="I17" i="11"/>
  <c r="Y19" i="11"/>
  <c r="Q22" i="11"/>
  <c r="I25" i="11"/>
  <c r="Y27" i="11"/>
  <c r="Q30" i="11"/>
  <c r="I33" i="11"/>
  <c r="V18" i="14"/>
  <c r="G103" i="17" s="1"/>
  <c r="K42" i="14"/>
  <c r="C53" i="14"/>
  <c r="S58" i="14"/>
  <c r="G17" i="17" s="1"/>
  <c r="R18" i="11"/>
  <c r="F49" i="17" s="1"/>
  <c r="J21" i="11"/>
  <c r="Z23" i="11"/>
  <c r="R26" i="11"/>
  <c r="J29" i="11"/>
  <c r="Z31" i="11"/>
  <c r="V15" i="14"/>
  <c r="Q41" i="14"/>
  <c r="I52" i="14"/>
  <c r="N58" i="14"/>
  <c r="E20" i="17" s="1"/>
  <c r="E18" i="11"/>
  <c r="C48" i="17" s="1"/>
  <c r="U20" i="11"/>
  <c r="M23" i="11"/>
  <c r="E26" i="11"/>
  <c r="U28" i="11"/>
  <c r="E36" i="14"/>
  <c r="C47" i="14"/>
  <c r="C57" i="14"/>
  <c r="E8" i="14"/>
  <c r="V19" i="14"/>
  <c r="L19" i="11"/>
  <c r="N26" i="11"/>
  <c r="S32" i="11"/>
  <c r="N36" i="11"/>
  <c r="F39" i="11"/>
  <c r="V41" i="11"/>
  <c r="N44" i="11"/>
  <c r="F47" i="11"/>
  <c r="V49" i="11"/>
  <c r="N52" i="11"/>
  <c r="F55" i="11"/>
  <c r="K37" i="14"/>
  <c r="N19" i="11"/>
  <c r="L17" i="11"/>
  <c r="S29" i="11"/>
  <c r="W58" i="11"/>
  <c r="H68" i="17" s="1"/>
  <c r="D15" i="11"/>
  <c r="V8" i="11"/>
  <c r="S36" i="11"/>
  <c r="J9" i="11"/>
  <c r="G19" i="14"/>
  <c r="H12" i="14"/>
  <c r="P19" i="14"/>
  <c r="H26" i="14"/>
  <c r="P33" i="14"/>
  <c r="Y14" i="14"/>
  <c r="Q21" i="14"/>
  <c r="Y28" i="14"/>
  <c r="J9" i="14"/>
  <c r="J15" i="14"/>
  <c r="R20" i="14"/>
  <c r="Z25" i="14"/>
  <c r="J31" i="14"/>
  <c r="R36" i="14"/>
  <c r="C14" i="14"/>
  <c r="K19" i="14"/>
  <c r="S24" i="14"/>
  <c r="C30" i="14"/>
  <c r="U9" i="14"/>
  <c r="E15" i="14"/>
  <c r="M20" i="14"/>
  <c r="U25" i="14"/>
  <c r="E31" i="14"/>
  <c r="D11" i="14"/>
  <c r="L32" i="14"/>
  <c r="L40" i="14"/>
  <c r="T45" i="14"/>
  <c r="D51" i="14"/>
  <c r="L55" i="14"/>
  <c r="V13" i="14"/>
  <c r="F27" i="14"/>
  <c r="U37" i="14"/>
  <c r="E41" i="14"/>
  <c r="M44" i="14"/>
  <c r="U47" i="14"/>
  <c r="M50" i="14"/>
  <c r="E53" i="14"/>
  <c r="D10" i="14"/>
  <c r="T20" i="14"/>
  <c r="L31" i="14"/>
  <c r="N37" i="14"/>
  <c r="F40" i="14"/>
  <c r="V42" i="14"/>
  <c r="N45" i="14"/>
  <c r="F48" i="14"/>
  <c r="V50" i="14"/>
  <c r="N53" i="14"/>
  <c r="F56" i="14"/>
  <c r="V16" i="14"/>
  <c r="N27" i="14"/>
  <c r="K36" i="14"/>
  <c r="G39" i="14"/>
  <c r="W41" i="14"/>
  <c r="O44" i="14"/>
  <c r="G47" i="14"/>
  <c r="W49" i="14"/>
  <c r="O52" i="14"/>
  <c r="G55" i="14"/>
  <c r="L10" i="14"/>
  <c r="D21" i="14"/>
  <c r="T31" i="14"/>
  <c r="P37" i="14"/>
  <c r="H40" i="14"/>
  <c r="X42" i="14"/>
  <c r="P45" i="14"/>
  <c r="H48" i="14"/>
  <c r="X50" i="14"/>
  <c r="P53" i="14"/>
  <c r="H56" i="14"/>
  <c r="D16" i="14"/>
  <c r="T26" i="14"/>
  <c r="D36" i="14"/>
  <c r="Z38" i="14"/>
  <c r="R41" i="14"/>
  <c r="J44" i="14"/>
  <c r="Z46" i="14"/>
  <c r="R49" i="14"/>
  <c r="J52" i="14"/>
  <c r="Z54" i="14"/>
  <c r="V11" i="14"/>
  <c r="Q40" i="14"/>
  <c r="I51" i="14"/>
  <c r="H58" i="14"/>
  <c r="D18" i="17" s="1"/>
  <c r="W17" i="11"/>
  <c r="O20" i="11"/>
  <c r="G23" i="11"/>
  <c r="W25" i="11"/>
  <c r="O28" i="11"/>
  <c r="G31" i="11"/>
  <c r="W33" i="11"/>
  <c r="N33" i="14"/>
  <c r="C46" i="14"/>
  <c r="K56" i="14"/>
  <c r="L8" i="14"/>
  <c r="H19" i="11"/>
  <c r="X21" i="11"/>
  <c r="P24" i="11"/>
  <c r="H27" i="11"/>
  <c r="X29" i="11"/>
  <c r="P32" i="11"/>
  <c r="H35" i="11"/>
  <c r="Q39" i="14"/>
  <c r="I50" i="14"/>
  <c r="Z57" i="14"/>
  <c r="Q17" i="11"/>
  <c r="I20" i="11"/>
  <c r="Y22" i="11"/>
  <c r="Q25" i="11"/>
  <c r="I28" i="11"/>
  <c r="Y30" i="11"/>
  <c r="Q33" i="11"/>
  <c r="F24" i="14"/>
  <c r="S43" i="14"/>
  <c r="K54" i="14"/>
  <c r="Y8" i="14"/>
  <c r="Z18" i="11"/>
  <c r="H49" i="17" s="1"/>
  <c r="H38" i="17" s="1"/>
  <c r="R21" i="11"/>
  <c r="J24" i="11"/>
  <c r="Z26" i="11"/>
  <c r="R29" i="11"/>
  <c r="J32" i="11"/>
  <c r="F21" i="14"/>
  <c r="Y42" i="14"/>
  <c r="Q53" i="14"/>
  <c r="V58" i="14"/>
  <c r="G20" i="17" s="1"/>
  <c r="M18" i="11"/>
  <c r="E48" i="17" s="1"/>
  <c r="E21" i="11"/>
  <c r="U23" i="11"/>
  <c r="M26" i="11"/>
  <c r="E29" i="11"/>
  <c r="S37" i="14"/>
  <c r="K48" i="14"/>
  <c r="O57" i="14"/>
  <c r="F17" i="11"/>
  <c r="I37" i="14"/>
  <c r="K20" i="11"/>
  <c r="L27" i="11"/>
  <c r="K33" i="11"/>
  <c r="V36" i="11"/>
  <c r="N39" i="11"/>
  <c r="F42" i="11"/>
  <c r="V44" i="11"/>
  <c r="N47" i="11"/>
  <c r="F50" i="11"/>
  <c r="V52" i="11"/>
  <c r="N55" i="11"/>
  <c r="S42" i="14"/>
  <c r="L20" i="11"/>
  <c r="T33" i="11"/>
  <c r="F13" i="11"/>
  <c r="T55" i="11"/>
  <c r="L12" i="11"/>
  <c r="K50" i="11"/>
  <c r="I45" i="14"/>
  <c r="L56" i="11"/>
  <c r="W21" i="14"/>
  <c r="X12" i="14"/>
  <c r="H20" i="14"/>
  <c r="P27" i="14"/>
  <c r="H34" i="14"/>
  <c r="Q15" i="14"/>
  <c r="Y22" i="14"/>
  <c r="Q29" i="14"/>
  <c r="Z9" i="14"/>
  <c r="Z15" i="14"/>
  <c r="J21" i="14"/>
  <c r="R26" i="14"/>
  <c r="Z31" i="14"/>
  <c r="K9" i="14"/>
  <c r="S14" i="14"/>
  <c r="C20" i="14"/>
  <c r="K25" i="14"/>
  <c r="S30" i="14"/>
  <c r="M10" i="14"/>
  <c r="U15" i="14"/>
  <c r="E21" i="14"/>
  <c r="M26" i="14"/>
  <c r="U31" i="14"/>
  <c r="T13" i="14"/>
  <c r="V34" i="14"/>
  <c r="D41" i="14"/>
  <c r="L46" i="14"/>
  <c r="L51" i="14"/>
  <c r="T55" i="14"/>
  <c r="F15" i="14"/>
  <c r="N28" i="14"/>
  <c r="E38" i="14"/>
  <c r="M41" i="14"/>
  <c r="U44" i="14"/>
  <c r="E48" i="14"/>
  <c r="U50" i="14"/>
  <c r="M53" i="14"/>
  <c r="L11" i="14"/>
  <c r="D22" i="14"/>
  <c r="T32" i="14"/>
  <c r="V37" i="14"/>
  <c r="N40" i="14"/>
  <c r="F43" i="14"/>
  <c r="V45" i="14"/>
  <c r="N48" i="14"/>
  <c r="F51" i="14"/>
  <c r="V53" i="14"/>
  <c r="N56" i="14"/>
  <c r="F18" i="14"/>
  <c r="C103" i="17" s="1"/>
  <c r="V28" i="14"/>
  <c r="U36" i="14"/>
  <c r="O39" i="14"/>
  <c r="G42" i="14"/>
  <c r="W44" i="14"/>
  <c r="O47" i="14"/>
  <c r="G50" i="14"/>
  <c r="W52" i="14"/>
  <c r="O55" i="14"/>
  <c r="T11" i="14"/>
  <c r="L22" i="14"/>
  <c r="D33" i="14"/>
  <c r="X37" i="14"/>
  <c r="P40" i="14"/>
  <c r="H43" i="14"/>
  <c r="X45" i="14"/>
  <c r="P48" i="14"/>
  <c r="H51" i="14"/>
  <c r="X53" i="14"/>
  <c r="P56" i="14"/>
  <c r="L17" i="14"/>
  <c r="D28" i="14"/>
  <c r="N36" i="14"/>
  <c r="J39" i="14"/>
  <c r="Z41" i="14"/>
  <c r="R44" i="14"/>
  <c r="J47" i="14"/>
  <c r="Z49" i="14"/>
  <c r="R52" i="14"/>
  <c r="J55" i="14"/>
  <c r="F17" i="14"/>
  <c r="Y41" i="14"/>
  <c r="Q52" i="14"/>
  <c r="P58" i="14"/>
  <c r="F18" i="17" s="1"/>
  <c r="G18" i="11"/>
  <c r="D46" i="17" s="1"/>
  <c r="W20" i="11"/>
  <c r="O23" i="11"/>
  <c r="G26" i="11"/>
  <c r="W28" i="11"/>
  <c r="O31" i="11"/>
  <c r="G34" i="11"/>
  <c r="P36" i="14"/>
  <c r="K47" i="14"/>
  <c r="F57" i="14"/>
  <c r="C8" i="14"/>
  <c r="P19" i="11"/>
  <c r="H22" i="11"/>
  <c r="X24" i="11"/>
  <c r="P27" i="11"/>
  <c r="H30" i="11"/>
  <c r="X32" i="11"/>
  <c r="F13" i="14"/>
  <c r="Y40" i="14"/>
  <c r="Q51" i="14"/>
  <c r="J58" i="14"/>
  <c r="D20" i="17" s="1"/>
  <c r="Y17" i="11"/>
  <c r="Q20" i="11"/>
  <c r="I23" i="11"/>
  <c r="Y25" i="11"/>
  <c r="Q28" i="11"/>
  <c r="I31" i="11"/>
  <c r="Y33" i="11"/>
  <c r="N29" i="14"/>
  <c r="C45" i="14"/>
  <c r="S55" i="14"/>
  <c r="R8" i="14"/>
  <c r="J19" i="11"/>
  <c r="Z21" i="11"/>
  <c r="R24" i="11"/>
  <c r="J27" i="11"/>
  <c r="Z29" i="11"/>
  <c r="R32" i="11"/>
  <c r="N26" i="14"/>
  <c r="I44" i="14"/>
  <c r="Y54" i="14"/>
  <c r="W8" i="14"/>
  <c r="U18" i="11"/>
  <c r="G48" i="17" s="1"/>
  <c r="M21" i="11"/>
  <c r="E24" i="11"/>
  <c r="U26" i="11"/>
  <c r="M29" i="11"/>
  <c r="C39" i="14"/>
  <c r="S49" i="14"/>
  <c r="W57" i="14"/>
  <c r="N17" i="11"/>
  <c r="Q42" i="14"/>
  <c r="F21" i="11"/>
  <c r="K28" i="11"/>
  <c r="C34" i="11"/>
  <c r="F37" i="11"/>
  <c r="V39" i="11"/>
  <c r="N42" i="11"/>
  <c r="F45" i="11"/>
  <c r="V47" i="11"/>
  <c r="N50" i="11"/>
  <c r="F53" i="11"/>
  <c r="V55" i="11"/>
  <c r="P15" i="11"/>
  <c r="S31" i="11"/>
  <c r="C48" i="11"/>
  <c r="T9" i="11"/>
  <c r="S16" i="11"/>
  <c r="N57" i="11"/>
  <c r="Z49" i="11"/>
  <c r="O24" i="14"/>
  <c r="H14" i="14"/>
  <c r="X20" i="14"/>
  <c r="H28" i="14"/>
  <c r="Q9" i="14"/>
  <c r="I16" i="14"/>
  <c r="Q23" i="14"/>
  <c r="Y30" i="14"/>
  <c r="R10" i="14"/>
  <c r="J17" i="14"/>
  <c r="R22" i="14"/>
  <c r="Z27" i="14"/>
  <c r="J33" i="14"/>
  <c r="S10" i="14"/>
  <c r="C16" i="14"/>
  <c r="K21" i="14"/>
  <c r="S26" i="14"/>
  <c r="C32" i="14"/>
  <c r="U11" i="14"/>
  <c r="E17" i="14"/>
  <c r="M22" i="14"/>
  <c r="U27" i="14"/>
  <c r="E33" i="14"/>
  <c r="D19" i="14"/>
  <c r="C37" i="14"/>
  <c r="L42" i="14"/>
  <c r="T47" i="14"/>
  <c r="T51" i="14"/>
  <c r="D56" i="14"/>
  <c r="N16" i="14"/>
  <c r="N32" i="14"/>
  <c r="M38" i="14"/>
  <c r="U41" i="14"/>
  <c r="U45" i="14"/>
  <c r="M48" i="14"/>
  <c r="E51" i="14"/>
  <c r="U53" i="14"/>
  <c r="T12" i="14"/>
  <c r="L23" i="14"/>
  <c r="D34" i="14"/>
  <c r="F38" i="14"/>
  <c r="V40" i="14"/>
  <c r="N43" i="14"/>
  <c r="F46" i="14"/>
  <c r="V48" i="14"/>
  <c r="N51" i="14"/>
  <c r="F54" i="14"/>
  <c r="V56" i="14"/>
  <c r="N19" i="14"/>
  <c r="F30" i="14"/>
  <c r="F37" i="14"/>
  <c r="W39" i="14"/>
  <c r="O42" i="14"/>
  <c r="G45" i="14"/>
  <c r="W47" i="14"/>
  <c r="O50" i="14"/>
  <c r="G53" i="14"/>
  <c r="W55" i="14"/>
  <c r="D13" i="14"/>
  <c r="T23" i="14"/>
  <c r="L34" i="14"/>
  <c r="H38" i="14"/>
  <c r="X40" i="14"/>
  <c r="P43" i="14"/>
  <c r="H46" i="14"/>
  <c r="X48" i="14"/>
  <c r="P51" i="14"/>
  <c r="H54" i="14"/>
  <c r="X56" i="14"/>
  <c r="T18" i="14"/>
  <c r="G101" i="17" s="1"/>
  <c r="L29" i="14"/>
  <c r="Y36" i="14"/>
  <c r="R39" i="14"/>
  <c r="J42" i="14"/>
  <c r="Z44" i="14"/>
  <c r="R47" i="14"/>
  <c r="J50" i="14"/>
  <c r="Z52" i="14"/>
  <c r="R55" i="14"/>
  <c r="X12" i="11"/>
  <c r="K37" i="11"/>
  <c r="Z56" i="11"/>
  <c r="C14" i="11"/>
  <c r="E13" i="11"/>
  <c r="J39" i="11"/>
  <c r="G27" i="14"/>
  <c r="X14" i="14"/>
  <c r="H22" i="14"/>
  <c r="X28" i="14"/>
  <c r="I10" i="14"/>
  <c r="Q17" i="14"/>
  <c r="I24" i="14"/>
  <c r="Q31" i="14"/>
  <c r="Z11" i="14"/>
  <c r="R17" i="14"/>
  <c r="Z22" i="14"/>
  <c r="J28" i="14"/>
  <c r="R33" i="14"/>
  <c r="C11" i="14"/>
  <c r="K16" i="14"/>
  <c r="S21" i="14"/>
  <c r="C27" i="14"/>
  <c r="K32" i="14"/>
  <c r="E12" i="14"/>
  <c r="M17" i="14"/>
  <c r="U22" i="14"/>
  <c r="E28" i="14"/>
  <c r="M33" i="14"/>
  <c r="L20" i="14"/>
  <c r="L37" i="14"/>
  <c r="T42" i="14"/>
  <c r="D48" i="14"/>
  <c r="D53" i="14"/>
  <c r="L56" i="14"/>
  <c r="V17" i="14"/>
  <c r="V33" i="14"/>
  <c r="U38" i="14"/>
  <c r="E42" i="14"/>
  <c r="E46" i="14"/>
  <c r="U48" i="14"/>
  <c r="M51" i="14"/>
  <c r="E54" i="14"/>
  <c r="D14" i="14"/>
  <c r="T24" i="14"/>
  <c r="D35" i="14"/>
  <c r="N38" i="14"/>
  <c r="F41" i="14"/>
  <c r="V43" i="14"/>
  <c r="N46" i="14"/>
  <c r="F49" i="14"/>
  <c r="V51" i="14"/>
  <c r="N54" i="14"/>
  <c r="F10" i="14"/>
  <c r="V20" i="14"/>
  <c r="N31" i="14"/>
  <c r="O37" i="14"/>
  <c r="G40" i="14"/>
  <c r="W42" i="14"/>
  <c r="O45" i="14"/>
  <c r="G48" i="14"/>
  <c r="W50" i="14"/>
  <c r="O53" i="14"/>
  <c r="G56" i="14"/>
  <c r="L14" i="14"/>
  <c r="D25" i="14"/>
  <c r="H35" i="14"/>
  <c r="P38" i="14"/>
  <c r="H41" i="14"/>
  <c r="X43" i="14"/>
  <c r="P46" i="14"/>
  <c r="H49" i="14"/>
  <c r="X51" i="14"/>
  <c r="P54" i="14"/>
  <c r="L9" i="14"/>
  <c r="D20" i="14"/>
  <c r="T30" i="14"/>
  <c r="J37" i="14"/>
  <c r="Z39" i="14"/>
  <c r="R42" i="14"/>
  <c r="J45" i="14"/>
  <c r="Z47" i="14"/>
  <c r="R50" i="14"/>
  <c r="J53" i="14"/>
  <c r="Z55" i="14"/>
  <c r="V27" i="14"/>
  <c r="Q44" i="14"/>
  <c r="I55" i="14"/>
  <c r="U8" i="14"/>
  <c r="W18" i="11"/>
  <c r="H46" i="17" s="1"/>
  <c r="O21" i="11"/>
  <c r="G24" i="11"/>
  <c r="W26" i="11"/>
  <c r="O29" i="11"/>
  <c r="G32" i="11"/>
  <c r="W34" i="11"/>
  <c r="K39" i="14"/>
  <c r="C50" i="14"/>
  <c r="Y57" i="14"/>
  <c r="P17" i="11"/>
  <c r="H20" i="11"/>
  <c r="X22" i="11"/>
  <c r="P25" i="11"/>
  <c r="H28" i="11"/>
  <c r="X30" i="11"/>
  <c r="P33" i="11"/>
  <c r="V23" i="14"/>
  <c r="Q43" i="14"/>
  <c r="I54" i="14"/>
  <c r="Z58" i="14"/>
  <c r="H20" i="17" s="1"/>
  <c r="Q18" i="11"/>
  <c r="F48" i="17" s="1"/>
  <c r="I21" i="11"/>
  <c r="Y23" i="11"/>
  <c r="Q26" i="11"/>
  <c r="I29" i="11"/>
  <c r="Y31" i="11"/>
  <c r="Q34" i="11"/>
  <c r="Z36" i="14"/>
  <c r="S47" i="14"/>
  <c r="I57" i="14"/>
  <c r="J17" i="11"/>
  <c r="Z19" i="11"/>
  <c r="R22" i="11"/>
  <c r="J25" i="11"/>
  <c r="Z27" i="11"/>
  <c r="R30" i="11"/>
  <c r="J33" i="11"/>
  <c r="C36" i="14"/>
  <c r="Y46" i="14"/>
  <c r="Y56" i="14"/>
  <c r="F8" i="14"/>
  <c r="M19" i="11"/>
  <c r="E22" i="11"/>
  <c r="U24" i="11"/>
  <c r="M27" i="11"/>
  <c r="F16" i="14"/>
  <c r="S41" i="14"/>
  <c r="K52" i="14"/>
  <c r="O58" i="14"/>
  <c r="F17" i="17" s="1"/>
  <c r="F18" i="11"/>
  <c r="C49" i="17" s="1"/>
  <c r="I53" i="14"/>
  <c r="C23" i="11"/>
  <c r="C30" i="11"/>
  <c r="D35" i="11"/>
  <c r="V37" i="11"/>
  <c r="N40" i="11"/>
  <c r="F43" i="11"/>
  <c r="V45" i="11"/>
  <c r="N48" i="11"/>
  <c r="F51" i="11"/>
  <c r="V53" i="11"/>
  <c r="N56" i="11"/>
  <c r="M57" i="14"/>
  <c r="D23" i="11"/>
  <c r="D30" i="11"/>
  <c r="E35" i="11"/>
  <c r="W37" i="11"/>
  <c r="O40" i="11"/>
  <c r="G43" i="11"/>
  <c r="W45" i="11"/>
  <c r="O48" i="11"/>
  <c r="G51" i="11"/>
  <c r="W53" i="11"/>
  <c r="O56" i="11"/>
  <c r="T57" i="14"/>
  <c r="F23" i="11"/>
  <c r="E30" i="11"/>
  <c r="F35" i="11"/>
  <c r="X37" i="11"/>
  <c r="P40" i="11"/>
  <c r="P57" i="11"/>
  <c r="W16" i="11"/>
  <c r="D57" i="11"/>
  <c r="Z40" i="11"/>
  <c r="S58" i="11"/>
  <c r="G68" i="17" s="1"/>
  <c r="K8" i="11"/>
  <c r="G11" i="14"/>
  <c r="O32" i="14"/>
  <c r="X16" i="14"/>
  <c r="P23" i="14"/>
  <c r="X30" i="14"/>
  <c r="I12" i="14"/>
  <c r="Y18" i="14"/>
  <c r="H102" i="17" s="1"/>
  <c r="I26" i="14"/>
  <c r="Q33" i="14"/>
  <c r="J13" i="14"/>
  <c r="R18" i="14"/>
  <c r="F103" i="17" s="1"/>
  <c r="Z23" i="14"/>
  <c r="J29" i="14"/>
  <c r="R34" i="14"/>
  <c r="C12" i="14"/>
  <c r="K17" i="14"/>
  <c r="S22" i="14"/>
  <c r="C28" i="14"/>
  <c r="K33" i="14"/>
  <c r="E13" i="14"/>
  <c r="M18" i="14"/>
  <c r="E102" i="17" s="1"/>
  <c r="U23" i="14"/>
  <c r="E29" i="14"/>
  <c r="M34" i="14"/>
  <c r="L24" i="14"/>
  <c r="L38" i="14"/>
  <c r="T43" i="14"/>
  <c r="D49" i="14"/>
  <c r="T53" i="14"/>
  <c r="D57" i="14"/>
  <c r="F23" i="14"/>
  <c r="S35" i="14"/>
  <c r="M39" i="14"/>
  <c r="M43" i="14"/>
  <c r="U46" i="14"/>
  <c r="M49" i="14"/>
  <c r="E52" i="14"/>
  <c r="U54" i="14"/>
  <c r="T16" i="14"/>
  <c r="L27" i="14"/>
  <c r="I36" i="14"/>
  <c r="F39" i="14"/>
  <c r="V41" i="14"/>
  <c r="N44" i="14"/>
  <c r="F47" i="14"/>
  <c r="V49" i="14"/>
  <c r="N52" i="14"/>
  <c r="F55" i="14"/>
  <c r="V12" i="14"/>
  <c r="N23" i="14"/>
  <c r="F34" i="14"/>
  <c r="G38" i="14"/>
  <c r="W40" i="14"/>
  <c r="O43" i="14"/>
  <c r="G46" i="14"/>
  <c r="W48" i="14"/>
  <c r="O51" i="14"/>
  <c r="G54" i="14"/>
  <c r="W56" i="14"/>
  <c r="D17" i="14"/>
  <c r="T27" i="14"/>
  <c r="L36" i="14"/>
  <c r="H39" i="14"/>
  <c r="X41" i="14"/>
  <c r="P44" i="14"/>
  <c r="H47" i="14"/>
  <c r="X49" i="14"/>
  <c r="P52" i="14"/>
  <c r="H55" i="14"/>
  <c r="D12" i="14"/>
  <c r="T22" i="14"/>
  <c r="L33" i="14"/>
  <c r="Z37" i="14"/>
  <c r="R40" i="14"/>
  <c r="J43" i="14"/>
  <c r="Z45" i="14"/>
  <c r="R48" i="14"/>
  <c r="J51" i="14"/>
  <c r="Z53" i="14"/>
  <c r="R56" i="14"/>
  <c r="M36" i="14"/>
  <c r="I47" i="14"/>
  <c r="E57" i="14"/>
  <c r="D8" i="14"/>
  <c r="O19" i="11"/>
  <c r="G22" i="11"/>
  <c r="W24" i="11"/>
  <c r="O27" i="11"/>
  <c r="G30" i="11"/>
  <c r="W32" i="11"/>
  <c r="N17" i="14"/>
  <c r="C42" i="14"/>
  <c r="S52" i="14"/>
  <c r="Q58" i="14"/>
  <c r="F19" i="17" s="1"/>
  <c r="H18" i="11"/>
  <c r="D47" i="17" s="1"/>
  <c r="X20" i="11"/>
  <c r="P23" i="11"/>
  <c r="H26" i="11"/>
  <c r="X28" i="11"/>
  <c r="P31" i="11"/>
  <c r="H34" i="11"/>
  <c r="N34" i="14"/>
  <c r="I46" i="14"/>
  <c r="M56" i="14"/>
  <c r="K8" i="14"/>
  <c r="I19" i="11"/>
  <c r="Y21" i="11"/>
  <c r="Q24" i="11"/>
  <c r="I27" i="11"/>
  <c r="Y29" i="11"/>
  <c r="Q32" i="11"/>
  <c r="I35" i="11"/>
  <c r="S39" i="14"/>
  <c r="K50" i="14"/>
  <c r="C58" i="14"/>
  <c r="C17" i="17" s="1"/>
  <c r="Z17" i="11"/>
  <c r="R20" i="11"/>
  <c r="J23" i="11"/>
  <c r="Z25" i="11"/>
  <c r="R28" i="11"/>
  <c r="J31" i="11"/>
  <c r="Z33" i="11"/>
  <c r="Y38" i="14"/>
  <c r="Q49" i="14"/>
  <c r="V57" i="14"/>
  <c r="M17" i="11"/>
  <c r="E20" i="11"/>
  <c r="U22" i="11"/>
  <c r="M25" i="11"/>
  <c r="E28" i="11"/>
  <c r="V26" i="14"/>
  <c r="K44" i="14"/>
  <c r="C55" i="14"/>
  <c r="V8" i="14"/>
  <c r="V18" i="11"/>
  <c r="G49" i="17" s="1"/>
  <c r="T58" i="14"/>
  <c r="G18" i="17" s="1"/>
  <c r="T24" i="11"/>
  <c r="K31" i="11"/>
  <c r="V35" i="11"/>
  <c r="N38" i="11"/>
  <c r="F41" i="11"/>
  <c r="V43" i="11"/>
  <c r="N46" i="11"/>
  <c r="F49" i="11"/>
  <c r="V51" i="11"/>
  <c r="N54" i="11"/>
  <c r="F57" i="11"/>
  <c r="R53" i="11"/>
  <c r="G14" i="11"/>
  <c r="M11" i="11"/>
  <c r="K24" i="11"/>
  <c r="M55" i="11"/>
  <c r="R14" i="11"/>
  <c r="W13" i="14"/>
  <c r="G35" i="14"/>
  <c r="P17" i="14"/>
  <c r="X24" i="14"/>
  <c r="P31" i="14"/>
  <c r="Y12" i="14"/>
  <c r="I20" i="14"/>
  <c r="Y26" i="14"/>
  <c r="I34" i="14"/>
  <c r="R14" i="14"/>
  <c r="Z19" i="14"/>
  <c r="J25" i="14"/>
  <c r="R30" i="14"/>
  <c r="Z35" i="14"/>
  <c r="K13" i="14"/>
  <c r="S18" i="14"/>
  <c r="G100" i="17" s="1"/>
  <c r="C24" i="14"/>
  <c r="K29" i="14"/>
  <c r="E9" i="14"/>
  <c r="M14" i="14"/>
  <c r="U19" i="14"/>
  <c r="E25" i="14"/>
  <c r="M30" i="14"/>
  <c r="U35" i="14"/>
  <c r="T29" i="14"/>
  <c r="T39" i="14"/>
  <c r="D45" i="14"/>
  <c r="L50" i="14"/>
  <c r="D54" i="14"/>
  <c r="F11" i="14"/>
  <c r="N24" i="14"/>
  <c r="H36" i="14"/>
  <c r="M40" i="14"/>
  <c r="U43" i="14"/>
  <c r="E47" i="14"/>
  <c r="U49" i="14"/>
  <c r="M52" i="14"/>
  <c r="E55" i="14"/>
  <c r="D18" i="14"/>
  <c r="C101" i="17" s="1"/>
  <c r="T28" i="14"/>
  <c r="T36" i="14"/>
  <c r="N39" i="14"/>
  <c r="F42" i="14"/>
  <c r="V44" i="14"/>
  <c r="N47" i="14"/>
  <c r="F50" i="14"/>
  <c r="V52" i="14"/>
  <c r="N55" i="14"/>
  <c r="F14" i="14"/>
  <c r="V24" i="14"/>
  <c r="F35" i="14"/>
  <c r="O38" i="14"/>
  <c r="G41" i="14"/>
  <c r="W43" i="14"/>
  <c r="O46" i="14"/>
  <c r="G49" i="14"/>
  <c r="W51" i="14"/>
  <c r="O54" i="14"/>
  <c r="G57" i="14"/>
  <c r="L18" i="14"/>
  <c r="E101" i="17" s="1"/>
  <c r="D29" i="14"/>
  <c r="V36" i="14"/>
  <c r="P39" i="14"/>
  <c r="H42" i="14"/>
  <c r="X44" i="14"/>
  <c r="P47" i="14"/>
  <c r="H50" i="14"/>
  <c r="X52" i="14"/>
  <c r="P55" i="14"/>
  <c r="L13" i="14"/>
  <c r="D24" i="14"/>
  <c r="S34" i="14"/>
  <c r="J38" i="14"/>
  <c r="Z40" i="14"/>
  <c r="R43" i="14"/>
  <c r="J46" i="14"/>
  <c r="Z48" i="14"/>
  <c r="R51" i="14"/>
  <c r="J54" i="14"/>
  <c r="Z56" i="14"/>
  <c r="L32" i="11"/>
  <c r="K44" i="11"/>
  <c r="J54" i="11"/>
  <c r="Y57" i="11"/>
  <c r="Q10" i="11"/>
  <c r="I13" i="11"/>
  <c r="Y15" i="11"/>
  <c r="M53" i="11"/>
  <c r="U50" i="11"/>
  <c r="E48" i="11"/>
  <c r="M45" i="11"/>
  <c r="U42" i="11"/>
  <c r="E40" i="11"/>
  <c r="M37" i="11"/>
  <c r="M34" i="11"/>
  <c r="D29" i="11"/>
  <c r="C22" i="11"/>
  <c r="C52" i="14"/>
  <c r="T52" i="11"/>
  <c r="D50" i="11"/>
  <c r="L47" i="11"/>
  <c r="T44" i="11"/>
  <c r="D42" i="11"/>
  <c r="L39" i="11"/>
  <c r="T36" i="11"/>
  <c r="E33" i="11"/>
  <c r="F27" i="11"/>
  <c r="D20" i="11"/>
  <c r="I41" i="14"/>
  <c r="Y51" i="11"/>
  <c r="I49" i="11"/>
  <c r="Q46" i="11"/>
  <c r="Y43" i="11"/>
  <c r="I41" i="11"/>
  <c r="Q38" i="11"/>
  <c r="Y35" i="11"/>
  <c r="N31" i="11"/>
  <c r="D25" i="11"/>
  <c r="K17" i="11"/>
  <c r="X55" i="11"/>
  <c r="H53" i="11"/>
  <c r="P50" i="11"/>
  <c r="X47" i="11"/>
  <c r="H45" i="11"/>
  <c r="P42" i="11"/>
  <c r="P39" i="11"/>
  <c r="P36" i="11"/>
  <c r="E32" i="11"/>
  <c r="C25" i="11"/>
  <c r="Z8" i="14"/>
  <c r="G56" i="11"/>
  <c r="G53" i="11"/>
  <c r="G50" i="11"/>
  <c r="G47" i="11"/>
  <c r="G44" i="11"/>
  <c r="G41" i="11"/>
  <c r="G38" i="11"/>
  <c r="R34" i="11"/>
  <c r="L28" i="11"/>
  <c r="K18" i="11"/>
  <c r="E46" i="17" s="1"/>
  <c r="V54" i="11"/>
  <c r="F48" i="11"/>
  <c r="V40" i="11"/>
  <c r="C32" i="11"/>
  <c r="Y47" i="14"/>
  <c r="S53" i="14"/>
  <c r="M28" i="11"/>
  <c r="U21" i="11"/>
  <c r="N57" i="14"/>
  <c r="N10" i="14"/>
  <c r="R27" i="11"/>
  <c r="J20" i="11"/>
  <c r="S51" i="14"/>
  <c r="I34" i="11"/>
  <c r="Y26" i="11"/>
  <c r="Q19" i="11"/>
  <c r="Y52" i="14"/>
  <c r="X33" i="11"/>
  <c r="P26" i="11"/>
  <c r="X19" i="11"/>
  <c r="K51" i="14"/>
  <c r="G33" i="11"/>
  <c r="O26" i="11"/>
  <c r="G19" i="11"/>
  <c r="Q48" i="14"/>
  <c r="Z50" i="14"/>
  <c r="T10" i="14"/>
  <c r="X35" i="14"/>
  <c r="G43" i="14"/>
  <c r="N49" i="14"/>
  <c r="M54" i="14"/>
  <c r="T56" i="14"/>
  <c r="E23" i="14"/>
  <c r="Z33" i="14"/>
  <c r="Y10" i="14"/>
  <c r="R51" i="11"/>
  <c r="C43" i="11"/>
  <c r="Q15" i="11"/>
  <c r="E43" i="11"/>
  <c r="V29" i="11"/>
  <c r="L42" i="11"/>
  <c r="Q46" i="14"/>
  <c r="Y38" i="11"/>
  <c r="X36" i="11"/>
  <c r="V34" i="11"/>
  <c r="S45" i="11"/>
  <c r="U54" i="11"/>
  <c r="I58" i="11"/>
  <c r="D70" i="17" s="1"/>
  <c r="Y10" i="11"/>
  <c r="Q13" i="11"/>
  <c r="I16" i="11"/>
  <c r="E53" i="11"/>
  <c r="M50" i="11"/>
  <c r="U47" i="11"/>
  <c r="E45" i="11"/>
  <c r="M42" i="11"/>
  <c r="U39" i="11"/>
  <c r="E37" i="11"/>
  <c r="V33" i="11"/>
  <c r="F28" i="11"/>
  <c r="D21" i="11"/>
  <c r="S46" i="14"/>
  <c r="L52" i="11"/>
  <c r="T49" i="11"/>
  <c r="D47" i="11"/>
  <c r="L44" i="11"/>
  <c r="T41" i="11"/>
  <c r="D39" i="11"/>
  <c r="L36" i="11"/>
  <c r="M32" i="11"/>
  <c r="K26" i="11"/>
  <c r="D19" i="11"/>
  <c r="K35" i="14"/>
  <c r="Q51" i="11"/>
  <c r="Y48" i="11"/>
  <c r="I46" i="11"/>
  <c r="Q43" i="11"/>
  <c r="Y40" i="11"/>
  <c r="I38" i="11"/>
  <c r="Q35" i="11"/>
  <c r="V30" i="11"/>
  <c r="F24" i="11"/>
  <c r="X8" i="14"/>
  <c r="P55" i="11"/>
  <c r="X52" i="11"/>
  <c r="H50" i="11"/>
  <c r="P47" i="11"/>
  <c r="X44" i="11"/>
  <c r="H42" i="11"/>
  <c r="H39" i="11"/>
  <c r="H36" i="11"/>
  <c r="M31" i="11"/>
  <c r="D24" i="11"/>
  <c r="Q54" i="14"/>
  <c r="W55" i="11"/>
  <c r="W52" i="11"/>
  <c r="W49" i="11"/>
  <c r="W46" i="11"/>
  <c r="W43" i="11"/>
  <c r="W40" i="11"/>
  <c r="O37" i="11"/>
  <c r="D34" i="11"/>
  <c r="N27" i="11"/>
  <c r="C17" i="11"/>
  <c r="F54" i="11"/>
  <c r="V46" i="11"/>
  <c r="F40" i="11"/>
  <c r="S30" i="11"/>
  <c r="F19" i="11"/>
  <c r="C51" i="14"/>
  <c r="U27" i="11"/>
  <c r="M20" i="11"/>
  <c r="C56" i="14"/>
  <c r="R33" i="11"/>
  <c r="J26" i="11"/>
  <c r="R19" i="11"/>
  <c r="C49" i="14"/>
  <c r="Y32" i="11"/>
  <c r="I26" i="11"/>
  <c r="Y18" i="11"/>
  <c r="H48" i="17" s="1"/>
  <c r="Q47" i="14"/>
  <c r="H33" i="11"/>
  <c r="X25" i="11"/>
  <c r="P18" i="11"/>
  <c r="F47" i="17" s="1"/>
  <c r="S48" i="14"/>
  <c r="O32" i="11"/>
  <c r="G25" i="11"/>
  <c r="O18" i="11"/>
  <c r="F46" i="17" s="1"/>
  <c r="Y45" i="14"/>
  <c r="J48" i="14"/>
  <c r="X54" i="14"/>
  <c r="L26" i="14"/>
  <c r="O40" i="14"/>
  <c r="V46" i="14"/>
  <c r="U51" i="14"/>
  <c r="L53" i="14"/>
  <c r="U17" i="14"/>
  <c r="R28" i="14"/>
  <c r="H30" i="14"/>
  <c r="U55" i="14"/>
  <c r="T29" i="11"/>
  <c r="Y12" i="11"/>
  <c r="U45" i="11"/>
  <c r="C35" i="11"/>
  <c r="T47" i="11"/>
  <c r="U33" i="11"/>
  <c r="Q49" i="11"/>
  <c r="I36" i="11"/>
  <c r="V25" i="11"/>
  <c r="Y39" i="14"/>
  <c r="K36" i="11"/>
  <c r="C47" i="11"/>
  <c r="K55" i="11"/>
  <c r="Q58" i="11"/>
  <c r="F70" i="17" s="1"/>
  <c r="I11" i="11"/>
  <c r="Y13" i="11"/>
  <c r="Q16" i="11"/>
  <c r="U52" i="11"/>
  <c r="E50" i="11"/>
  <c r="M47" i="11"/>
  <c r="U44" i="11"/>
  <c r="E42" i="11"/>
  <c r="M39" i="11"/>
  <c r="U36" i="11"/>
  <c r="F33" i="11"/>
  <c r="K27" i="11"/>
  <c r="F20" i="11"/>
  <c r="K41" i="14"/>
  <c r="D52" i="11"/>
  <c r="L49" i="11"/>
  <c r="T46" i="11"/>
  <c r="D44" i="11"/>
  <c r="L41" i="11"/>
  <c r="T38" i="11"/>
  <c r="D36" i="11"/>
  <c r="U31" i="11"/>
  <c r="L25" i="11"/>
  <c r="T17" i="11"/>
  <c r="N14" i="14"/>
  <c r="I51" i="11"/>
  <c r="Q48" i="11"/>
  <c r="Y45" i="11"/>
  <c r="I43" i="11"/>
  <c r="Q40" i="11"/>
  <c r="Y37" i="11"/>
  <c r="G35" i="11"/>
  <c r="F30" i="11"/>
  <c r="K23" i="11"/>
  <c r="U57" i="14"/>
  <c r="H55" i="11"/>
  <c r="P52" i="11"/>
  <c r="X49" i="11"/>
  <c r="H47" i="11"/>
  <c r="P44" i="11"/>
  <c r="X41" i="11"/>
  <c r="X38" i="11"/>
  <c r="X35" i="11"/>
  <c r="U30" i="11"/>
  <c r="K22" i="11"/>
  <c r="I49" i="14"/>
  <c r="O55" i="11"/>
  <c r="O52" i="11"/>
  <c r="O49" i="11"/>
  <c r="O46" i="11"/>
  <c r="O43" i="11"/>
  <c r="G40" i="11"/>
  <c r="G37" i="11"/>
  <c r="L33" i="11"/>
  <c r="S26" i="11"/>
  <c r="U58" i="14"/>
  <c r="G19" i="17" s="1"/>
  <c r="N53" i="11"/>
  <c r="F46" i="11"/>
  <c r="V38" i="11"/>
  <c r="F29" i="11"/>
  <c r="N18" i="11"/>
  <c r="E49" i="17" s="1"/>
  <c r="S45" i="14"/>
  <c r="E27" i="11"/>
  <c r="U19" i="11"/>
  <c r="Y50" i="14"/>
  <c r="Z32" i="11"/>
  <c r="R25" i="11"/>
  <c r="J18" i="11"/>
  <c r="D49" i="17" s="1"/>
  <c r="K46" i="14"/>
  <c r="I32" i="11"/>
  <c r="Y24" i="11"/>
  <c r="I18" i="11"/>
  <c r="D48" i="17" s="1"/>
  <c r="Y44" i="14"/>
  <c r="X31" i="11"/>
  <c r="H25" i="11"/>
  <c r="X17" i="11"/>
  <c r="K43" i="14"/>
  <c r="W31" i="11"/>
  <c r="O24" i="11"/>
  <c r="G17" i="11"/>
  <c r="I43" i="14"/>
  <c r="R45" i="14"/>
  <c r="H52" i="14"/>
  <c r="T15" i="14"/>
  <c r="W37" i="14"/>
  <c r="F44" i="14"/>
  <c r="E49" i="14"/>
  <c r="L48" i="14"/>
  <c r="M12" i="14"/>
  <c r="J23" i="14"/>
  <c r="X22" i="14"/>
  <c r="M57" i="11"/>
  <c r="Q57" i="11"/>
  <c r="M48" i="11"/>
  <c r="U56" i="14"/>
  <c r="D45" i="11"/>
  <c r="D28" i="11"/>
  <c r="Y46" i="11"/>
  <c r="D17" i="11"/>
  <c r="D58" i="14"/>
  <c r="C18" i="17" s="1"/>
  <c r="S37" i="11"/>
  <c r="K48" i="11"/>
  <c r="Y55" i="11"/>
  <c r="Y58" i="11"/>
  <c r="H70" i="17" s="1"/>
  <c r="Q11" i="11"/>
  <c r="I14" i="11"/>
  <c r="Y16" i="11"/>
  <c r="M52" i="11"/>
  <c r="U49" i="11"/>
  <c r="E47" i="11"/>
  <c r="M44" i="11"/>
  <c r="U41" i="11"/>
  <c r="E39" i="11"/>
  <c r="M36" i="11"/>
  <c r="N32" i="11"/>
  <c r="L26" i="11"/>
  <c r="K19" i="11"/>
  <c r="N35" i="14"/>
  <c r="T51" i="11"/>
  <c r="D49" i="11"/>
  <c r="L46" i="11"/>
  <c r="T43" i="11"/>
  <c r="D41" i="11"/>
  <c r="L38" i="11"/>
  <c r="T35" i="11"/>
  <c r="E31" i="11"/>
  <c r="N24" i="11"/>
  <c r="H8" i="14"/>
  <c r="Q53" i="11"/>
  <c r="Y50" i="11"/>
  <c r="I48" i="11"/>
  <c r="Q45" i="11"/>
  <c r="Y42" i="11"/>
  <c r="I40" i="11"/>
  <c r="Q37" i="11"/>
  <c r="T34" i="11"/>
  <c r="N29" i="11"/>
  <c r="L22" i="11"/>
  <c r="S54" i="14"/>
  <c r="X54" i="11"/>
  <c r="H52" i="11"/>
  <c r="P49" i="11"/>
  <c r="X46" i="11"/>
  <c r="H44" i="11"/>
  <c r="P41" i="11"/>
  <c r="P38" i="11"/>
  <c r="P35" i="11"/>
  <c r="L29" i="11"/>
  <c r="L21" i="11"/>
  <c r="Y43" i="14"/>
  <c r="G55" i="11"/>
  <c r="G52" i="11"/>
  <c r="G49" i="11"/>
  <c r="G46" i="11"/>
  <c r="W42" i="11"/>
  <c r="W39" i="11"/>
  <c r="W36" i="11"/>
  <c r="T32" i="11"/>
  <c r="T25" i="11"/>
  <c r="K53" i="14"/>
  <c r="F52" i="11"/>
  <c r="N45" i="11"/>
  <c r="F38" i="11"/>
  <c r="S25" i="11"/>
  <c r="V17" i="11"/>
  <c r="C43" i="14"/>
  <c r="U25" i="11"/>
  <c r="E19" i="11"/>
  <c r="I48" i="14"/>
  <c r="R31" i="11"/>
  <c r="Z24" i="11"/>
  <c r="R17" i="11"/>
  <c r="C41" i="14"/>
  <c r="Q31" i="11"/>
  <c r="I24" i="11"/>
  <c r="J8" i="14"/>
  <c r="I42" i="14"/>
  <c r="H31" i="11"/>
  <c r="X23" i="11"/>
  <c r="H17" i="11"/>
  <c r="S40" i="14"/>
  <c r="O30" i="11"/>
  <c r="W23" i="11"/>
  <c r="M8" i="14"/>
  <c r="Y37" i="14"/>
  <c r="Z42" i="14"/>
  <c r="P49" i="14"/>
  <c r="O56" i="14"/>
  <c r="V32" i="14"/>
  <c r="N41" i="14"/>
  <c r="M46" i="14"/>
  <c r="D43" i="14"/>
  <c r="S32" i="14"/>
  <c r="Z17" i="14"/>
  <c r="P15" i="14"/>
  <c r="S53" i="11"/>
  <c r="D8" i="11"/>
  <c r="U37" i="11"/>
  <c r="D53" i="11"/>
  <c r="T39" i="11"/>
  <c r="C21" i="11"/>
  <c r="I44" i="11"/>
  <c r="C26" i="11"/>
  <c r="C19" i="11"/>
  <c r="C39" i="11"/>
  <c r="S49" i="11"/>
  <c r="K56" i="11"/>
  <c r="I9" i="11"/>
  <c r="Y11" i="11"/>
  <c r="Q14" i="11"/>
  <c r="J8" i="11"/>
  <c r="E52" i="11"/>
  <c r="M49" i="11"/>
  <c r="U46" i="11"/>
  <c r="E44" i="11"/>
  <c r="M41" i="11"/>
  <c r="U38" i="11"/>
  <c r="E36" i="11"/>
  <c r="V31" i="11"/>
  <c r="N25" i="11"/>
  <c r="C18" i="11"/>
  <c r="C46" i="17" s="1"/>
  <c r="V14" i="14"/>
  <c r="L51" i="11"/>
  <c r="T48" i="11"/>
  <c r="D46" i="11"/>
  <c r="L43" i="11"/>
  <c r="T40" i="11"/>
  <c r="D38" i="11"/>
  <c r="L35" i="11"/>
  <c r="M30" i="11"/>
  <c r="S23" i="11"/>
  <c r="L58" i="14"/>
  <c r="E18" i="17" s="1"/>
  <c r="I53" i="11"/>
  <c r="Q50" i="11"/>
  <c r="Y47" i="11"/>
  <c r="I45" i="11"/>
  <c r="Q42" i="11"/>
  <c r="Y39" i="11"/>
  <c r="I37" i="11"/>
  <c r="F34" i="11"/>
  <c r="S28" i="11"/>
  <c r="N21" i="11"/>
  <c r="K49" i="14"/>
  <c r="P54" i="11"/>
  <c r="X51" i="11"/>
  <c r="H49" i="11"/>
  <c r="P46" i="11"/>
  <c r="X43" i="11"/>
  <c r="H41" i="11"/>
  <c r="H38" i="11"/>
  <c r="S34" i="11"/>
  <c r="N28" i="11"/>
  <c r="N20" i="11"/>
  <c r="Q38" i="14"/>
  <c r="W54" i="11"/>
  <c r="W51" i="11"/>
  <c r="W48" i="11"/>
  <c r="O45" i="11"/>
  <c r="O42" i="11"/>
  <c r="O39" i="11"/>
  <c r="O36" i="11"/>
  <c r="D32" i="11"/>
  <c r="V24" i="11"/>
  <c r="C48" i="14"/>
  <c r="N51" i="11"/>
  <c r="F44" i="11"/>
  <c r="N37" i="11"/>
  <c r="V23" i="11"/>
  <c r="K40" i="14"/>
  <c r="E25" i="11"/>
  <c r="U17" i="11"/>
  <c r="Q45" i="14"/>
  <c r="Z30" i="11"/>
  <c r="R23" i="11"/>
  <c r="I8" i="14"/>
  <c r="K38" i="14"/>
  <c r="I30" i="11"/>
  <c r="Q23" i="11"/>
  <c r="S8" i="14"/>
  <c r="X36" i="14"/>
  <c r="P30" i="11"/>
  <c r="H23" i="11"/>
  <c r="Y58" i="14"/>
  <c r="H19" i="17" s="1"/>
  <c r="C38" i="14"/>
  <c r="W29" i="11"/>
  <c r="O22" i="11"/>
  <c r="X58" i="14"/>
  <c r="H18" i="17" s="1"/>
  <c r="F33" i="14"/>
  <c r="J40" i="14"/>
  <c r="X46" i="14"/>
  <c r="W53" i="14"/>
  <c r="F22" i="14"/>
  <c r="V38" i="14"/>
  <c r="E43" i="14"/>
  <c r="T37" i="14"/>
  <c r="K27" i="14"/>
  <c r="R12" i="14"/>
  <c r="W29" i="14"/>
  <c r="H10" i="11"/>
  <c r="G8" i="9"/>
  <c r="G7" i="9"/>
  <c r="G6" i="9"/>
  <c r="G4" i="9"/>
  <c r="G8" i="8"/>
  <c r="G7" i="8"/>
  <c r="G6" i="8"/>
  <c r="G4" i="8"/>
  <c r="G8" i="10"/>
  <c r="G7" i="10"/>
  <c r="G6" i="10"/>
  <c r="G4" i="10"/>
  <c r="F4" i="7"/>
  <c r="F9" i="7"/>
  <c r="F7" i="7"/>
  <c r="F6" i="7"/>
  <c r="F28" i="17" l="1"/>
  <c r="D89" i="17"/>
  <c r="F89" i="17"/>
  <c r="H29" i="17"/>
  <c r="H37" i="17"/>
  <c r="E28" i="17"/>
  <c r="E78" i="17"/>
  <c r="C78" i="17"/>
  <c r="C89" i="17"/>
  <c r="E89" i="17"/>
  <c r="C28" i="17"/>
  <c r="E38" i="17"/>
  <c r="E81" i="17"/>
  <c r="C81" i="17"/>
  <c r="E92" i="17"/>
  <c r="C92" i="17"/>
  <c r="C38" i="17"/>
  <c r="D28" i="17"/>
  <c r="G89" i="17"/>
  <c r="D78" i="17"/>
  <c r="D81" i="17"/>
  <c r="G92" i="17"/>
  <c r="D38" i="17"/>
  <c r="E37" i="17"/>
  <c r="E80" i="17"/>
  <c r="E29" i="17"/>
  <c r="H28" i="17"/>
  <c r="D90" i="17"/>
  <c r="F90" i="17"/>
  <c r="C80" i="17"/>
  <c r="E91" i="17"/>
  <c r="C91" i="17"/>
  <c r="C37" i="17"/>
  <c r="C29" i="17"/>
  <c r="E79" i="17"/>
  <c r="D37" i="17"/>
  <c r="G91" i="17"/>
  <c r="D80" i="17"/>
  <c r="D29" i="17"/>
  <c r="G38" i="17"/>
  <c r="H92" i="17"/>
  <c r="D79" i="17"/>
  <c r="G90" i="17"/>
  <c r="F37" i="17"/>
  <c r="F91" i="17"/>
  <c r="D91" i="17"/>
  <c r="F29" i="17"/>
  <c r="H90" i="17"/>
  <c r="H89" i="17"/>
  <c r="G28" i="17"/>
  <c r="C79" i="17"/>
  <c r="C90" i="17"/>
  <c r="E90" i="17"/>
  <c r="G37" i="17"/>
  <c r="H91" i="17"/>
  <c r="G29" i="17"/>
  <c r="D92" i="17"/>
  <c r="F92" i="17"/>
  <c r="F38" i="17"/>
  <c r="E4" i="4"/>
  <c r="A396" i="5" l="1" a="1"/>
  <c r="A396" i="5" s="1"/>
  <c r="A397" i="5" a="1"/>
  <c r="A397" i="5" s="1"/>
  <c r="A398" i="5" a="1"/>
  <c r="A398" i="5" s="1"/>
  <c r="A399" i="5" a="1"/>
  <c r="A399" i="5" s="1"/>
  <c r="A400" i="5" a="1"/>
  <c r="A400" i="5" s="1"/>
  <c r="A401" i="5" a="1"/>
  <c r="A401" i="5" s="1"/>
  <c r="A402" i="5" a="1"/>
  <c r="A402" i="5" s="1"/>
  <c r="A403" i="5" a="1"/>
  <c r="A403" i="5" s="1"/>
  <c r="A404" i="5" a="1"/>
  <c r="A404" i="5" s="1"/>
  <c r="A405" i="5" a="1"/>
  <c r="A405" i="5" s="1"/>
  <c r="A406" i="5" a="1"/>
  <c r="A406" i="5" s="1"/>
  <c r="A407" i="5" a="1"/>
  <c r="A407" i="5" s="1"/>
  <c r="A408" i="5" a="1"/>
  <c r="A408" i="5" s="1"/>
  <c r="A409" i="5" a="1"/>
  <c r="A409" i="5" s="1"/>
  <c r="A410" i="5" a="1"/>
  <c r="A410" i="5" s="1"/>
  <c r="A411" i="5" a="1"/>
  <c r="A411" i="5" s="1"/>
  <c r="A412" i="5" a="1"/>
  <c r="A412" i="5" s="1"/>
  <c r="A413" i="5" a="1"/>
  <c r="A413" i="5" s="1"/>
  <c r="A414" i="5" a="1"/>
  <c r="A414" i="5" s="1"/>
  <c r="A415" i="5" a="1"/>
  <c r="A415" i="5" s="1"/>
  <c r="A416" i="5" a="1"/>
  <c r="A416" i="5" s="1"/>
  <c r="A417" i="5" a="1"/>
  <c r="A417" i="5" s="1"/>
  <c r="A418" i="5" a="1"/>
  <c r="A418" i="5" s="1"/>
  <c r="A419" i="5" a="1"/>
  <c r="A419" i="5" s="1"/>
  <c r="A420" i="5" a="1"/>
  <c r="A420" i="5" s="1"/>
  <c r="A421" i="5" a="1"/>
  <c r="A421" i="5" s="1"/>
  <c r="A422" i="5" a="1"/>
  <c r="A422" i="5" s="1"/>
  <c r="A423" i="5" a="1"/>
  <c r="A423" i="5" s="1"/>
  <c r="A424" i="5" a="1"/>
  <c r="A424" i="5" s="1"/>
  <c r="A425" i="5" a="1"/>
  <c r="A425" i="5" s="1"/>
  <c r="A426" i="5" a="1"/>
  <c r="A426" i="5" s="1"/>
  <c r="A427" i="5" a="1"/>
  <c r="A427" i="5" s="1"/>
  <c r="A428" i="5" a="1"/>
  <c r="A428" i="5" s="1"/>
  <c r="A429" i="5" a="1"/>
  <c r="A429" i="5" s="1"/>
  <c r="A430" i="5" a="1"/>
  <c r="A430" i="5" s="1"/>
  <c r="A431" i="5" a="1"/>
  <c r="A431" i="5" s="1"/>
  <c r="A432" i="5" a="1"/>
  <c r="A432" i="5" s="1"/>
  <c r="A433" i="5" a="1"/>
  <c r="A433" i="5" s="1"/>
  <c r="A434" i="5" a="1"/>
  <c r="A434" i="5" s="1"/>
  <c r="A435" i="5" a="1"/>
  <c r="A435" i="5" s="1"/>
  <c r="A436" i="5" a="1"/>
  <c r="A436" i="5" s="1"/>
  <c r="A437" i="5" a="1"/>
  <c r="A437" i="5" s="1"/>
  <c r="A438" i="5" a="1"/>
  <c r="A438" i="5" s="1"/>
  <c r="A439" i="5" a="1"/>
  <c r="A439" i="5" s="1"/>
  <c r="A440" i="5" a="1"/>
  <c r="A440" i="5" s="1"/>
  <c r="A441" i="5" a="1"/>
  <c r="A441" i="5" s="1"/>
  <c r="A442" i="5" a="1"/>
  <c r="A442" i="5" s="1"/>
  <c r="A443" i="5" a="1"/>
  <c r="A443" i="5" s="1"/>
  <c r="A444" i="5" a="1"/>
  <c r="A444" i="5" s="1"/>
  <c r="A445" i="5" a="1"/>
  <c r="A445" i="5" s="1"/>
  <c r="A446" i="5" a="1"/>
  <c r="A446" i="5" s="1"/>
  <c r="A447" i="5" a="1"/>
  <c r="A447" i="5" s="1"/>
  <c r="A448" i="5" a="1"/>
  <c r="A448" i="5" s="1"/>
  <c r="A449" i="5" a="1"/>
  <c r="A449" i="5" s="1"/>
  <c r="A450" i="5" a="1"/>
  <c r="A450" i="5" s="1"/>
  <c r="A451" i="5" a="1"/>
  <c r="A451" i="5" s="1"/>
  <c r="A452" i="5" a="1"/>
  <c r="A452" i="5" s="1"/>
  <c r="A453" i="5" a="1"/>
  <c r="A453" i="5" s="1"/>
  <c r="A454" i="5" a="1"/>
  <c r="A454" i="5" s="1"/>
  <c r="A455" i="5" a="1"/>
  <c r="A455" i="5" s="1"/>
  <c r="A456" i="5" a="1"/>
  <c r="A456" i="5" s="1"/>
  <c r="A457" i="5" a="1"/>
  <c r="A457" i="5" s="1"/>
  <c r="A458" i="5" a="1"/>
  <c r="A458" i="5" s="1"/>
  <c r="A459" i="5" a="1"/>
  <c r="A459" i="5" s="1"/>
  <c r="A460" i="5" a="1"/>
  <c r="A460" i="5" s="1"/>
  <c r="A461" i="5" a="1"/>
  <c r="A461" i="5" s="1"/>
  <c r="A462" i="5" a="1"/>
  <c r="A462" i="5" s="1"/>
  <c r="A463" i="5" a="1"/>
  <c r="A463" i="5" s="1"/>
  <c r="A464" i="5" a="1"/>
  <c r="A464" i="5" s="1"/>
  <c r="A465" i="5" a="1"/>
  <c r="A465" i="5" s="1"/>
  <c r="A466" i="5" a="1"/>
  <c r="A466" i="5" s="1"/>
  <c r="A467" i="5" a="1"/>
  <c r="A467" i="5" s="1"/>
  <c r="A468" i="5" a="1"/>
  <c r="A468" i="5" s="1"/>
  <c r="A469" i="5" a="1"/>
  <c r="A469" i="5" s="1"/>
  <c r="A470" i="5" a="1"/>
  <c r="A470" i="5" s="1"/>
  <c r="A471" i="5" a="1"/>
  <c r="A471" i="5" s="1"/>
  <c r="A472" i="5" a="1"/>
  <c r="A472" i="5" s="1"/>
  <c r="A473" i="5" a="1"/>
  <c r="A473" i="5" s="1"/>
  <c r="A474" i="5" a="1"/>
  <c r="A474" i="5" s="1"/>
  <c r="A475" i="5" a="1"/>
  <c r="A475" i="5" s="1"/>
  <c r="A476" i="5" a="1"/>
  <c r="A476" i="5" s="1"/>
  <c r="A477" i="5" a="1"/>
  <c r="A477" i="5" s="1"/>
  <c r="A478" i="5" a="1"/>
  <c r="A478" i="5" s="1"/>
  <c r="A479" i="5" a="1"/>
  <c r="A479" i="5" s="1"/>
  <c r="A480" i="5" a="1"/>
  <c r="A480" i="5" s="1"/>
  <c r="A481" i="5" a="1"/>
  <c r="A481" i="5" s="1"/>
  <c r="A482" i="5" a="1"/>
  <c r="A482" i="5" s="1"/>
  <c r="A483" i="5" a="1"/>
  <c r="A483" i="5" s="1"/>
  <c r="A484" i="5" a="1"/>
  <c r="A484" i="5" s="1"/>
  <c r="A485" i="5" a="1"/>
  <c r="A485" i="5" s="1"/>
  <c r="A486" i="5" a="1"/>
  <c r="A486" i="5" s="1"/>
  <c r="A487" i="5" a="1"/>
  <c r="A487" i="5" s="1"/>
  <c r="A488" i="5" a="1"/>
  <c r="A488" i="5" s="1"/>
  <c r="A489" i="5" a="1"/>
  <c r="A489" i="5" s="1"/>
  <c r="A490" i="5" a="1"/>
  <c r="A490" i="5" s="1"/>
  <c r="A491" i="5" a="1"/>
  <c r="A491" i="5" s="1"/>
  <c r="A492" i="5" a="1"/>
  <c r="A492" i="5" s="1"/>
  <c r="A493" i="5" a="1"/>
  <c r="A493" i="5" s="1"/>
  <c r="A494" i="5" a="1"/>
  <c r="A494" i="5" s="1"/>
  <c r="A495" i="5" a="1"/>
  <c r="A495" i="5" s="1"/>
  <c r="A496" i="5" a="1"/>
  <c r="A496" i="5" s="1"/>
  <c r="A497" i="5" a="1"/>
  <c r="A497" i="5" s="1"/>
  <c r="A498" i="5" a="1"/>
  <c r="A498" i="5" s="1"/>
  <c r="A499" i="5" a="1"/>
  <c r="A499" i="5" s="1"/>
  <c r="A500" i="5" a="1"/>
  <c r="A500" i="5" s="1"/>
  <c r="A501" i="5" a="1"/>
  <c r="A501" i="5" s="1"/>
  <c r="A502" i="5" a="1"/>
  <c r="A502" i="5" s="1"/>
  <c r="A503" i="5" a="1"/>
  <c r="A503" i="5" s="1"/>
  <c r="A504" i="5" a="1"/>
  <c r="A504" i="5" s="1"/>
  <c r="A505" i="5" a="1"/>
  <c r="A505" i="5" s="1"/>
  <c r="A506" i="5" a="1"/>
  <c r="A506" i="5" s="1"/>
  <c r="A507" i="5" a="1"/>
  <c r="A507" i="5" s="1"/>
  <c r="A508" i="5" a="1"/>
  <c r="A508" i="5" s="1"/>
  <c r="A509" i="5" a="1"/>
  <c r="A509" i="5" s="1"/>
  <c r="A510" i="5" a="1"/>
  <c r="A510" i="5" s="1"/>
  <c r="A511" i="5" a="1"/>
  <c r="A511" i="5" s="1"/>
  <c r="A512" i="5" a="1"/>
  <c r="A512" i="5" s="1"/>
  <c r="A513" i="5" a="1"/>
  <c r="A513" i="5" s="1"/>
  <c r="A514" i="5" a="1"/>
  <c r="A514" i="5" s="1"/>
  <c r="A515" i="5" a="1"/>
  <c r="A515" i="5" s="1"/>
  <c r="A516" i="5" a="1"/>
  <c r="A516" i="5" s="1"/>
  <c r="A517" i="5" a="1"/>
  <c r="A517" i="5" s="1"/>
  <c r="A518" i="5" a="1"/>
  <c r="A518" i="5" s="1"/>
  <c r="A519" i="5" a="1"/>
  <c r="A519" i="5" s="1"/>
  <c r="A520" i="5" a="1"/>
  <c r="A520" i="5" s="1"/>
  <c r="A521" i="5" a="1"/>
  <c r="A521" i="5" s="1"/>
  <c r="A522" i="5" a="1"/>
  <c r="A522" i="5" s="1"/>
  <c r="A523" i="5" a="1"/>
  <c r="A523" i="5" s="1"/>
  <c r="A524" i="5" a="1"/>
  <c r="A524" i="5" s="1"/>
  <c r="A525" i="5" a="1"/>
  <c r="A525" i="5" s="1"/>
  <c r="A526" i="5" a="1"/>
  <c r="A526" i="5" s="1"/>
  <c r="A527" i="5" a="1"/>
  <c r="A527" i="5" s="1"/>
  <c r="A528" i="5" a="1"/>
  <c r="A528" i="5" s="1"/>
  <c r="A529" i="5" a="1"/>
  <c r="A529" i="5" s="1"/>
  <c r="A530" i="5" a="1"/>
  <c r="A530" i="5" s="1"/>
  <c r="A531" i="5" a="1"/>
  <c r="A531" i="5" s="1"/>
  <c r="A532" i="5" a="1"/>
  <c r="A532" i="5" s="1"/>
  <c r="A533" i="5" a="1"/>
  <c r="A533" i="5" s="1"/>
  <c r="A534" i="5" a="1"/>
  <c r="A534" i="5" s="1"/>
  <c r="A535" i="5" a="1"/>
  <c r="A535" i="5" s="1"/>
  <c r="A536" i="5" a="1"/>
  <c r="A536" i="5" s="1"/>
  <c r="A537" i="5" a="1"/>
  <c r="A537" i="5" s="1"/>
  <c r="A538" i="5" a="1"/>
  <c r="A538" i="5" s="1"/>
  <c r="A539" i="5" a="1"/>
  <c r="A539" i="5" s="1"/>
  <c r="A540" i="5" a="1"/>
  <c r="A540" i="5" s="1"/>
  <c r="A541" i="5" a="1"/>
  <c r="A541" i="5" s="1"/>
  <c r="A542" i="5" a="1"/>
  <c r="A542" i="5" s="1"/>
  <c r="A543" i="5" a="1"/>
  <c r="A543" i="5" s="1"/>
  <c r="A544" i="5" a="1"/>
  <c r="A544" i="5" s="1"/>
  <c r="A545" i="5" a="1"/>
  <c r="A545" i="5" s="1"/>
  <c r="A546" i="5" a="1"/>
  <c r="A546" i="5" s="1"/>
  <c r="A547" i="5" a="1"/>
  <c r="A547" i="5" s="1"/>
  <c r="A548" i="5" a="1"/>
  <c r="A548" i="5" s="1"/>
  <c r="A549" i="5" a="1"/>
  <c r="A549" i="5" s="1"/>
  <c r="A550" i="5" a="1"/>
  <c r="A550" i="5" s="1"/>
  <c r="A551" i="5" a="1"/>
  <c r="A551" i="5" s="1"/>
  <c r="A552" i="5" a="1"/>
  <c r="A552" i="5" s="1"/>
  <c r="A553" i="5" a="1"/>
  <c r="A553" i="5" s="1"/>
  <c r="A554" i="5" a="1"/>
  <c r="A554" i="5" s="1"/>
  <c r="A555" i="5" a="1"/>
  <c r="A555" i="5" s="1"/>
  <c r="A556" i="5" a="1"/>
  <c r="A556" i="5" s="1"/>
  <c r="A557" i="5" a="1"/>
  <c r="A557" i="5" s="1"/>
  <c r="A558" i="5" a="1"/>
  <c r="A558" i="5" s="1"/>
  <c r="A559" i="5" a="1"/>
  <c r="A559" i="5" s="1"/>
  <c r="A560" i="5" a="1"/>
  <c r="A560" i="5" s="1"/>
  <c r="A561" i="5" a="1"/>
  <c r="A561" i="5" s="1"/>
  <c r="A562" i="5" a="1"/>
  <c r="A562" i="5" s="1"/>
  <c r="A563" i="5" a="1"/>
  <c r="A563" i="5" s="1"/>
  <c r="A564" i="5" a="1"/>
  <c r="A564" i="5" s="1"/>
  <c r="A565" i="5" a="1"/>
  <c r="A565" i="5" s="1"/>
  <c r="A566" i="5" a="1"/>
  <c r="A566" i="5" s="1"/>
  <c r="A567" i="5" a="1"/>
  <c r="A567" i="5" s="1"/>
  <c r="A568" i="5" a="1"/>
  <c r="A568" i="5" s="1"/>
  <c r="A569" i="5" a="1"/>
  <c r="A569" i="5" s="1"/>
  <c r="A570" i="5" a="1"/>
  <c r="A570" i="5" s="1"/>
  <c r="A571" i="5" a="1"/>
  <c r="A571" i="5" s="1"/>
  <c r="A572" i="5" a="1"/>
  <c r="A572" i="5" s="1"/>
  <c r="A573" i="5" a="1"/>
  <c r="A573" i="5" s="1"/>
  <c r="A574" i="5" a="1"/>
  <c r="A574" i="5" s="1"/>
  <c r="A575" i="5" a="1"/>
  <c r="A575" i="5" s="1"/>
  <c r="A576" i="5" a="1"/>
  <c r="A576" i="5" s="1"/>
  <c r="A577" i="5" a="1"/>
  <c r="A577" i="5" s="1"/>
  <c r="A578" i="5" a="1"/>
  <c r="A578" i="5" s="1"/>
  <c r="A579" i="5" a="1"/>
  <c r="A579" i="5" s="1"/>
  <c r="A580" i="5" a="1"/>
  <c r="A580" i="5" s="1"/>
  <c r="A581" i="5" a="1"/>
  <c r="A581" i="5" s="1"/>
  <c r="A582" i="5" a="1"/>
  <c r="A582" i="5" s="1"/>
  <c r="A583" i="5" a="1"/>
  <c r="A583" i="5" s="1"/>
  <c r="A584" i="5" a="1"/>
  <c r="A584" i="5" s="1"/>
  <c r="A585" i="5" a="1"/>
  <c r="A585" i="5" s="1"/>
  <c r="A586" i="5" a="1"/>
  <c r="A586" i="5" s="1"/>
  <c r="A587" i="5" a="1"/>
  <c r="A587" i="5" s="1"/>
  <c r="A588" i="5" a="1"/>
  <c r="A588" i="5" s="1"/>
  <c r="A589" i="5" a="1"/>
  <c r="A589" i="5" s="1"/>
  <c r="A590" i="5" a="1"/>
  <c r="A590" i="5" s="1"/>
  <c r="A591" i="5" a="1"/>
  <c r="A591" i="5" s="1"/>
  <c r="A592" i="5" a="1"/>
  <c r="A592" i="5" s="1"/>
  <c r="A593" i="5" a="1"/>
  <c r="A593" i="5" s="1"/>
  <c r="A594" i="5" a="1"/>
  <c r="A594" i="5" s="1"/>
  <c r="A595" i="5" a="1"/>
  <c r="A595" i="5" s="1"/>
  <c r="A596" i="5" a="1"/>
  <c r="A596" i="5" s="1"/>
  <c r="A597" i="5" a="1"/>
  <c r="A597" i="5" s="1"/>
  <c r="A598" i="5" a="1"/>
  <c r="A598" i="5" s="1"/>
  <c r="A599" i="5" a="1"/>
  <c r="A599" i="5" s="1"/>
  <c r="A600" i="5" a="1"/>
  <c r="A600" i="5" s="1"/>
  <c r="A601" i="5" a="1"/>
  <c r="A601" i="5" s="1"/>
  <c r="A602" i="5" a="1"/>
  <c r="A602" i="5" s="1"/>
  <c r="A603" i="5" a="1"/>
  <c r="A603" i="5" s="1"/>
  <c r="A604" i="5" a="1"/>
  <c r="A604" i="5" s="1"/>
  <c r="A605" i="5" a="1"/>
  <c r="A605" i="5" s="1"/>
  <c r="A606" i="5" a="1"/>
  <c r="A606" i="5" s="1"/>
  <c r="A607" i="5" a="1"/>
  <c r="A607" i="5" s="1"/>
  <c r="A608" i="5" a="1"/>
  <c r="A608" i="5" s="1"/>
  <c r="A609" i="5" a="1"/>
  <c r="A609" i="5" s="1"/>
  <c r="A610" i="5" a="1"/>
  <c r="A610" i="5" s="1"/>
  <c r="A611" i="5" a="1"/>
  <c r="A611" i="5" s="1"/>
  <c r="A612" i="5" a="1"/>
  <c r="A612" i="5" s="1"/>
  <c r="A613" i="5" a="1"/>
  <c r="A613" i="5" s="1"/>
  <c r="A614" i="5" a="1"/>
  <c r="A614" i="5" s="1"/>
  <c r="A615" i="5" a="1"/>
  <c r="A615" i="5" s="1"/>
  <c r="A616" i="5" a="1"/>
  <c r="A616" i="5" s="1"/>
  <c r="A617" i="5" a="1"/>
  <c r="A617" i="5" s="1"/>
  <c r="A618" i="5" a="1"/>
  <c r="A618" i="5" s="1"/>
  <c r="A619" i="5" a="1"/>
  <c r="A619" i="5" s="1"/>
  <c r="A620" i="5" a="1"/>
  <c r="A620" i="5" s="1"/>
  <c r="A621" i="5" a="1"/>
  <c r="A621" i="5" s="1"/>
  <c r="A622" i="5" a="1"/>
  <c r="A622" i="5" s="1"/>
  <c r="A623" i="5" a="1"/>
  <c r="A623" i="5" s="1"/>
  <c r="A624" i="5" a="1"/>
  <c r="A624" i="5" s="1"/>
  <c r="A625" i="5" a="1"/>
  <c r="A625" i="5" s="1"/>
  <c r="A626" i="5" a="1"/>
  <c r="A626" i="5" s="1"/>
  <c r="A627" i="5" a="1"/>
  <c r="A627" i="5" s="1"/>
  <c r="A628" i="5" a="1"/>
  <c r="A628" i="5" s="1"/>
  <c r="A629" i="5" a="1"/>
  <c r="A629" i="5" s="1"/>
  <c r="A630" i="5" a="1"/>
  <c r="A630" i="5" s="1"/>
  <c r="A631" i="5" a="1"/>
  <c r="A631" i="5" s="1"/>
  <c r="A632" i="5" a="1"/>
  <c r="A632" i="5" s="1"/>
  <c r="A633" i="5" a="1"/>
  <c r="A633" i="5" s="1"/>
  <c r="A634" i="5" a="1"/>
  <c r="A634" i="5" s="1"/>
  <c r="A635" i="5" a="1"/>
  <c r="A635" i="5" s="1"/>
  <c r="A636" i="5" a="1"/>
  <c r="A636" i="5" s="1"/>
  <c r="A637" i="5" a="1"/>
  <c r="A637" i="5" s="1"/>
  <c r="A638" i="5" a="1"/>
  <c r="A638" i="5" s="1"/>
  <c r="A639" i="5" a="1"/>
  <c r="A639" i="5" s="1"/>
  <c r="A640" i="5" a="1"/>
  <c r="A640" i="5" s="1"/>
  <c r="A641" i="5" a="1"/>
  <c r="A641" i="5" s="1"/>
  <c r="A642" i="5" a="1"/>
  <c r="A642" i="5" s="1"/>
  <c r="A643" i="5" a="1"/>
  <c r="A643" i="5" s="1"/>
  <c r="A644" i="5" a="1"/>
  <c r="A644" i="5" s="1"/>
  <c r="A645" i="5" a="1"/>
  <c r="A645" i="5" s="1"/>
  <c r="A646" i="5" a="1"/>
  <c r="A646" i="5" s="1"/>
  <c r="A647" i="5" a="1"/>
  <c r="A647" i="5" s="1"/>
  <c r="A648" i="5" a="1"/>
  <c r="A648" i="5" s="1"/>
  <c r="A649" i="5" a="1"/>
  <c r="A649" i="5" s="1"/>
  <c r="A650" i="5" a="1"/>
  <c r="A650" i="5" s="1"/>
  <c r="A651" i="5" a="1"/>
  <c r="A651" i="5" s="1"/>
  <c r="A652" i="5" a="1"/>
  <c r="A652" i="5" s="1"/>
  <c r="A653" i="5" a="1"/>
  <c r="A653" i="5" s="1"/>
  <c r="A654" i="5" a="1"/>
  <c r="A654" i="5" s="1"/>
  <c r="A655" i="5" a="1"/>
  <c r="A655" i="5" s="1"/>
  <c r="A656" i="5" a="1"/>
  <c r="A656" i="5" s="1"/>
  <c r="A657" i="5" a="1"/>
  <c r="A657" i="5" s="1"/>
  <c r="A658" i="5" a="1"/>
  <c r="A658" i="5" s="1"/>
  <c r="A659" i="5" a="1"/>
  <c r="A659" i="5" s="1"/>
  <c r="A660" i="5" a="1"/>
  <c r="A660" i="5" s="1"/>
  <c r="A661" i="5" a="1"/>
  <c r="A661" i="5" s="1"/>
  <c r="A662" i="5" a="1"/>
  <c r="A662" i="5" s="1"/>
  <c r="A663" i="5" a="1"/>
  <c r="A663" i="5" s="1"/>
  <c r="A664" i="5" a="1"/>
  <c r="A664" i="5" s="1"/>
  <c r="A665" i="5" a="1"/>
  <c r="A665" i="5" s="1"/>
  <c r="A666" i="5" a="1"/>
  <c r="A666" i="5" s="1"/>
  <c r="A667" i="5" a="1"/>
  <c r="A667" i="5" s="1"/>
  <c r="A668" i="5" a="1"/>
  <c r="A668" i="5" s="1"/>
  <c r="A669" i="5" a="1"/>
  <c r="A669" i="5" s="1"/>
  <c r="A670" i="5" a="1"/>
  <c r="A670" i="5" s="1"/>
  <c r="A671" i="5" a="1"/>
  <c r="A671" i="5" s="1"/>
  <c r="A672" i="5" a="1"/>
  <c r="A672" i="5" s="1"/>
  <c r="A673" i="5" a="1"/>
  <c r="A673" i="5" s="1"/>
  <c r="A674" i="5" a="1"/>
  <c r="A674" i="5" s="1"/>
  <c r="A675" i="5" a="1"/>
  <c r="A675" i="5" s="1"/>
  <c r="A676" i="5" a="1"/>
  <c r="A676" i="5" s="1"/>
  <c r="A677" i="5" a="1"/>
  <c r="A677" i="5" s="1"/>
  <c r="A678" i="5" a="1"/>
  <c r="A678" i="5" s="1"/>
  <c r="A679" i="5" a="1"/>
  <c r="A679" i="5" s="1"/>
  <c r="A680" i="5" a="1"/>
  <c r="A680" i="5" s="1"/>
  <c r="A681" i="5" a="1"/>
  <c r="A681" i="5" s="1"/>
  <c r="A682" i="5" a="1"/>
  <c r="A682" i="5" s="1"/>
  <c r="A683" i="5" a="1"/>
  <c r="A683" i="5" s="1"/>
  <c r="A684" i="5" a="1"/>
  <c r="A684" i="5" s="1"/>
  <c r="A685" i="5" a="1"/>
  <c r="A685" i="5" s="1"/>
  <c r="A686" i="5" a="1"/>
  <c r="A686" i="5" s="1"/>
  <c r="A687" i="5" a="1"/>
  <c r="A687" i="5" s="1"/>
  <c r="A688" i="5" a="1"/>
  <c r="A688" i="5" s="1"/>
  <c r="A689" i="5" a="1"/>
  <c r="A689" i="5" s="1"/>
  <c r="A690" i="5" a="1"/>
  <c r="A690" i="5" s="1"/>
  <c r="A691" i="5" a="1"/>
  <c r="A691" i="5" s="1"/>
  <c r="A692" i="5" a="1"/>
  <c r="A692" i="5" s="1"/>
  <c r="A693" i="5" a="1"/>
  <c r="A693" i="5" s="1"/>
  <c r="A694" i="5" a="1"/>
  <c r="A694" i="5" s="1"/>
  <c r="A695" i="5" a="1"/>
  <c r="A695" i="5" s="1"/>
  <c r="A696" i="5" a="1"/>
  <c r="A696" i="5" s="1"/>
  <c r="A697" i="5" a="1"/>
  <c r="A697" i="5" s="1"/>
  <c r="A698" i="5" a="1"/>
  <c r="A698" i="5" s="1"/>
  <c r="A699" i="5" a="1"/>
  <c r="A699" i="5" s="1"/>
  <c r="A700" i="5" a="1"/>
  <c r="A700" i="5" s="1"/>
  <c r="A701" i="5" a="1"/>
  <c r="A701" i="5" s="1"/>
  <c r="A702" i="5" a="1"/>
  <c r="A702" i="5" s="1"/>
  <c r="A703" i="5" a="1"/>
  <c r="A703" i="5" s="1"/>
  <c r="A704" i="5" a="1"/>
  <c r="A704" i="5" s="1"/>
  <c r="A705" i="5" a="1"/>
  <c r="A705" i="5" s="1"/>
  <c r="A706" i="5" a="1"/>
  <c r="A706" i="5" s="1"/>
  <c r="A707" i="5" a="1"/>
  <c r="A707" i="5" s="1"/>
  <c r="A708" i="5" a="1"/>
  <c r="A708" i="5" s="1"/>
  <c r="A709" i="5" a="1"/>
  <c r="A709" i="5" s="1"/>
  <c r="A710" i="5" a="1"/>
  <c r="A710" i="5" s="1"/>
  <c r="A711" i="5" a="1"/>
  <c r="A711" i="5" s="1"/>
  <c r="A712" i="5" a="1"/>
  <c r="A712" i="5" s="1"/>
  <c r="A713" i="5" a="1"/>
  <c r="A713" i="5" s="1"/>
  <c r="A714" i="5" a="1"/>
  <c r="A714" i="5" s="1"/>
  <c r="A715" i="5" a="1"/>
  <c r="A715" i="5" s="1"/>
  <c r="A716" i="5" a="1"/>
  <c r="A716" i="5" s="1"/>
  <c r="A717" i="5" a="1"/>
  <c r="A717" i="5" s="1"/>
  <c r="A718" i="5" a="1"/>
  <c r="A718" i="5" s="1"/>
  <c r="A719" i="5" a="1"/>
  <c r="A719" i="5" s="1"/>
  <c r="A720" i="5" a="1"/>
  <c r="A720" i="5" s="1"/>
  <c r="A721" i="5" a="1"/>
  <c r="A721" i="5" s="1"/>
  <c r="A722" i="5" a="1"/>
  <c r="A722" i="5" s="1"/>
  <c r="A723" i="5" a="1"/>
  <c r="A723" i="5" s="1"/>
  <c r="A724" i="5" a="1"/>
  <c r="A724" i="5" s="1"/>
  <c r="A725" i="5" a="1"/>
  <c r="A725" i="5" s="1"/>
  <c r="A726" i="5" a="1"/>
  <c r="A726" i="5" s="1"/>
  <c r="A727" i="5" a="1"/>
  <c r="A727" i="5" s="1"/>
  <c r="A728" i="5" a="1"/>
  <c r="A728" i="5" s="1"/>
  <c r="A729" i="5" a="1"/>
  <c r="A729" i="5" s="1"/>
  <c r="A730" i="5" a="1"/>
  <c r="A730" i="5" s="1"/>
  <c r="A731" i="5" a="1"/>
  <c r="A731" i="5" s="1"/>
  <c r="A732" i="5" a="1"/>
  <c r="A732" i="5" s="1"/>
  <c r="A733" i="5" a="1"/>
  <c r="A733" i="5" s="1"/>
  <c r="A734" i="5" a="1"/>
  <c r="A734" i="5" s="1"/>
  <c r="A735" i="5" a="1"/>
  <c r="A735" i="5" s="1"/>
  <c r="A736" i="5" a="1"/>
  <c r="A736" i="5" s="1"/>
  <c r="A737" i="5" a="1"/>
  <c r="A737" i="5" s="1"/>
  <c r="A738" i="5" a="1"/>
  <c r="A738" i="5" s="1"/>
  <c r="A739" i="5" a="1"/>
  <c r="A739" i="5" s="1"/>
  <c r="A740" i="5" a="1"/>
  <c r="A740" i="5" s="1"/>
  <c r="A741" i="5" a="1"/>
  <c r="A741" i="5" s="1"/>
  <c r="A742" i="5" a="1"/>
  <c r="A742" i="5" s="1"/>
  <c r="A743" i="5" a="1"/>
  <c r="A743" i="5" s="1"/>
  <c r="A744" i="5" a="1"/>
  <c r="A744" i="5" s="1"/>
  <c r="A745" i="5" a="1"/>
  <c r="A745" i="5" s="1"/>
  <c r="A746" i="5" a="1"/>
  <c r="A746" i="5" s="1"/>
  <c r="A747" i="5" a="1"/>
  <c r="A747" i="5" s="1"/>
  <c r="A748" i="5" a="1"/>
  <c r="A748" i="5" s="1"/>
  <c r="A749" i="5" a="1"/>
  <c r="A749" i="5" s="1"/>
  <c r="A750" i="5" a="1"/>
  <c r="A750" i="5" s="1"/>
  <c r="A751" i="5" a="1"/>
  <c r="A751" i="5" s="1"/>
  <c r="A752" i="5" a="1"/>
  <c r="A752" i="5" s="1"/>
  <c r="A753" i="5" a="1"/>
  <c r="A753" i="5" s="1"/>
  <c r="A754" i="5" a="1"/>
  <c r="A754" i="5" s="1"/>
  <c r="A755" i="5" a="1"/>
  <c r="A755" i="5" s="1"/>
  <c r="A756" i="5" a="1"/>
  <c r="A756" i="5" s="1"/>
  <c r="A757" i="5" a="1"/>
  <c r="A757" i="5" s="1"/>
  <c r="A758" i="5" a="1"/>
  <c r="A758" i="5" s="1"/>
  <c r="A759" i="5" a="1"/>
  <c r="A759" i="5" s="1"/>
  <c r="A760" i="5" a="1"/>
  <c r="A760" i="5" s="1"/>
  <c r="A761" i="5" a="1"/>
  <c r="A761" i="5" s="1"/>
  <c r="A762" i="5" a="1"/>
  <c r="A762" i="5" s="1"/>
  <c r="A763" i="5" a="1"/>
  <c r="A763" i="5" s="1"/>
  <c r="A764" i="5" a="1"/>
  <c r="A764" i="5" s="1"/>
  <c r="A765" i="5" a="1"/>
  <c r="A765" i="5" s="1"/>
  <c r="A766" i="5" a="1"/>
  <c r="A766" i="5" s="1"/>
  <c r="A767" i="5" a="1"/>
  <c r="A767" i="5" s="1"/>
  <c r="A768" i="5" a="1"/>
  <c r="A768" i="5" s="1"/>
  <c r="A769" i="5" a="1"/>
  <c r="A769" i="5" s="1"/>
  <c r="A770" i="5" a="1"/>
  <c r="A770" i="5" s="1"/>
  <c r="A771" i="5" a="1"/>
  <c r="A771" i="5" s="1"/>
  <c r="A772" i="5" a="1"/>
  <c r="A772" i="5" s="1"/>
  <c r="A773" i="5" a="1"/>
  <c r="A773" i="5" s="1"/>
  <c r="A774" i="5" a="1"/>
  <c r="A774" i="5" s="1"/>
  <c r="A775" i="5" a="1"/>
  <c r="A775" i="5" s="1"/>
  <c r="A776" i="5" a="1"/>
  <c r="A776" i="5" s="1"/>
  <c r="A777" i="5" a="1"/>
  <c r="A777" i="5" s="1"/>
  <c r="A778" i="5" a="1"/>
  <c r="A778" i="5" s="1"/>
  <c r="A779" i="5" a="1"/>
  <c r="A779" i="5" s="1"/>
  <c r="A780" i="5" a="1"/>
  <c r="A780" i="5" s="1"/>
  <c r="A781" i="5" a="1"/>
  <c r="A781" i="5" s="1"/>
  <c r="A782" i="5" a="1"/>
  <c r="A782" i="5" s="1"/>
  <c r="A783" i="5" a="1"/>
  <c r="A783" i="5" s="1"/>
  <c r="A784" i="5" a="1"/>
  <c r="A784" i="5" s="1"/>
  <c r="A785" i="5" a="1"/>
  <c r="A785" i="5" s="1"/>
  <c r="A786" i="5" a="1"/>
  <c r="A786" i="5" s="1"/>
  <c r="A787" i="5" a="1"/>
  <c r="A787" i="5" s="1"/>
  <c r="A788" i="5" a="1"/>
  <c r="A788" i="5" s="1"/>
  <c r="A789" i="5" a="1"/>
  <c r="A789" i="5" s="1"/>
  <c r="A790" i="5" a="1"/>
  <c r="A790" i="5" s="1"/>
  <c r="A791" i="5" a="1"/>
  <c r="A791" i="5" s="1"/>
  <c r="A792" i="5" a="1"/>
  <c r="A792" i="5" s="1"/>
  <c r="A793" i="5" a="1"/>
  <c r="A793" i="5" s="1"/>
  <c r="A794" i="5" a="1"/>
  <c r="A794" i="5" s="1"/>
  <c r="A795" i="5" a="1"/>
  <c r="A795" i="5" s="1"/>
  <c r="A796" i="5" a="1"/>
  <c r="A796" i="5" s="1"/>
  <c r="A797" i="5" a="1"/>
  <c r="A797" i="5" s="1"/>
  <c r="A798" i="5" a="1"/>
  <c r="A798" i="5" s="1"/>
  <c r="A799" i="5" a="1"/>
  <c r="A799" i="5" s="1"/>
  <c r="A800" i="5" a="1"/>
  <c r="A800" i="5" s="1"/>
  <c r="A801" i="5" a="1"/>
  <c r="A801" i="5" s="1"/>
  <c r="A802" i="5" a="1"/>
  <c r="A802" i="5" s="1"/>
  <c r="A803" i="5" a="1"/>
  <c r="A803" i="5" s="1"/>
  <c r="A804" i="5" a="1"/>
  <c r="A804" i="5" s="1"/>
  <c r="A805" i="5" a="1"/>
  <c r="A805" i="5" s="1"/>
  <c r="A806" i="5" a="1"/>
  <c r="A806" i="5" s="1"/>
  <c r="A807" i="5" a="1"/>
  <c r="A807" i="5"/>
  <c r="A808" i="5" a="1"/>
  <c r="A808" i="5" s="1"/>
  <c r="A809" i="5" a="1"/>
  <c r="A809" i="5" s="1"/>
  <c r="A810" i="5" a="1"/>
  <c r="A810" i="5" s="1"/>
  <c r="A811" i="5" a="1"/>
  <c r="A811" i="5" s="1"/>
  <c r="A812" i="5" a="1"/>
  <c r="A812" i="5" s="1"/>
  <c r="A813" i="5" a="1"/>
  <c r="A813" i="5" s="1"/>
  <c r="A814" i="5" a="1"/>
  <c r="A814" i="5" s="1"/>
  <c r="A815" i="5" a="1"/>
  <c r="A815" i="5" s="1"/>
  <c r="A816" i="5" a="1"/>
  <c r="A816" i="5" s="1"/>
  <c r="A817" i="5" a="1"/>
  <c r="A817" i="5" s="1"/>
  <c r="A818" i="5" a="1"/>
  <c r="A818" i="5" s="1"/>
  <c r="A819" i="5" a="1"/>
  <c r="A819" i="5" s="1"/>
  <c r="A820" i="5" a="1"/>
  <c r="A820" i="5" s="1"/>
  <c r="A821" i="5" a="1"/>
  <c r="A821" i="5" s="1"/>
  <c r="A822" i="5" a="1"/>
  <c r="A822" i="5" s="1"/>
  <c r="A823" i="5" a="1"/>
  <c r="A823" i="5" s="1"/>
  <c r="A824" i="5" a="1"/>
  <c r="A824" i="5" s="1"/>
  <c r="A825" i="5" a="1"/>
  <c r="A825" i="5" s="1"/>
  <c r="A826" i="5" a="1"/>
  <c r="A826" i="5" s="1"/>
  <c r="A827" i="5" a="1"/>
  <c r="A827" i="5" s="1"/>
  <c r="A828" i="5" a="1"/>
  <c r="A828" i="5" s="1"/>
  <c r="A829" i="5" a="1"/>
  <c r="A829" i="5" s="1"/>
  <c r="A830" i="5" a="1"/>
  <c r="A830" i="5" s="1"/>
  <c r="A831" i="5" a="1"/>
  <c r="A831" i="5" s="1"/>
  <c r="A832" i="5" a="1"/>
  <c r="A832" i="5" s="1"/>
  <c r="A833" i="5" a="1"/>
  <c r="A833" i="5" s="1"/>
  <c r="A834" i="5" a="1"/>
  <c r="A834" i="5" s="1"/>
  <c r="A835" i="5" a="1"/>
  <c r="A835" i="5" s="1"/>
  <c r="A836" i="5" a="1"/>
  <c r="A836" i="5" s="1"/>
  <c r="A837" i="5" a="1"/>
  <c r="A837" i="5" s="1"/>
  <c r="A838" i="5" a="1"/>
  <c r="A838" i="5" s="1"/>
  <c r="A839" i="5" a="1"/>
  <c r="A839" i="5" s="1"/>
  <c r="A840" i="5" a="1"/>
  <c r="A840" i="5" s="1"/>
  <c r="A841" i="5" a="1"/>
  <c r="A841" i="5" s="1"/>
  <c r="A842" i="5" a="1"/>
  <c r="A842" i="5" s="1"/>
  <c r="A843" i="5" a="1"/>
  <c r="A843" i="5" s="1"/>
  <c r="A844" i="5" a="1"/>
  <c r="A844" i="5" s="1"/>
  <c r="A845" i="5" a="1"/>
  <c r="A845" i="5" s="1"/>
  <c r="A846" i="5" a="1"/>
  <c r="A846" i="5" s="1"/>
  <c r="A847" i="5" a="1"/>
  <c r="A847" i="5" s="1"/>
  <c r="A848" i="5" a="1"/>
  <c r="A848" i="5" s="1"/>
  <c r="A849" i="5" a="1"/>
  <c r="A849" i="5" s="1"/>
  <c r="A850" i="5" a="1"/>
  <c r="A850" i="5" s="1"/>
  <c r="A851" i="5" a="1"/>
  <c r="A851" i="5"/>
  <c r="A852" i="5" a="1"/>
  <c r="A852" i="5" s="1"/>
  <c r="A853" i="5" a="1"/>
  <c r="A853" i="5" s="1"/>
  <c r="A854" i="5" a="1"/>
  <c r="A854" i="5" s="1"/>
  <c r="A855" i="5" a="1"/>
  <c r="A855" i="5" s="1"/>
  <c r="A856" i="5" a="1"/>
  <c r="A856" i="5" s="1"/>
  <c r="A857" i="5" a="1"/>
  <c r="A857" i="5" s="1"/>
  <c r="A858" i="5" a="1"/>
  <c r="A858" i="5" s="1"/>
  <c r="A859" i="5" a="1"/>
  <c r="A859" i="5" s="1"/>
  <c r="A860" i="5" a="1"/>
  <c r="A860" i="5" s="1"/>
  <c r="A861" i="5" a="1"/>
  <c r="A861" i="5" s="1"/>
  <c r="A862" i="5" a="1"/>
  <c r="A862" i="5" s="1"/>
  <c r="A863" i="5" a="1"/>
  <c r="A863" i="5" s="1"/>
  <c r="A864" i="5" a="1"/>
  <c r="A864" i="5" s="1"/>
  <c r="A865" i="5" a="1"/>
  <c r="A865" i="5" s="1"/>
  <c r="A866" i="5" a="1"/>
  <c r="A866" i="5" s="1"/>
  <c r="A867" i="5" a="1"/>
  <c r="A867" i="5" s="1"/>
  <c r="A868" i="5" a="1"/>
  <c r="A868" i="5" s="1"/>
  <c r="A869" i="5" a="1"/>
  <c r="A869" i="5" s="1"/>
  <c r="A870" i="5" a="1"/>
  <c r="A870" i="5" s="1"/>
  <c r="A871" i="5" a="1"/>
  <c r="A871" i="5" s="1"/>
  <c r="A872" i="5" a="1"/>
  <c r="A872" i="5" s="1"/>
  <c r="A873" i="5" a="1"/>
  <c r="A873" i="5" s="1"/>
  <c r="A874" i="5" a="1"/>
  <c r="A874" i="5" s="1"/>
  <c r="A875" i="5" a="1"/>
  <c r="A875" i="5" s="1"/>
  <c r="A876" i="5" a="1"/>
  <c r="A876" i="5" s="1"/>
  <c r="A877" i="5" a="1"/>
  <c r="A877" i="5" s="1"/>
  <c r="A878" i="5" a="1"/>
  <c r="A878" i="5" s="1"/>
  <c r="A879" i="5" a="1"/>
  <c r="A879" i="5" s="1"/>
  <c r="A880" i="5" a="1"/>
  <c r="A880" i="5" s="1"/>
  <c r="A881" i="5" a="1"/>
  <c r="A881" i="5" s="1"/>
  <c r="A882" i="5" a="1"/>
  <c r="A882" i="5" s="1"/>
  <c r="A883" i="5" a="1"/>
  <c r="A883" i="5" s="1"/>
  <c r="A884" i="5" a="1"/>
  <c r="A884" i="5" s="1"/>
  <c r="A885" i="5" a="1"/>
  <c r="A885" i="5" s="1"/>
  <c r="A886" i="5" a="1"/>
  <c r="A886" i="5" s="1"/>
  <c r="A887" i="5" a="1"/>
  <c r="A887" i="5" s="1"/>
  <c r="A888" i="5" a="1"/>
  <c r="A888" i="5" s="1"/>
  <c r="A889" i="5" a="1"/>
  <c r="A889" i="5" s="1"/>
  <c r="A890" i="5" a="1"/>
  <c r="A890" i="5" s="1"/>
  <c r="A891" i="5" a="1"/>
  <c r="A891" i="5" s="1"/>
  <c r="A892" i="5" a="1"/>
  <c r="A892" i="5" s="1"/>
  <c r="A893" i="5" a="1"/>
  <c r="A893" i="5" s="1"/>
  <c r="A894" i="5" a="1"/>
  <c r="A894" i="5" s="1"/>
  <c r="A895" i="5" a="1"/>
  <c r="A895" i="5" s="1"/>
  <c r="A896" i="5" a="1"/>
  <c r="A896" i="5" s="1"/>
  <c r="A897" i="5" a="1"/>
  <c r="A897" i="5" s="1"/>
  <c r="A898" i="5" a="1"/>
  <c r="A898" i="5" s="1"/>
  <c r="A899" i="5" a="1"/>
  <c r="A899" i="5" s="1"/>
  <c r="A900" i="5" a="1"/>
  <c r="A900" i="5" s="1"/>
  <c r="A901" i="5" a="1"/>
  <c r="A901" i="5" s="1"/>
  <c r="A902" i="5" a="1"/>
  <c r="A902" i="5" s="1"/>
  <c r="A903" i="5" a="1"/>
  <c r="A903" i="5" s="1"/>
  <c r="A904" i="5" a="1"/>
  <c r="A904" i="5" s="1"/>
  <c r="A905" i="5" a="1"/>
  <c r="A905" i="5" s="1"/>
  <c r="A906" i="5" a="1"/>
  <c r="A906" i="5" s="1"/>
  <c r="A907" i="5" a="1"/>
  <c r="A907" i="5" s="1"/>
  <c r="A908" i="5" a="1"/>
  <c r="A908" i="5" s="1"/>
  <c r="A909" i="5" a="1"/>
  <c r="A909" i="5" s="1"/>
  <c r="A910" i="5" a="1"/>
  <c r="A910" i="5" s="1"/>
  <c r="A911" i="5" a="1"/>
  <c r="A911" i="5" s="1"/>
  <c r="A912" i="5" a="1"/>
  <c r="A912" i="5" s="1"/>
  <c r="A913" i="5" a="1"/>
  <c r="A913" i="5" s="1"/>
  <c r="A914" i="5" a="1"/>
  <c r="A914" i="5" s="1"/>
  <c r="A915" i="5" a="1"/>
  <c r="A915" i="5" s="1"/>
  <c r="A916" i="5" a="1"/>
  <c r="A916" i="5" s="1"/>
  <c r="A917" i="5" a="1"/>
  <c r="A917" i="5" s="1"/>
  <c r="A918" i="5" a="1"/>
  <c r="A918" i="5" s="1"/>
  <c r="A919" i="5" a="1"/>
  <c r="A919" i="5" s="1"/>
  <c r="A920" i="5" a="1"/>
  <c r="A920" i="5" s="1"/>
  <c r="A921" i="5" a="1"/>
  <c r="A921" i="5" s="1"/>
  <c r="A922" i="5" a="1"/>
  <c r="A922" i="5" s="1"/>
  <c r="A923" i="5" a="1"/>
  <c r="A923" i="5" s="1"/>
  <c r="A924" i="5" a="1"/>
  <c r="A924" i="5" s="1"/>
  <c r="A925" i="5" a="1"/>
  <c r="A925" i="5" s="1"/>
  <c r="A926" i="5" a="1"/>
  <c r="A926" i="5" s="1"/>
  <c r="A927" i="5" a="1"/>
  <c r="A927" i="5" s="1"/>
  <c r="A928" i="5" a="1"/>
  <c r="A928" i="5" s="1"/>
  <c r="A929" i="5" a="1"/>
  <c r="A929" i="5" s="1"/>
  <c r="A930" i="5" a="1"/>
  <c r="A930" i="5" s="1"/>
  <c r="A931" i="5" a="1"/>
  <c r="A931" i="5" s="1"/>
  <c r="A932" i="5" a="1"/>
  <c r="A932" i="5" s="1"/>
  <c r="A933" i="5" a="1"/>
  <c r="A933" i="5" s="1"/>
  <c r="A934" i="5" a="1"/>
  <c r="A934" i="5" s="1"/>
  <c r="A935" i="5" a="1"/>
  <c r="A935" i="5" s="1"/>
  <c r="A936" i="5" a="1"/>
  <c r="A936" i="5" s="1"/>
  <c r="A937" i="5" a="1"/>
  <c r="A937" i="5" s="1"/>
  <c r="A938" i="5" a="1"/>
  <c r="A938" i="5" s="1"/>
  <c r="A939" i="5" a="1"/>
  <c r="A939" i="5" s="1"/>
  <c r="A940" i="5" a="1"/>
  <c r="A940" i="5" s="1"/>
  <c r="A941" i="5" a="1"/>
  <c r="A941" i="5" s="1"/>
  <c r="A942" i="5" a="1"/>
  <c r="A942" i="5" s="1"/>
  <c r="A943" i="5" a="1"/>
  <c r="A943" i="5" s="1"/>
  <c r="A944" i="5" a="1"/>
  <c r="A944" i="5" s="1"/>
  <c r="A945" i="5" a="1"/>
  <c r="A945" i="5" s="1"/>
  <c r="A946" i="5" a="1"/>
  <c r="A946" i="5" s="1"/>
  <c r="A947" i="5" a="1"/>
  <c r="A947" i="5" s="1"/>
  <c r="A948" i="5" a="1"/>
  <c r="A948" i="5" s="1"/>
  <c r="A949" i="5" a="1"/>
  <c r="A949" i="5" s="1"/>
  <c r="A950" i="5" a="1"/>
  <c r="A950" i="5" s="1"/>
  <c r="A951" i="5" a="1"/>
  <c r="A951" i="5" s="1"/>
  <c r="A952" i="5" a="1"/>
  <c r="A952" i="5" s="1"/>
  <c r="A953" i="5" a="1"/>
  <c r="A953" i="5" s="1"/>
  <c r="A954" i="5" a="1"/>
  <c r="A954" i="5" s="1"/>
  <c r="A955" i="5" a="1"/>
  <c r="A955" i="5" s="1"/>
  <c r="A956" i="5" a="1"/>
  <c r="A956" i="5" s="1"/>
  <c r="A957" i="5" a="1"/>
  <c r="A957" i="5" s="1"/>
  <c r="A958" i="5" a="1"/>
  <c r="A958" i="5" s="1"/>
  <c r="A959" i="5" a="1"/>
  <c r="A959" i="5" s="1"/>
  <c r="A960" i="5" a="1"/>
  <c r="A960" i="5" s="1"/>
  <c r="A961" i="5" a="1"/>
  <c r="A961" i="5" s="1"/>
  <c r="A962" i="5" a="1"/>
  <c r="A962" i="5" s="1"/>
  <c r="A963" i="5" a="1"/>
  <c r="A963" i="5" s="1"/>
  <c r="A964" i="5" a="1"/>
  <c r="A964" i="5" s="1"/>
  <c r="A965" i="5" a="1"/>
  <c r="A965" i="5" s="1"/>
  <c r="A966" i="5" a="1"/>
  <c r="A966" i="5" s="1"/>
  <c r="A967" i="5" a="1"/>
  <c r="A967" i="5"/>
  <c r="A968" i="5" a="1"/>
  <c r="A968" i="5" s="1"/>
  <c r="A969" i="5" a="1"/>
  <c r="A969" i="5" s="1"/>
  <c r="A970" i="5" a="1"/>
  <c r="A970" i="5" s="1"/>
  <c r="A971" i="5" a="1"/>
  <c r="A971" i="5" s="1"/>
  <c r="A972" i="5" a="1"/>
  <c r="A972" i="5" s="1"/>
  <c r="A973" i="5" a="1"/>
  <c r="A973" i="5" s="1"/>
  <c r="A974" i="5" a="1"/>
  <c r="A974" i="5" s="1"/>
  <c r="A975" i="5" a="1"/>
  <c r="A975" i="5" s="1"/>
  <c r="A976" i="5" a="1"/>
  <c r="A976" i="5" s="1"/>
  <c r="A977" i="5" a="1"/>
  <c r="A977" i="5" s="1"/>
  <c r="A978" i="5" a="1"/>
  <c r="A978" i="5" s="1"/>
  <c r="A979" i="5" a="1"/>
  <c r="A979" i="5" s="1"/>
  <c r="A980" i="5" a="1"/>
  <c r="A980" i="5" s="1"/>
  <c r="A981" i="5" a="1"/>
  <c r="A981" i="5" s="1"/>
  <c r="A982" i="5" a="1"/>
  <c r="A982" i="5" s="1"/>
  <c r="A983" i="5" a="1"/>
  <c r="A983" i="5" s="1"/>
  <c r="A984" i="5" a="1"/>
  <c r="A984" i="5" s="1"/>
  <c r="A985" i="5" a="1"/>
  <c r="A985" i="5" s="1"/>
  <c r="A986" i="5" a="1"/>
  <c r="A986" i="5" s="1"/>
  <c r="A987" i="5" a="1"/>
  <c r="A987" i="5" s="1"/>
  <c r="A988" i="5" a="1"/>
  <c r="A988" i="5" s="1"/>
  <c r="A989" i="5" a="1"/>
  <c r="A989" i="5" s="1"/>
  <c r="A990" i="5" a="1"/>
  <c r="A990" i="5" s="1"/>
  <c r="A991" i="5" a="1"/>
  <c r="A991" i="5" s="1"/>
  <c r="A992" i="5" a="1"/>
  <c r="A992" i="5" s="1"/>
  <c r="A993" i="5" a="1"/>
  <c r="A993" i="5" s="1"/>
  <c r="A994" i="5" a="1"/>
  <c r="A994" i="5" s="1"/>
  <c r="A995" i="5" a="1"/>
  <c r="A995" i="5" s="1"/>
  <c r="A996" i="5" a="1"/>
  <c r="A996" i="5" s="1"/>
  <c r="A997" i="5" a="1"/>
  <c r="A997" i="5" s="1"/>
  <c r="A998" i="5" a="1"/>
  <c r="A998" i="5" s="1"/>
  <c r="A999" i="5" a="1"/>
  <c r="A999" i="5" s="1"/>
  <c r="A1000" i="5" a="1"/>
  <c r="A1000" i="5" s="1"/>
  <c r="A1001" i="5" a="1"/>
  <c r="A1001" i="5" s="1"/>
  <c r="A1002" i="5" a="1"/>
  <c r="A1002" i="5" s="1"/>
  <c r="A1003" i="5" a="1"/>
  <c r="A1003" i="5" s="1"/>
  <c r="A1004" i="5" a="1"/>
  <c r="A1004" i="5" s="1"/>
  <c r="A1005" i="5" a="1"/>
  <c r="A1005" i="5" s="1"/>
  <c r="A1006" i="5" a="1"/>
  <c r="A1006" i="5" s="1"/>
  <c r="A1007" i="5" a="1"/>
  <c r="A1007" i="5" s="1"/>
  <c r="A1008" i="5" a="1"/>
  <c r="A1008" i="5" s="1"/>
  <c r="A1009" i="5" a="1"/>
  <c r="A1009" i="5" s="1"/>
  <c r="A1010" i="5" a="1"/>
  <c r="A1010" i="5" s="1"/>
  <c r="A1011" i="5" a="1"/>
  <c r="A1011" i="5" s="1"/>
  <c r="A1012" i="5" a="1"/>
  <c r="A1012" i="5" s="1"/>
  <c r="A1013" i="5" a="1"/>
  <c r="A1013" i="5" s="1"/>
  <c r="A1014" i="5" a="1"/>
  <c r="A1014" i="5" s="1"/>
  <c r="A1015" i="5" a="1"/>
  <c r="A1015" i="5" s="1"/>
  <c r="A1016" i="5" a="1"/>
  <c r="A1016" i="5" s="1"/>
  <c r="A1017" i="5" a="1"/>
  <c r="A1017" i="5" s="1"/>
  <c r="A1018" i="5" a="1"/>
  <c r="A1018" i="5" s="1"/>
  <c r="A1019" i="5" a="1"/>
  <c r="A1019" i="5" s="1"/>
  <c r="A1020" i="5" a="1"/>
  <c r="A1020" i="5" s="1"/>
  <c r="A1021" i="5" a="1"/>
  <c r="A1021" i="5" s="1"/>
  <c r="A1022" i="5" a="1"/>
  <c r="A1022" i="5" s="1"/>
  <c r="A1023" i="5" a="1"/>
  <c r="A1023" i="5" s="1"/>
  <c r="A1024" i="5" a="1"/>
  <c r="A1024" i="5" s="1"/>
  <c r="A1025" i="5" a="1"/>
  <c r="A1025" i="5" s="1"/>
  <c r="A1026" i="5" a="1"/>
  <c r="A1026" i="5" s="1"/>
  <c r="A1027" i="5" a="1"/>
  <c r="A1027" i="5" s="1"/>
  <c r="A1028" i="5" a="1"/>
  <c r="A1028" i="5" s="1"/>
  <c r="A1029" i="5" a="1"/>
  <c r="A1029" i="5" s="1"/>
  <c r="A1030" i="5" a="1"/>
  <c r="A1030" i="5" s="1"/>
  <c r="A1031" i="5" a="1"/>
  <c r="A1031" i="5" s="1"/>
  <c r="A1032" i="5" a="1"/>
  <c r="A1032" i="5" s="1"/>
  <c r="A1033" i="5" a="1"/>
  <c r="A1033" i="5" s="1"/>
  <c r="A1034" i="5" a="1"/>
  <c r="A1034" i="5" s="1"/>
  <c r="A1035" i="5" a="1"/>
  <c r="A1035" i="5" s="1"/>
  <c r="A1036" i="5" a="1"/>
  <c r="A1036" i="5" s="1"/>
  <c r="A1037" i="5" a="1"/>
  <c r="A1037" i="5"/>
  <c r="A1038" i="5" a="1"/>
  <c r="A1038" i="5" s="1"/>
  <c r="A1039" i="5" a="1"/>
  <c r="A1039" i="5" s="1"/>
  <c r="A1040" i="5" a="1"/>
  <c r="A1040" i="5" s="1"/>
  <c r="A1041" i="5" a="1"/>
  <c r="A1041" i="5" s="1"/>
  <c r="A1042" i="5" a="1"/>
  <c r="A1042" i="5" s="1"/>
  <c r="A1043" i="5" a="1"/>
  <c r="A1043" i="5" s="1"/>
  <c r="A1044" i="5" a="1"/>
  <c r="A1044" i="5" s="1"/>
  <c r="A1045" i="5" a="1"/>
  <c r="A1045" i="5" s="1"/>
  <c r="A1046" i="5" a="1"/>
  <c r="A1046" i="5" s="1"/>
  <c r="A1047" i="5" a="1"/>
  <c r="A1047" i="5" s="1"/>
  <c r="A1048" i="5" a="1"/>
  <c r="A1048" i="5" s="1"/>
  <c r="A1049" i="5" a="1"/>
  <c r="A1049" i="5" s="1"/>
  <c r="A1050" i="5" a="1"/>
  <c r="A1050" i="5"/>
  <c r="A1051" i="5" a="1"/>
  <c r="A1051" i="5" s="1"/>
  <c r="A1052" i="5" a="1"/>
  <c r="A1052" i="5" s="1"/>
  <c r="A1053" i="5" a="1"/>
  <c r="A1053" i="5" s="1"/>
  <c r="A1054" i="5" a="1"/>
  <c r="A1054" i="5" s="1"/>
  <c r="A1055" i="5" a="1"/>
  <c r="A1055" i="5" s="1"/>
  <c r="A1056" i="5" a="1"/>
  <c r="A1056" i="5" s="1"/>
  <c r="A1057" i="5" a="1"/>
  <c r="A1057" i="5" s="1"/>
  <c r="A1058" i="5" a="1"/>
  <c r="A1058" i="5" s="1"/>
  <c r="A1059" i="5" a="1"/>
  <c r="A1059" i="5" s="1"/>
  <c r="A1060" i="5" a="1"/>
  <c r="A1060" i="5" s="1"/>
  <c r="A1061" i="5" a="1"/>
  <c r="A1061" i="5" s="1"/>
  <c r="A1062" i="5" a="1"/>
  <c r="A1062" i="5" s="1"/>
  <c r="A1063" i="5" a="1"/>
  <c r="A1063" i="5" s="1"/>
  <c r="A1064" i="5" a="1"/>
  <c r="A1064" i="5" s="1"/>
  <c r="A1065" i="5" a="1"/>
  <c r="A1065" i="5" s="1"/>
  <c r="A1066" i="5" a="1"/>
  <c r="A1066" i="5" s="1"/>
  <c r="A1067" i="5" a="1"/>
  <c r="A1067" i="5" s="1"/>
  <c r="A1068" i="5" a="1"/>
  <c r="A1068" i="5" s="1"/>
  <c r="A1069" i="5" a="1"/>
  <c r="A1069" i="5" s="1"/>
  <c r="A1070" i="5" a="1"/>
  <c r="A1070" i="5" s="1"/>
  <c r="A1071" i="5" a="1"/>
  <c r="A1071" i="5" s="1"/>
  <c r="A1072" i="5" a="1"/>
  <c r="A1072" i="5" s="1"/>
  <c r="A1073" i="5" a="1"/>
  <c r="A1073" i="5" s="1"/>
  <c r="A1074" i="5" a="1"/>
  <c r="A1074" i="5" s="1"/>
  <c r="A1075" i="5" a="1"/>
  <c r="A1075" i="5" s="1"/>
  <c r="A1076" i="5" a="1"/>
  <c r="A1076" i="5" s="1"/>
  <c r="A1077" i="5" a="1"/>
  <c r="A1077" i="5" s="1"/>
  <c r="A1078" i="5" a="1"/>
  <c r="A1078" i="5" s="1"/>
  <c r="A1079" i="5" a="1"/>
  <c r="A1079" i="5" s="1"/>
  <c r="A1080" i="5" a="1"/>
  <c r="A1080" i="5" s="1"/>
  <c r="A1081" i="5" a="1"/>
  <c r="A1081" i="5" s="1"/>
  <c r="A1082" i="5" a="1"/>
  <c r="A1082" i="5" s="1"/>
  <c r="A1083" i="5" a="1"/>
  <c r="A1083" i="5" s="1"/>
  <c r="A1084" i="5" a="1"/>
  <c r="A1084" i="5" s="1"/>
  <c r="A1085" i="5" a="1"/>
  <c r="A1085" i="5" s="1"/>
  <c r="A1086" i="5" a="1"/>
  <c r="A1086" i="5" s="1"/>
  <c r="A1087" i="5" a="1"/>
  <c r="A1087" i="5" s="1"/>
  <c r="A1088" i="5" a="1"/>
  <c r="A1088" i="5" s="1"/>
  <c r="A1089" i="5" a="1"/>
  <c r="A1089" i="5" s="1"/>
  <c r="A1090" i="5" a="1"/>
  <c r="A1090" i="5" s="1"/>
  <c r="A1091" i="5" a="1"/>
  <c r="A1091" i="5" s="1"/>
  <c r="A1092" i="5" a="1"/>
  <c r="A1092" i="5" s="1"/>
  <c r="A1093" i="5" a="1"/>
  <c r="A1093" i="5" s="1"/>
  <c r="A1094" i="5" a="1"/>
  <c r="A1094" i="5" s="1"/>
  <c r="A1095" i="5" a="1"/>
  <c r="A1095" i="5" s="1"/>
  <c r="A1096" i="5" a="1"/>
  <c r="A1096" i="5" s="1"/>
  <c r="A1097" i="5" a="1"/>
  <c r="A1097" i="5" s="1"/>
  <c r="A1098" i="5" a="1"/>
  <c r="A1098" i="5"/>
  <c r="A1099" i="5" a="1"/>
  <c r="A1099" i="5" s="1"/>
  <c r="A1100" i="5" a="1"/>
  <c r="A1100" i="5" s="1"/>
  <c r="A1101" i="5" a="1"/>
  <c r="A1101" i="5" s="1"/>
  <c r="A1102" i="5" a="1"/>
  <c r="A1102" i="5" s="1"/>
  <c r="A1103" i="5" a="1"/>
  <c r="A1103" i="5" s="1"/>
  <c r="A1104" i="5" a="1"/>
  <c r="A1104" i="5" s="1"/>
  <c r="A1105" i="5" a="1"/>
  <c r="A1105" i="5" s="1"/>
  <c r="A1106" i="5" a="1"/>
  <c r="A1106" i="5" s="1"/>
  <c r="A1107" i="5" a="1"/>
  <c r="A1107" i="5" s="1"/>
  <c r="A1108" i="5" a="1"/>
  <c r="A1108" i="5" s="1"/>
  <c r="A1109" i="5" a="1"/>
  <c r="A1109" i="5" s="1"/>
  <c r="A1110" i="5" a="1"/>
  <c r="A1110" i="5" s="1"/>
  <c r="A1111" i="5" a="1"/>
  <c r="A1111" i="5" s="1"/>
  <c r="A1112" i="5" a="1"/>
  <c r="A1112" i="5" s="1"/>
  <c r="A1113" i="5" a="1"/>
  <c r="A1113" i="5" s="1"/>
  <c r="A1114" i="5" a="1"/>
  <c r="A1114" i="5" s="1"/>
  <c r="A1115" i="5" a="1"/>
  <c r="A1115" i="5" s="1"/>
  <c r="A1116" i="5" a="1"/>
  <c r="A1116" i="5" s="1"/>
  <c r="A1117" i="5" a="1"/>
  <c r="A1117" i="5" s="1"/>
  <c r="A1118" i="5" a="1"/>
  <c r="A1118" i="5" s="1"/>
  <c r="A1119" i="5" a="1"/>
  <c r="A1119" i="5" s="1"/>
  <c r="A1120" i="5" a="1"/>
  <c r="A1120" i="5" s="1"/>
  <c r="A1121" i="5" a="1"/>
  <c r="A1121" i="5" s="1"/>
  <c r="A1122" i="5" a="1"/>
  <c r="A1122" i="5" s="1"/>
  <c r="A1123" i="5" a="1"/>
  <c r="A1123" i="5" s="1"/>
  <c r="A1124" i="5" a="1"/>
  <c r="A1124" i="5" s="1"/>
  <c r="A1125" i="5" a="1"/>
  <c r="A1125" i="5" s="1"/>
  <c r="A1126" i="5" a="1"/>
  <c r="A1126" i="5" s="1"/>
  <c r="A1127" i="5" a="1"/>
  <c r="A1127" i="5" s="1"/>
  <c r="A1128" i="5" a="1"/>
  <c r="A1128" i="5" s="1"/>
  <c r="A1129" i="5" a="1"/>
  <c r="A1129" i="5" s="1"/>
  <c r="A1130" i="5" a="1"/>
  <c r="A1130" i="5" s="1"/>
  <c r="A1131" i="5" a="1"/>
  <c r="A1131" i="5" s="1"/>
  <c r="A1132" i="5" a="1"/>
  <c r="A1132" i="5" s="1"/>
  <c r="A1133" i="5" a="1"/>
  <c r="A1133" i="5" s="1"/>
  <c r="A1134" i="5" a="1"/>
  <c r="A1134" i="5" s="1"/>
  <c r="A1135" i="5" a="1"/>
  <c r="A1135" i="5" s="1"/>
  <c r="A1136" i="5" a="1"/>
  <c r="A1136" i="5" s="1"/>
  <c r="A1137" i="5" a="1"/>
  <c r="A1137" i="5" s="1"/>
  <c r="A1138" i="5" a="1"/>
  <c r="A1138" i="5" s="1"/>
  <c r="A1139" i="5" a="1"/>
  <c r="A1139" i="5" s="1"/>
  <c r="A1140" i="5" a="1"/>
  <c r="A1140" i="5" s="1"/>
  <c r="A1141" i="5" a="1"/>
  <c r="A1141" i="5" s="1"/>
  <c r="A1142" i="5" a="1"/>
  <c r="A1142" i="5" s="1"/>
  <c r="A1143" i="5" a="1"/>
  <c r="A1143" i="5" s="1"/>
  <c r="A1144" i="5" a="1"/>
  <c r="A1144" i="5" s="1"/>
  <c r="A1145" i="5" a="1"/>
  <c r="A1145" i="5" s="1"/>
  <c r="A1146" i="5" a="1"/>
  <c r="A1146" i="5"/>
  <c r="A1147" i="5" a="1"/>
  <c r="A1147" i="5" s="1"/>
  <c r="A1148" i="5" a="1"/>
  <c r="A1148" i="5" s="1"/>
  <c r="A1149" i="5" a="1"/>
  <c r="A1149" i="5" s="1"/>
  <c r="A1150" i="5" a="1"/>
  <c r="A1150" i="5" s="1"/>
  <c r="A1151" i="5" a="1"/>
  <c r="A1151" i="5" s="1"/>
  <c r="A1152" i="5" a="1"/>
  <c r="A1152" i="5" s="1"/>
  <c r="A1153" i="5" a="1"/>
  <c r="A1153" i="5" s="1"/>
  <c r="A1154" i="5" a="1"/>
  <c r="A1154" i="5" s="1"/>
  <c r="A1155" i="5" a="1"/>
  <c r="A1155" i="5" s="1"/>
  <c r="A1156" i="5" a="1"/>
  <c r="A1156" i="5" s="1"/>
  <c r="A1157" i="5" a="1"/>
  <c r="A1157" i="5" s="1"/>
  <c r="A1158" i="5" a="1"/>
  <c r="A1158" i="5" s="1"/>
  <c r="A1159" i="5" a="1"/>
  <c r="A1159" i="5" s="1"/>
  <c r="A1160" i="5" a="1"/>
  <c r="A1160" i="5" s="1"/>
  <c r="A1161" i="5" a="1"/>
  <c r="A1161" i="5" s="1"/>
  <c r="A1162" i="5" a="1"/>
  <c r="A1162" i="5" s="1"/>
  <c r="A1163" i="5" a="1"/>
  <c r="A1163" i="5" s="1"/>
  <c r="A1164" i="5" a="1"/>
  <c r="A1164" i="5" s="1"/>
  <c r="A1165" i="5" a="1"/>
  <c r="A1165" i="5" s="1"/>
  <c r="A1166" i="5" a="1"/>
  <c r="A1166" i="5" s="1"/>
  <c r="A1167" i="5" a="1"/>
  <c r="A1167" i="5" s="1"/>
  <c r="A1168" i="5" a="1"/>
  <c r="A1168" i="5" s="1"/>
  <c r="A1169" i="5" a="1"/>
  <c r="A1169" i="5" s="1"/>
  <c r="A1170" i="5" a="1"/>
  <c r="A1170" i="5" s="1"/>
  <c r="A1171" i="5" a="1"/>
  <c r="A1171" i="5" s="1"/>
  <c r="A1172" i="5" a="1"/>
  <c r="A1172" i="5" s="1"/>
  <c r="A1173" i="5" a="1"/>
  <c r="A1173" i="5" s="1"/>
  <c r="A1174" i="5" a="1"/>
  <c r="A1174" i="5" s="1"/>
  <c r="A1175" i="5" a="1"/>
  <c r="A1175" i="5" s="1"/>
  <c r="A1176" i="5" a="1"/>
  <c r="A1176" i="5" s="1"/>
  <c r="A1177" i="5" a="1"/>
  <c r="A1177" i="5" s="1"/>
  <c r="A1178" i="5" a="1"/>
  <c r="A1178" i="5"/>
  <c r="A1179" i="5" a="1"/>
  <c r="A1179" i="5" s="1"/>
  <c r="A1180" i="5" a="1"/>
  <c r="A1180" i="5" s="1"/>
  <c r="A1181" i="5" a="1"/>
  <c r="A1181" i="5" s="1"/>
  <c r="A1182" i="5" a="1"/>
  <c r="A1182" i="5" s="1"/>
  <c r="A1183" i="5" a="1"/>
  <c r="A1183" i="5" s="1"/>
  <c r="A1184" i="5" a="1"/>
  <c r="A1184" i="5" s="1"/>
  <c r="A1185" i="5" a="1"/>
  <c r="A1185" i="5" s="1"/>
  <c r="A1186" i="5" a="1"/>
  <c r="A1186" i="5" s="1"/>
  <c r="A1187" i="5" a="1"/>
  <c r="A1187" i="5" s="1"/>
  <c r="A1188" i="5" a="1"/>
  <c r="A1188" i="5" s="1"/>
  <c r="A1189" i="5" a="1"/>
  <c r="A1189" i="5" s="1"/>
  <c r="A1190" i="5" a="1"/>
  <c r="A1190" i="5" s="1"/>
  <c r="A1191" i="5" a="1"/>
  <c r="A1191" i="5" s="1"/>
  <c r="A1192" i="5" a="1"/>
  <c r="A1192" i="5" s="1"/>
  <c r="A1193" i="5" a="1"/>
  <c r="A1193" i="5" s="1"/>
  <c r="A1194" i="5" a="1"/>
  <c r="A1194" i="5" s="1"/>
  <c r="A1195" i="5" a="1"/>
  <c r="A1195" i="5" s="1"/>
  <c r="A1196" i="5" a="1"/>
  <c r="A1196" i="5" s="1"/>
  <c r="A1197" i="5" a="1"/>
  <c r="A1197" i="5" s="1"/>
  <c r="A1198" i="5" a="1"/>
  <c r="A1198" i="5" s="1"/>
  <c r="A1199" i="5" a="1"/>
  <c r="A1199" i="5" s="1"/>
  <c r="A1200" i="5" a="1"/>
  <c r="A1200" i="5" s="1"/>
  <c r="A1201" i="5" a="1"/>
  <c r="A1201" i="5" s="1"/>
  <c r="A1202" i="5" a="1"/>
  <c r="A1202" i="5" s="1"/>
  <c r="A1203" i="5" a="1"/>
  <c r="A1203" i="5" s="1"/>
  <c r="A1204" i="5" a="1"/>
  <c r="A1204" i="5" s="1"/>
  <c r="A1205" i="5" a="1"/>
  <c r="A1205" i="5" s="1"/>
  <c r="A1206" i="5" a="1"/>
  <c r="A1206" i="5" s="1"/>
  <c r="A1207" i="5" a="1"/>
  <c r="A1207" i="5" s="1"/>
  <c r="A1208" i="5" a="1"/>
  <c r="A1208" i="5" s="1"/>
  <c r="A1209" i="5" a="1"/>
  <c r="A1209" i="5" s="1"/>
  <c r="A1210" i="5" a="1"/>
  <c r="A1210" i="5"/>
  <c r="A1211" i="5" a="1"/>
  <c r="A1211" i="5" s="1"/>
  <c r="A1212" i="5" a="1"/>
  <c r="A1212" i="5" s="1"/>
  <c r="A1213" i="5" a="1"/>
  <c r="A1213" i="5" s="1"/>
  <c r="A1214" i="5" a="1"/>
  <c r="A1214" i="5" s="1"/>
  <c r="A1215" i="5" a="1"/>
  <c r="A1215" i="5" s="1"/>
  <c r="A1216" i="5" a="1"/>
  <c r="A1216" i="5" s="1"/>
  <c r="A1217" i="5" a="1"/>
  <c r="A1217" i="5" s="1"/>
  <c r="A1218" i="5" a="1"/>
  <c r="A1218" i="5" s="1"/>
  <c r="A1219" i="5" a="1"/>
  <c r="A1219" i="5" s="1"/>
  <c r="A1220" i="5" a="1"/>
  <c r="A1220" i="5" s="1"/>
  <c r="A1221" i="5" a="1"/>
  <c r="A1221" i="5" s="1"/>
  <c r="A1222" i="5" a="1"/>
  <c r="A1222" i="5" s="1"/>
  <c r="A1223" i="5" a="1"/>
  <c r="A1223" i="5" s="1"/>
  <c r="A1224" i="5" a="1"/>
  <c r="A1224" i="5" s="1"/>
  <c r="A1225" i="5" a="1"/>
  <c r="A1225" i="5" s="1"/>
  <c r="A3" i="5" a="1"/>
  <c r="A3" i="5" s="1"/>
  <c r="A4" i="5" a="1"/>
  <c r="A4" i="5" s="1"/>
  <c r="A5" i="5" a="1"/>
  <c r="A5" i="5" s="1"/>
  <c r="A6" i="5" a="1"/>
  <c r="A6" i="5" s="1"/>
  <c r="A7" i="5" a="1"/>
  <c r="A7" i="5" s="1"/>
  <c r="A8" i="5" a="1"/>
  <c r="A8" i="5" s="1"/>
  <c r="A9" i="5" a="1"/>
  <c r="A9" i="5" s="1"/>
  <c r="A10" i="5" a="1"/>
  <c r="A10" i="5" s="1"/>
  <c r="A11" i="5" a="1"/>
  <c r="A11" i="5" s="1"/>
  <c r="A12" i="5" a="1"/>
  <c r="A12" i="5" s="1"/>
  <c r="A13" i="5" a="1"/>
  <c r="A13" i="5" s="1"/>
  <c r="A14" i="5" a="1"/>
  <c r="A14" i="5" s="1"/>
  <c r="A15" i="5" a="1"/>
  <c r="A15" i="5" s="1"/>
  <c r="A16" i="5" a="1"/>
  <c r="A16" i="5"/>
  <c r="A17" i="5" a="1"/>
  <c r="A17" i="5" s="1"/>
  <c r="A18" i="5" a="1"/>
  <c r="A18" i="5" s="1"/>
  <c r="A19" i="5" a="1"/>
  <c r="A19" i="5" s="1"/>
  <c r="A20" i="5" a="1"/>
  <c r="A20" i="5" s="1"/>
  <c r="A21" i="5" a="1"/>
  <c r="A21" i="5" s="1"/>
  <c r="A22" i="5" a="1"/>
  <c r="A22" i="5" s="1"/>
  <c r="A23" i="5" a="1"/>
  <c r="A23" i="5" s="1"/>
  <c r="A24" i="5" a="1"/>
  <c r="A24" i="5" s="1"/>
  <c r="A25" i="5" a="1"/>
  <c r="A25" i="5" s="1"/>
  <c r="A26" i="5" a="1"/>
  <c r="A26" i="5" s="1"/>
  <c r="A27" i="5" a="1"/>
  <c r="A27" i="5" s="1"/>
  <c r="A28" i="5" a="1"/>
  <c r="A28" i="5" s="1"/>
  <c r="A29" i="5" a="1"/>
  <c r="A29" i="5" s="1"/>
  <c r="A30" i="5" a="1"/>
  <c r="A30" i="5" s="1"/>
  <c r="A31" i="5" a="1"/>
  <c r="A31" i="5" s="1"/>
  <c r="A32" i="5" a="1"/>
  <c r="A32" i="5" s="1"/>
  <c r="A33" i="5" a="1"/>
  <c r="A33" i="5" s="1"/>
  <c r="A34" i="5" a="1"/>
  <c r="A34" i="5" s="1"/>
  <c r="A35" i="5" a="1"/>
  <c r="A35" i="5" s="1"/>
  <c r="A36" i="5" a="1"/>
  <c r="A36" i="5" s="1"/>
  <c r="A37" i="5" a="1"/>
  <c r="A37" i="5" s="1"/>
  <c r="A38" i="5" a="1"/>
  <c r="A38" i="5" s="1"/>
  <c r="A39" i="5" a="1"/>
  <c r="A39" i="5" s="1"/>
  <c r="A40" i="5" a="1"/>
  <c r="A40" i="5" s="1"/>
  <c r="A41" i="5" a="1"/>
  <c r="A41" i="5" s="1"/>
  <c r="A42" i="5" a="1"/>
  <c r="A42" i="5" s="1"/>
  <c r="A43" i="5" a="1"/>
  <c r="A43" i="5" s="1"/>
  <c r="A44" i="5" a="1"/>
  <c r="A44" i="5" s="1"/>
  <c r="A45" i="5" a="1"/>
  <c r="A45" i="5" s="1"/>
  <c r="A46" i="5" a="1"/>
  <c r="A46" i="5" s="1"/>
  <c r="A47" i="5" a="1"/>
  <c r="A47" i="5" s="1"/>
  <c r="A48" i="5" a="1"/>
  <c r="A48" i="5" s="1"/>
  <c r="A49" i="5" a="1"/>
  <c r="A49" i="5" s="1"/>
  <c r="A50" i="5" a="1"/>
  <c r="A50" i="5" s="1"/>
  <c r="A51" i="5" a="1"/>
  <c r="A51" i="5" s="1"/>
  <c r="A52" i="5" a="1"/>
  <c r="A52" i="5" s="1"/>
  <c r="A53" i="5" a="1"/>
  <c r="A53" i="5" s="1"/>
  <c r="A54" i="5" a="1"/>
  <c r="A54" i="5" s="1"/>
  <c r="A55" i="5" a="1"/>
  <c r="A55" i="5" s="1"/>
  <c r="A56" i="5" a="1"/>
  <c r="A56" i="5" s="1"/>
  <c r="A57" i="5" a="1"/>
  <c r="A57" i="5" s="1"/>
  <c r="A58" i="5" a="1"/>
  <c r="A58" i="5" s="1"/>
  <c r="A59" i="5" a="1"/>
  <c r="A59" i="5" s="1"/>
  <c r="A60" i="5" a="1"/>
  <c r="A60" i="5" s="1"/>
  <c r="A61" i="5" a="1"/>
  <c r="A61" i="5" s="1"/>
  <c r="A62" i="5" a="1"/>
  <c r="A62" i="5" s="1"/>
  <c r="A63" i="5" a="1"/>
  <c r="A63" i="5" s="1"/>
  <c r="A64" i="5" a="1"/>
  <c r="A64" i="5" s="1"/>
  <c r="A65" i="5" a="1"/>
  <c r="A65" i="5" s="1"/>
  <c r="A66" i="5" a="1"/>
  <c r="A66" i="5" s="1"/>
  <c r="A67" i="5" a="1"/>
  <c r="A67" i="5" s="1"/>
  <c r="A68" i="5" a="1"/>
  <c r="A68" i="5" s="1"/>
  <c r="A69" i="5" a="1"/>
  <c r="A69" i="5" s="1"/>
  <c r="A70" i="5" a="1"/>
  <c r="A70" i="5" s="1"/>
  <c r="A71" i="5" a="1"/>
  <c r="A71" i="5" s="1"/>
  <c r="A72" i="5" a="1"/>
  <c r="A72" i="5" s="1"/>
  <c r="A73" i="5" a="1"/>
  <c r="A73" i="5" s="1"/>
  <c r="A74" i="5" a="1"/>
  <c r="A74" i="5" s="1"/>
  <c r="A75" i="5" a="1"/>
  <c r="A75" i="5" s="1"/>
  <c r="A76" i="5" a="1"/>
  <c r="A76" i="5" s="1"/>
  <c r="A77" i="5" a="1"/>
  <c r="A77" i="5" s="1"/>
  <c r="A78" i="5" a="1"/>
  <c r="A78" i="5" s="1"/>
  <c r="A79" i="5" a="1"/>
  <c r="A79" i="5" s="1"/>
  <c r="A80" i="5" a="1"/>
  <c r="A80" i="5" s="1"/>
  <c r="A81" i="5" a="1"/>
  <c r="A81" i="5" s="1"/>
  <c r="A82" i="5" a="1"/>
  <c r="A82" i="5" s="1"/>
  <c r="A83" i="5" a="1"/>
  <c r="A83" i="5" s="1"/>
  <c r="A84" i="5" a="1"/>
  <c r="A84" i="5" s="1"/>
  <c r="A85" i="5" a="1"/>
  <c r="A85" i="5" s="1"/>
  <c r="A86" i="5" a="1"/>
  <c r="A86" i="5" s="1"/>
  <c r="A87" i="5" a="1"/>
  <c r="A87" i="5" s="1"/>
  <c r="A88" i="5" a="1"/>
  <c r="A88" i="5" s="1"/>
  <c r="A89" i="5" a="1"/>
  <c r="A89" i="5" s="1"/>
  <c r="A90" i="5" a="1"/>
  <c r="A90" i="5" s="1"/>
  <c r="A91" i="5" a="1"/>
  <c r="A91" i="5" s="1"/>
  <c r="A92" i="5" a="1"/>
  <c r="A92" i="5" s="1"/>
  <c r="A93" i="5" a="1"/>
  <c r="A93" i="5" s="1"/>
  <c r="A94" i="5" a="1"/>
  <c r="A94" i="5" s="1"/>
  <c r="A95" i="5" a="1"/>
  <c r="A95" i="5" s="1"/>
  <c r="A96" i="5" a="1"/>
  <c r="A96" i="5" s="1"/>
  <c r="A97" i="5" a="1"/>
  <c r="A97" i="5" s="1"/>
  <c r="A98" i="5" a="1"/>
  <c r="A98" i="5" s="1"/>
  <c r="A99" i="5" a="1"/>
  <c r="A99" i="5" s="1"/>
  <c r="A100" i="5" a="1"/>
  <c r="A100" i="5" s="1"/>
  <c r="A101" i="5" a="1"/>
  <c r="A101" i="5" s="1"/>
  <c r="A102" i="5" a="1"/>
  <c r="A102" i="5" s="1"/>
  <c r="A103" i="5" a="1"/>
  <c r="A103" i="5" s="1"/>
  <c r="A104" i="5" a="1"/>
  <c r="A104" i="5" s="1"/>
  <c r="A105" i="5" a="1"/>
  <c r="A105" i="5" s="1"/>
  <c r="A106" i="5" a="1"/>
  <c r="A106" i="5" s="1"/>
  <c r="A107" i="5" a="1"/>
  <c r="A107" i="5" s="1"/>
  <c r="A108" i="5" a="1"/>
  <c r="A108" i="5" s="1"/>
  <c r="A109" i="5" a="1"/>
  <c r="A109" i="5" s="1"/>
  <c r="A110" i="5" a="1"/>
  <c r="A110" i="5" s="1"/>
  <c r="A111" i="5" a="1"/>
  <c r="A111" i="5" s="1"/>
  <c r="A112" i="5" a="1"/>
  <c r="A112" i="5" s="1"/>
  <c r="A113" i="5" a="1"/>
  <c r="A113" i="5" s="1"/>
  <c r="A114" i="5" a="1"/>
  <c r="A114" i="5" s="1"/>
  <c r="A115" i="5" a="1"/>
  <c r="A115" i="5" s="1"/>
  <c r="A116" i="5" a="1"/>
  <c r="A116" i="5" s="1"/>
  <c r="A117" i="5" a="1"/>
  <c r="A117" i="5" s="1"/>
  <c r="A118" i="5" a="1"/>
  <c r="A118" i="5" s="1"/>
  <c r="A119" i="5" a="1"/>
  <c r="A119" i="5" s="1"/>
  <c r="A120" i="5" a="1"/>
  <c r="A120" i="5" s="1"/>
  <c r="A121" i="5" a="1"/>
  <c r="A121" i="5" s="1"/>
  <c r="A122" i="5" a="1"/>
  <c r="A122" i="5" s="1"/>
  <c r="A123" i="5" a="1"/>
  <c r="A123" i="5" s="1"/>
  <c r="A124" i="5" a="1"/>
  <c r="A124" i="5" s="1"/>
  <c r="A125" i="5" a="1"/>
  <c r="A125" i="5" s="1"/>
  <c r="A126" i="5" a="1"/>
  <c r="A126" i="5" s="1"/>
  <c r="A127" i="5" a="1"/>
  <c r="A127" i="5" s="1"/>
  <c r="A128" i="5" a="1"/>
  <c r="A128" i="5" s="1"/>
  <c r="A129" i="5" a="1"/>
  <c r="A129" i="5" s="1"/>
  <c r="A130" i="5" a="1"/>
  <c r="A130" i="5" s="1"/>
  <c r="A131" i="5" a="1"/>
  <c r="A131" i="5" s="1"/>
  <c r="A132" i="5" a="1"/>
  <c r="A132" i="5" s="1"/>
  <c r="A133" i="5" a="1"/>
  <c r="A133" i="5" s="1"/>
  <c r="A134" i="5" a="1"/>
  <c r="A134" i="5" s="1"/>
  <c r="A135" i="5" a="1"/>
  <c r="A135" i="5" s="1"/>
  <c r="A136" i="5" a="1"/>
  <c r="A136" i="5" s="1"/>
  <c r="A137" i="5" a="1"/>
  <c r="A137" i="5" s="1"/>
  <c r="A138" i="5" a="1"/>
  <c r="A138" i="5" s="1"/>
  <c r="A139" i="5" a="1"/>
  <c r="A139" i="5" s="1"/>
  <c r="A140" i="5" a="1"/>
  <c r="A140" i="5" s="1"/>
  <c r="A141" i="5" a="1"/>
  <c r="A141" i="5" s="1"/>
  <c r="A142" i="5" a="1"/>
  <c r="A142" i="5" s="1"/>
  <c r="A143" i="5" a="1"/>
  <c r="A143" i="5" s="1"/>
  <c r="A144" i="5" a="1"/>
  <c r="A144" i="5" s="1"/>
  <c r="A145" i="5" a="1"/>
  <c r="A145" i="5" s="1"/>
  <c r="A146" i="5" a="1"/>
  <c r="A146" i="5"/>
  <c r="A147" i="5" a="1"/>
  <c r="A147" i="5" s="1"/>
  <c r="A148" i="5" a="1"/>
  <c r="A148" i="5" s="1"/>
  <c r="A149" i="5" a="1"/>
  <c r="A149" i="5" s="1"/>
  <c r="A150" i="5" a="1"/>
  <c r="A150" i="5" s="1"/>
  <c r="A151" i="5" a="1"/>
  <c r="A151" i="5" s="1"/>
  <c r="A152" i="5" a="1"/>
  <c r="A152" i="5" s="1"/>
  <c r="A153" i="5" a="1"/>
  <c r="A153" i="5" s="1"/>
  <c r="A154" i="5" a="1"/>
  <c r="A154" i="5" s="1"/>
  <c r="A155" i="5" a="1"/>
  <c r="A155" i="5" s="1"/>
  <c r="A156" i="5" a="1"/>
  <c r="A156" i="5" s="1"/>
  <c r="A157" i="5" a="1"/>
  <c r="A157" i="5" s="1"/>
  <c r="A158" i="5" a="1"/>
  <c r="A158" i="5" s="1"/>
  <c r="A159" i="5" a="1"/>
  <c r="A159" i="5" s="1"/>
  <c r="A160" i="5" a="1"/>
  <c r="A160" i="5" s="1"/>
  <c r="A161" i="5" a="1"/>
  <c r="A161" i="5" s="1"/>
  <c r="A162" i="5" a="1"/>
  <c r="A162" i="5" s="1"/>
  <c r="A163" i="5" a="1"/>
  <c r="A163" i="5" s="1"/>
  <c r="A164" i="5" a="1"/>
  <c r="A164" i="5" s="1"/>
  <c r="A165" i="5" a="1"/>
  <c r="A165" i="5" s="1"/>
  <c r="A166" i="5" a="1"/>
  <c r="A166" i="5" s="1"/>
  <c r="A167" i="5" a="1"/>
  <c r="A167" i="5" s="1"/>
  <c r="A168" i="5" a="1"/>
  <c r="A168" i="5" s="1"/>
  <c r="A169" i="5" a="1"/>
  <c r="A169" i="5" s="1"/>
  <c r="A170" i="5" a="1"/>
  <c r="A170" i="5" s="1"/>
  <c r="A171" i="5" a="1"/>
  <c r="A171" i="5" s="1"/>
  <c r="A172" i="5" a="1"/>
  <c r="A172" i="5" s="1"/>
  <c r="A173" i="5" a="1"/>
  <c r="A173" i="5" s="1"/>
  <c r="A174" i="5" a="1"/>
  <c r="A174" i="5" s="1"/>
  <c r="A175" i="5" a="1"/>
  <c r="A175" i="5" s="1"/>
  <c r="A176" i="5" a="1"/>
  <c r="A176" i="5" s="1"/>
  <c r="A177" i="5" a="1"/>
  <c r="A177" i="5" s="1"/>
  <c r="A178" i="5" a="1"/>
  <c r="A178" i="5" s="1"/>
  <c r="A179" i="5" a="1"/>
  <c r="A179" i="5" s="1"/>
  <c r="A180" i="5" a="1"/>
  <c r="A180" i="5" s="1"/>
  <c r="A181" i="5" a="1"/>
  <c r="A181" i="5" s="1"/>
  <c r="A182" i="5" a="1"/>
  <c r="A182" i="5" s="1"/>
  <c r="A183" i="5" a="1"/>
  <c r="A183" i="5" s="1"/>
  <c r="A184" i="5" a="1"/>
  <c r="A184" i="5" s="1"/>
  <c r="A185" i="5" a="1"/>
  <c r="A185" i="5" s="1"/>
  <c r="A186" i="5" a="1"/>
  <c r="A186" i="5" s="1"/>
  <c r="A187" i="5" a="1"/>
  <c r="A187" i="5" s="1"/>
  <c r="A188" i="5" a="1"/>
  <c r="A188" i="5" s="1"/>
  <c r="A189" i="5" a="1"/>
  <c r="A189" i="5" s="1"/>
  <c r="A190" i="5" a="1"/>
  <c r="A190" i="5" s="1"/>
  <c r="A191" i="5" a="1"/>
  <c r="A191" i="5" s="1"/>
  <c r="A192" i="5" a="1"/>
  <c r="A192" i="5" s="1"/>
  <c r="A193" i="5" a="1"/>
  <c r="A193" i="5" s="1"/>
  <c r="A194" i="5" a="1"/>
  <c r="A194" i="5" s="1"/>
  <c r="A195" i="5" a="1"/>
  <c r="A195" i="5" s="1"/>
  <c r="A196" i="5" a="1"/>
  <c r="A196" i="5" s="1"/>
  <c r="A197" i="5" a="1"/>
  <c r="A197" i="5" s="1"/>
  <c r="A198" i="5" a="1"/>
  <c r="A198" i="5" s="1"/>
  <c r="A199" i="5" a="1"/>
  <c r="A199" i="5" s="1"/>
  <c r="A200" i="5" a="1"/>
  <c r="A200" i="5" s="1"/>
  <c r="A201" i="5" a="1"/>
  <c r="A201" i="5" s="1"/>
  <c r="A202" i="5" a="1"/>
  <c r="A202" i="5" s="1"/>
  <c r="A203" i="5" a="1"/>
  <c r="A203" i="5" s="1"/>
  <c r="A204" i="5" a="1"/>
  <c r="A204" i="5" s="1"/>
  <c r="A205" i="5" a="1"/>
  <c r="A205" i="5" s="1"/>
  <c r="A206" i="5" a="1"/>
  <c r="A206" i="5" s="1"/>
  <c r="A207" i="5" a="1"/>
  <c r="A207" i="5" s="1"/>
  <c r="A208" i="5" a="1"/>
  <c r="A208" i="5" s="1"/>
  <c r="A209" i="5" a="1"/>
  <c r="A209" i="5" s="1"/>
  <c r="A210" i="5" a="1"/>
  <c r="A210" i="5" s="1"/>
  <c r="A211" i="5" a="1"/>
  <c r="A211" i="5" s="1"/>
  <c r="A212" i="5" a="1"/>
  <c r="A212" i="5" s="1"/>
  <c r="A213" i="5" a="1"/>
  <c r="A213" i="5" s="1"/>
  <c r="A214" i="5" a="1"/>
  <c r="A214" i="5" s="1"/>
  <c r="A215" i="5" a="1"/>
  <c r="A215" i="5" s="1"/>
  <c r="A216" i="5" a="1"/>
  <c r="A216" i="5" s="1"/>
  <c r="A217" i="5" a="1"/>
  <c r="A217" i="5" s="1"/>
  <c r="A218" i="5" a="1"/>
  <c r="A218" i="5" s="1"/>
  <c r="A219" i="5" a="1"/>
  <c r="A219" i="5" s="1"/>
  <c r="A220" i="5" a="1"/>
  <c r="A220" i="5" s="1"/>
  <c r="A221" i="5" a="1"/>
  <c r="A221" i="5" s="1"/>
  <c r="A222" i="5" a="1"/>
  <c r="A222" i="5" s="1"/>
  <c r="A223" i="5" a="1"/>
  <c r="A223" i="5" s="1"/>
  <c r="A224" i="5" a="1"/>
  <c r="A224" i="5" s="1"/>
  <c r="A225" i="5" a="1"/>
  <c r="A225" i="5"/>
  <c r="A226" i="5" a="1"/>
  <c r="A226" i="5" s="1"/>
  <c r="A227" i="5" a="1"/>
  <c r="A227" i="5" s="1"/>
  <c r="A228" i="5" a="1"/>
  <c r="A228" i="5" s="1"/>
  <c r="A229" i="5" a="1"/>
  <c r="A229" i="5" s="1"/>
  <c r="A230" i="5" a="1"/>
  <c r="A230" i="5" s="1"/>
  <c r="A231" i="5" a="1"/>
  <c r="A231" i="5" s="1"/>
  <c r="A232" i="5" a="1"/>
  <c r="A232" i="5" s="1"/>
  <c r="A233" i="5" a="1"/>
  <c r="A233" i="5" s="1"/>
  <c r="A234" i="5" a="1"/>
  <c r="A234" i="5" s="1"/>
  <c r="A235" i="5" a="1"/>
  <c r="A235" i="5" s="1"/>
  <c r="A236" i="5" a="1"/>
  <c r="A236" i="5" s="1"/>
  <c r="A237" i="5" a="1"/>
  <c r="A237" i="5" s="1"/>
  <c r="A238" i="5" a="1"/>
  <c r="A238" i="5" s="1"/>
  <c r="A239" i="5" a="1"/>
  <c r="A239" i="5" s="1"/>
  <c r="A240" i="5" a="1"/>
  <c r="A240" i="5" s="1"/>
  <c r="A241" i="5" a="1"/>
  <c r="A241" i="5" s="1"/>
  <c r="A242" i="5" a="1"/>
  <c r="A242" i="5" s="1"/>
  <c r="A243" i="5" a="1"/>
  <c r="A243" i="5" s="1"/>
  <c r="A244" i="5" a="1"/>
  <c r="A244" i="5" s="1"/>
  <c r="A245" i="5" a="1"/>
  <c r="A245" i="5" s="1"/>
  <c r="A246" i="5" a="1"/>
  <c r="A246" i="5" s="1"/>
  <c r="A247" i="5" a="1"/>
  <c r="A247" i="5" s="1"/>
  <c r="A248" i="5" a="1"/>
  <c r="A248" i="5" s="1"/>
  <c r="A249" i="5" a="1"/>
  <c r="A249" i="5" s="1"/>
  <c r="A250" i="5" a="1"/>
  <c r="A250" i="5" s="1"/>
  <c r="A251" i="5" a="1"/>
  <c r="A251" i="5" s="1"/>
  <c r="A252" i="5" a="1"/>
  <c r="A252" i="5" s="1"/>
  <c r="A253" i="5" a="1"/>
  <c r="A253" i="5" s="1"/>
  <c r="A254" i="5" a="1"/>
  <c r="A254" i="5" s="1"/>
  <c r="A255" i="5" a="1"/>
  <c r="A255" i="5" s="1"/>
  <c r="A256" i="5" a="1"/>
  <c r="A256" i="5" s="1"/>
  <c r="A257" i="5" a="1"/>
  <c r="A257" i="5" s="1"/>
  <c r="A258" i="5" a="1"/>
  <c r="A258" i="5" s="1"/>
  <c r="A259" i="5" a="1"/>
  <c r="A259" i="5" s="1"/>
  <c r="A260" i="5" a="1"/>
  <c r="A260" i="5" s="1"/>
  <c r="A261" i="5" a="1"/>
  <c r="A261" i="5" s="1"/>
  <c r="A262" i="5" a="1"/>
  <c r="A262" i="5" s="1"/>
  <c r="A263" i="5" a="1"/>
  <c r="A263" i="5" s="1"/>
  <c r="A264" i="5" a="1"/>
  <c r="A264" i="5" s="1"/>
  <c r="A265" i="5" a="1"/>
  <c r="A265" i="5" s="1"/>
  <c r="A266" i="5" a="1"/>
  <c r="A266" i="5" s="1"/>
  <c r="A267" i="5" a="1"/>
  <c r="A267" i="5" s="1"/>
  <c r="A268" i="5" a="1"/>
  <c r="A268" i="5" s="1"/>
  <c r="A269" i="5" a="1"/>
  <c r="A269" i="5" s="1"/>
  <c r="A270" i="5" a="1"/>
  <c r="A270" i="5" s="1"/>
  <c r="A271" i="5" a="1"/>
  <c r="A271" i="5"/>
  <c r="A272" i="5" a="1"/>
  <c r="A272" i="5" s="1"/>
  <c r="A273" i="5" a="1"/>
  <c r="A273" i="5" s="1"/>
  <c r="A274" i="5" a="1"/>
  <c r="A274" i="5" s="1"/>
  <c r="A275" i="5" a="1"/>
  <c r="A275" i="5" s="1"/>
  <c r="A276" i="5" a="1"/>
  <c r="A276" i="5" s="1"/>
  <c r="A277" i="5" a="1"/>
  <c r="A277" i="5" s="1"/>
  <c r="A278" i="5" a="1"/>
  <c r="A278" i="5" s="1"/>
  <c r="A279" i="5" a="1"/>
  <c r="A279" i="5" s="1"/>
  <c r="A280" i="5" a="1"/>
  <c r="A280" i="5" s="1"/>
  <c r="A281" i="5" a="1"/>
  <c r="A281" i="5" s="1"/>
  <c r="A282" i="5" a="1"/>
  <c r="A282" i="5" s="1"/>
  <c r="A283" i="5" a="1"/>
  <c r="A283" i="5" s="1"/>
  <c r="A284" i="5" a="1"/>
  <c r="A284" i="5" s="1"/>
  <c r="A285" i="5" a="1"/>
  <c r="A285" i="5" s="1"/>
  <c r="A286" i="5" a="1"/>
  <c r="A286" i="5" s="1"/>
  <c r="A287" i="5" a="1"/>
  <c r="A287" i="5" s="1"/>
  <c r="A288" i="5" a="1"/>
  <c r="A288" i="5" s="1"/>
  <c r="A289" i="5" a="1"/>
  <c r="A289" i="5" s="1"/>
  <c r="A290" i="5" a="1"/>
  <c r="A290" i="5" s="1"/>
  <c r="A291" i="5" a="1"/>
  <c r="A291" i="5" s="1"/>
  <c r="A292" i="5" a="1"/>
  <c r="A292" i="5" s="1"/>
  <c r="A293" i="5" a="1"/>
  <c r="A293" i="5" s="1"/>
  <c r="A294" i="5" a="1"/>
  <c r="A294" i="5" s="1"/>
  <c r="A295" i="5" a="1"/>
  <c r="A295" i="5" s="1"/>
  <c r="A296" i="5" a="1"/>
  <c r="A296" i="5" s="1"/>
  <c r="A297" i="5" a="1"/>
  <c r="A297" i="5" s="1"/>
  <c r="A298" i="5" a="1"/>
  <c r="A298" i="5" s="1"/>
  <c r="A299" i="5" a="1"/>
  <c r="A299" i="5" s="1"/>
  <c r="A300" i="5" a="1"/>
  <c r="A300" i="5" s="1"/>
  <c r="A301" i="5" a="1"/>
  <c r="A301" i="5" s="1"/>
  <c r="A302" i="5" a="1"/>
  <c r="A302" i="5" s="1"/>
  <c r="A303" i="5" a="1"/>
  <c r="A303" i="5"/>
  <c r="A304" i="5" a="1"/>
  <c r="A304" i="5" s="1"/>
  <c r="A305" i="5" a="1"/>
  <c r="A305" i="5" s="1"/>
  <c r="A306" i="5" a="1"/>
  <c r="A306" i="5" s="1"/>
  <c r="A307" i="5" a="1"/>
  <c r="A307" i="5" s="1"/>
  <c r="A308" i="5" a="1"/>
  <c r="A308" i="5" s="1"/>
  <c r="A309" i="5" a="1"/>
  <c r="A309" i="5" s="1"/>
  <c r="A310" i="5" a="1"/>
  <c r="A310" i="5" s="1"/>
  <c r="A311" i="5" a="1"/>
  <c r="A311" i="5" s="1"/>
  <c r="A312" i="5" a="1"/>
  <c r="A312" i="5" s="1"/>
  <c r="A313" i="5" a="1"/>
  <c r="A313" i="5" s="1"/>
  <c r="A314" i="5" a="1"/>
  <c r="A314" i="5" s="1"/>
  <c r="A315" i="5" a="1"/>
  <c r="A315" i="5" s="1"/>
  <c r="A316" i="5" a="1"/>
  <c r="A316" i="5" s="1"/>
  <c r="A317" i="5" a="1"/>
  <c r="A317" i="5" s="1"/>
  <c r="A318" i="5" a="1"/>
  <c r="A318" i="5" s="1"/>
  <c r="A319" i="5" a="1"/>
  <c r="A319" i="5" s="1"/>
  <c r="A320" i="5" a="1"/>
  <c r="A320" i="5" s="1"/>
  <c r="A321" i="5" a="1"/>
  <c r="A321" i="5" s="1"/>
  <c r="A322" i="5" a="1"/>
  <c r="A322" i="5" s="1"/>
  <c r="A323" i="5" a="1"/>
  <c r="A323" i="5" s="1"/>
  <c r="A324" i="5" a="1"/>
  <c r="A324" i="5" s="1"/>
  <c r="A325" i="5" a="1"/>
  <c r="A325" i="5" s="1"/>
  <c r="A326" i="5" a="1"/>
  <c r="A326" i="5" s="1"/>
  <c r="A327" i="5" a="1"/>
  <c r="A327" i="5" s="1"/>
  <c r="A328" i="5" a="1"/>
  <c r="A328" i="5" s="1"/>
  <c r="A329" i="5" a="1"/>
  <c r="A329" i="5" s="1"/>
  <c r="A330" i="5" a="1"/>
  <c r="A330" i="5" s="1"/>
  <c r="A331" i="5" a="1"/>
  <c r="A331" i="5" s="1"/>
  <c r="A332" i="5" a="1"/>
  <c r="A332" i="5" s="1"/>
  <c r="A333" i="5" a="1"/>
  <c r="A333" i="5" s="1"/>
  <c r="A334" i="5" a="1"/>
  <c r="A334" i="5" s="1"/>
  <c r="A335" i="5" a="1"/>
  <c r="A335" i="5" s="1"/>
  <c r="A336" i="5" a="1"/>
  <c r="A336" i="5" s="1"/>
  <c r="A337" i="5" a="1"/>
  <c r="A337" i="5" s="1"/>
  <c r="A338" i="5" a="1"/>
  <c r="A338" i="5" s="1"/>
  <c r="A339" i="5" a="1"/>
  <c r="A339" i="5" s="1"/>
  <c r="A340" i="5" a="1"/>
  <c r="A340" i="5" s="1"/>
  <c r="A341" i="5" a="1"/>
  <c r="A341" i="5" s="1"/>
  <c r="A342" i="5" a="1"/>
  <c r="A342" i="5" s="1"/>
  <c r="A343" i="5" a="1"/>
  <c r="A343" i="5" s="1"/>
  <c r="A344" i="5" a="1"/>
  <c r="A344" i="5" s="1"/>
  <c r="A345" i="5" a="1"/>
  <c r="A345" i="5" s="1"/>
  <c r="A346" i="5" a="1"/>
  <c r="A346" i="5" s="1"/>
  <c r="A347" i="5" a="1"/>
  <c r="A347" i="5" s="1"/>
  <c r="A348" i="5" a="1"/>
  <c r="A348" i="5" s="1"/>
  <c r="A349" i="5" a="1"/>
  <c r="A349" i="5" s="1"/>
  <c r="A350" i="5" a="1"/>
  <c r="A350" i="5" s="1"/>
  <c r="A351" i="5" a="1"/>
  <c r="A351" i="5" s="1"/>
  <c r="A352" i="5" a="1"/>
  <c r="A352" i="5" s="1"/>
  <c r="A353" i="5" a="1"/>
  <c r="A353" i="5" s="1"/>
  <c r="A354" i="5" a="1"/>
  <c r="A354" i="5" s="1"/>
  <c r="A355" i="5" a="1"/>
  <c r="A355" i="5" s="1"/>
  <c r="A356" i="5" a="1"/>
  <c r="A356" i="5" s="1"/>
  <c r="A357" i="5" a="1"/>
  <c r="A357" i="5" s="1"/>
  <c r="A358" i="5" a="1"/>
  <c r="A358" i="5" s="1"/>
  <c r="A359" i="5" a="1"/>
  <c r="A359" i="5" s="1"/>
  <c r="A360" i="5" a="1"/>
  <c r="A360" i="5" s="1"/>
  <c r="A361" i="5" a="1"/>
  <c r="A361" i="5" s="1"/>
  <c r="A362" i="5" a="1"/>
  <c r="A362" i="5" s="1"/>
  <c r="A363" i="5" a="1"/>
  <c r="A363" i="5" s="1"/>
  <c r="A364" i="5" a="1"/>
  <c r="A364" i="5" s="1"/>
  <c r="A365" i="5" a="1"/>
  <c r="A365" i="5" s="1"/>
  <c r="A366" i="5" a="1"/>
  <c r="A366" i="5" s="1"/>
  <c r="A367" i="5" a="1"/>
  <c r="A367" i="5" s="1"/>
  <c r="A368" i="5" a="1"/>
  <c r="A368" i="5" s="1"/>
  <c r="A369" i="5" a="1"/>
  <c r="A369" i="5" s="1"/>
  <c r="A370" i="5" a="1"/>
  <c r="A370" i="5" s="1"/>
  <c r="A371" i="5" a="1"/>
  <c r="A371" i="5" s="1"/>
  <c r="A372" i="5" a="1"/>
  <c r="A372" i="5" s="1"/>
  <c r="A373" i="5" a="1"/>
  <c r="A373" i="5" s="1"/>
  <c r="A374" i="5" a="1"/>
  <c r="A374" i="5" s="1"/>
  <c r="A375" i="5" a="1"/>
  <c r="A375" i="5" s="1"/>
  <c r="A376" i="5" a="1"/>
  <c r="A376" i="5" s="1"/>
  <c r="A377" i="5" a="1"/>
  <c r="A377" i="5" s="1"/>
  <c r="A378" i="5" a="1"/>
  <c r="A378" i="5" s="1"/>
  <c r="A379" i="5" a="1"/>
  <c r="A379" i="5" s="1"/>
  <c r="A380" i="5" a="1"/>
  <c r="A380" i="5" s="1"/>
  <c r="A381" i="5" a="1"/>
  <c r="A381" i="5" s="1"/>
  <c r="A382" i="5" a="1"/>
  <c r="A382" i="5" s="1"/>
  <c r="A383" i="5" a="1"/>
  <c r="A383" i="5" s="1"/>
  <c r="A384" i="5" a="1"/>
  <c r="A384" i="5" s="1"/>
  <c r="A385" i="5" a="1"/>
  <c r="A385" i="5" s="1"/>
  <c r="A386" i="5" a="1"/>
  <c r="A386" i="5" s="1"/>
  <c r="A387" i="5" a="1"/>
  <c r="A387" i="5" s="1"/>
  <c r="A388" i="5" a="1"/>
  <c r="A388" i="5" s="1"/>
  <c r="A389" i="5" a="1"/>
  <c r="A389" i="5" s="1"/>
  <c r="A390" i="5" a="1"/>
  <c r="A390" i="5" s="1"/>
  <c r="A391" i="5" a="1"/>
  <c r="A391" i="5" s="1"/>
  <c r="A392" i="5" a="1"/>
  <c r="A392" i="5" s="1"/>
  <c r="A393" i="5" a="1"/>
  <c r="A393" i="5" s="1"/>
  <c r="A394" i="5" a="1"/>
  <c r="A394" i="5" s="1"/>
  <c r="A395" i="5" a="1"/>
  <c r="A395" i="5" s="1"/>
  <c r="A2" i="5" a="1"/>
  <c r="A2" i="5" s="1"/>
  <c r="E9" i="4"/>
  <c r="E8" i="4"/>
  <c r="E7" i="4"/>
  <c r="E6" i="4"/>
  <c r="E31" i="9" l="1"/>
  <c r="E47" i="9"/>
  <c r="E63" i="9"/>
  <c r="E79" i="9"/>
  <c r="D45" i="9"/>
  <c r="D61" i="9"/>
  <c r="D77" i="9"/>
  <c r="E53" i="9"/>
  <c r="D39" i="9"/>
  <c r="D79" i="9"/>
  <c r="E44" i="9"/>
  <c r="E60" i="9"/>
  <c r="E76" i="9"/>
  <c r="D42" i="9"/>
  <c r="D58" i="9"/>
  <c r="D74" i="9"/>
  <c r="E49" i="9"/>
  <c r="E77" i="9"/>
  <c r="D59" i="9"/>
  <c r="E33" i="9"/>
  <c r="E70" i="9"/>
  <c r="E46" i="9"/>
  <c r="D80" i="9"/>
  <c r="D40" i="9"/>
  <c r="E78" i="9"/>
  <c r="D48" i="9"/>
  <c r="E37" i="10"/>
  <c r="E45" i="10"/>
  <c r="E53" i="10"/>
  <c r="E61" i="10"/>
  <c r="E69" i="10"/>
  <c r="E77" i="10"/>
  <c r="D37" i="10"/>
  <c r="D53" i="10"/>
  <c r="D69" i="10"/>
  <c r="E34" i="10"/>
  <c r="E48" i="10"/>
  <c r="F33" i="10"/>
  <c r="F41" i="10"/>
  <c r="F49" i="10"/>
  <c r="F57" i="10"/>
  <c r="F65" i="10"/>
  <c r="F73" i="10"/>
  <c r="F81" i="10"/>
  <c r="D46" i="10"/>
  <c r="D62" i="10"/>
  <c r="D78" i="10"/>
  <c r="E42" i="10"/>
  <c r="E58" i="10"/>
  <c r="F48" i="10"/>
  <c r="E72" i="10"/>
  <c r="D43" i="10"/>
  <c r="D75" i="10"/>
  <c r="F60" i="10"/>
  <c r="D55" i="10"/>
  <c r="F70" i="10"/>
  <c r="D80" i="10"/>
  <c r="F58" i="10"/>
  <c r="F76" i="10"/>
  <c r="D52" i="10"/>
  <c r="F52" i="10"/>
  <c r="D47" i="10"/>
  <c r="F54" i="10"/>
  <c r="D48" i="10"/>
  <c r="E35" i="8"/>
  <c r="E51" i="8"/>
  <c r="E67" i="8"/>
  <c r="D33" i="8"/>
  <c r="D49" i="8"/>
  <c r="D65" i="8"/>
  <c r="D81" i="8"/>
  <c r="D51" i="8"/>
  <c r="E54" i="8"/>
  <c r="D36" i="8"/>
  <c r="D68" i="8"/>
  <c r="E36" i="8"/>
  <c r="E52" i="8"/>
  <c r="E68" i="8"/>
  <c r="D34" i="8"/>
  <c r="D50" i="8"/>
  <c r="D66" i="8"/>
  <c r="D31" i="8"/>
  <c r="E45" i="8"/>
  <c r="E61" i="8"/>
  <c r="E81" i="8"/>
  <c r="E35" i="9"/>
  <c r="E39" i="9"/>
  <c r="E55" i="9"/>
  <c r="E71" i="9"/>
  <c r="D37" i="9"/>
  <c r="D53" i="9"/>
  <c r="D69" i="9"/>
  <c r="E41" i="9"/>
  <c r="E73" i="9"/>
  <c r="D55" i="9"/>
  <c r="E36" i="9"/>
  <c r="E52" i="9"/>
  <c r="E68" i="9"/>
  <c r="D34" i="9"/>
  <c r="D50" i="9"/>
  <c r="D66" i="9"/>
  <c r="D31" i="9"/>
  <c r="E65" i="9"/>
  <c r="D43" i="9"/>
  <c r="D71" i="9"/>
  <c r="E38" i="9"/>
  <c r="D52" i="9"/>
  <c r="E50" i="9"/>
  <c r="E58" i="9"/>
  <c r="D72" i="9"/>
  <c r="D76" i="9"/>
  <c r="E33" i="10"/>
  <c r="E41" i="10"/>
  <c r="E49" i="10"/>
  <c r="E57" i="10"/>
  <c r="E65" i="10"/>
  <c r="E73" i="10"/>
  <c r="E81" i="10"/>
  <c r="D45" i="10"/>
  <c r="D61" i="10"/>
  <c r="D77" i="10"/>
  <c r="E40" i="10"/>
  <c r="E56" i="10"/>
  <c r="F37" i="10"/>
  <c r="F45" i="10"/>
  <c r="F53" i="10"/>
  <c r="F61" i="10"/>
  <c r="F69" i="10"/>
  <c r="F77" i="10"/>
  <c r="D38" i="10"/>
  <c r="D54" i="10"/>
  <c r="D70" i="10"/>
  <c r="E32" i="10"/>
  <c r="E50" i="10"/>
  <c r="F32" i="10"/>
  <c r="E64" i="10"/>
  <c r="E80" i="10"/>
  <c r="D59" i="10"/>
  <c r="F36" i="10"/>
  <c r="E78" i="10"/>
  <c r="F46" i="10"/>
  <c r="D40" i="10"/>
  <c r="F42" i="10"/>
  <c r="F68" i="10"/>
  <c r="D36" i="10"/>
  <c r="D68" i="10"/>
  <c r="E74" i="10"/>
  <c r="D79" i="10"/>
  <c r="F74" i="10"/>
  <c r="D72" i="10"/>
  <c r="E43" i="8"/>
  <c r="E59" i="8"/>
  <c r="E75" i="8"/>
  <c r="D41" i="8"/>
  <c r="D57" i="8"/>
  <c r="D73" i="8"/>
  <c r="D35" i="8"/>
  <c r="E38" i="8"/>
  <c r="E70" i="8"/>
  <c r="D52" i="8"/>
  <c r="D80" i="8"/>
  <c r="E44" i="8"/>
  <c r="E60" i="8"/>
  <c r="E76" i="8"/>
  <c r="D42" i="8"/>
  <c r="D58" i="8"/>
  <c r="E43" i="9"/>
  <c r="E59" i="9"/>
  <c r="E75" i="9"/>
  <c r="D41" i="9"/>
  <c r="D57" i="9"/>
  <c r="D73" i="9"/>
  <c r="E45" i="9"/>
  <c r="E81" i="9"/>
  <c r="D63" i="9"/>
  <c r="E40" i="9"/>
  <c r="E56" i="9"/>
  <c r="E72" i="9"/>
  <c r="D38" i="9"/>
  <c r="D54" i="9"/>
  <c r="D70" i="9"/>
  <c r="E37" i="9"/>
  <c r="E69" i="9"/>
  <c r="D51" i="9"/>
  <c r="D75" i="9"/>
  <c r="E54" i="9"/>
  <c r="D68" i="9"/>
  <c r="D32" i="9"/>
  <c r="E74" i="9"/>
  <c r="E62" i="9"/>
  <c r="E66" i="9"/>
  <c r="E35" i="10"/>
  <c r="E43" i="10"/>
  <c r="E51" i="10"/>
  <c r="E59" i="10"/>
  <c r="E67" i="10"/>
  <c r="E75" i="10"/>
  <c r="D33" i="10"/>
  <c r="D49" i="10"/>
  <c r="D65" i="10"/>
  <c r="D81" i="10"/>
  <c r="E44" i="10"/>
  <c r="E60" i="10"/>
  <c r="F39" i="10"/>
  <c r="F47" i="10"/>
  <c r="F55" i="10"/>
  <c r="F63" i="10"/>
  <c r="F71" i="10"/>
  <c r="F79" i="10"/>
  <c r="D42" i="10"/>
  <c r="D58" i="10"/>
  <c r="D74" i="10"/>
  <c r="E38" i="10"/>
  <c r="E54" i="10"/>
  <c r="F40" i="10"/>
  <c r="E68" i="10"/>
  <c r="D35" i="10"/>
  <c r="D67" i="10"/>
  <c r="F44" i="10"/>
  <c r="E82" i="10"/>
  <c r="F62" i="10"/>
  <c r="D64" i="10"/>
  <c r="F50" i="10"/>
  <c r="F72" i="10"/>
  <c r="D44" i="10"/>
  <c r="D76" i="10"/>
  <c r="D39" i="10"/>
  <c r="F38" i="10"/>
  <c r="F82" i="10"/>
  <c r="E31" i="8"/>
  <c r="E47" i="8"/>
  <c r="E63" i="8"/>
  <c r="E79" i="8"/>
  <c r="D45" i="8"/>
  <c r="D61" i="8"/>
  <c r="D77" i="8"/>
  <c r="D43" i="8"/>
  <c r="E46" i="8"/>
  <c r="E78" i="8"/>
  <c r="D60" i="8"/>
  <c r="E32" i="8"/>
  <c r="E48" i="8"/>
  <c r="E64" i="8"/>
  <c r="E80" i="8"/>
  <c r="D46" i="8"/>
  <c r="D62" i="8"/>
  <c r="E51" i="9"/>
  <c r="D65" i="9"/>
  <c r="E32" i="9"/>
  <c r="D46" i="9"/>
  <c r="D35" i="9"/>
  <c r="D44" i="9"/>
  <c r="D64" i="9"/>
  <c r="E63" i="10"/>
  <c r="D57" i="10"/>
  <c r="F35" i="10"/>
  <c r="F67" i="10"/>
  <c r="D66" i="10"/>
  <c r="F56" i="10"/>
  <c r="E70" i="10"/>
  <c r="F64" i="10"/>
  <c r="D63" i="10"/>
  <c r="E55" i="8"/>
  <c r="D69" i="8"/>
  <c r="D44" i="8"/>
  <c r="E72" i="8"/>
  <c r="D74" i="8"/>
  <c r="E41" i="8"/>
  <c r="E65" i="8"/>
  <c r="D47" i="8"/>
  <c r="D71" i="8"/>
  <c r="E42" i="8"/>
  <c r="E74" i="8"/>
  <c r="D56" i="8"/>
  <c r="E37" i="7"/>
  <c r="E53" i="7"/>
  <c r="E69" i="7"/>
  <c r="D34" i="7"/>
  <c r="D50" i="7"/>
  <c r="D66" i="7"/>
  <c r="D82" i="7"/>
  <c r="E56" i="7"/>
  <c r="D49" i="7"/>
  <c r="E34" i="7"/>
  <c r="E50" i="7"/>
  <c r="E66" i="7"/>
  <c r="E82" i="7"/>
  <c r="D47" i="7"/>
  <c r="D63" i="7"/>
  <c r="D79" i="7"/>
  <c r="D60" i="7"/>
  <c r="E52" i="7"/>
  <c r="D53" i="7"/>
  <c r="E43" i="7"/>
  <c r="E59" i="7"/>
  <c r="E75" i="7"/>
  <c r="D40" i="7"/>
  <c r="D76" i="7"/>
  <c r="D33" i="7"/>
  <c r="D81" i="7"/>
  <c r="D36" i="9"/>
  <c r="E52" i="10"/>
  <c r="E62" i="10"/>
  <c r="E66" i="10"/>
  <c r="E62" i="8"/>
  <c r="E37" i="8"/>
  <c r="D67" i="8"/>
  <c r="D48" i="8"/>
  <c r="E65" i="7"/>
  <c r="D62" i="7"/>
  <c r="D37" i="7"/>
  <c r="E62" i="7"/>
  <c r="D59" i="7"/>
  <c r="E40" i="7"/>
  <c r="E55" i="7"/>
  <c r="D64" i="7"/>
  <c r="E67" i="9"/>
  <c r="D81" i="9"/>
  <c r="E48" i="9"/>
  <c r="D62" i="9"/>
  <c r="D67" i="9"/>
  <c r="E42" i="9"/>
  <c r="E39" i="10"/>
  <c r="E71" i="10"/>
  <c r="D73" i="10"/>
  <c r="F43" i="10"/>
  <c r="F75" i="10"/>
  <c r="D82" i="10"/>
  <c r="E76" i="10"/>
  <c r="D71" i="10"/>
  <c r="F80" i="10"/>
  <c r="F66" i="10"/>
  <c r="E71" i="8"/>
  <c r="E73" i="8"/>
  <c r="D76" i="8"/>
  <c r="D38" i="8"/>
  <c r="D78" i="8"/>
  <c r="E49" i="8"/>
  <c r="E69" i="8"/>
  <c r="D55" i="8"/>
  <c r="D75" i="8"/>
  <c r="E50" i="8"/>
  <c r="D32" i="8"/>
  <c r="D64" i="8"/>
  <c r="E41" i="7"/>
  <c r="E57" i="7"/>
  <c r="E73" i="7"/>
  <c r="D38" i="7"/>
  <c r="D54" i="7"/>
  <c r="D70" i="7"/>
  <c r="D72" i="7"/>
  <c r="E64" i="7"/>
  <c r="D57" i="7"/>
  <c r="E38" i="7"/>
  <c r="E54" i="7"/>
  <c r="E70" i="7"/>
  <c r="D35" i="7"/>
  <c r="D51" i="7"/>
  <c r="D67" i="7"/>
  <c r="D32" i="7"/>
  <c r="D68" i="7"/>
  <c r="E68" i="7"/>
  <c r="D65" i="7"/>
  <c r="E47" i="7"/>
  <c r="E63" i="7"/>
  <c r="E79" i="7"/>
  <c r="D48" i="7"/>
  <c r="E48" i="7"/>
  <c r="D45" i="7"/>
  <c r="D47" i="9"/>
  <c r="E57" i="9"/>
  <c r="E55" i="10"/>
  <c r="F59" i="10"/>
  <c r="D32" i="10"/>
  <c r="E39" i="8"/>
  <c r="E56" i="8"/>
  <c r="E57" i="8"/>
  <c r="E34" i="8"/>
  <c r="E33" i="7"/>
  <c r="E81" i="7"/>
  <c r="E44" i="7"/>
  <c r="E46" i="7"/>
  <c r="D43" i="7"/>
  <c r="D52" i="7"/>
  <c r="E39" i="7"/>
  <c r="D36" i="7"/>
  <c r="E72" i="7"/>
  <c r="D33" i="9"/>
  <c r="E61" i="9"/>
  <c r="E64" i="9"/>
  <c r="D78" i="9"/>
  <c r="E34" i="9"/>
  <c r="D56" i="9"/>
  <c r="E47" i="10"/>
  <c r="E79" i="10"/>
  <c r="E36" i="10"/>
  <c r="F51" i="10"/>
  <c r="D34" i="10"/>
  <c r="E46" i="10"/>
  <c r="D51" i="10"/>
  <c r="F78" i="10"/>
  <c r="D60" i="10"/>
  <c r="D56" i="10"/>
  <c r="D37" i="8"/>
  <c r="D59" i="8"/>
  <c r="E40" i="8"/>
  <c r="D54" i="8"/>
  <c r="E33" i="8"/>
  <c r="E53" i="8"/>
  <c r="E77" i="8"/>
  <c r="D63" i="8"/>
  <c r="D79" i="8"/>
  <c r="E58" i="8"/>
  <c r="D40" i="8"/>
  <c r="D72" i="8"/>
  <c r="E45" i="7"/>
  <c r="E61" i="7"/>
  <c r="E77" i="7"/>
  <c r="D42" i="7"/>
  <c r="D58" i="7"/>
  <c r="D74" i="7"/>
  <c r="E36" i="7"/>
  <c r="E76" i="7"/>
  <c r="D69" i="7"/>
  <c r="E42" i="7"/>
  <c r="E58" i="7"/>
  <c r="E74" i="7"/>
  <c r="D39" i="7"/>
  <c r="D55" i="7"/>
  <c r="D71" i="7"/>
  <c r="D44" i="7"/>
  <c r="D80" i="7"/>
  <c r="E80" i="7"/>
  <c r="E35" i="7"/>
  <c r="E51" i="7"/>
  <c r="E67" i="7"/>
  <c r="E32" i="7"/>
  <c r="D56" i="7"/>
  <c r="E60" i="7"/>
  <c r="D61" i="7"/>
  <c r="D49" i="9"/>
  <c r="E80" i="9"/>
  <c r="D60" i="9"/>
  <c r="D41" i="10"/>
  <c r="D50" i="10"/>
  <c r="F34" i="10"/>
  <c r="D53" i="8"/>
  <c r="D70" i="8"/>
  <c r="D39" i="8"/>
  <c r="E66" i="8"/>
  <c r="E49" i="7"/>
  <c r="D46" i="7"/>
  <c r="D78" i="7"/>
  <c r="D77" i="7"/>
  <c r="E78" i="7"/>
  <c r="D75" i="7"/>
  <c r="D41" i="7"/>
  <c r="E71" i="7"/>
  <c r="D73" i="7"/>
  <c r="C17" i="4"/>
  <c r="C14" i="4"/>
  <c r="C25" i="4"/>
  <c r="C53" i="4"/>
  <c r="C41" i="4"/>
  <c r="C29" i="4"/>
  <c r="C21" i="4"/>
  <c r="C13" i="4"/>
  <c r="C60" i="4"/>
  <c r="C56" i="4"/>
  <c r="C52" i="4"/>
  <c r="C48" i="4"/>
  <c r="C44" i="4"/>
  <c r="C40" i="4"/>
  <c r="C36" i="4"/>
  <c r="C32" i="4"/>
  <c r="C28" i="4"/>
  <c r="C24" i="4"/>
  <c r="C20" i="4"/>
  <c r="C16" i="4"/>
  <c r="C57" i="4"/>
  <c r="C45" i="4"/>
  <c r="C33" i="4"/>
  <c r="C63" i="4"/>
  <c r="C59" i="4"/>
  <c r="C55" i="4"/>
  <c r="C51" i="4"/>
  <c r="C47" i="4"/>
  <c r="C43" i="4"/>
  <c r="C39" i="4"/>
  <c r="C35" i="4"/>
  <c r="C31" i="4"/>
  <c r="C27" i="4"/>
  <c r="C23" i="4"/>
  <c r="C19" i="4"/>
  <c r="C15" i="4"/>
  <c r="C61" i="4"/>
  <c r="C49" i="4"/>
  <c r="C37" i="4"/>
  <c r="C62" i="4"/>
  <c r="C58" i="4"/>
  <c r="C54" i="4"/>
  <c r="C50" i="4"/>
  <c r="C46" i="4"/>
  <c r="C42" i="4"/>
  <c r="C38" i="4"/>
  <c r="C34" i="4"/>
  <c r="C30" i="4"/>
  <c r="C26" i="4"/>
  <c r="C22" i="4"/>
  <c r="C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tc={745B60DC-9681-4D67-88ED-04A5BA9932E0}</author>
    <author>Gissela LANDA</author>
    <author>tc={EC89FF92-E3BF-4B7D-9CF9-090968A88A30}</author>
    <author>tc={B3DA3618-7DFB-425D-81D5-637C32ACC863}</author>
    <author>tc={5F20E1DD-AF02-4FDA-9643-196928BE772D}</author>
  </authors>
  <commentList>
    <comment ref="A1" authorId="0" shapeId="0" xr:uid="{745B60DC-9681-4D67-88ED-04A5BA9932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Corrigé dans overleaf</t>
      </text>
    </comment>
    <comment ref="A32" authorId="1" shapeId="0" xr:uid="{B3C8AEDE-E983-46EA-9825-AEA0BC9503EA}">
      <text>
        <r>
          <rPr>
            <b/>
            <sz val="9"/>
            <color indexed="81"/>
            <rFont val="Tahoma"/>
            <charset val="1"/>
          </rPr>
          <t>Gissela LANDA:</t>
        </r>
        <r>
          <rPr>
            <sz val="9"/>
            <color indexed="81"/>
            <rFont val="Tahoma"/>
            <charset val="1"/>
          </rPr>
          <t xml:space="preserve">
corrigé dans overleaf
</t>
        </r>
      </text>
    </comment>
    <comment ref="A41" authorId="2" shapeId="0" xr:uid="{EC89FF92-E3BF-4B7D-9CF9-090968A88A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Corrigédans overleaf</t>
      </text>
    </comment>
    <comment ref="A52" authorId="3" shapeId="0" xr:uid="{B3DA3618-7DFB-425D-81D5-637C32ACC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Corrigé dans overleaf</t>
      </text>
    </comment>
    <comment ref="A63" authorId="4" shapeId="0" xr:uid="{5F20E1DD-AF02-4FDA-9643-196928BE77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Corrigé dans overleaf</t>
      </text>
    </comment>
    <comment ref="A95" authorId="1" shapeId="0" xr:uid="{DCC40DC9-9E9A-4D23-B832-557079C7493E}">
      <text>
        <r>
          <rPr>
            <b/>
            <sz val="9"/>
            <color indexed="81"/>
            <rFont val="Tahoma"/>
            <charset val="1"/>
          </rPr>
          <t>Gissela LANDA:</t>
        </r>
        <r>
          <rPr>
            <sz val="9"/>
            <color indexed="81"/>
            <rFont val="Tahoma"/>
            <charset val="1"/>
          </rPr>
          <t xml:space="preserve">
Corrigé dans overleaf</t>
        </r>
      </text>
    </comment>
  </commentList>
</comments>
</file>

<file path=xl/sharedStrings.xml><?xml version="1.0" encoding="utf-8"?>
<sst xmlns="http://schemas.openxmlformats.org/spreadsheetml/2006/main" count="683" uniqueCount="212">
  <si>
    <t>_date_</t>
  </si>
  <si>
    <t>redis_ls</t>
  </si>
  <si>
    <t>wage_eq</t>
  </si>
  <si>
    <t>flex</t>
  </si>
  <si>
    <t>expo</t>
  </si>
  <si>
    <t>100*(gdp_1/gdp_0-1)</t>
  </si>
  <si>
    <t>f_l_1-f_l_0</t>
  </si>
  <si>
    <t>100*(ems_1/ems_0-1)</t>
  </si>
  <si>
    <t>100*(ch_1/ch_0-1)</t>
  </si>
  <si>
    <t>100*(i_1/i_0-1)</t>
  </si>
  <si>
    <t>100*(x_1/x_0-1)</t>
  </si>
  <si>
    <t>100*(m_1/m_0-1)</t>
  </si>
  <si>
    <t>100*((dispinc_at_val_1/pch_1)/(dispinc_at_val_0/pch_0)-1)</t>
  </si>
  <si>
    <t>100*(rsav_h_val_1-rsav_h_val_0)</t>
  </si>
  <si>
    <t>100*(pch_1/pch_0-1)</t>
  </si>
  <si>
    <t>100*(py_1/py_0-1)</t>
  </si>
  <si>
    <t>100*(pva_1/pva_0-1)</t>
  </si>
  <si>
    <t>100*(pci_1/pci_0-1)</t>
  </si>
  <si>
    <t>100*(px_1/pci_0-1)</t>
  </si>
  <si>
    <t>100*(pm_1/pci_0-1)</t>
  </si>
  <si>
    <t>100*(w_1/w_0-1)</t>
  </si>
  <si>
    <t>100*((c_l_1/pva_1)/(c_l_0/pva_0)-1)</t>
  </si>
  <si>
    <t>100*(unr_1-unr_0)</t>
  </si>
  <si>
    <t>100*(rbal_trade_val_1-rbal_trade_val_0)</t>
  </si>
  <si>
    <t>100*(rbal_g_prim_val_1-rbal_g_prim_val_0)</t>
  </si>
  <si>
    <t>ASSUMPTIONS</t>
  </si>
  <si>
    <t>PIB</t>
  </si>
  <si>
    <t>Emploi (en milliers)</t>
  </si>
  <si>
    <t xml:space="preserve">Emissions </t>
  </si>
  <si>
    <t xml:space="preserve">Model version </t>
  </si>
  <si>
    <t>Firm redistribution of the carbon tax</t>
  </si>
  <si>
    <t xml:space="preserve">Wage equation </t>
  </si>
  <si>
    <t xml:space="preserve">Flexibility of the economy </t>
  </si>
  <si>
    <t>Exposure to foreign competition</t>
  </si>
  <si>
    <t>Neo-keynesian</t>
  </si>
  <si>
    <t>Time-varying NAIRU</t>
  </si>
  <si>
    <t>Consommation des ménages</t>
  </si>
  <si>
    <t>Investissement</t>
  </si>
  <si>
    <t>Exportations</t>
  </si>
  <si>
    <t>Importations</t>
  </si>
  <si>
    <t>Revenu disponible des ménages</t>
  </si>
  <si>
    <t>Taux d'épargne</t>
  </si>
  <si>
    <t>Prix de la consommation des ménages</t>
  </si>
  <si>
    <t xml:space="preserve">Prix de production </t>
  </si>
  <si>
    <t xml:space="preserve">Prix de VA </t>
  </si>
  <si>
    <t>Prix de CI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</si>
  <si>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</si>
  <si>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</si>
  <si>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</si>
  <si>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</si>
  <si>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</si>
  <si>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Taux de chômage</t>
  </si>
  <si>
    <t>Balance commerciale (en pts de PIB)</t>
  </si>
  <si>
    <t>Solde primaire des APU  (en pts de PIB)</t>
  </si>
  <si>
    <t xml:space="preserve">Output variable  </t>
  </si>
  <si>
    <t>Wage equation</t>
  </si>
  <si>
    <t>Firm redistribution</t>
  </si>
  <si>
    <t xml:space="preserve">Flexibility </t>
  </si>
  <si>
    <t xml:space="preserve">Exposure to foreign competition </t>
  </si>
  <si>
    <t xml:space="preserve">Lump-sum </t>
  </si>
  <si>
    <t>Employers' social cotisation tax rate</t>
  </si>
  <si>
    <t xml:space="preserve">High </t>
  </si>
  <si>
    <t xml:space="preserve">Low  </t>
  </si>
  <si>
    <t xml:space="preserve">Low </t>
  </si>
  <si>
    <t>High</t>
  </si>
  <si>
    <t>Wage setting</t>
  </si>
  <si>
    <t>Constant NAIRU</t>
  </si>
  <si>
    <t>index</t>
  </si>
  <si>
    <t>Étiquettes de colonnes</t>
  </si>
  <si>
    <t>Total général</t>
  </si>
  <si>
    <t>Étiquettes de lignes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</si>
  <si>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</si>
  <si>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</si>
  <si>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</si>
  <si>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</si>
  <si>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</si>
  <si>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</si>
  <si>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</si>
  <si>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</si>
  <si>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</si>
  <si>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</si>
  <si>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</si>
  <si>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</si>
  <si>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</si>
  <si>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</si>
  <si>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</si>
  <si>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</si>
  <si>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</si>
  <si>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</si>
  <si>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</si>
  <si>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</si>
  <si>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</si>
  <si>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</si>
  <si>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</si>
  <si>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</si>
  <si>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</si>
  <si>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</si>
  <si>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</si>
  <si>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</si>
  <si>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</si>
  <si>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</si>
  <si>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</si>
  <si>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</si>
  <si>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</si>
  <si>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</si>
  <si>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</si>
  <si>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</si>
  <si>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</si>
  <si>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</si>
  <si>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</si>
  <si>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</si>
  <si>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</si>
  <si>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</si>
  <si>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</si>
  <si>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</si>
  <si>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</si>
  <si>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</si>
  <si>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</si>
  <si>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</si>
  <si>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</si>
  <si>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</si>
  <si>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</si>
  <si>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Somme de 100*(gdp_1/gdp_0-1)</t>
  </si>
  <si>
    <t>FIRM REDISTRIBUTION</t>
  </si>
  <si>
    <t>EXPOSITION TO FOREIGN COMPETITION</t>
  </si>
  <si>
    <t>FLEXIBILITY OF THE ECONOMY</t>
  </si>
  <si>
    <t>WAGE EQUATION MODELIZATION</t>
  </si>
  <si>
    <t>Year</t>
  </si>
  <si>
    <t>Exposition</t>
  </si>
  <si>
    <t>OVERVIEW</t>
  </si>
  <si>
    <r>
      <t xml:space="preserve">Lump-sum 
</t>
    </r>
    <r>
      <rPr>
        <sz val="10"/>
        <color theme="6" tint="-0.249977111117893"/>
        <rFont val="Calibri (Corps)_x0000_"/>
      </rPr>
      <t>REDIS_LS = 1</t>
    </r>
  </si>
  <si>
    <r>
      <t xml:space="preserve">Reduction of the employers' social cotization tax rate
</t>
    </r>
    <r>
      <rPr>
        <sz val="10"/>
        <color theme="6" tint="-0.249977111117893"/>
        <rFont val="Calibri (Corps)_x0000_"/>
      </rPr>
      <t>REDIS_LS = 0</t>
    </r>
  </si>
  <si>
    <r>
      <t xml:space="preserve">WS
</t>
    </r>
    <r>
      <rPr>
        <sz val="10"/>
        <color theme="6" tint="-0.249977111117893"/>
        <rFont val="Calibri (Corps)_x0000_"/>
      </rPr>
      <t>WAGE_EQ = 0</t>
    </r>
  </si>
  <si>
    <r>
      <t xml:space="preserve">Philips constant NAIRU
</t>
    </r>
    <r>
      <rPr>
        <sz val="10"/>
        <color theme="6" tint="-0.249977111117893"/>
        <rFont val="Calibri (Corps)_x0000_"/>
      </rPr>
      <t>WAGE_EQ = 1</t>
    </r>
  </si>
  <si>
    <r>
      <t xml:space="preserve">Time-varying NAIRU
</t>
    </r>
    <r>
      <rPr>
        <sz val="10"/>
        <color theme="6" tint="-0.249977111117893"/>
        <rFont val="Calibri (Corps)_x0000_"/>
      </rPr>
      <t>WAGE_EQ = 2</t>
    </r>
  </si>
  <si>
    <r>
      <t xml:space="preserve">Low 
(0.2)
</t>
    </r>
    <r>
      <rPr>
        <sz val="10"/>
        <color theme="6" tint="-0.249977111117893"/>
        <rFont val="Calibri (Corps)_x0000_"/>
      </rPr>
      <t xml:space="preserve">FLEX = 0 </t>
    </r>
  </si>
  <si>
    <r>
      <t xml:space="preserve">High 
(2)
</t>
    </r>
    <r>
      <rPr>
        <sz val="10"/>
        <color theme="6" tint="-0.249977111117893"/>
        <rFont val="Calibri (Corps)_x0000_"/>
      </rPr>
      <t>FLEX = 1</t>
    </r>
  </si>
  <si>
    <t>Short run 
(10 years)</t>
  </si>
  <si>
    <t xml:space="preserve">Long run 
(50 years) </t>
  </si>
  <si>
    <t>Wage-Setting</t>
  </si>
  <si>
    <t>GDP in volume</t>
  </si>
  <si>
    <t xml:space="preserve">Double dividende </t>
  </si>
  <si>
    <t>Short run</t>
  </si>
  <si>
    <t xml:space="preserve">Long run </t>
  </si>
  <si>
    <t>no</t>
  </si>
  <si>
    <t>yes</t>
  </si>
  <si>
    <t>Employers' social security contributions</t>
  </si>
  <si>
    <t>Lump-sum transfer</t>
  </si>
  <si>
    <t>Low flexibility</t>
  </si>
  <si>
    <t>High flexibility</t>
  </si>
  <si>
    <t>Low exposure</t>
  </si>
  <si>
    <t>High exposure</t>
  </si>
  <si>
    <t>LS</t>
  </si>
  <si>
    <t>WS</t>
  </si>
  <si>
    <t>LF</t>
  </si>
  <si>
    <t>LE</t>
  </si>
  <si>
    <t>HE</t>
  </si>
  <si>
    <t>HF</t>
  </si>
  <si>
    <t xml:space="preserve">TV NAIRU </t>
  </si>
  <si>
    <t>SSC</t>
  </si>
  <si>
    <t>critère de recherche</t>
  </si>
  <si>
    <t>Critères (codes)</t>
  </si>
  <si>
    <t>0000</t>
  </si>
  <si>
    <t>0001</t>
  </si>
  <si>
    <t>0010</t>
  </si>
  <si>
    <t>0011</t>
  </si>
  <si>
    <t>0100</t>
  </si>
  <si>
    <t>0101</t>
  </si>
  <si>
    <t>0110</t>
  </si>
  <si>
    <t>0111</t>
  </si>
  <si>
    <t>0200</t>
  </si>
  <si>
    <t>0201</t>
  </si>
  <si>
    <t>0211</t>
  </si>
  <si>
    <t>0210</t>
  </si>
  <si>
    <t>PC</t>
  </si>
  <si>
    <t>PC-TVN</t>
  </si>
  <si>
    <t>Low (0.6)</t>
  </si>
  <si>
    <t>High (2)</t>
  </si>
  <si>
    <t>Table 1: Overview the existence of a short-term double dividend depending on various model settings</t>
  </si>
  <si>
    <r>
      <rPr>
        <b/>
        <sz val="10"/>
        <color theme="1"/>
        <rFont val="Calibri"/>
        <family val="2"/>
        <scheme val="minor"/>
      </rPr>
      <t>WS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6" tint="-0.249977111117893"/>
        <rFont val="Calibri (Corps)_x0000_"/>
      </rPr>
      <t>WAGE_EQ = 0</t>
    </r>
  </si>
  <si>
    <r>
      <rPr>
        <b/>
        <sz val="10"/>
        <color theme="1"/>
        <rFont val="Calibri"/>
        <family val="2"/>
        <scheme val="minor"/>
      </rPr>
      <t>Philips constant NAIRU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6" tint="-0.249977111117893"/>
        <rFont val="Calibri (Corps)_x0000_"/>
      </rPr>
      <t>WAGE_EQ = 1</t>
    </r>
  </si>
  <si>
    <r>
      <rPr>
        <b/>
        <sz val="10"/>
        <color theme="1"/>
        <rFont val="Calibri"/>
        <family val="2"/>
        <scheme val="minor"/>
      </rPr>
      <t>Time-varying NAIRU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6" tint="-0.249977111117893"/>
        <rFont val="Calibri (Corps)_x0000_"/>
      </rPr>
      <t>WAGE_EQ = 2</t>
    </r>
  </si>
  <si>
    <r>
      <t xml:space="preserve">Low (0.2)
</t>
    </r>
    <r>
      <rPr>
        <sz val="10"/>
        <color theme="6" tint="-0.249977111117893"/>
        <rFont val="Calibri (Corps)_x0000_"/>
      </rPr>
      <t xml:space="preserve">FLEX = 0 </t>
    </r>
  </si>
  <si>
    <r>
      <t xml:space="preserve">High (2)
</t>
    </r>
    <r>
      <rPr>
        <sz val="10"/>
        <color theme="6" tint="-0.249977111117893"/>
        <rFont val="Calibri (Corps)_x0000_"/>
      </rPr>
      <t>FLEX = 1</t>
    </r>
  </si>
  <si>
    <r>
      <rPr>
        <b/>
        <sz val="10"/>
        <color theme="1"/>
        <rFont val="Calibri"/>
        <family val="2"/>
        <scheme val="minor"/>
      </rPr>
      <t>Lump-sum</t>
    </r>
    <r>
      <rPr>
        <sz val="10"/>
        <color theme="1"/>
        <rFont val="Calibri"/>
        <family val="2"/>
        <scheme val="minor"/>
      </rPr>
      <t xml:space="preserve"> 
</t>
    </r>
    <r>
      <rPr>
        <sz val="10"/>
        <color theme="6" tint="-0.249977111117893"/>
        <rFont val="Calibri (Corps)_x0000_"/>
      </rPr>
      <t>REDIS_LS = 1</t>
    </r>
  </si>
  <si>
    <r>
      <rPr>
        <b/>
        <sz val="10"/>
        <color theme="1"/>
        <rFont val="Calibri"/>
        <family val="2"/>
        <scheme val="minor"/>
      </rPr>
      <t>Reduction of the employers' social cotization tax rate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6" tint="-0.249977111117893"/>
        <rFont val="Calibri (Corps)_x0000_"/>
      </rPr>
      <t>REDIS_LS = 0</t>
    </r>
  </si>
  <si>
    <t>Table 2: Overview of the CO2 emissions deviation from baseline scenario fifty years after the introduction of a carbon tax</t>
  </si>
  <si>
    <t>Table 3: Spread of GDP deviations from baseline for the factor of exposure to foreign competition</t>
  </si>
  <si>
    <t>Table 4: Spread of GDP deviations from baseline for the factor of flexibility of the economy</t>
  </si>
  <si>
    <t>Table 5: Overview of the GDP (in volume) deviation from baseline scenario 10 years after the introduction of a carbon tax</t>
  </si>
  <si>
    <t>Table 6: Overview the existence of a long-term dividend depending on various model settings</t>
  </si>
  <si>
    <t>Table 7: Overview of the evolution of the GDP (in volume) 50 years after the introduction of a carbon tax</t>
  </si>
  <si>
    <t>Table 9: Spread of GDP deviations from baseline for the factor of wage specification</t>
  </si>
  <si>
    <r>
      <rPr>
        <b/>
        <sz val="10"/>
        <color theme="1"/>
        <rFont val="Calibri"/>
        <family val="2"/>
        <scheme val="minor"/>
      </rPr>
      <t>SSC</t>
    </r>
    <r>
      <rPr>
        <sz val="10"/>
        <color theme="1"/>
        <rFont val="Calibri"/>
        <family val="2"/>
        <scheme val="minor"/>
      </rPr>
      <t xml:space="preserve">
</t>
    </r>
    <r>
      <rPr>
        <sz val="10"/>
        <color theme="6" tint="-0.249977111117893"/>
        <rFont val="Calibri (Corps)_x0000_"/>
      </rPr>
      <t>REDIS_LS = 0</t>
    </r>
  </si>
  <si>
    <t>(1)</t>
  </si>
  <si>
    <t>(2)</t>
  </si>
  <si>
    <t>(3)</t>
  </si>
  <si>
    <t>Table 10: Overview of the CO2 emissions deviation from baseline scenario 10 years after the introduction of a carbon tax</t>
  </si>
  <si>
    <t>Lump-sum Social security contributions</t>
  </si>
  <si>
    <t>Wage-Setting Constant NAIRU TV NAIRU Wage-Setting Constant NAIRU TV NAIRU</t>
  </si>
  <si>
    <t>Low flexibility 0.35 0.47 0.45 0.50 0.57 0.55</t>
  </si>
  <si>
    <t>High flexibility 0.95 1.29 1.20 0.94 1.28 1.18</t>
  </si>
  <si>
    <t>Table 8: Spread of GDP deviations from baseline for the factor of type of 
redistribution</t>
  </si>
  <si>
    <t>Low exp. - High exp.</t>
  </si>
  <si>
    <t>High com. - low com.</t>
  </si>
  <si>
    <t>LS - ESC. Tax</t>
  </si>
  <si>
    <t xml:space="preserve"> WS - PC</t>
  </si>
  <si>
    <t xml:space="preserve"> WS -  PC vary</t>
  </si>
  <si>
    <t xml:space="preserve"> WS - PC vary </t>
  </si>
  <si>
    <t>PC - PC vary</t>
  </si>
  <si>
    <t xml:space="preserve">PC - PC vary </t>
  </si>
  <si>
    <t>WS -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</si>
</sst>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0.0000"/>
    <numFmt numFmtId="166" formatCode="0.000"/>
    <numFmt numFmtId="167" formatCode="0.00000000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0000"/>
      <name val="Calibri"/>
      <family val="2"/>
    </font>
    <font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6" tint="-0.249977111117893"/>
      <name val="Calibri (Corps)_x0000_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FF40FF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F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DotDot">
        <color indexed="64"/>
      </right>
      <top style="thin">
        <color indexed="64"/>
      </top>
      <bottom/>
      <diagonal/>
    </border>
    <border>
      <left/>
      <right style="dashDotDot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14" fontId="0" fillId="0" borderId="0" xfId="0" applyNumberFormat="1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12" fillId="2" borderId="0" xfId="0" applyFont="1" applyFill="1"/>
    <xf numFmtId="0" fontId="11" fillId="2" borderId="0" xfId="0" applyFont="1" applyFill="1"/>
    <xf numFmtId="0" fontId="13" fillId="2" borderId="0" xfId="0" applyFont="1" applyFill="1" applyAlignment="1">
      <alignment horizontal="center" vertical="center"/>
    </xf>
    <xf numFmtId="0" fontId="15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2" fontId="17" fillId="2" borderId="0" xfId="0" applyNumberFormat="1" applyFont="1" applyFill="1" applyAlignment="1">
      <alignment horizontal="center" vertical="center"/>
    </xf>
    <xf numFmtId="2" fontId="18" fillId="3" borderId="0" xfId="0" applyNumberFormat="1" applyFont="1" applyFill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2" fontId="18" fillId="8" borderId="0" xfId="0" applyNumberFormat="1" applyFont="1" applyFill="1" applyAlignment="1">
      <alignment horizontal="center" vertical="center"/>
    </xf>
    <xf numFmtId="2" fontId="17" fillId="7" borderId="0" xfId="0" applyNumberFormat="1" applyFont="1" applyFill="1" applyAlignment="1">
      <alignment horizontal="center" vertical="center"/>
    </xf>
    <xf numFmtId="2" fontId="19" fillId="8" borderId="0" xfId="0" applyNumberFormat="1" applyFont="1" applyFill="1" applyAlignment="1">
      <alignment horizontal="center" vertical="center"/>
    </xf>
    <xf numFmtId="2" fontId="19" fillId="3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19" fillId="8" borderId="7" xfId="0" applyNumberFormat="1" applyFont="1" applyFill="1" applyBorder="1" applyAlignment="1">
      <alignment horizontal="center" vertical="center"/>
    </xf>
    <xf numFmtId="2" fontId="19" fillId="3" borderId="8" xfId="0" applyNumberFormat="1" applyFont="1" applyFill="1" applyBorder="1" applyAlignment="1">
      <alignment horizontal="center" vertical="center"/>
    </xf>
    <xf numFmtId="2" fontId="19" fillId="8" borderId="8" xfId="0" applyNumberFormat="1" applyFont="1" applyFill="1" applyBorder="1" applyAlignment="1">
      <alignment horizontal="center" vertical="center"/>
    </xf>
    <xf numFmtId="2" fontId="2" fillId="7" borderId="8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166" fontId="2" fillId="7" borderId="8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0" fillId="2" borderId="1" xfId="0" applyFill="1" applyBorder="1"/>
    <xf numFmtId="49" fontId="0" fillId="2" borderId="0" xfId="0" applyNumberFormat="1" applyFill="1"/>
    <xf numFmtId="164" fontId="0" fillId="2" borderId="0" xfId="0" applyNumberFormat="1" applyFill="1"/>
    <xf numFmtId="49" fontId="0" fillId="0" borderId="0" xfId="0" applyNumberFormat="1"/>
    <xf numFmtId="167" fontId="0" fillId="7" borderId="0" xfId="0" applyNumberFormat="1" applyFill="1"/>
    <xf numFmtId="167" fontId="0" fillId="2" borderId="0" xfId="0" applyNumberFormat="1" applyFill="1"/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0" fillId="15" borderId="0" xfId="0" applyFill="1"/>
    <xf numFmtId="0" fontId="2" fillId="2" borderId="1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2" fontId="0" fillId="2" borderId="0" xfId="0" applyNumberFormat="1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right" vertical="center"/>
    </xf>
    <xf numFmtId="0" fontId="8" fillId="5" borderId="4" xfId="0" applyFont="1" applyFill="1" applyBorder="1" applyAlignment="1">
      <alignment horizontal="right" vertical="center"/>
    </xf>
    <xf numFmtId="0" fontId="8" fillId="4" borderId="12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10" fillId="4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0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numFmt numFmtId="19" formatCode="dd/mm/yyyy"/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A7BA"/>
      <color rgb="FFFF33F0"/>
      <color rgb="FFFF618E"/>
      <color rgb="FFFF336D"/>
      <color rgb="FFFF33A8"/>
      <color rgb="FFC033FF"/>
      <color rgb="FFD883FF"/>
      <color rgb="FFDF97FF"/>
      <color rgb="FFEEC9FF"/>
      <color rgb="FFF1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Explorer!$D$4</c:f>
              <c:strCache>
                <c:ptCount val="1"/>
                <c:pt idx="0">
                  <c:v>Salaire nominal brut 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Explorer!$B$13:$B$63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Explorer!$C$13:$C$63</c:f>
              <c:numCache>
                <c:formatCode>0.0000</c:formatCode>
                <c:ptCount val="51"/>
                <c:pt idx="0">
                  <c:v>0</c:v>
                </c:pt>
                <c:pt idx="1">
                  <c:v>2.7108493591887495E-2</c:v>
                </c:pt>
                <c:pt idx="2">
                  <c:v>0.20298215631513461</c:v>
                </c:pt>
                <c:pt idx="3">
                  <c:v>0.41806224136149428</c:v>
                </c:pt>
                <c:pt idx="4">
                  <c:v>0.64675163233840482</c:v>
                </c:pt>
                <c:pt idx="5">
                  <c:v>0.87844359005193606</c:v>
                </c:pt>
                <c:pt idx="6">
                  <c:v>1.1029259220712628</c:v>
                </c:pt>
                <c:pt idx="7">
                  <c:v>1.3102441162345935</c:v>
                </c:pt>
                <c:pt idx="8">
                  <c:v>1.4926091051585821</c:v>
                </c:pt>
                <c:pt idx="9">
                  <c:v>1.6453729970441477</c:v>
                </c:pt>
                <c:pt idx="10">
                  <c:v>1.7669580697226017</c:v>
                </c:pt>
                <c:pt idx="11">
                  <c:v>1.8582197935101297</c:v>
                </c:pt>
                <c:pt idx="12">
                  <c:v>1.9216552727952863</c:v>
                </c:pt>
                <c:pt idx="13">
                  <c:v>1.9606849274895755</c:v>
                </c:pt>
                <c:pt idx="14">
                  <c:v>1.9790953056841198</c:v>
                </c:pt>
                <c:pt idx="15">
                  <c:v>1.9806511941614424</c:v>
                </c:pt>
                <c:pt idx="16">
                  <c:v>1.968852035297286</c:v>
                </c:pt>
                <c:pt idx="17">
                  <c:v>1.9467983752999629</c:v>
                </c:pt>
                <c:pt idx="18">
                  <c:v>1.9171360344496513</c:v>
                </c:pt>
                <c:pt idx="19">
                  <c:v>1.8820522282753993</c:v>
                </c:pt>
                <c:pt idx="20">
                  <c:v>1.8433036705427286</c:v>
                </c:pt>
                <c:pt idx="21">
                  <c:v>1.802262637260954</c:v>
                </c:pt>
                <c:pt idx="22">
                  <c:v>1.759970779644493</c:v>
                </c:pt>
                <c:pt idx="23">
                  <c:v>1.7171942400779461</c:v>
                </c:pt>
                <c:pt idx="24">
                  <c:v>1.6744758009830996</c:v>
                </c:pt>
                <c:pt idx="25">
                  <c:v>1.6321816020619995</c:v>
                </c:pt>
                <c:pt idx="26">
                  <c:v>1.5905418441919839</c:v>
                </c:pt>
                <c:pt idx="27">
                  <c:v>1.5496841826705632</c:v>
                </c:pt>
                <c:pt idx="28">
                  <c:v>1.5096622117685143</c:v>
                </c:pt>
                <c:pt idx="29">
                  <c:v>1.4704767521345419</c:v>
                </c:pt>
                <c:pt idx="30">
                  <c:v>1.4320937634784148</c:v>
                </c:pt>
                <c:pt idx="31">
                  <c:v>1.3944574634623619</c:v>
                </c:pt>
                <c:pt idx="32">
                  <c:v>1.3575006696687764</c:v>
                </c:pt>
                <c:pt idx="33">
                  <c:v>1.3211528530734817</c:v>
                </c:pt>
                <c:pt idx="34">
                  <c:v>1.2853448693093572</c:v>
                </c:pt>
                <c:pt idx="35">
                  <c:v>1.2500141600241044</c:v>
                </c:pt>
                <c:pt idx="36">
                  <c:v>1.2151062327053541</c:v>
                </c:pt>
                <c:pt idx="37">
                  <c:v>1.1805777197026801</c:v>
                </c:pt>
                <c:pt idx="38">
                  <c:v>1.1463961716539961</c:v>
                </c:pt>
                <c:pt idx="39">
                  <c:v>1.1125410814068371</c:v>
                </c:pt>
                <c:pt idx="40">
                  <c:v>1.0790032138684458</c:v>
                </c:pt>
                <c:pt idx="41">
                  <c:v>1.0457843689771984</c:v>
                </c:pt>
                <c:pt idx="42">
                  <c:v>1.0128958932871246</c:v>
                </c:pt>
                <c:pt idx="43">
                  <c:v>0.98035776483715864</c:v>
                </c:pt>
                <c:pt idx="44">
                  <c:v>0.94819735105018399</c:v>
                </c:pt>
                <c:pt idx="45">
                  <c:v>0.91644768767986662</c:v>
                </c:pt>
                <c:pt idx="46">
                  <c:v>0.88514629280040946</c:v>
                </c:pt>
                <c:pt idx="47">
                  <c:v>0.85433348463015424</c:v>
                </c:pt>
                <c:pt idx="48">
                  <c:v>0.82405136933723089</c:v>
                </c:pt>
                <c:pt idx="49">
                  <c:v>0.79434242809319766</c:v>
                </c:pt>
                <c:pt idx="50">
                  <c:v>0.76524837259743794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C-49E6-BDCC-569437FA8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660816"/>
        <c:axId val="467663768"/>
      </c:lineChart>
      <c:catAx>
        <c:axId val="4676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7663768"/>
        <c:crosses val="autoZero"/>
        <c:auto val="1"/>
        <c:lblAlgn val="ctr"/>
        <c:lblOffset val="100"/>
        <c:tickLblSkip val="10"/>
        <c:noMultiLvlLbl val="0"/>
      </c:catAx>
      <c:valAx>
        <c:axId val="46766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 i="1">
                    <a:solidFill>
                      <a:schemeClr val="tx1"/>
                    </a:solidFill>
                  </a:rPr>
                  <a:t>% de déviation</a:t>
                </a:r>
                <a:r>
                  <a:rPr lang="fr-FR" b="0" i="1" baseline="0">
                    <a:solidFill>
                      <a:schemeClr val="tx1"/>
                    </a:solidFill>
                  </a:rPr>
                  <a:t> au scénario de référence</a:t>
                </a:r>
              </a:p>
            </c:rich>
          </c:tx>
          <c:layout>
            <c:manualLayout>
              <c:xMode val="edge"/>
              <c:yMode val="edge"/>
              <c:x val="9.8724804607157549E-3"/>
              <c:y val="0.31125838314673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000" b="0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76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99833354164063"/>
          <c:y val="0.13401987353206868"/>
          <c:w val="0.80708994708994719"/>
          <c:h val="0.71421860885275523"/>
        </c:manualLayout>
      </c:layout>
      <c:lineChart>
        <c:grouping val="standard"/>
        <c:varyColors val="0"/>
        <c:ser>
          <c:idx val="0"/>
          <c:order val="0"/>
          <c:tx>
            <c:strRef>
              <c:f>Redistribution!$D$30</c:f>
              <c:strCache>
                <c:ptCount val="1"/>
                <c:pt idx="0">
                  <c:v>Employers' social security contributions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Redistribution!$F$32:$F$82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Redistribution!$D$32:$D$82</c:f>
              <c:numCache>
                <c:formatCode>General</c:formatCode>
                <c:ptCount val="51"/>
                <c:pt idx="0">
                  <c:v>0</c:v>
                </c:pt>
                <c:pt idx="1">
                  <c:v>-0.23157975183714097</c:v>
                </c:pt>
                <c:pt idx="2">
                  <c:v>-0.43135215244677338</c:v>
                </c:pt>
                <c:pt idx="3">
                  <c:v>-0.59088651574951134</c:v>
                </c:pt>
                <c:pt idx="4">
                  <c:v>-0.71977973390037198</c:v>
                </c:pt>
                <c:pt idx="5">
                  <c:v>-0.82798199231853831</c:v>
                </c:pt>
                <c:pt idx="6">
                  <c:v>-0.92113399622860692</c:v>
                </c:pt>
                <c:pt idx="7">
                  <c:v>-1.0013639725760082</c:v>
                </c:pt>
                <c:pt idx="8">
                  <c:v>-1.0691208965366461</c:v>
                </c:pt>
                <c:pt idx="9">
                  <c:v>-1.1245273764278529</c:v>
                </c:pt>
                <c:pt idx="10">
                  <c:v>-1.1680459706837398</c:v>
                </c:pt>
                <c:pt idx="11">
                  <c:v>-1.2006485595765004</c:v>
                </c:pt>
                <c:pt idx="12">
                  <c:v>-1.2237168018629174</c:v>
                </c:pt>
                <c:pt idx="13">
                  <c:v>-1.238841577001959</c:v>
                </c:pt>
                <c:pt idx="14">
                  <c:v>-1.2476216986481825</c:v>
                </c:pt>
                <c:pt idx="15">
                  <c:v>-1.2515107058265307</c:v>
                </c:pt>
                <c:pt idx="16">
                  <c:v>-1.2517265624326535</c:v>
                </c:pt>
                <c:pt idx="17">
                  <c:v>-1.2492190524925006</c:v>
                </c:pt>
                <c:pt idx="18">
                  <c:v>-1.2446802711096661</c:v>
                </c:pt>
                <c:pt idx="19">
                  <c:v>-1.2385815070811046</c:v>
                </c:pt>
                <c:pt idx="20">
                  <c:v>-1.2312213017359963</c:v>
                </c:pt>
                <c:pt idx="21">
                  <c:v>-1.2227739860085518</c:v>
                </c:pt>
                <c:pt idx="22">
                  <c:v>-1.2133320351967347</c:v>
                </c:pt>
                <c:pt idx="23">
                  <c:v>-1.2029389380565636</c:v>
                </c:pt>
                <c:pt idx="24">
                  <c:v>-1.1916124029788477</c:v>
                </c:pt>
                <c:pt idx="25">
                  <c:v>-1.1793589303170871</c:v>
                </c:pt>
                <c:pt idx="26">
                  <c:v>-1.1661819323313116</c:v>
                </c:pt>
                <c:pt idx="27">
                  <c:v>-1.1520850446114395</c:v>
                </c:pt>
                <c:pt idx="28">
                  <c:v>-1.1370729096903398</c:v>
                </c:pt>
                <c:pt idx="29">
                  <c:v>-1.121150551487482</c:v>
                </c:pt>
                <c:pt idx="30">
                  <c:v>-1.104322830973814</c:v>
                </c:pt>
                <c:pt idx="31">
                  <c:v>-1.0865940816318198</c:v>
                </c:pt>
                <c:pt idx="32">
                  <c:v>-1.0679686174132286</c:v>
                </c:pt>
                <c:pt idx="33">
                  <c:v>-1.0484519350405175</c:v>
                </c:pt>
                <c:pt idx="34">
                  <c:v>-1.0280525844739374</c:v>
                </c:pt>
                <c:pt idx="35">
                  <c:v>-1.0067838608457502</c:v>
                </c:pt>
                <c:pt idx="36">
                  <c:v>-0.98466588146972622</c:v>
                </c:pt>
                <c:pt idx="37">
                  <c:v>-0.96172694748103416</c:v>
                </c:pt>
                <c:pt idx="38">
                  <c:v>-0.93800441552701619</c:v>
                </c:pt>
                <c:pt idx="39">
                  <c:v>-0.91354491736993504</c:v>
                </c:pt>
                <c:pt idx="40">
                  <c:v>-0.88840389635455042</c:v>
                </c:pt>
                <c:pt idx="41">
                  <c:v>-0.86264455554928565</c:v>
                </c:pt>
                <c:pt idx="42">
                  <c:v>-0.8363364201263046</c:v>
                </c:pt>
                <c:pt idx="43">
                  <c:v>-0.80955367171620107</c:v>
                </c:pt>
                <c:pt idx="44">
                  <c:v>-0.78237331829653645</c:v>
                </c:pt>
                <c:pt idx="45">
                  <c:v>-0.75487367587722121</c:v>
                </c:pt>
                <c:pt idx="46">
                  <c:v>-0.72713271203542762</c:v>
                </c:pt>
                <c:pt idx="47">
                  <c:v>-0.69922693526179858</c:v>
                </c:pt>
                <c:pt idx="48">
                  <c:v>-0.67123043187266029</c:v>
                </c:pt>
                <c:pt idx="49">
                  <c:v>-0.64321409968998156</c:v>
                </c:pt>
                <c:pt idx="50">
                  <c:v>-0.61524524704473782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C-413E-9335-B38A7D15353A}"/>
            </c:ext>
          </c:extLst>
        </c:ser>
        <c:ser>
          <c:idx val="1"/>
          <c:order val="1"/>
          <c:tx>
            <c:strRef>
              <c:f>Redistribution!$E$30</c:f>
              <c:strCache>
                <c:ptCount val="1"/>
                <c:pt idx="0">
                  <c:v>Lump-sum transfer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Redistribution!$F$32:$F$82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Redistribution!$E$32:$E$82</c:f>
              <c:numCache>
                <c:formatCode>General</c:formatCode>
                <c:ptCount val="51"/>
                <c:pt idx="0">
                  <c:v>0</c:v>
                </c:pt>
                <c:pt idx="1">
                  <c:v>-0.16013590529858623</c:v>
                </c:pt>
                <c:pt idx="2">
                  <c:v>-0.29345598626167035</c:v>
                </c:pt>
                <c:pt idx="3">
                  <c:v>-0.39350667326606414</c:v>
                </c:pt>
                <c:pt idx="4">
                  <c:v>-0.46897990781952226</c:v>
                </c:pt>
                <c:pt idx="5">
                  <c:v>-0.52837182295192298</c:v>
                </c:pt>
                <c:pt idx="6">
                  <c:v>-0.57619977532588074</c:v>
                </c:pt>
                <c:pt idx="7">
                  <c:v>-0.61394894579797077</c:v>
                </c:pt>
                <c:pt idx="8">
                  <c:v>-0.64178775549688094</c:v>
                </c:pt>
                <c:pt idx="9">
                  <c:v>-0.65975475634111325</c:v>
                </c:pt>
                <c:pt idx="10">
                  <c:v>-0.66829493102672499</c:v>
                </c:pt>
                <c:pt idx="11">
                  <c:v>-0.66835439645133166</c:v>
                </c:pt>
                <c:pt idx="12">
                  <c:v>-0.66125380787819266</c:v>
                </c:pt>
                <c:pt idx="13">
                  <c:v>-0.64849160900595226</c:v>
                </c:pt>
                <c:pt idx="14">
                  <c:v>-0.63156029539673808</c:v>
                </c:pt>
                <c:pt idx="15">
                  <c:v>-0.61181309660154337</c:v>
                </c:pt>
                <c:pt idx="16">
                  <c:v>-0.59038778856598251</c:v>
                </c:pt>
                <c:pt idx="17">
                  <c:v>-0.56818091171096929</c:v>
                </c:pt>
                <c:pt idx="18">
                  <c:v>-0.54585736532053453</c:v>
                </c:pt>
                <c:pt idx="19">
                  <c:v>-0.5238815229742011</c:v>
                </c:pt>
                <c:pt idx="20">
                  <c:v>-0.50255693796406042</c:v>
                </c:pt>
                <c:pt idx="21">
                  <c:v>-0.48206629816324176</c:v>
                </c:pt>
                <c:pt idx="22">
                  <c:v>-0.46250643944814041</c:v>
                </c:pt>
                <c:pt idx="23">
                  <c:v>-0.44391609027406576</c:v>
                </c:pt>
                <c:pt idx="24">
                  <c:v>-0.42629566897454119</c:v>
                </c:pt>
                <c:pt idx="25">
                  <c:v>-0.40962058223125153</c:v>
                </c:pt>
                <c:pt idx="26">
                  <c:v>-0.39384889303630821</c:v>
                </c:pt>
                <c:pt idx="27">
                  <c:v>-0.37892537629179435</c:v>
                </c:pt>
                <c:pt idx="28">
                  <c:v>-0.36478322733223267</c:v>
                </c:pt>
                <c:pt idx="29">
                  <c:v>-0.35134481309776477</c:v>
                </c:pt>
                <c:pt idx="30">
                  <c:v>-0.3385225752572607</c:v>
                </c:pt>
                <c:pt idx="31">
                  <c:v>-0.32622052851706274</c:v>
                </c:pt>
                <c:pt idx="32">
                  <c:v>-0.3143366860373531</c:v>
                </c:pt>
                <c:pt idx="33">
                  <c:v>-0.30276648201237322</c:v>
                </c:pt>
                <c:pt idx="34">
                  <c:v>-0.29140678368007045</c:v>
                </c:pt>
                <c:pt idx="35">
                  <c:v>-0.2801599976216318</c:v>
                </c:pt>
                <c:pt idx="36">
                  <c:v>-0.26893812326823641</c:v>
                </c:pt>
                <c:pt idx="37">
                  <c:v>-0.25766595536327319</c:v>
                </c:pt>
                <c:pt idx="38">
                  <c:v>-0.24628335786344158</c:v>
                </c:pt>
                <c:pt idx="39">
                  <c:v>-0.23474649712411644</c:v>
                </c:pt>
                <c:pt idx="40">
                  <c:v>-0.22302781712977282</c:v>
                </c:pt>
                <c:pt idx="41">
                  <c:v>-0.2111152309703157</c:v>
                </c:pt>
                <c:pt idx="42">
                  <c:v>-0.19901034246376792</c:v>
                </c:pt>
                <c:pt idx="43">
                  <c:v>-0.18672644841655206</c:v>
                </c:pt>
                <c:pt idx="44">
                  <c:v>-0.17428612534411414</c:v>
                </c:pt>
                <c:pt idx="45">
                  <c:v>-0.16171907044344458</c:v>
                </c:pt>
                <c:pt idx="46">
                  <c:v>-0.14905985725682802</c:v>
                </c:pt>
                <c:pt idx="47">
                  <c:v>-0.13634630410908066</c:v>
                </c:pt>
                <c:pt idx="48">
                  <c:v>-0.12361798331376184</c:v>
                </c:pt>
                <c:pt idx="49">
                  <c:v>-0.11091508995506594</c:v>
                </c:pt>
                <c:pt idx="50">
                  <c:v>-9.8277711348071506E-2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C-413E-9335-B38A7D15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47928"/>
        <c:axId val="672258368"/>
      </c:lineChart>
      <c:catAx>
        <c:axId val="2145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72258368"/>
        <c:crosses val="autoZero"/>
        <c:auto val="1"/>
        <c:lblAlgn val="ctr"/>
        <c:lblOffset val="100"/>
        <c:tickLblSkip val="10"/>
        <c:noMultiLvlLbl val="0"/>
      </c:catAx>
      <c:valAx>
        <c:axId val="6722583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0">
                    <a:solidFill>
                      <a:schemeClr val="tx1"/>
                    </a:solidFill>
                  </a:rPr>
                  <a:t>% deviation</a:t>
                </a:r>
                <a:r>
                  <a:rPr lang="fr-FR" b="0" baseline="0">
                    <a:solidFill>
                      <a:schemeClr val="tx1"/>
                    </a:solidFill>
                  </a:rPr>
                  <a:t> from baseline scenario</a:t>
                </a:r>
                <a:endParaRPr lang="fr-FR" b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4.8149205078776618E-2"/>
              <c:y val="0.1486057972611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454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30251850545324"/>
          <c:y val="0.87812785533823157"/>
          <c:w val="0.79433933223122877"/>
          <c:h val="9.97691073795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'Wage equation'!$D$4:$F$4</c:f>
          <c:strCache>
            <c:ptCount val="3"/>
            <c:pt idx="0">
              <c:v>GDP in volume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'Wage equation'!$D$30</c:f>
              <c:strCache>
                <c:ptCount val="1"/>
                <c:pt idx="0">
                  <c:v>Wage-Setting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'Wage equation'!$B$32:$B$82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'Wage equation'!$D$32:$D$82</c:f>
              <c:numCache>
                <c:formatCode>General</c:formatCode>
                <c:ptCount val="51"/>
                <c:pt idx="0">
                  <c:v>0</c:v>
                </c:pt>
                <c:pt idx="1">
                  <c:v>0.21895395848681165</c:v>
                </c:pt>
                <c:pt idx="2">
                  <c:v>0.38987568109816184</c:v>
                </c:pt>
                <c:pt idx="3">
                  <c:v>0.48419045591279186</c:v>
                </c:pt>
                <c:pt idx="4">
                  <c:v>0.51029402066147256</c:v>
                </c:pt>
                <c:pt idx="5">
                  <c:v>0.4868675674533085</c:v>
                </c:pt>
                <c:pt idx="6">
                  <c:v>0.43298585155870928</c:v>
                </c:pt>
                <c:pt idx="7">
                  <c:v>0.36420726218653332</c:v>
                </c:pt>
                <c:pt idx="8">
                  <c:v>0.29178900833077837</c:v>
                </c:pt>
                <c:pt idx="9">
                  <c:v>0.22321560582194699</c:v>
                </c:pt>
                <c:pt idx="10">
                  <c:v>0.16304985983131015</c:v>
                </c:pt>
                <c:pt idx="11">
                  <c:v>0.11371069345817997</c:v>
                </c:pt>
                <c:pt idx="12">
                  <c:v>7.6084136353116172E-2</c:v>
                </c:pt>
                <c:pt idx="13">
                  <c:v>4.9986528204915004E-2</c:v>
                </c:pt>
                <c:pt idx="14">
                  <c:v>3.4519675803235117E-2</c:v>
                </c:pt>
                <c:pt idx="15">
                  <c:v>2.8347956432894783E-2</c:v>
                </c:pt>
                <c:pt idx="16">
                  <c:v>2.9914967846766949E-2</c:v>
                </c:pt>
                <c:pt idx="17">
                  <c:v>3.7608217022833124E-2</c:v>
                </c:pt>
                <c:pt idx="18">
                  <c:v>4.9878801403857587E-2</c:v>
                </c:pt>
                <c:pt idx="19">
                  <c:v>6.5320810721813949E-2</c:v>
                </c:pt>
                <c:pt idx="20">
                  <c:v>8.2717217954542122E-2</c:v>
                </c:pt>
                <c:pt idx="21">
                  <c:v>0.1010587535127172</c:v>
                </c:pt>
                <c:pt idx="22">
                  <c:v>0.11954288383073663</c:v>
                </c:pt>
                <c:pt idx="23">
                  <c:v>0.13755891138096388</c:v>
                </c:pt>
                <c:pt idx="24">
                  <c:v>0.15466510875266071</c:v>
                </c:pt>
                <c:pt idx="25">
                  <c:v>0.17056199674654327</c:v>
                </c:pt>
                <c:pt idx="26">
                  <c:v>0.18506514059946078</c:v>
                </c:pt>
                <c:pt idx="27">
                  <c:v>0.1980796731437362</c:v>
                </c:pt>
                <c:pt idx="28">
                  <c:v>0.20957777923571452</c:v>
                </c:pt>
                <c:pt idx="29">
                  <c:v>0.21957991570442648</c:v>
                </c:pt>
                <c:pt idx="30">
                  <c:v>0.22813947080400077</c:v>
                </c:pt>
                <c:pt idx="31">
                  <c:v>0.23533121471546181</c:v>
                </c:pt>
                <c:pt idx="32">
                  <c:v>0.24124251125212659</c:v>
                </c:pt>
                <c:pt idx="33">
                  <c:v>0.24596694430314425</c:v>
                </c:pt>
                <c:pt idx="34">
                  <c:v>0.24960014459063373</c:v>
                </c:pt>
                <c:pt idx="35">
                  <c:v>0.25223685028614717</c:v>
                </c:pt>
                <c:pt idx="36">
                  <c:v>0.25396891360225382</c:v>
                </c:pt>
                <c:pt idx="37">
                  <c:v>0.25488429424607162</c:v>
                </c:pt>
                <c:pt idx="38">
                  <c:v>0.25506631933700508</c:v>
                </c:pt>
                <c:pt idx="39">
                  <c:v>0.25459320597889246</c:v>
                </c:pt>
                <c:pt idx="40">
                  <c:v>0.25353800137373206</c:v>
                </c:pt>
                <c:pt idx="41">
                  <c:v>0.25196829919742481</c:v>
                </c:pt>
                <c:pt idx="42">
                  <c:v>0.24994634246087166</c:v>
                </c:pt>
                <c:pt idx="43">
                  <c:v>0.24752896108510836</c:v>
                </c:pt>
                <c:pt idx="44">
                  <c:v>0.24476777413640072</c:v>
                </c:pt>
                <c:pt idx="45">
                  <c:v>0.24170930690130543</c:v>
                </c:pt>
                <c:pt idx="46">
                  <c:v>0.23839519910175966</c:v>
                </c:pt>
                <c:pt idx="47">
                  <c:v>0.23486249104263113</c:v>
                </c:pt>
                <c:pt idx="48">
                  <c:v>0.23114397739507631</c:v>
                </c:pt>
                <c:pt idx="49">
                  <c:v>0.22726848175937953</c:v>
                </c:pt>
                <c:pt idx="50">
                  <c:v>0.22326130832472924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F-4C48-87ED-2F01B142392C}"/>
            </c:ext>
          </c:extLst>
        </c:ser>
        <c:ser>
          <c:idx val="1"/>
          <c:order val="1"/>
          <c:tx>
            <c:strRef>
              <c:f>'Wage equation'!$E$30</c:f>
              <c:strCache>
                <c:ptCount val="1"/>
                <c:pt idx="0">
                  <c:v>Constant NAIRU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'Wage equation'!$B$32:$B$82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'Wage equation'!$E$32:$E$82</c:f>
              <c:numCache>
                <c:formatCode>General</c:formatCode>
                <c:ptCount val="51"/>
                <c:pt idx="0">
                  <c:v>0</c:v>
                </c:pt>
                <c:pt idx="1">
                  <c:v>0.21945389621906841</c:v>
                </c:pt>
                <c:pt idx="2">
                  <c:v>0.38919888662367619</c:v>
                </c:pt>
                <c:pt idx="3">
                  <c:v>0.47730126026113151</c:v>
                </c:pt>
                <c:pt idx="4">
                  <c:v>0.48857955713621504</c:v>
                </c:pt>
                <c:pt idx="5">
                  <c:v>0.43889933701715123</c:v>
                </c:pt>
                <c:pt idx="6">
                  <c:v>0.34606220226649498</c:v>
                </c:pt>
                <c:pt idx="7">
                  <c:v>0.22632895525036556</c:v>
                </c:pt>
                <c:pt idx="8">
                  <c:v>9.3709550356835258E-2</c:v>
                </c:pt>
                <c:pt idx="9">
                  <c:v>-3.9751430244316932E-2</c:v>
                </c:pt>
                <c:pt idx="10">
                  <c:v>-0.16361931881748726</c:v>
                </c:pt>
                <c:pt idx="11">
                  <c:v>-0.2689642220959243</c:v>
                </c:pt>
                <c:pt idx="12">
                  <c:v>-0.34851295335939225</c:v>
                </c:pt>
                <c:pt idx="13">
                  <c:v>-0.39694349256650385</c:v>
                </c:pt>
                <c:pt idx="14">
                  <c:v>-0.41118810840017339</c:v>
                </c:pt>
                <c:pt idx="15">
                  <c:v>-0.39063435070715302</c:v>
                </c:pt>
                <c:pt idx="16">
                  <c:v>-0.33714967590566802</c:v>
                </c:pt>
                <c:pt idx="17">
                  <c:v>-0.2548971422657087</c:v>
                </c:pt>
                <c:pt idx="18">
                  <c:v>-0.1499493154638265</c:v>
                </c:pt>
                <c:pt idx="19">
                  <c:v>-2.9739945209150687E-2</c:v>
                </c:pt>
                <c:pt idx="20">
                  <c:v>9.7582828520414999E-2</c:v>
                </c:pt>
                <c:pt idx="21">
                  <c:v>0.22382769012785353</c:v>
                </c:pt>
                <c:pt idx="22">
                  <c:v>0.34138504587764018</c:v>
                </c:pt>
                <c:pt idx="23">
                  <c:v>0.44374900696497743</c:v>
                </c:pt>
                <c:pt idx="24">
                  <c:v>0.52589988732303361</c:v>
                </c:pt>
                <c:pt idx="25">
                  <c:v>0.58452992589381747</c:v>
                </c:pt>
                <c:pt idx="26">
                  <c:v>0.61811041305546155</c:v>
                </c:pt>
                <c:pt idx="27">
                  <c:v>0.62681384029585896</c:v>
                </c:pt>
                <c:pt idx="28">
                  <c:v>0.61231298116020128</c:v>
                </c:pt>
                <c:pt idx="29">
                  <c:v>0.5774900185490317</c:v>
                </c:pt>
                <c:pt idx="30">
                  <c:v>0.5260931544062597</c:v>
                </c:pt>
                <c:pt idx="31">
                  <c:v>0.46238049251550173</c:v>
                </c:pt>
                <c:pt idx="32">
                  <c:v>0.39078565429198076</c:v>
                </c:pt>
                <c:pt idx="33">
                  <c:v>0.31563107500089949</c:v>
                </c:pt>
                <c:pt idx="34">
                  <c:v>0.24090363851361207</c:v>
                </c:pt>
                <c:pt idx="35">
                  <c:v>0.17009494887432197</c:v>
                </c:pt>
                <c:pt idx="36">
                  <c:v>0.10610094809238024</c:v>
                </c:pt>
                <c:pt idx="37">
                  <c:v>5.11688437563107E-2</c:v>
                </c:pt>
                <c:pt idx="38">
                  <c:v>6.8798835811900716E-3</c:v>
                </c:pt>
                <c:pt idx="39">
                  <c:v>-2.5842005005471957E-2</c:v>
                </c:pt>
                <c:pt idx="40">
                  <c:v>-4.6702692973199511E-2</c:v>
                </c:pt>
                <c:pt idx="41">
                  <c:v>-5.5993900015560705E-2</c:v>
                </c:pt>
                <c:pt idx="42">
                  <c:v>-5.453366261943815E-2</c:v>
                </c:pt>
                <c:pt idx="43">
                  <c:v>-4.3590714668650943E-2</c:v>
                </c:pt>
                <c:pt idx="44">
                  <c:v>-2.4793507319609276E-2</c:v>
                </c:pt>
                <c:pt idx="45">
                  <c:v>-2.601375638233705E-5</c:v>
                </c:pt>
                <c:pt idx="46">
                  <c:v>2.8685662147220903E-2</c:v>
                </c:pt>
                <c:pt idx="47">
                  <c:v>5.9289476366974903E-2</c:v>
                </c:pt>
                <c:pt idx="48">
                  <c:v>8.9819636909016509E-2</c:v>
                </c:pt>
                <c:pt idx="49">
                  <c:v>0.11849745210323892</c:v>
                </c:pt>
                <c:pt idx="50">
                  <c:v>0.14381470747850678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F-4C48-87ED-2F01B142392C}"/>
            </c:ext>
          </c:extLst>
        </c:ser>
        <c:ser>
          <c:idx val="2"/>
          <c:order val="2"/>
          <c:tx>
            <c:strRef>
              <c:f>'Wage equation'!$F$30</c:f>
              <c:strCache>
                <c:ptCount val="1"/>
                <c:pt idx="0">
                  <c:v>Time-varying NAIRU</c:v>
                </c:pt>
              </c:strCache>
            </c:strRef>
          </c:tx>
          <c:spPr>
            <a:ln w="158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'Wage equation'!$B$32:$B$82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'Wage equation'!$F$32:$F$82</c:f>
              <c:numCache>
                <c:formatCode>General</c:formatCode>
                <c:ptCount val="51"/>
                <c:pt idx="0">
                  <c:v>0</c:v>
                </c:pt>
                <c:pt idx="1">
                  <c:v>0.21913209511903453</c:v>
                </c:pt>
                <c:pt idx="2">
                  <c:v>0.3885049524087858</c:v>
                </c:pt>
                <c:pt idx="3">
                  <c:v>0.47718576609172558</c:v>
                </c:pt>
                <c:pt idx="4">
                  <c:v>0.49131181403654356</c:v>
                </c:pt>
                <c:pt idx="5">
                  <c:v>0.44784291101136464</c:v>
                </c:pt>
                <c:pt idx="6">
                  <c:v>0.36503783420367419</c:v>
                </c:pt>
                <c:pt idx="7">
                  <c:v>0.25877543903480849</c:v>
                </c:pt>
                <c:pt idx="8">
                  <c:v>0.14183679433337204</c:v>
                </c:pt>
                <c:pt idx="9">
                  <c:v>2.433012431046766E-2</c:v>
                </c:pt>
                <c:pt idx="10">
                  <c:v>-8.5714112888501948E-2</c:v>
                </c:pt>
                <c:pt idx="11">
                  <c:v>-0.18193930023282512</c:v>
                </c:pt>
                <c:pt idx="12">
                  <c:v>-0.25948906515110837</c:v>
                </c:pt>
                <c:pt idx="13">
                  <c:v>-0.31498585666278611</c:v>
                </c:pt>
                <c:pt idx="14">
                  <c:v>-0.34656269711825782</c:v>
                </c:pt>
                <c:pt idx="15">
                  <c:v>-0.35387127081888403</c:v>
                </c:pt>
                <c:pt idx="16">
                  <c:v>-0.33801746730290905</c:v>
                </c:pt>
                <c:pt idx="17">
                  <c:v>-0.30140655766328628</c:v>
                </c:pt>
                <c:pt idx="18">
                  <c:v>-0.24750041088119623</c:v>
                </c:pt>
                <c:pt idx="19">
                  <c:v>-0.18050691573892053</c:v>
                </c:pt>
                <c:pt idx="20">
                  <c:v>-0.10503211782334487</c:v>
                </c:pt>
                <c:pt idx="21">
                  <c:v>-2.5727856530211035E-2</c:v>
                </c:pt>
                <c:pt idx="22">
                  <c:v>5.3030608366366749E-2</c:v>
                </c:pt>
                <c:pt idx="23">
                  <c:v>0.12741080177762765</c:v>
                </c:pt>
                <c:pt idx="24">
                  <c:v>0.19431502426723313</c:v>
                </c:pt>
                <c:pt idx="25">
                  <c:v>0.25149003918256696</c:v>
                </c:pt>
                <c:pt idx="26">
                  <c:v>0.29755644554012584</c:v>
                </c:pt>
                <c:pt idx="27">
                  <c:v>0.33196734850298171</c:v>
                </c:pt>
                <c:pt idx="28">
                  <c:v>0.35491200225126196</c:v>
                </c:pt>
                <c:pt idx="29">
                  <c:v>0.3671806048121784</c:v>
                </c:pt>
                <c:pt idx="30">
                  <c:v>0.37000950370917884</c:v>
                </c:pt>
                <c:pt idx="31">
                  <c:v>0.36492212190701867</c:v>
                </c:pt>
                <c:pt idx="32">
                  <c:v>0.35357940656024489</c:v>
                </c:pt>
                <c:pt idx="33">
                  <c:v>0.33764991763993724</c:v>
                </c:pt>
                <c:pt idx="34">
                  <c:v>0.31870583790098994</c:v>
                </c:pt>
                <c:pt idx="35">
                  <c:v>0.29814748166474558</c:v>
                </c:pt>
                <c:pt idx="36">
                  <c:v>0.27715623045796445</c:v>
                </c:pt>
                <c:pt idx="37">
                  <c:v>0.25667310092085671</c:v>
                </c:pt>
                <c:pt idx="38">
                  <c:v>0.23739819807615525</c:v>
                </c:pt>
                <c:pt idx="39">
                  <c:v>0.21980659513811673</c:v>
                </c:pt>
                <c:pt idx="40">
                  <c:v>0.20417481073051746</c:v>
                </c:pt>
                <c:pt idx="41">
                  <c:v>0.19061335690793157</c:v>
                </c:pt>
                <c:pt idx="42">
                  <c:v>0.17910144990029853</c:v>
                </c:pt>
                <c:pt idx="43">
                  <c:v>0.16952065968318664</c:v>
                </c:pt>
                <c:pt idx="44">
                  <c:v>0.16168558582969617</c:v>
                </c:pt>
                <c:pt idx="45">
                  <c:v>0.15537030231793647</c:v>
                </c:pt>
                <c:pt idx="46">
                  <c:v>0.15033013770198167</c:v>
                </c:pt>
                <c:pt idx="47">
                  <c:v>0.146318695742087</c:v>
                </c:pt>
                <c:pt idx="48">
                  <c:v>0.1431004406704961</c:v>
                </c:pt>
                <c:pt idx="49">
                  <c:v>0.14045952060321998</c:v>
                </c:pt>
                <c:pt idx="50">
                  <c:v>0.13820538439877073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F-4C48-87ED-2F01B142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312768"/>
        <c:axId val="730308832"/>
      </c:lineChart>
      <c:catAx>
        <c:axId val="73031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30308832"/>
        <c:crosses val="autoZero"/>
        <c:auto val="1"/>
        <c:lblAlgn val="ctr"/>
        <c:lblOffset val="100"/>
        <c:tickLblSkip val="10"/>
        <c:noMultiLvlLbl val="0"/>
      </c:catAx>
      <c:valAx>
        <c:axId val="7303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% deviation</a:t>
                </a:r>
                <a:r>
                  <a:rPr lang="fr-FR" baseline="0">
                    <a:solidFill>
                      <a:schemeClr val="tx1"/>
                    </a:solidFill>
                  </a:rPr>
                  <a:t> from baseline scenario</a:t>
                </a:r>
                <a:endParaRPr lang="fr-FR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2452634639209424E-2"/>
              <c:y val="0.21391473972407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3031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Flexibility!$D$4</c:f>
          <c:strCache>
            <c:ptCount val="1"/>
            <c:pt idx="0">
              <c:v>GDP in volume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Flexibility!$D$29</c:f>
              <c:strCache>
                <c:ptCount val="1"/>
                <c:pt idx="0">
                  <c:v>Low flexibility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Flexibility!$B$31:$B$81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Flexibility!$D$31:$D$81</c:f>
              <c:numCache>
                <c:formatCode>General</c:formatCode>
                <c:ptCount val="51"/>
                <c:pt idx="0">
                  <c:v>0</c:v>
                </c:pt>
                <c:pt idx="1">
                  <c:v>1.588066502922203E-3</c:v>
                </c:pt>
                <c:pt idx="2">
                  <c:v>-9.8470344685575029E-3</c:v>
                </c:pt>
                <c:pt idx="3">
                  <c:v>-3.993783478443147E-2</c:v>
                </c:pt>
                <c:pt idx="4">
                  <c:v>-8.8370302728468797E-2</c:v>
                </c:pt>
                <c:pt idx="5">
                  <c:v>-0.14876528326083216</c:v>
                </c:pt>
                <c:pt idx="6">
                  <c:v>-0.21295867801980339</c:v>
                </c:pt>
                <c:pt idx="7">
                  <c:v>-0.27386337111614534</c:v>
                </c:pt>
                <c:pt idx="8">
                  <c:v>-0.32656275070970242</c:v>
                </c:pt>
                <c:pt idx="9">
                  <c:v>-0.36836753862358185</c:v>
                </c:pt>
                <c:pt idx="10">
                  <c:v>-0.39843166776846184</c:v>
                </c:pt>
                <c:pt idx="11">
                  <c:v>-0.41724841186308037</c:v>
                </c:pt>
                <c:pt idx="12">
                  <c:v>-0.42617004724614382</c:v>
                </c:pt>
                <c:pt idx="13">
                  <c:v>-0.42700444102526935</c:v>
                </c:pt>
                <c:pt idx="14">
                  <c:v>-0.421702913235944</c:v>
                </c:pt>
                <c:pt idx="15">
                  <c:v>-0.41213734400573632</c:v>
                </c:pt>
                <c:pt idx="16">
                  <c:v>-0.39995679826227981</c:v>
                </c:pt>
                <c:pt idx="17">
                  <c:v>-0.38651139847549754</c:v>
                </c:pt>
                <c:pt idx="18">
                  <c:v>-0.37282816840106259</c:v>
                </c:pt>
                <c:pt idx="19">
                  <c:v>-0.35962466623766787</c:v>
                </c:pt>
                <c:pt idx="20">
                  <c:v>-0.34734662685705908</c:v>
                </c:pt>
                <c:pt idx="21">
                  <c:v>-0.33621839812282284</c:v>
                </c:pt>
                <c:pt idx="22">
                  <c:v>-0.32629734194651316</c:v>
                </c:pt>
                <c:pt idx="23">
                  <c:v>-0.31752467024374065</c:v>
                </c:pt>
                <c:pt idx="24">
                  <c:v>-0.30977047665404767</c:v>
                </c:pt>
                <c:pt idx="25">
                  <c:v>-0.30286935988919073</c:v>
                </c:pt>
                <c:pt idx="26">
                  <c:v>-0.29664731936852595</c:v>
                </c:pt>
                <c:pt idx="27">
                  <c:v>-0.29093965910255148</c:v>
                </c:pt>
                <c:pt idx="28">
                  <c:v>-0.28560200569274219</c:v>
                </c:pt>
                <c:pt idx="29">
                  <c:v>-0.28051512833077163</c:v>
                </c:pt>
                <c:pt idx="30">
                  <c:v>-0.27558609067240836</c:v>
                </c:pt>
                <c:pt idx="31">
                  <c:v>-0.27074608381733034</c:v>
                </c:pt>
                <c:pt idx="32">
                  <c:v>-0.26594721693361523</c:v>
                </c:pt>
                <c:pt idx="33">
                  <c:v>-0.26115828779800232</c:v>
                </c:pt>
                <c:pt idx="34">
                  <c:v>-0.25636086137484915</c:v>
                </c:pt>
                <c:pt idx="35">
                  <c:v>-0.25154554181553435</c:v>
                </c:pt>
                <c:pt idx="36">
                  <c:v>-0.24670916249092123</c:v>
                </c:pt>
                <c:pt idx="37">
                  <c:v>-0.24185233058410249</c:v>
                </c:pt>
                <c:pt idx="38">
                  <c:v>-0.23697787375458468</c:v>
                </c:pt>
                <c:pt idx="39">
                  <c:v>-0.23208977732850355</c:v>
                </c:pt>
                <c:pt idx="40">
                  <c:v>-0.22719255713691267</c:v>
                </c:pt>
                <c:pt idx="41">
                  <c:v>-0.22229099250473672</c:v>
                </c:pt>
                <c:pt idx="42">
                  <c:v>-0.2173899765729459</c:v>
                </c:pt>
                <c:pt idx="43">
                  <c:v>-0.21249449026840006</c:v>
                </c:pt>
                <c:pt idx="44">
                  <c:v>-0.20760983401336697</c:v>
                </c:pt>
                <c:pt idx="45">
                  <c:v>-0.20274143433781644</c:v>
                </c:pt>
                <c:pt idx="46">
                  <c:v>-0.19789501850673297</c:v>
                </c:pt>
                <c:pt idx="47">
                  <c:v>-0.19307662681983251</c:v>
                </c:pt>
                <c:pt idx="48">
                  <c:v>-0.18829238468871523</c:v>
                </c:pt>
                <c:pt idx="49">
                  <c:v>-0.18354862686500439</c:v>
                </c:pt>
                <c:pt idx="50">
                  <c:v>-0.17885162719704084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C-47A8-9F77-52CBE3713CC2}"/>
            </c:ext>
          </c:extLst>
        </c:ser>
        <c:ser>
          <c:idx val="1"/>
          <c:order val="1"/>
          <c:tx>
            <c:strRef>
              <c:f>Flexibility!$E$29</c:f>
              <c:strCache>
                <c:ptCount val="1"/>
                <c:pt idx="0">
                  <c:v>High flexibility</c:v>
                </c:pt>
              </c:strCache>
            </c:strRef>
          </c:tx>
          <c:spPr>
            <a:ln w="158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Flexibility!$B$31:$B$81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Flexibility!$E$31:$E$81</c:f>
              <c:numCache>
                <c:formatCode>General</c:formatCode>
                <c:ptCount val="51"/>
                <c:pt idx="0">
                  <c:v>0</c:v>
                </c:pt>
                <c:pt idx="1">
                  <c:v>0.21895395848681165</c:v>
                </c:pt>
                <c:pt idx="2">
                  <c:v>0.38987568109816184</c:v>
                </c:pt>
                <c:pt idx="3">
                  <c:v>0.48419045591279186</c:v>
                </c:pt>
                <c:pt idx="4">
                  <c:v>0.51029402066147256</c:v>
                </c:pt>
                <c:pt idx="5">
                  <c:v>0.4868675674533085</c:v>
                </c:pt>
                <c:pt idx="6">
                  <c:v>0.43298585155870928</c:v>
                </c:pt>
                <c:pt idx="7">
                  <c:v>0.36420726218653332</c:v>
                </c:pt>
                <c:pt idx="8">
                  <c:v>0.29178900833077837</c:v>
                </c:pt>
                <c:pt idx="9">
                  <c:v>0.22321560582194699</c:v>
                </c:pt>
                <c:pt idx="10">
                  <c:v>0.16304985983131015</c:v>
                </c:pt>
                <c:pt idx="11">
                  <c:v>0.11371069345817997</c:v>
                </c:pt>
                <c:pt idx="12">
                  <c:v>7.6084136353116172E-2</c:v>
                </c:pt>
                <c:pt idx="13">
                  <c:v>4.9986528204915004E-2</c:v>
                </c:pt>
                <c:pt idx="14">
                  <c:v>3.4519675803235117E-2</c:v>
                </c:pt>
                <c:pt idx="15">
                  <c:v>2.8347956432894783E-2</c:v>
                </c:pt>
                <c:pt idx="16">
                  <c:v>2.9914967846766949E-2</c:v>
                </c:pt>
                <c:pt idx="17">
                  <c:v>3.7608217022833124E-2</c:v>
                </c:pt>
                <c:pt idx="18">
                  <c:v>4.9878801403857587E-2</c:v>
                </c:pt>
                <c:pt idx="19">
                  <c:v>6.5320810721813949E-2</c:v>
                </c:pt>
                <c:pt idx="20">
                  <c:v>8.2717217954542122E-2</c:v>
                </c:pt>
                <c:pt idx="21">
                  <c:v>0.1010587535127172</c:v>
                </c:pt>
                <c:pt idx="22">
                  <c:v>0.11954288383073663</c:v>
                </c:pt>
                <c:pt idx="23">
                  <c:v>0.13755891138096388</c:v>
                </c:pt>
                <c:pt idx="24">
                  <c:v>0.15466510875266071</c:v>
                </c:pt>
                <c:pt idx="25">
                  <c:v>0.17056199674654327</c:v>
                </c:pt>
                <c:pt idx="26">
                  <c:v>0.18506514059946078</c:v>
                </c:pt>
                <c:pt idx="27">
                  <c:v>0.1980796731437362</c:v>
                </c:pt>
                <c:pt idx="28">
                  <c:v>0.20957777923571452</c:v>
                </c:pt>
                <c:pt idx="29">
                  <c:v>0.21957991570442648</c:v>
                </c:pt>
                <c:pt idx="30">
                  <c:v>0.22813947080400077</c:v>
                </c:pt>
                <c:pt idx="31">
                  <c:v>0.23533121471546181</c:v>
                </c:pt>
                <c:pt idx="32">
                  <c:v>0.24124251125212659</c:v>
                </c:pt>
                <c:pt idx="33">
                  <c:v>0.24596694430314425</c:v>
                </c:pt>
                <c:pt idx="34">
                  <c:v>0.24960014459063373</c:v>
                </c:pt>
                <c:pt idx="35">
                  <c:v>0.25223685028614717</c:v>
                </c:pt>
                <c:pt idx="36">
                  <c:v>0.25396891360225382</c:v>
                </c:pt>
                <c:pt idx="37">
                  <c:v>0.25488429424607162</c:v>
                </c:pt>
                <c:pt idx="38">
                  <c:v>0.25506631933700508</c:v>
                </c:pt>
                <c:pt idx="39">
                  <c:v>0.25459320597889246</c:v>
                </c:pt>
                <c:pt idx="40">
                  <c:v>0.25353800137373206</c:v>
                </c:pt>
                <c:pt idx="41">
                  <c:v>0.25196829919742481</c:v>
                </c:pt>
                <c:pt idx="42">
                  <c:v>0.24994634246087166</c:v>
                </c:pt>
                <c:pt idx="43">
                  <c:v>0.24752896108510836</c:v>
                </c:pt>
                <c:pt idx="44">
                  <c:v>0.24476777413640072</c:v>
                </c:pt>
                <c:pt idx="45">
                  <c:v>0.24170930690130543</c:v>
                </c:pt>
                <c:pt idx="46">
                  <c:v>0.23839519910175966</c:v>
                </c:pt>
                <c:pt idx="47">
                  <c:v>0.23486249104263113</c:v>
                </c:pt>
                <c:pt idx="48">
                  <c:v>0.23114397739507631</c:v>
                </c:pt>
                <c:pt idx="49">
                  <c:v>0.22726848175937953</c:v>
                </c:pt>
                <c:pt idx="50">
                  <c:v>0.22326130832472924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C-47A8-9F77-52CBE371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423912"/>
        <c:axId val="729421944"/>
      </c:lineChart>
      <c:catAx>
        <c:axId val="72942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9421944"/>
        <c:crosses val="autoZero"/>
        <c:auto val="1"/>
        <c:lblAlgn val="ctr"/>
        <c:lblOffset val="100"/>
        <c:tickLblSkip val="10"/>
        <c:noMultiLvlLbl val="0"/>
      </c:catAx>
      <c:valAx>
        <c:axId val="72942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% deviation</a:t>
                </a:r>
                <a:r>
                  <a:rPr lang="fr-FR" baseline="0">
                    <a:solidFill>
                      <a:schemeClr val="tx1"/>
                    </a:solidFill>
                  </a:rPr>
                  <a:t> from baseline scenario</a:t>
                </a:r>
                <a:endParaRPr lang="fr-FR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2422360248447204E-2"/>
              <c:y val="0.19272278289157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942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Exposure!$D$4</c:f>
          <c:strCache>
            <c:ptCount val="1"/>
            <c:pt idx="0">
              <c:v>GDP in volume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Exposure!$D$29</c:f>
              <c:strCache>
                <c:ptCount val="1"/>
                <c:pt idx="0">
                  <c:v>Low exposure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Exposure!$B$31:$B$81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Exposure!$D$31:$D$81</c:f>
              <c:numCache>
                <c:formatCode>General</c:formatCode>
                <c:ptCount val="51"/>
                <c:pt idx="0">
                  <c:v>0</c:v>
                </c:pt>
                <c:pt idx="1">
                  <c:v>3.1198580247604468E-2</c:v>
                </c:pt>
                <c:pt idx="2">
                  <c:v>6.3863962537991092E-2</c:v>
                </c:pt>
                <c:pt idx="3">
                  <c:v>8.5481765982309277E-2</c:v>
                </c:pt>
                <c:pt idx="4">
                  <c:v>9.1518266003220994E-2</c:v>
                </c:pt>
                <c:pt idx="5">
                  <c:v>8.4319173258728952E-2</c:v>
                </c:pt>
                <c:pt idx="6">
                  <c:v>6.8778920246259645E-2</c:v>
                </c:pt>
                <c:pt idx="7">
                  <c:v>4.9608981564364107E-2</c:v>
                </c:pt>
                <c:pt idx="8">
                  <c:v>3.0297855192862322E-2</c:v>
                </c:pt>
                <c:pt idx="9">
                  <c:v>1.2993907352831791E-2</c:v>
                </c:pt>
                <c:pt idx="10">
                  <c:v>-1.2550694091228998E-3</c:v>
                </c:pt>
                <c:pt idx="11">
                  <c:v>-1.2184269381942947E-2</c:v>
                </c:pt>
                <c:pt idx="12">
                  <c:v>-2.0025883577312609E-2</c:v>
                </c:pt>
                <c:pt idx="13">
                  <c:v>-2.5282988103991766E-2</c:v>
                </c:pt>
                <c:pt idx="14">
                  <c:v>-2.8564038386225121E-2</c:v>
                </c:pt>
                <c:pt idx="15">
                  <c:v>-3.0470413933003648E-2</c:v>
                </c:pt>
                <c:pt idx="16">
                  <c:v>-3.1527151672572362E-2</c:v>
                </c:pt>
                <c:pt idx="17">
                  <c:v>-3.2148556226851976E-2</c:v>
                </c:pt>
                <c:pt idx="18">
                  <c:v>-3.262798046546056E-2</c:v>
                </c:pt>
                <c:pt idx="19">
                  <c:v>-3.3145894604302839E-2</c:v>
                </c:pt>
                <c:pt idx="20">
                  <c:v>-3.3787749752633989E-2</c:v>
                </c:pt>
                <c:pt idx="21">
                  <c:v>-3.4566631695820416E-2</c:v>
                </c:pt>
                <c:pt idx="22">
                  <c:v>-3.5446244871373267E-2</c:v>
                </c:pt>
                <c:pt idx="23">
                  <c:v>-3.6361956607711132E-2</c:v>
                </c:pt>
                <c:pt idx="24">
                  <c:v>-3.7237753305408017E-2</c:v>
                </c:pt>
                <c:pt idx="25">
                  <c:v>-3.7999046394432412E-2</c:v>
                </c:pt>
                <c:pt idx="26">
                  <c:v>-3.8580976502877729E-2</c:v>
                </c:pt>
                <c:pt idx="27">
                  <c:v>-3.8933448554245853E-2</c:v>
                </c:pt>
                <c:pt idx="28">
                  <c:v>-3.902260604177199E-2</c:v>
                </c:pt>
                <c:pt idx="29">
                  <c:v>-3.8830824050606338E-2</c:v>
                </c:pt>
                <c:pt idx="30">
                  <c:v>-3.8354621336633699E-2</c:v>
                </c:pt>
                <c:pt idx="31">
                  <c:v>-3.7602398833580519E-2</c:v>
                </c:pt>
                <c:pt idx="32">
                  <c:v>-3.6591608794633856E-2</c:v>
                </c:pt>
                <c:pt idx="33">
                  <c:v>-3.5345818053489353E-2</c:v>
                </c:pt>
                <c:pt idx="34">
                  <c:v>-3.3892505059607281E-2</c:v>
                </c:pt>
                <c:pt idx="35">
                  <c:v>-3.2260951001550353E-2</c:v>
                </c:pt>
                <c:pt idx="36">
                  <c:v>-3.0480602796312262E-2</c:v>
                </c:pt>
                <c:pt idx="37">
                  <c:v>-2.8579957092933483E-2</c:v>
                </c:pt>
                <c:pt idx="38">
                  <c:v>-2.658583456554009E-2</c:v>
                </c:pt>
                <c:pt idx="39">
                  <c:v>-2.4522834926554715E-2</c:v>
                </c:pt>
                <c:pt idx="40">
                  <c:v>-2.2413207874327767E-2</c:v>
                </c:pt>
                <c:pt idx="41">
                  <c:v>-2.0276680278341619E-2</c:v>
                </c:pt>
                <c:pt idx="42">
                  <c:v>-1.8130779612124392E-2</c:v>
                </c:pt>
                <c:pt idx="43">
                  <c:v>-1.5990695738399285E-2</c:v>
                </c:pt>
                <c:pt idx="44">
                  <c:v>-1.3869680530187445E-2</c:v>
                </c:pt>
                <c:pt idx="45">
                  <c:v>-1.1779202411177359E-2</c:v>
                </c:pt>
                <c:pt idx="46">
                  <c:v>-9.7291121399112335E-3</c:v>
                </c:pt>
                <c:pt idx="47">
                  <c:v>-7.7278577344186417E-3</c:v>
                </c:pt>
                <c:pt idx="48">
                  <c:v>-5.7826620152967578E-3</c:v>
                </c:pt>
                <c:pt idx="49">
                  <c:v>-3.8996278929337436E-3</c:v>
                </c:pt>
                <c:pt idx="50">
                  <c:v>-2.0839506793324247E-3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E-4282-A3A1-1489DA8D7DB7}"/>
            </c:ext>
          </c:extLst>
        </c:ser>
        <c:ser>
          <c:idx val="1"/>
          <c:order val="1"/>
          <c:tx>
            <c:strRef>
              <c:f>Exposure!$E$29</c:f>
              <c:strCache>
                <c:ptCount val="1"/>
                <c:pt idx="0">
                  <c:v>High exposure</c:v>
                </c:pt>
              </c:strCache>
            </c:strRef>
          </c:tx>
          <c:spPr>
            <a:ln w="127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Exposure!$B$31:$B$81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cat>
          <c:val>
            <c:numRef>
              <c:f>Exposure!$E$31:$E$81</c:f>
              <c:numCache>
                <c:formatCode>General</c:formatCode>
                <c:ptCount val="51"/>
                <c:pt idx="0">
                  <c:v>0</c:v>
                </c:pt>
                <c:pt idx="1">
                  <c:v>1.588066502922203E-3</c:v>
                </c:pt>
                <c:pt idx="2">
                  <c:v>-9.8470344685575029E-3</c:v>
                </c:pt>
                <c:pt idx="3">
                  <c:v>-3.993783478443147E-2</c:v>
                </c:pt>
                <c:pt idx="4">
                  <c:v>-8.8370302728468797E-2</c:v>
                </c:pt>
                <c:pt idx="5">
                  <c:v>-0.14876528326083216</c:v>
                </c:pt>
                <c:pt idx="6">
                  <c:v>-0.21295867801980339</c:v>
                </c:pt>
                <c:pt idx="7">
                  <c:v>-0.27386337111614534</c:v>
                </c:pt>
                <c:pt idx="8">
                  <c:v>-0.32656275070970242</c:v>
                </c:pt>
                <c:pt idx="9">
                  <c:v>-0.36836753862358185</c:v>
                </c:pt>
                <c:pt idx="10">
                  <c:v>-0.39843166776846184</c:v>
                </c:pt>
                <c:pt idx="11">
                  <c:v>-0.41724841186308037</c:v>
                </c:pt>
                <c:pt idx="12">
                  <c:v>-0.42617004724614382</c:v>
                </c:pt>
                <c:pt idx="13">
                  <c:v>-0.42700444102526935</c:v>
                </c:pt>
                <c:pt idx="14">
                  <c:v>-0.421702913235944</c:v>
                </c:pt>
                <c:pt idx="15">
                  <c:v>-0.41213734400573632</c:v>
                </c:pt>
                <c:pt idx="16">
                  <c:v>-0.39995679826227981</c:v>
                </c:pt>
                <c:pt idx="17">
                  <c:v>-0.38651139847549754</c:v>
                </c:pt>
                <c:pt idx="18">
                  <c:v>-0.37282816840106259</c:v>
                </c:pt>
                <c:pt idx="19">
                  <c:v>-0.35962466623766787</c:v>
                </c:pt>
                <c:pt idx="20">
                  <c:v>-0.34734662685705908</c:v>
                </c:pt>
                <c:pt idx="21">
                  <c:v>-0.33621839812282284</c:v>
                </c:pt>
                <c:pt idx="22">
                  <c:v>-0.32629734194651316</c:v>
                </c:pt>
                <c:pt idx="23">
                  <c:v>-0.31752467024374065</c:v>
                </c:pt>
                <c:pt idx="24">
                  <c:v>-0.30977047665404767</c:v>
                </c:pt>
                <c:pt idx="25">
                  <c:v>-0.30286935988919073</c:v>
                </c:pt>
                <c:pt idx="26">
                  <c:v>-0.29664731936852595</c:v>
                </c:pt>
                <c:pt idx="27">
                  <c:v>-0.29093965910255148</c:v>
                </c:pt>
                <c:pt idx="28">
                  <c:v>-0.28560200569274219</c:v>
                </c:pt>
                <c:pt idx="29">
                  <c:v>-0.28051512833077163</c:v>
                </c:pt>
                <c:pt idx="30">
                  <c:v>-0.27558609067240836</c:v>
                </c:pt>
                <c:pt idx="31">
                  <c:v>-0.27074608381733034</c:v>
                </c:pt>
                <c:pt idx="32">
                  <c:v>-0.26594721693361523</c:v>
                </c:pt>
                <c:pt idx="33">
                  <c:v>-0.26115828779800232</c:v>
                </c:pt>
                <c:pt idx="34">
                  <c:v>-0.25636086137484915</c:v>
                </c:pt>
                <c:pt idx="35">
                  <c:v>-0.25154554181553435</c:v>
                </c:pt>
                <c:pt idx="36">
                  <c:v>-0.24670916249092123</c:v>
                </c:pt>
                <c:pt idx="37">
                  <c:v>-0.24185233058410249</c:v>
                </c:pt>
                <c:pt idx="38">
                  <c:v>-0.23697787375458468</c:v>
                </c:pt>
                <c:pt idx="39">
                  <c:v>-0.23208977732850355</c:v>
                </c:pt>
                <c:pt idx="40">
                  <c:v>-0.22719255713691267</c:v>
                </c:pt>
                <c:pt idx="41">
                  <c:v>-0.22229099250473672</c:v>
                </c:pt>
                <c:pt idx="42">
                  <c:v>-0.2173899765729459</c:v>
                </c:pt>
                <c:pt idx="43">
                  <c:v>-0.21249449026840006</c:v>
                </c:pt>
                <c:pt idx="44">
                  <c:v>-0.20760983401336697</c:v>
                </c:pt>
                <c:pt idx="45">
                  <c:v>-0.20274143433781644</c:v>
                </c:pt>
                <c:pt idx="46">
                  <c:v>-0.19789501850673297</c:v>
                </c:pt>
                <c:pt idx="47">
                  <c:v>-0.19307662681983251</c:v>
                </c:pt>
                <c:pt idx="48">
                  <c:v>-0.18829238468871523</c:v>
                </c:pt>
                <c:pt idx="49">
                  <c:v>-0.18354862686500439</c:v>
                </c:pt>
                <c:pt idx="50">
                  <c:v>-0.17885162719704084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E-4282-A3A1-1489DA8D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434736"/>
        <c:axId val="729433424"/>
      </c:lineChart>
      <c:catAx>
        <c:axId val="7294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9433424"/>
        <c:crosses val="autoZero"/>
        <c:auto val="1"/>
        <c:lblAlgn val="ctr"/>
        <c:lblOffset val="100"/>
        <c:tickLblSkip val="10"/>
        <c:noMultiLvlLbl val="0"/>
      </c:catAx>
      <c:valAx>
        <c:axId val="7294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% deviation</a:t>
                </a:r>
                <a:r>
                  <a:rPr lang="fr-FR" baseline="0">
                    <a:solidFill>
                      <a:schemeClr val="tx1"/>
                    </a:solidFill>
                  </a:rPr>
                  <a:t> from baseline scenario</a:t>
                </a:r>
                <a:endParaRPr lang="fr-F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294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Table_Dynam_GDP!$C$7</c:f>
              <c:strCache>
                <c:ptCount val="1"/>
                <c:pt idx="0">
                  <c:v>LF_LE_LS_WS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Table_Dynam_GDP!$C$8:$C$58</c:f>
              <c:numCache>
                <c:formatCode>0.00000000</c:formatCode>
                <c:ptCount val="51"/>
                <c:pt idx="0">
                  <c:v>0</c:v>
                </c:pt>
                <c:pt idx="1">
                  <c:v>3.1198580247604468E-2</c:v>
                </c:pt>
                <c:pt idx="2">
                  <c:v>6.3863962537991092E-2</c:v>
                </c:pt>
                <c:pt idx="3">
                  <c:v>8.5481765982309277E-2</c:v>
                </c:pt>
                <c:pt idx="4">
                  <c:v>9.1518266003220994E-2</c:v>
                </c:pt>
                <c:pt idx="5">
                  <c:v>8.4319173258728952E-2</c:v>
                </c:pt>
                <c:pt idx="6">
                  <c:v>6.8778920246259645E-2</c:v>
                </c:pt>
                <c:pt idx="7">
                  <c:v>4.9608981564364107E-2</c:v>
                </c:pt>
                <c:pt idx="8">
                  <c:v>3.0297855192862322E-2</c:v>
                </c:pt>
                <c:pt idx="9">
                  <c:v>1.2993907352831791E-2</c:v>
                </c:pt>
                <c:pt idx="10">
                  <c:v>-1.2550694091228998E-3</c:v>
                </c:pt>
                <c:pt idx="11">
                  <c:v>-1.2184269381942947E-2</c:v>
                </c:pt>
                <c:pt idx="12">
                  <c:v>-2.0025883577312609E-2</c:v>
                </c:pt>
                <c:pt idx="13">
                  <c:v>-2.5282988103991766E-2</c:v>
                </c:pt>
                <c:pt idx="14">
                  <c:v>-2.8564038386225121E-2</c:v>
                </c:pt>
                <c:pt idx="15">
                  <c:v>-3.0470413933003648E-2</c:v>
                </c:pt>
                <c:pt idx="16">
                  <c:v>-3.1527151672572362E-2</c:v>
                </c:pt>
                <c:pt idx="17">
                  <c:v>-3.2148556226851976E-2</c:v>
                </c:pt>
                <c:pt idx="18">
                  <c:v>-3.262798046546056E-2</c:v>
                </c:pt>
                <c:pt idx="19">
                  <c:v>-3.3145894604302839E-2</c:v>
                </c:pt>
                <c:pt idx="20">
                  <c:v>-3.3787749752633989E-2</c:v>
                </c:pt>
                <c:pt idx="21">
                  <c:v>-3.4566631695820416E-2</c:v>
                </c:pt>
                <c:pt idx="22">
                  <c:v>-3.5446244871373267E-2</c:v>
                </c:pt>
                <c:pt idx="23">
                  <c:v>-3.6361956607711132E-2</c:v>
                </c:pt>
                <c:pt idx="24">
                  <c:v>-3.7237753305408017E-2</c:v>
                </c:pt>
                <c:pt idx="25">
                  <c:v>-3.7999046394432412E-2</c:v>
                </c:pt>
                <c:pt idx="26">
                  <c:v>-3.8580976502877729E-2</c:v>
                </c:pt>
                <c:pt idx="27">
                  <c:v>-3.8933448554245853E-2</c:v>
                </c:pt>
                <c:pt idx="28">
                  <c:v>-3.902260604177199E-2</c:v>
                </c:pt>
                <c:pt idx="29">
                  <c:v>-3.8830824050606338E-2</c:v>
                </c:pt>
                <c:pt idx="30">
                  <c:v>-3.8354621336633699E-2</c:v>
                </c:pt>
                <c:pt idx="31">
                  <c:v>-3.7602398833580519E-2</c:v>
                </c:pt>
                <c:pt idx="32">
                  <c:v>-3.6591608794633856E-2</c:v>
                </c:pt>
                <c:pt idx="33">
                  <c:v>-3.5345818053489353E-2</c:v>
                </c:pt>
                <c:pt idx="34">
                  <c:v>-3.3892505059607281E-2</c:v>
                </c:pt>
                <c:pt idx="35">
                  <c:v>-3.2260951001550353E-2</c:v>
                </c:pt>
                <c:pt idx="36">
                  <c:v>-3.0480602796312262E-2</c:v>
                </c:pt>
                <c:pt idx="37">
                  <c:v>-2.8579957092933483E-2</c:v>
                </c:pt>
                <c:pt idx="38">
                  <c:v>-2.658583456554009E-2</c:v>
                </c:pt>
                <c:pt idx="39">
                  <c:v>-2.4522834926554715E-2</c:v>
                </c:pt>
                <c:pt idx="40">
                  <c:v>-2.2413207874327767E-2</c:v>
                </c:pt>
                <c:pt idx="41">
                  <c:v>-2.0276680278341619E-2</c:v>
                </c:pt>
                <c:pt idx="42">
                  <c:v>-1.8130779612124392E-2</c:v>
                </c:pt>
                <c:pt idx="43">
                  <c:v>-1.5990695738399285E-2</c:v>
                </c:pt>
                <c:pt idx="44">
                  <c:v>-1.3869680530187445E-2</c:v>
                </c:pt>
                <c:pt idx="45">
                  <c:v>-1.1779202411177359E-2</c:v>
                </c:pt>
                <c:pt idx="46">
                  <c:v>-9.7291121399112335E-3</c:v>
                </c:pt>
                <c:pt idx="47">
                  <c:v>-7.7278577344186417E-3</c:v>
                </c:pt>
                <c:pt idx="48">
                  <c:v>-5.7826620152967578E-3</c:v>
                </c:pt>
                <c:pt idx="49">
                  <c:v>-3.8996278929337436E-3</c:v>
                </c:pt>
                <c:pt idx="50">
                  <c:v>-2.0839506793324247E-3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9-8740-A354-D70D66BB7D88}"/>
            </c:ext>
          </c:extLst>
        </c:ser>
        <c:ser>
          <c:idx val="1"/>
          <c:order val="1"/>
          <c:tx>
            <c:strRef>
              <c:f>Table_Dynam_GDP!$D$7</c:f>
              <c:strCache>
                <c:ptCount val="1"/>
                <c:pt idx="0">
                  <c:v>LF_HE_LS_WS</c:v>
                </c:pt>
              </c:strCache>
            </c:strRef>
          </c:tx>
          <c:spPr>
            <a:ln w="19050" cap="rnd">
              <a:solidFill>
                <a:srgbClr val="FF2F92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Table_Dynam_GDP!$D$8:$D$58</c:f>
              <c:numCache>
                <c:formatCode>0.00000000</c:formatCode>
                <c:ptCount val="51"/>
                <c:pt idx="0">
                  <c:v>0</c:v>
                </c:pt>
                <c:pt idx="1">
                  <c:v>1.588066502922203E-3</c:v>
                </c:pt>
                <c:pt idx="2">
                  <c:v>-9.8470344685575029E-3</c:v>
                </c:pt>
                <c:pt idx="3">
                  <c:v>-3.993783478443147E-2</c:v>
                </c:pt>
                <c:pt idx="4">
                  <c:v>-8.8370302728468797E-2</c:v>
                </c:pt>
                <c:pt idx="5">
                  <c:v>-0.14876528326083216</c:v>
                </c:pt>
                <c:pt idx="6">
                  <c:v>-0.21295867801980339</c:v>
                </c:pt>
                <c:pt idx="7">
                  <c:v>-0.27386337111614534</c:v>
                </c:pt>
                <c:pt idx="8">
                  <c:v>-0.32656275070970242</c:v>
                </c:pt>
                <c:pt idx="9">
                  <c:v>-0.36836753862358185</c:v>
                </c:pt>
                <c:pt idx="10">
                  <c:v>-0.39843166776846184</c:v>
                </c:pt>
                <c:pt idx="11">
                  <c:v>-0.41724841186308037</c:v>
                </c:pt>
                <c:pt idx="12">
                  <c:v>-0.42617004724614382</c:v>
                </c:pt>
                <c:pt idx="13">
                  <c:v>-0.42700444102526935</c:v>
                </c:pt>
                <c:pt idx="14">
                  <c:v>-0.421702913235944</c:v>
                </c:pt>
                <c:pt idx="15">
                  <c:v>-0.41213734400573632</c:v>
                </c:pt>
                <c:pt idx="16">
                  <c:v>-0.39995679826227981</c:v>
                </c:pt>
                <c:pt idx="17">
                  <c:v>-0.38651139847549754</c:v>
                </c:pt>
                <c:pt idx="18">
                  <c:v>-0.37282816840106259</c:v>
                </c:pt>
                <c:pt idx="19">
                  <c:v>-0.35962466623766787</c:v>
                </c:pt>
                <c:pt idx="20">
                  <c:v>-0.34734662685705908</c:v>
                </c:pt>
                <c:pt idx="21">
                  <c:v>-0.33621839812282284</c:v>
                </c:pt>
                <c:pt idx="22">
                  <c:v>-0.32629734194651316</c:v>
                </c:pt>
                <c:pt idx="23">
                  <c:v>-0.31752467024374065</c:v>
                </c:pt>
                <c:pt idx="24">
                  <c:v>-0.30977047665404767</c:v>
                </c:pt>
                <c:pt idx="25">
                  <c:v>-0.30286935988919073</c:v>
                </c:pt>
                <c:pt idx="26">
                  <c:v>-0.29664731936852595</c:v>
                </c:pt>
                <c:pt idx="27">
                  <c:v>-0.29093965910255148</c:v>
                </c:pt>
                <c:pt idx="28">
                  <c:v>-0.28560200569274219</c:v>
                </c:pt>
                <c:pt idx="29">
                  <c:v>-0.28051512833077163</c:v>
                </c:pt>
                <c:pt idx="30">
                  <c:v>-0.27558609067240836</c:v>
                </c:pt>
                <c:pt idx="31">
                  <c:v>-0.27074608381733034</c:v>
                </c:pt>
                <c:pt idx="32">
                  <c:v>-0.26594721693361523</c:v>
                </c:pt>
                <c:pt idx="33">
                  <c:v>-0.26115828779800232</c:v>
                </c:pt>
                <c:pt idx="34">
                  <c:v>-0.25636086137484915</c:v>
                </c:pt>
                <c:pt idx="35">
                  <c:v>-0.25154554181553435</c:v>
                </c:pt>
                <c:pt idx="36">
                  <c:v>-0.24670916249092123</c:v>
                </c:pt>
                <c:pt idx="37">
                  <c:v>-0.24185233058410249</c:v>
                </c:pt>
                <c:pt idx="38">
                  <c:v>-0.23697787375458468</c:v>
                </c:pt>
                <c:pt idx="39">
                  <c:v>-0.23208977732850355</c:v>
                </c:pt>
                <c:pt idx="40">
                  <c:v>-0.22719255713691267</c:v>
                </c:pt>
                <c:pt idx="41">
                  <c:v>-0.22229099250473672</c:v>
                </c:pt>
                <c:pt idx="42">
                  <c:v>-0.2173899765729459</c:v>
                </c:pt>
                <c:pt idx="43">
                  <c:v>-0.21249449026840006</c:v>
                </c:pt>
                <c:pt idx="44">
                  <c:v>-0.20760983401336697</c:v>
                </c:pt>
                <c:pt idx="45">
                  <c:v>-0.20274143433781644</c:v>
                </c:pt>
                <c:pt idx="46">
                  <c:v>-0.19789501850673297</c:v>
                </c:pt>
                <c:pt idx="47">
                  <c:v>-0.19307662681983251</c:v>
                </c:pt>
                <c:pt idx="48">
                  <c:v>-0.18829238468871523</c:v>
                </c:pt>
                <c:pt idx="49">
                  <c:v>-0.18354862686500439</c:v>
                </c:pt>
                <c:pt idx="50">
                  <c:v>-0.17885162719704084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9-8740-A354-D70D66BB7D88}"/>
            </c:ext>
          </c:extLst>
        </c:ser>
        <c:ser>
          <c:idx val="2"/>
          <c:order val="2"/>
          <c:tx>
            <c:strRef>
              <c:f>Table_Dynam_GDP!$E$7</c:f>
              <c:strCache>
                <c:ptCount val="1"/>
                <c:pt idx="0">
                  <c:v>HF_LE_LS_WS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Table_Dynam_GDP!$E$8:$E$58</c:f>
              <c:numCache>
                <c:formatCode>0.00000000</c:formatCode>
                <c:ptCount val="51"/>
                <c:pt idx="0">
                  <c:v>0</c:v>
                </c:pt>
                <c:pt idx="1">
                  <c:v>0.25683058627175015</c:v>
                </c:pt>
                <c:pt idx="2">
                  <c:v>0.49704620745554262</c:v>
                </c:pt>
                <c:pt idx="3">
                  <c:v>0.68876679038254451</c:v>
                </c:pt>
                <c:pt idx="4">
                  <c:v>0.83425832162591362</c:v>
                </c:pt>
                <c:pt idx="5">
                  <c:v>0.94370454584680186</c:v>
                </c:pt>
                <c:pt idx="6">
                  <c:v>1.026989153354374</c:v>
                </c:pt>
                <c:pt idx="7">
                  <c:v>1.0912237862891194</c:v>
                </c:pt>
                <c:pt idx="8">
                  <c:v>1.1408390349331388</c:v>
                </c:pt>
                <c:pt idx="9">
                  <c:v>1.1784758110349625</c:v>
                </c:pt>
                <c:pt idx="10">
                  <c:v>1.205831698776394</c:v>
                </c:pt>
                <c:pt idx="11">
                  <c:v>1.2242078725165362</c:v>
                </c:pt>
                <c:pt idx="12">
                  <c:v>1.234775409457467</c:v>
                </c:pt>
                <c:pt idx="13">
                  <c:v>1.2386596690290519</c:v>
                </c:pt>
                <c:pt idx="14">
                  <c:v>1.236934179292537</c:v>
                </c:pt>
                <c:pt idx="15">
                  <c:v>1.2305855497056761</c:v>
                </c:pt>
                <c:pt idx="16">
                  <c:v>1.2204805695521515</c:v>
                </c:pt>
                <c:pt idx="17">
                  <c:v>1.2073473331306372</c:v>
                </c:pt>
                <c:pt idx="18">
                  <c:v>1.1917732165123374</c:v>
                </c:pt>
                <c:pt idx="19">
                  <c:v>1.1742142459608695</c:v>
                </c:pt>
                <c:pt idx="20">
                  <c:v>1.1550138093799234</c:v>
                </c:pt>
                <c:pt idx="21">
                  <c:v>1.1344238720075506</c:v>
                </c:pt>
                <c:pt idx="22">
                  <c:v>1.1126278454068883</c:v>
                </c:pt>
                <c:pt idx="23">
                  <c:v>1.0897606674091564</c:v>
                </c:pt>
                <c:pt idx="24">
                  <c:v>1.0659265380060345</c:v>
                </c:pt>
                <c:pt idx="25">
                  <c:v>1.0412125299326114</c:v>
                </c:pt>
                <c:pt idx="26">
                  <c:v>1.0156989371083114</c:v>
                </c:pt>
                <c:pt idx="27">
                  <c:v>0.98946595465754239</c:v>
                </c:pt>
                <c:pt idx="28">
                  <c:v>0.96259764638852996</c:v>
                </c:pt>
                <c:pt idx="29">
                  <c:v>0.93518362766915608</c:v>
                </c:pt>
                <c:pt idx="30">
                  <c:v>0.90731928397129735</c:v>
                </c:pt>
                <c:pt idx="31">
                  <c:v>0.87910465141731731</c:v>
                </c:pt>
                <c:pt idx="32">
                  <c:v>0.85064292523278073</c:v>
                </c:pt>
                <c:pt idx="33">
                  <c:v>0.82203841389927312</c:v>
                </c:pt>
                <c:pt idx="34">
                  <c:v>0.79339457192202367</c:v>
                </c:pt>
                <c:pt idx="35">
                  <c:v>0.76481247380340012</c:v>
                </c:pt>
                <c:pt idx="36">
                  <c:v>0.736389005694571</c:v>
                </c:pt>
                <c:pt idx="37">
                  <c:v>0.70821585648326302</c:v>
                </c:pt>
                <c:pt idx="38">
                  <c:v>0.6803784688999448</c:v>
                </c:pt>
                <c:pt idx="39">
                  <c:v>0.65295567175791547</c:v>
                </c:pt>
                <c:pt idx="40">
                  <c:v>0.62601907501369514</c:v>
                </c:pt>
                <c:pt idx="41">
                  <c:v>0.59963310681239168</c:v>
                </c:pt>
                <c:pt idx="42">
                  <c:v>0.57385494008841409</c:v>
                </c:pt>
                <c:pt idx="43">
                  <c:v>0.54873478591683789</c:v>
                </c:pt>
                <c:pt idx="44">
                  <c:v>0.52431601188924759</c:v>
                </c:pt>
                <c:pt idx="45">
                  <c:v>0.50063550767445175</c:v>
                </c:pt>
                <c:pt idx="46">
                  <c:v>0.47772410025224143</c:v>
                </c:pt>
                <c:pt idx="47">
                  <c:v>0.45560680905984974</c:v>
                </c:pt>
                <c:pt idx="48">
                  <c:v>0.43430337535395047</c:v>
                </c:pt>
                <c:pt idx="49">
                  <c:v>0.41382842823478594</c:v>
                </c:pt>
                <c:pt idx="50">
                  <c:v>0.39419209249444975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9-8740-A354-D70D66BB7D88}"/>
            </c:ext>
          </c:extLst>
        </c:ser>
        <c:ser>
          <c:idx val="3"/>
          <c:order val="3"/>
          <c:tx>
            <c:strRef>
              <c:f>Table_Dynam_GDP!$F$7</c:f>
              <c:strCache>
                <c:ptCount val="1"/>
                <c:pt idx="0">
                  <c:v>HF_HE_LS_WS</c:v>
                </c:pt>
              </c:strCache>
            </c:strRef>
          </c:tx>
          <c:spPr>
            <a:ln w="19050" cap="rnd">
              <a:solidFill>
                <a:srgbClr val="0096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Table_Dynam_GDP!$F$8:$F$58</c:f>
              <c:numCache>
                <c:formatCode>0.00000000</c:formatCode>
                <c:ptCount val="51"/>
                <c:pt idx="0">
                  <c:v>0</c:v>
                </c:pt>
                <c:pt idx="1">
                  <c:v>0.21895395848681165</c:v>
                </c:pt>
                <c:pt idx="2">
                  <c:v>0.38987568109816184</c:v>
                </c:pt>
                <c:pt idx="3">
                  <c:v>0.48419045591279186</c:v>
                </c:pt>
                <c:pt idx="4">
                  <c:v>0.51029402066147256</c:v>
                </c:pt>
                <c:pt idx="5">
                  <c:v>0.4868675674533085</c:v>
                </c:pt>
                <c:pt idx="6">
                  <c:v>0.43298585155870928</c:v>
                </c:pt>
                <c:pt idx="7">
                  <c:v>0.36420726218653332</c:v>
                </c:pt>
                <c:pt idx="8">
                  <c:v>0.29178900833077837</c:v>
                </c:pt>
                <c:pt idx="9">
                  <c:v>0.22321560582194699</c:v>
                </c:pt>
                <c:pt idx="10">
                  <c:v>0.16304985983131015</c:v>
                </c:pt>
                <c:pt idx="11">
                  <c:v>0.11371069345817997</c:v>
                </c:pt>
                <c:pt idx="12">
                  <c:v>7.6084136353116172E-2</c:v>
                </c:pt>
                <c:pt idx="13">
                  <c:v>4.9986528204915004E-2</c:v>
                </c:pt>
                <c:pt idx="14">
                  <c:v>3.4519675803235117E-2</c:v>
                </c:pt>
                <c:pt idx="15">
                  <c:v>2.8347956432894783E-2</c:v>
                </c:pt>
                <c:pt idx="16">
                  <c:v>2.9914967846766949E-2</c:v>
                </c:pt>
                <c:pt idx="17">
                  <c:v>3.7608217022833124E-2</c:v>
                </c:pt>
                <c:pt idx="18">
                  <c:v>4.9878801403857587E-2</c:v>
                </c:pt>
                <c:pt idx="19">
                  <c:v>6.5320810721813949E-2</c:v>
                </c:pt>
                <c:pt idx="20">
                  <c:v>8.2717217954542122E-2</c:v>
                </c:pt>
                <c:pt idx="21">
                  <c:v>0.1010587535127172</c:v>
                </c:pt>
                <c:pt idx="22">
                  <c:v>0.11954288383073663</c:v>
                </c:pt>
                <c:pt idx="23">
                  <c:v>0.13755891138096388</c:v>
                </c:pt>
                <c:pt idx="24">
                  <c:v>0.15466510875266071</c:v>
                </c:pt>
                <c:pt idx="25">
                  <c:v>0.17056199674654327</c:v>
                </c:pt>
                <c:pt idx="26">
                  <c:v>0.18506514059946078</c:v>
                </c:pt>
                <c:pt idx="27">
                  <c:v>0.1980796731437362</c:v>
                </c:pt>
                <c:pt idx="28">
                  <c:v>0.20957777923571452</c:v>
                </c:pt>
                <c:pt idx="29">
                  <c:v>0.21957991570442648</c:v>
                </c:pt>
                <c:pt idx="30">
                  <c:v>0.22813947080400077</c:v>
                </c:pt>
                <c:pt idx="31">
                  <c:v>0.23533121471546181</c:v>
                </c:pt>
                <c:pt idx="32">
                  <c:v>0.24124251125212659</c:v>
                </c:pt>
                <c:pt idx="33">
                  <c:v>0.24596694430314425</c:v>
                </c:pt>
                <c:pt idx="34">
                  <c:v>0.24960014459063373</c:v>
                </c:pt>
                <c:pt idx="35">
                  <c:v>0.25223685028614717</c:v>
                </c:pt>
                <c:pt idx="36">
                  <c:v>0.25396891360225382</c:v>
                </c:pt>
                <c:pt idx="37">
                  <c:v>0.25488429424607162</c:v>
                </c:pt>
                <c:pt idx="38">
                  <c:v>0.25506631933700508</c:v>
                </c:pt>
                <c:pt idx="39">
                  <c:v>0.25459320597889246</c:v>
                </c:pt>
                <c:pt idx="40">
                  <c:v>0.25353800137373206</c:v>
                </c:pt>
                <c:pt idx="41">
                  <c:v>0.25196829919742481</c:v>
                </c:pt>
                <c:pt idx="42">
                  <c:v>0.24994634246087166</c:v>
                </c:pt>
                <c:pt idx="43">
                  <c:v>0.24752896108510836</c:v>
                </c:pt>
                <c:pt idx="44">
                  <c:v>0.24476777413640072</c:v>
                </c:pt>
                <c:pt idx="45">
                  <c:v>0.24170930690130543</c:v>
                </c:pt>
                <c:pt idx="46">
                  <c:v>0.23839519910175966</c:v>
                </c:pt>
                <c:pt idx="47">
                  <c:v>0.23486249104263113</c:v>
                </c:pt>
                <c:pt idx="48">
                  <c:v>0.23114397739507631</c:v>
                </c:pt>
                <c:pt idx="49">
                  <c:v>0.22726848175937953</c:v>
                </c:pt>
                <c:pt idx="50">
                  <c:v>0.22326130832472924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19-8740-A354-D70D66BB7D88}"/>
            </c:ext>
          </c:extLst>
        </c:ser>
        <c:ser>
          <c:idx val="4"/>
          <c:order val="4"/>
          <c:tx>
            <c:strRef>
              <c:f>Table_Dynam_GDP!$G$7</c:f>
              <c:strCache>
                <c:ptCount val="1"/>
                <c:pt idx="0">
                  <c:v>LF_LE_LS_PC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Table_Dynam_GDP!$G$8:$G$58</c:f>
              <c:numCache>
                <c:formatCode>0.00000000</c:formatCode>
                <c:ptCount val="51"/>
                <c:pt idx="0">
                  <c:v>0</c:v>
                </c:pt>
                <c:pt idx="1">
                  <c:v>3.2690832961668193E-2</c:v>
                </c:pt>
                <c:pt idx="2">
                  <c:v>6.7747563984710268E-2</c:v>
                </c:pt>
                <c:pt idx="3">
                  <c:v>9.2372110739602498E-2</c:v>
                </c:pt>
                <c:pt idx="4">
                  <c:v>0.10175137415742164</c:v>
                </c:pt>
                <c:pt idx="5">
                  <c:v>9.8181937211494485E-2</c:v>
                </c:pt>
                <c:pt idx="6">
                  <c:v>8.6697433432747495E-2</c:v>
                </c:pt>
                <c:pt idx="7">
                  <c:v>7.2166917218141613E-2</c:v>
                </c:pt>
                <c:pt idx="8">
                  <c:v>5.8100714349151872E-2</c:v>
                </c:pt>
                <c:pt idx="9">
                  <c:v>4.6465464353806496E-2</c:v>
                </c:pt>
                <c:pt idx="10">
                  <c:v>3.7947500351531716E-2</c:v>
                </c:pt>
                <c:pt idx="11">
                  <c:v>3.2353039482990731E-2</c:v>
                </c:pt>
                <c:pt idx="12">
                  <c:v>2.8995810581178283E-2</c:v>
                </c:pt>
                <c:pt idx="13">
                  <c:v>2.7010086949519341E-2</c:v>
                </c:pt>
                <c:pt idx="14">
                  <c:v>2.5569813792358786E-2</c:v>
                </c:pt>
                <c:pt idx="15">
                  <c:v>2.401726029535034E-2</c:v>
                </c:pt>
                <c:pt idx="16">
                  <c:v>2.1916427609314226E-2</c:v>
                </c:pt>
                <c:pt idx="17">
                  <c:v>1.9052178716272294E-2</c:v>
                </c:pt>
                <c:pt idx="18">
                  <c:v>1.5395303800036508E-2</c:v>
                </c:pt>
                <c:pt idx="19">
                  <c:v>1.1052009915735184E-2</c:v>
                </c:pt>
                <c:pt idx="20">
                  <c:v>6.2099985958852244E-3</c:v>
                </c:pt>
                <c:pt idx="21">
                  <c:v>1.0910623167159628E-3</c:v>
                </c:pt>
                <c:pt idx="22">
                  <c:v>-4.0860463537017999E-3</c:v>
                </c:pt>
                <c:pt idx="23">
                  <c:v>-9.1308411715340654E-3</c:v>
                </c:pt>
                <c:pt idx="24">
                  <c:v>-1.3894852190488027E-2</c:v>
                </c:pt>
                <c:pt idx="25">
                  <c:v>-1.8276039049214265E-2</c:v>
                </c:pt>
                <c:pt idx="26">
                  <c:v>-2.2215906031142207E-2</c:v>
                </c:pt>
                <c:pt idx="27">
                  <c:v>-2.5692179760905542E-2</c:v>
                </c:pt>
                <c:pt idx="28">
                  <c:v>-2.8709350460676131E-2</c:v>
                </c:pt>
                <c:pt idx="29">
                  <c:v>-3.1288981601118593E-2</c:v>
                </c:pt>
                <c:pt idx="30">
                  <c:v>-3.3461358890962689E-2</c:v>
                </c:pt>
                <c:pt idx="31">
                  <c:v>-3.5259006905352663E-2</c:v>
                </c:pt>
                <c:pt idx="32">
                  <c:v>-3.6712813851746962E-2</c:v>
                </c:pt>
                <c:pt idx="33">
                  <c:v>-3.7850406501804823E-2</c:v>
                </c:pt>
                <c:pt idx="34">
                  <c:v>-3.8696318997122336E-2</c:v>
                </c:pt>
                <c:pt idx="35">
                  <c:v>-3.9273224237401649E-2</c:v>
                </c:pt>
                <c:pt idx="36">
                  <c:v>-3.9603873518379018E-2</c:v>
                </c:pt>
                <c:pt idx="37">
                  <c:v>-3.9712639611988454E-2</c:v>
                </c:pt>
                <c:pt idx="38">
                  <c:v>-3.9626684263993628E-2</c:v>
                </c:pt>
                <c:pt idx="39">
                  <c:v>-3.9376352194686604E-2</c:v>
                </c:pt>
                <c:pt idx="40">
                  <c:v>-3.899482594542647E-2</c:v>
                </c:pt>
                <c:pt idx="41">
                  <c:v>-3.8516897346818624E-2</c:v>
                </c:pt>
                <c:pt idx="42">
                  <c:v>-3.7977614969020301E-2</c:v>
                </c:pt>
                <c:pt idx="43">
                  <c:v>-3.741061655793132E-2</c:v>
                </c:pt>
                <c:pt idx="44">
                  <c:v>-3.6846470281159949E-2</c:v>
                </c:pt>
                <c:pt idx="45">
                  <c:v>-3.6311465091931616E-2</c:v>
                </c:pt>
                <c:pt idx="46">
                  <c:v>-3.5826616855039184E-2</c:v>
                </c:pt>
                <c:pt idx="47">
                  <c:v>-3.5407263904951858E-2</c:v>
                </c:pt>
                <c:pt idx="48">
                  <c:v>-3.5062772334681913E-2</c:v>
                </c:pt>
                <c:pt idx="49">
                  <c:v>-3.4797155178423189E-2</c:v>
                </c:pt>
                <c:pt idx="50">
                  <c:v>-3.460935028188894E-2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9-8740-A354-D70D66BB7D88}"/>
            </c:ext>
          </c:extLst>
        </c:ser>
        <c:ser>
          <c:idx val="5"/>
          <c:order val="5"/>
          <c:tx>
            <c:strRef>
              <c:f>Table_Dynam_GDP!$H$7</c:f>
              <c:strCache>
                <c:ptCount val="1"/>
                <c:pt idx="0">
                  <c:v>LF_HE_LS_PC</c:v>
                </c:pt>
              </c:strCache>
            </c:strRef>
          </c:tx>
          <c:spPr>
            <a:ln w="19050" cap="rnd">
              <a:solidFill>
                <a:srgbClr val="FF85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Table_Dynam_GDP!$H$8:$H$58</c:f>
              <c:numCache>
                <c:formatCode>0.00000000</c:formatCode>
                <c:ptCount val="51"/>
                <c:pt idx="0">
                  <c:v>0</c:v>
                </c:pt>
                <c:pt idx="1">
                  <c:v>2.3494811651314507E-3</c:v>
                </c:pt>
                <c:pt idx="2">
                  <c:v>-9.2354070881484063E-3</c:v>
                </c:pt>
                <c:pt idx="3">
                  <c:v>-4.1896138565777896E-2</c:v>
                </c:pt>
                <c:pt idx="4">
                  <c:v>-9.6577459614732852E-2</c:v>
                </c:pt>
                <c:pt idx="5">
                  <c:v>-0.16737296032173221</c:v>
                </c:pt>
                <c:pt idx="6">
                  <c:v>-0.24562345232207461</c:v>
                </c:pt>
                <c:pt idx="7">
                  <c:v>-0.32285190510529249</c:v>
                </c:pt>
                <c:pt idx="8">
                  <c:v>-0.39206983401453011</c:v>
                </c:pt>
                <c:pt idx="9">
                  <c:v>-0.44811815534143706</c:v>
                </c:pt>
                <c:pt idx="10">
                  <c:v>-0.48759967938840632</c:v>
                </c:pt>
                <c:pt idx="11">
                  <c:v>-0.50870019990745252</c:v>
                </c:pt>
                <c:pt idx="12">
                  <c:v>-0.51101074197087426</c:v>
                </c:pt>
                <c:pt idx="13">
                  <c:v>-0.49536669460873428</c:v>
                </c:pt>
                <c:pt idx="14">
                  <c:v>-0.46368304009939409</c:v>
                </c:pt>
                <c:pt idx="15">
                  <c:v>-0.41875994718919562</c:v>
                </c:pt>
                <c:pt idx="16">
                  <c:v>-0.36404682218568185</c:v>
                </c:pt>
                <c:pt idx="17">
                  <c:v>-0.30336906552844711</c:v>
                </c:pt>
                <c:pt idx="18">
                  <c:v>-0.24063622988165223</c:v>
                </c:pt>
                <c:pt idx="19">
                  <c:v>-0.1795582970346099</c:v>
                </c:pt>
                <c:pt idx="20">
                  <c:v>-0.12339765289560711</c:v>
                </c:pt>
                <c:pt idx="21">
                  <c:v>-7.4779206514252738E-2</c:v>
                </c:pt>
                <c:pt idx="22">
                  <c:v>-3.5572989779852904E-2</c:v>
                </c:pt>
                <c:pt idx="23">
                  <c:v>-6.8529638457603959E-3</c:v>
                </c:pt>
                <c:pt idx="24">
                  <c:v>1.1074163445212726E-2</c:v>
                </c:pt>
                <c:pt idx="25">
                  <c:v>1.8584305758762021E-2</c:v>
                </c:pt>
                <c:pt idx="26">
                  <c:v>1.6613428712974887E-2</c:v>
                </c:pt>
                <c:pt idx="27">
                  <c:v>6.515399995743465E-3</c:v>
                </c:pt>
                <c:pt idx="28">
                  <c:v>-1.008159640791817E-2</c:v>
                </c:pt>
                <c:pt idx="29">
                  <c:v>-3.1408147011757759E-2</c:v>
                </c:pt>
                <c:pt idx="30">
                  <c:v>-5.566756032038267E-2</c:v>
                </c:pt>
                <c:pt idx="31">
                  <c:v>-8.1126969846667674E-2</c:v>
                </c:pt>
                <c:pt idx="32">
                  <c:v>-0.10618662055541517</c:v>
                </c:pt>
                <c:pt idx="33">
                  <c:v>-0.12943022867241138</c:v>
                </c:pt>
                <c:pt idx="34">
                  <c:v>-0.14966118319273969</c:v>
                </c:pt>
                <c:pt idx="35">
                  <c:v>-0.16592875871042079</c:v>
                </c:pt>
                <c:pt idx="36">
                  <c:v>-0.17754683678935512</c:v>
                </c:pt>
                <c:pt idx="37">
                  <c:v>-0.18410656464467046</c:v>
                </c:pt>
                <c:pt idx="38">
                  <c:v>-0.18548106298305056</c:v>
                </c:pt>
                <c:pt idx="39">
                  <c:v>-0.18182040209983041</c:v>
                </c:pt>
                <c:pt idx="40">
                  <c:v>-0.17353448673552707</c:v>
                </c:pt>
                <c:pt idx="41">
                  <c:v>-0.16126222019197112</c:v>
                </c:pt>
                <c:pt idx="42">
                  <c:v>-0.14582733376015122</c:v>
                </c:pt>
                <c:pt idx="43">
                  <c:v>-0.12818290213769679</c:v>
                </c:pt>
                <c:pt idx="44">
                  <c:v>-0.10934836584789442</c:v>
                </c:pt>
                <c:pt idx="45">
                  <c:v>-9.0344138526654572E-2</c:v>
                </c:pt>
                <c:pt idx="46">
                  <c:v>-7.2128992281295101E-2</c:v>
                </c:pt>
                <c:pt idx="47">
                  <c:v>-5.5545392479272593E-2</c:v>
                </c:pt>
                <c:pt idx="48">
                  <c:v>-4.1276638559450962E-2</c:v>
                </c:pt>
                <c:pt idx="49">
                  <c:v>-2.981826467729487E-2</c:v>
                </c:pt>
                <c:pt idx="50">
                  <c:v>-2.1464766985923589E-2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19-8740-A354-D70D66BB7D88}"/>
            </c:ext>
          </c:extLst>
        </c:ser>
        <c:ser>
          <c:idx val="6"/>
          <c:order val="6"/>
          <c:tx>
            <c:strRef>
              <c:f>Table_Dynam_GDP!$I$7</c:f>
              <c:strCache>
                <c:ptCount val="1"/>
                <c:pt idx="0">
                  <c:v>HF_LE_LS_PC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Table_Dynam_GDP!$I$8:$I$58</c:f>
              <c:numCache>
                <c:formatCode>0.00000000</c:formatCode>
                <c:ptCount val="51"/>
                <c:pt idx="0">
                  <c:v>0</c:v>
                </c:pt>
                <c:pt idx="1">
                  <c:v>0.25831138912779661</c:v>
                </c:pt>
                <c:pt idx="2">
                  <c:v>0.50158557672284054</c:v>
                </c:pt>
                <c:pt idx="3">
                  <c:v>0.69774204993720002</c:v>
                </c:pt>
                <c:pt idx="4">
                  <c:v>0.84870434038721854</c:v>
                </c:pt>
                <c:pt idx="5">
                  <c:v>0.96422084880081194</c:v>
                </c:pt>
                <c:pt idx="6">
                  <c:v>1.0536773158627222</c:v>
                </c:pt>
                <c:pt idx="7">
                  <c:v>1.1236517291753234</c:v>
                </c:pt>
                <c:pt idx="8">
                  <c:v>1.1780482307915729</c:v>
                </c:pt>
                <c:pt idx="9">
                  <c:v>1.219035922360856</c:v>
                </c:pt>
                <c:pt idx="10">
                  <c:v>1.24793071716367</c:v>
                </c:pt>
                <c:pt idx="11">
                  <c:v>1.2657576478474875</c:v>
                </c:pt>
                <c:pt idx="12">
                  <c:v>1.2735157949629095</c:v>
                </c:pt>
                <c:pt idx="13">
                  <c:v>1.2722529416069772</c:v>
                </c:pt>
                <c:pt idx="14">
                  <c:v>1.2630492823979989</c:v>
                </c:pt>
                <c:pt idx="15">
                  <c:v>1.2469754859596671</c:v>
                </c:pt>
                <c:pt idx="16">
                  <c:v>1.2250569027664193</c:v>
                </c:pt>
                <c:pt idx="17">
                  <c:v>1.1982527248712627</c:v>
                </c:pt>
                <c:pt idx="18">
                  <c:v>1.1674479170237451</c:v>
                </c:pt>
                <c:pt idx="19">
                  <c:v>1.1334524144106739</c:v>
                </c:pt>
                <c:pt idx="20">
                  <c:v>1.0970023985814148</c:v>
                </c:pt>
                <c:pt idx="21">
                  <c:v>1.0587596781358899</c:v>
                </c:pt>
                <c:pt idx="22">
                  <c:v>1.0193091620551487</c:v>
                </c:pt>
                <c:pt idx="23">
                  <c:v>0.97915577339655613</c:v>
                </c:pt>
                <c:pt idx="24">
                  <c:v>0.93872234092153839</c:v>
                </c:pt>
                <c:pt idx="25">
                  <c:v>0.89835105134885573</c:v>
                </c:pt>
                <c:pt idx="26">
                  <c:v>0.85830979207470737</c:v>
                </c:pt>
                <c:pt idx="27">
                  <c:v>0.81880329395265239</c:v>
                </c:pt>
                <c:pt idx="28">
                  <c:v>0.77998844096933695</c:v>
                </c:pt>
                <c:pt idx="29">
                  <c:v>0.74199132103363041</c:v>
                </c:pt>
                <c:pt idx="30">
                  <c:v>0.70492387133120893</c:v>
                </c:pt>
                <c:pt idx="31">
                  <c:v>0.66889729076660132</c:v>
                </c:pt>
                <c:pt idx="32">
                  <c:v>0.63402999841410956</c:v>
                </c:pt>
                <c:pt idx="33">
                  <c:v>0.60045009841069863</c:v>
                </c:pt>
                <c:pt idx="34">
                  <c:v>0.56829109743434802</c:v>
                </c:pt>
                <c:pt idx="35">
                  <c:v>0.53768282761412767</c:v>
                </c:pt>
                <c:pt idx="36">
                  <c:v>0.50873952750976059</c:v>
                </c:pt>
                <c:pt idx="37">
                  <c:v>0.48154680823671026</c:v>
                </c:pt>
                <c:pt idx="38">
                  <c:v>0.45615046757851996</c:v>
                </c:pt>
                <c:pt idx="39">
                  <c:v>0.43254859473538243</c:v>
                </c:pt>
                <c:pt idx="40">
                  <c:v>0.41068819202132456</c:v>
                </c:pt>
                <c:pt idx="41">
                  <c:v>0.39046690215838176</c:v>
                </c:pt>
                <c:pt idx="42">
                  <c:v>0.37173908384902088</c:v>
                </c:pt>
                <c:pt idx="43">
                  <c:v>0.35432561790034178</c:v>
                </c:pt>
                <c:pt idx="44">
                  <c:v>0.33802589662466076</c:v>
                </c:pt>
                <c:pt idx="45">
                  <c:v>0.32263050657512782</c:v>
                </c:pt>
                <c:pt idx="46">
                  <c:v>0.30793355086833341</c:v>
                </c:pt>
                <c:pt idx="47">
                  <c:v>0.29374321808979253</c:v>
                </c:pt>
                <c:pt idx="48">
                  <c:v>0.27989028037056496</c:v>
                </c:pt>
                <c:pt idx="49">
                  <c:v>0.26623384236670322</c:v>
                </c:pt>
                <c:pt idx="50">
                  <c:v>0.25266444122524767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19-8740-A354-D70D66BB7D88}"/>
            </c:ext>
          </c:extLst>
        </c:ser>
        <c:ser>
          <c:idx val="7"/>
          <c:order val="7"/>
          <c:tx>
            <c:strRef>
              <c:f>Table_Dynam_GDP!$J$7</c:f>
              <c:strCache>
                <c:ptCount val="1"/>
                <c:pt idx="0">
                  <c:v>HF_HE_LS_PC</c:v>
                </c:pt>
              </c:strCache>
            </c:strRef>
          </c:tx>
          <c:spPr>
            <a:ln w="19050" cap="rnd">
              <a:solidFill>
                <a:srgbClr val="9437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Table_Dynam_GDP!$J$8:$J$58</c:f>
              <c:numCache>
                <c:formatCode>0.00000000</c:formatCode>
                <c:ptCount val="51"/>
                <c:pt idx="0">
                  <c:v>0</c:v>
                </c:pt>
                <c:pt idx="1">
                  <c:v>0.21945389621906841</c:v>
                </c:pt>
                <c:pt idx="2">
                  <c:v>0.38919888662367619</c:v>
                </c:pt>
                <c:pt idx="3">
                  <c:v>0.47730126026113151</c:v>
                </c:pt>
                <c:pt idx="4">
                  <c:v>0.48857955713621504</c:v>
                </c:pt>
                <c:pt idx="5">
                  <c:v>0.43889933701715123</c:v>
                </c:pt>
                <c:pt idx="6">
                  <c:v>0.34606220226649498</c:v>
                </c:pt>
                <c:pt idx="7">
                  <c:v>0.22632895525036556</c:v>
                </c:pt>
                <c:pt idx="8">
                  <c:v>9.3709550356835258E-2</c:v>
                </c:pt>
                <c:pt idx="9">
                  <c:v>-3.9751430244316932E-2</c:v>
                </c:pt>
                <c:pt idx="10">
                  <c:v>-0.16361931881748726</c:v>
                </c:pt>
                <c:pt idx="11">
                  <c:v>-0.2689642220959243</c:v>
                </c:pt>
                <c:pt idx="12">
                  <c:v>-0.34851295335939225</c:v>
                </c:pt>
                <c:pt idx="13">
                  <c:v>-0.39694349256650385</c:v>
                </c:pt>
                <c:pt idx="14">
                  <c:v>-0.41118810840017339</c:v>
                </c:pt>
                <c:pt idx="15">
                  <c:v>-0.39063435070715302</c:v>
                </c:pt>
                <c:pt idx="16">
                  <c:v>-0.33714967590566802</c:v>
                </c:pt>
                <c:pt idx="17">
                  <c:v>-0.2548971422657087</c:v>
                </c:pt>
                <c:pt idx="18">
                  <c:v>-0.1499493154638265</c:v>
                </c:pt>
                <c:pt idx="19">
                  <c:v>-2.9739945209150687E-2</c:v>
                </c:pt>
                <c:pt idx="20">
                  <c:v>9.7582828520414999E-2</c:v>
                </c:pt>
                <c:pt idx="21">
                  <c:v>0.22382769012785353</c:v>
                </c:pt>
                <c:pt idx="22">
                  <c:v>0.34138504587764018</c:v>
                </c:pt>
                <c:pt idx="23">
                  <c:v>0.44374900696497743</c:v>
                </c:pt>
                <c:pt idx="24">
                  <c:v>0.52589988732303361</c:v>
                </c:pt>
                <c:pt idx="25">
                  <c:v>0.58452992589381747</c:v>
                </c:pt>
                <c:pt idx="26">
                  <c:v>0.61811041305546155</c:v>
                </c:pt>
                <c:pt idx="27">
                  <c:v>0.62681384029585896</c:v>
                </c:pt>
                <c:pt idx="28">
                  <c:v>0.61231298116020128</c:v>
                </c:pt>
                <c:pt idx="29">
                  <c:v>0.5774900185490317</c:v>
                </c:pt>
                <c:pt idx="30">
                  <c:v>0.5260931544062597</c:v>
                </c:pt>
                <c:pt idx="31">
                  <c:v>0.46238049251550173</c:v>
                </c:pt>
                <c:pt idx="32">
                  <c:v>0.39078565429198076</c:v>
                </c:pt>
                <c:pt idx="33">
                  <c:v>0.31563107500089949</c:v>
                </c:pt>
                <c:pt idx="34">
                  <c:v>0.24090363851361207</c:v>
                </c:pt>
                <c:pt idx="35">
                  <c:v>0.17009494887432197</c:v>
                </c:pt>
                <c:pt idx="36">
                  <c:v>0.10610094809238024</c:v>
                </c:pt>
                <c:pt idx="37">
                  <c:v>5.11688437563107E-2</c:v>
                </c:pt>
                <c:pt idx="38">
                  <c:v>6.8798835811900716E-3</c:v>
                </c:pt>
                <c:pt idx="39">
                  <c:v>-2.5842005005471957E-2</c:v>
                </c:pt>
                <c:pt idx="40">
                  <c:v>-4.6702692973199511E-2</c:v>
                </c:pt>
                <c:pt idx="41">
                  <c:v>-5.5993900015560705E-2</c:v>
                </c:pt>
                <c:pt idx="42">
                  <c:v>-5.453366261943815E-2</c:v>
                </c:pt>
                <c:pt idx="43">
                  <c:v>-4.3590714668650943E-2</c:v>
                </c:pt>
                <c:pt idx="44">
                  <c:v>-2.4793507319609276E-2</c:v>
                </c:pt>
                <c:pt idx="45">
                  <c:v>-2.601375638233705E-5</c:v>
                </c:pt>
                <c:pt idx="46">
                  <c:v>2.8685662147220903E-2</c:v>
                </c:pt>
                <c:pt idx="47">
                  <c:v>5.9289476366974903E-2</c:v>
                </c:pt>
                <c:pt idx="48">
                  <c:v>8.9819636909016509E-2</c:v>
                </c:pt>
                <c:pt idx="49">
                  <c:v>0.11849745210323892</c:v>
                </c:pt>
                <c:pt idx="50">
                  <c:v>0.14381470747850678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19-8740-A354-D70D66BB7D88}"/>
            </c:ext>
          </c:extLst>
        </c:ser>
        <c:ser>
          <c:idx val="8"/>
          <c:order val="8"/>
          <c:tx>
            <c:strRef>
              <c:f>Table_Dynam_GDP!$K$7</c:f>
              <c:strCache>
                <c:ptCount val="1"/>
                <c:pt idx="0">
                  <c:v>LF_LE_LS_PC-TVN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Table_Dynam_GDP!$K$8:$K$58</c:f>
              <c:numCache>
                <c:formatCode>0.00000000</c:formatCode>
                <c:ptCount val="51"/>
                <c:pt idx="0">
                  <c:v>0</c:v>
                </c:pt>
                <c:pt idx="1">
                  <c:v>3.2367949978984178E-2</c:v>
                </c:pt>
                <c:pt idx="2">
                  <c:v>6.6588554650426346E-2</c:v>
                </c:pt>
                <c:pt idx="3">
                  <c:v>8.9920512219965332E-2</c:v>
                </c:pt>
                <c:pt idx="4">
                  <c:v>9.7759165326816166E-2</c:v>
                </c:pt>
                <c:pt idx="5">
                  <c:v>9.2627911923304218E-2</c:v>
                </c:pt>
                <c:pt idx="6">
                  <c:v>7.9718044944798727E-2</c:v>
                </c:pt>
                <c:pt idx="7">
                  <c:v>6.3965407008681474E-2</c:v>
                </c:pt>
                <c:pt idx="8">
                  <c:v>4.8878629257109729E-2</c:v>
                </c:pt>
                <c:pt idx="9">
                  <c:v>3.6394384334514918E-2</c:v>
                </c:pt>
                <c:pt idx="10">
                  <c:v>2.7176619306734651E-2</c:v>
                </c:pt>
                <c:pt idx="11">
                  <c:v>2.1036745425617731E-2</c:v>
                </c:pt>
                <c:pt idx="12">
                  <c:v>1.732389174353699E-2</c:v>
                </c:pt>
                <c:pt idx="13">
                  <c:v>1.5228338763484395E-2</c:v>
                </c:pt>
                <c:pt idx="14">
                  <c:v>1.3984025260960209E-2</c:v>
                </c:pt>
                <c:pt idx="15">
                  <c:v>1.2982020253682336E-2</c:v>
                </c:pt>
                <c:pt idx="16">
                  <c:v>1.1812174980962986E-2</c:v>
                </c:pt>
                <c:pt idx="17">
                  <c:v>1.0256786625362224E-2</c:v>
                </c:pt>
                <c:pt idx="18">
                  <c:v>8.2561304538542046E-3</c:v>
                </c:pt>
                <c:pt idx="19">
                  <c:v>5.8621828466165482E-3</c:v>
                </c:pt>
                <c:pt idx="20">
                  <c:v>3.192562387677178E-3</c:v>
                </c:pt>
                <c:pt idx="21">
                  <c:v>3.9142390970692276E-4</c:v>
                </c:pt>
                <c:pt idx="22">
                  <c:v>-2.3999064240332046E-3</c:v>
                </c:pt>
                <c:pt idx="23">
                  <c:v>-5.0616598166630666E-3</c:v>
                </c:pt>
                <c:pt idx="24">
                  <c:v>-7.505309727262599E-3</c:v>
                </c:pt>
                <c:pt idx="25">
                  <c:v>-9.6757818746073809E-3</c:v>
                </c:pt>
                <c:pt idx="26">
                  <c:v>-1.1548810924399966E-2</c:v>
                </c:pt>
                <c:pt idx="27">
                  <c:v>-1.3125138424541216E-2</c:v>
                </c:pt>
                <c:pt idx="28">
                  <c:v>-1.4423676705899169E-2</c:v>
                </c:pt>
                <c:pt idx="29">
                  <c:v>-1.5474292372918974E-2</c:v>
                </c:pt>
                <c:pt idx="30">
                  <c:v>-1.6312086289382854E-2</c:v>
                </c:pt>
                <c:pt idx="31">
                  <c:v>-1.6972688715533035E-2</c:v>
                </c:pt>
                <c:pt idx="32">
                  <c:v>-1.7489363665601498E-2</c:v>
                </c:pt>
                <c:pt idx="33">
                  <c:v>-1.7891431971561733E-2</c:v>
                </c:pt>
                <c:pt idx="34">
                  <c:v>-1.8203816542294859E-2</c:v>
                </c:pt>
                <c:pt idx="35">
                  <c:v>-1.8447632468077124E-2</c:v>
                </c:pt>
                <c:pt idx="36">
                  <c:v>-1.8640902888167332E-2</c:v>
                </c:pt>
                <c:pt idx="37">
                  <c:v>-1.8799401285030104E-2</c:v>
                </c:pt>
                <c:pt idx="38">
                  <c:v>-1.8937453346801192E-2</c:v>
                </c:pt>
                <c:pt idx="39">
                  <c:v>-1.906837233752734E-2</c:v>
                </c:pt>
                <c:pt idx="40">
                  <c:v>-1.920441616091173E-2</c:v>
                </c:pt>
                <c:pt idx="41">
                  <c:v>-1.9356822559146725E-2</c:v>
                </c:pt>
                <c:pt idx="42">
                  <c:v>-1.9535366128320408E-2</c:v>
                </c:pt>
                <c:pt idx="43">
                  <c:v>-1.9747997362817848E-2</c:v>
                </c:pt>
                <c:pt idx="44">
                  <c:v>-2.0000471728798264E-2</c:v>
                </c:pt>
                <c:pt idx="45">
                  <c:v>-2.0296095952576643E-2</c:v>
                </c:pt>
                <c:pt idx="46">
                  <c:v>-2.0635658114198652E-2</c:v>
                </c:pt>
                <c:pt idx="47">
                  <c:v>-2.1017478287599367E-2</c:v>
                </c:pt>
                <c:pt idx="48">
                  <c:v>-2.143764051154573E-2</c:v>
                </c:pt>
                <c:pt idx="49">
                  <c:v>-2.1890361382748136E-2</c:v>
                </c:pt>
                <c:pt idx="50">
                  <c:v>-2.2368400658134835E-2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19-8740-A354-D70D66BB7D88}"/>
            </c:ext>
          </c:extLst>
        </c:ser>
        <c:ser>
          <c:idx val="9"/>
          <c:order val="9"/>
          <c:tx>
            <c:strRef>
              <c:f>Table_Dynam_GDP!$L$7</c:f>
              <c:strCache>
                <c:ptCount val="1"/>
                <c:pt idx="0">
                  <c:v>LF_HE_LS_PC-TVN</c:v>
                </c:pt>
              </c:strCache>
            </c:strRef>
          </c:tx>
          <c:spPr>
            <a:ln w="19050" cap="rnd">
              <a:solidFill>
                <a:srgbClr val="FF8AD8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Table_Dynam_GDP!$L$8:$L$58</c:f>
              <c:numCache>
                <c:formatCode>0.00000000</c:formatCode>
                <c:ptCount val="51"/>
                <c:pt idx="0">
                  <c:v>0</c:v>
                </c:pt>
                <c:pt idx="1">
                  <c:v>2.191077976476663E-3</c:v>
                </c:pt>
                <c:pt idx="2">
                  <c:v>-9.584903026171876E-3</c:v>
                </c:pt>
                <c:pt idx="3">
                  <c:v>-4.2058323036098244E-2</c:v>
                </c:pt>
                <c:pt idx="4">
                  <c:v>-9.5708064458510655E-2</c:v>
                </c:pt>
                <c:pt idx="5">
                  <c:v>-0.16434649418244351</c:v>
                </c:pt>
                <c:pt idx="6">
                  <c:v>-0.23936500115834258</c:v>
                </c:pt>
                <c:pt idx="7">
                  <c:v>-0.3127077544364143</c:v>
                </c:pt>
                <c:pt idx="8">
                  <c:v>-0.37812797903791218</c:v>
                </c:pt>
                <c:pt idx="9">
                  <c:v>-0.4314184977091462</c:v>
                </c:pt>
                <c:pt idx="10">
                  <c:v>-0.4702002653727666</c:v>
                </c:pt>
                <c:pt idx="11">
                  <c:v>-0.49358734207270993</c:v>
                </c:pt>
                <c:pt idx="12">
                  <c:v>-0.50186245653603967</c:v>
                </c:pt>
                <c:pt idx="13">
                  <c:v>-0.49619919478398611</c:v>
                </c:pt>
                <c:pt idx="14">
                  <c:v>-0.47842747765011184</c:v>
                </c:pt>
                <c:pt idx="15">
                  <c:v>-0.45082603491161111</c:v>
                </c:pt>
                <c:pt idx="16">
                  <c:v>-0.41593157466183195</c:v>
                </c:pt>
                <c:pt idx="17">
                  <c:v>-0.37635948474096237</c:v>
                </c:pt>
                <c:pt idx="18">
                  <c:v>-0.33463986516613087</c:v>
                </c:pt>
                <c:pt idx="19">
                  <c:v>-0.29307570947492145</c:v>
                </c:pt>
                <c:pt idx="20">
                  <c:v>-0.25363056402392115</c:v>
                </c:pt>
                <c:pt idx="21">
                  <c:v>-0.21785247090044813</c:v>
                </c:pt>
                <c:pt idx="22">
                  <c:v>-0.18683603634871426</c:v>
                </c:pt>
                <c:pt idx="23">
                  <c:v>-0.16122142724362964</c:v>
                </c:pt>
                <c:pt idx="24">
                  <c:v>-0.14122622500969406</c:v>
                </c:pt>
                <c:pt idx="25">
                  <c:v>-0.12670175296665143</c:v>
                </c:pt>
                <c:pt idx="26">
                  <c:v>-0.1172059981674578</c:v>
                </c:pt>
                <c:pt idx="27">
                  <c:v>-0.11208376094478112</c:v>
                </c:pt>
                <c:pt idx="28">
                  <c:v>-0.11054653753853616</c:v>
                </c:pt>
                <c:pt idx="29">
                  <c:v>-0.11174570556492514</c:v>
                </c:pt>
                <c:pt idx="30">
                  <c:v>-0.11483499275553033</c:v>
                </c:pt>
                <c:pt idx="31">
                  <c:v>-0.11902011723595729</c:v>
                </c:pt>
                <c:pt idx="32">
                  <c:v>-0.12359509628714349</c:v>
                </c:pt>
                <c:pt idx="33">
                  <c:v>-0.12796567951468552</c:v>
                </c:pt>
                <c:pt idx="34">
                  <c:v>-0.1316620231116894</c:v>
                </c:pt>
                <c:pt idx="35">
                  <c:v>-0.13434158124060458</c:v>
                </c:pt>
                <c:pt idx="36">
                  <c:v>-0.13578507725505728</c:v>
                </c:pt>
                <c:pt idx="37">
                  <c:v>-0.13588643911555121</c:v>
                </c:pt>
                <c:pt idx="38">
                  <c:v>-0.13463909354657355</c:v>
                </c:pt>
                <c:pt idx="39">
                  <c:v>-0.13211936139192471</c:v>
                </c:pt>
                <c:pt idx="40">
                  <c:v>-0.12846861420459099</c:v>
                </c:pt>
                <c:pt idx="41">
                  <c:v>-0.12387487751333026</c:v>
                </c:pt>
                <c:pt idx="42">
                  <c:v>-0.11855492854627725</c:v>
                </c:pt>
                <c:pt idx="43">
                  <c:v>-0.11273777745431923</c:v>
                </c:pt>
                <c:pt idx="44">
                  <c:v>-0.10664989443889272</c:v>
                </c:pt>
                <c:pt idx="45">
                  <c:v>-0.10050285071339093</c:v>
                </c:pt>
                <c:pt idx="46">
                  <c:v>-9.4483607113260426E-2</c:v>
                </c:pt>
                <c:pt idx="47">
                  <c:v>-8.8747791640853002E-2</c:v>
                </c:pt>
                <c:pt idx="48">
                  <c:v>-8.3415669853026397E-2</c:v>
                </c:pt>
                <c:pt idx="49">
                  <c:v>-7.8570746982531414E-2</c:v>
                </c:pt>
                <c:pt idx="50">
                  <c:v>-7.4260871731313127E-2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19-8740-A354-D70D66BB7D88}"/>
            </c:ext>
          </c:extLst>
        </c:ser>
        <c:ser>
          <c:idx val="10"/>
          <c:order val="10"/>
          <c:tx>
            <c:strRef>
              <c:f>Table_Dynam_GDP!$M$7</c:f>
              <c:strCache>
                <c:ptCount val="1"/>
                <c:pt idx="0">
                  <c:v>HF_LE_LS_PC-TVN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Table_Dynam_GDP!$M$8:$M$58</c:f>
              <c:numCache>
                <c:formatCode>0.00000000</c:formatCode>
                <c:ptCount val="51"/>
                <c:pt idx="0">
                  <c:v>0</c:v>
                </c:pt>
                <c:pt idx="1">
                  <c:v>0.25768787005711058</c:v>
                </c:pt>
                <c:pt idx="2">
                  <c:v>0.49930839505556435</c:v>
                </c:pt>
                <c:pt idx="3">
                  <c:v>0.69287625071958736</c:v>
                </c:pt>
                <c:pt idx="4">
                  <c:v>0.8407589210289057</c:v>
                </c:pt>
                <c:pt idx="5">
                  <c:v>0.95322376496655981</c:v>
                </c:pt>
                <c:pt idx="6">
                  <c:v>1.04004940288831</c:v>
                </c:pt>
                <c:pt idx="7">
                  <c:v>1.1080027973298323</c:v>
                </c:pt>
                <c:pt idx="8">
                  <c:v>1.1609955408092176</c:v>
                </c:pt>
                <c:pt idx="9">
                  <c:v>1.2010946294091829</c:v>
                </c:pt>
                <c:pt idx="10">
                  <c:v>1.2294835668017479</c:v>
                </c:pt>
                <c:pt idx="11">
                  <c:v>1.2470851995763033</c:v>
                </c:pt>
                <c:pt idx="12">
                  <c:v>1.2548581313311047</c:v>
                </c:pt>
                <c:pt idx="13">
                  <c:v>1.2538746055310357</c:v>
                </c:pt>
                <c:pt idx="14">
                  <c:v>1.2452888158692943</c:v>
                </c:pt>
                <c:pt idx="15">
                  <c:v>1.2302686683884012</c:v>
                </c:pt>
                <c:pt idx="16">
                  <c:v>1.2099324612886653</c:v>
                </c:pt>
                <c:pt idx="17">
                  <c:v>1.1853048728241777</c:v>
                </c:pt>
                <c:pt idx="18">
                  <c:v>1.157294402857123</c:v>
                </c:pt>
                <c:pt idx="19">
                  <c:v>1.126687073180821</c:v>
                </c:pt>
                <c:pt idx="20">
                  <c:v>1.0941498229880109</c:v>
                </c:pt>
                <c:pt idx="21">
                  <c:v>1.0602390941213624</c:v>
                </c:pt>
                <c:pt idx="22">
                  <c:v>1.0254109067808326</c:v>
                </c:pt>
                <c:pt idx="23">
                  <c:v>0.99003163764037616</c:v>
                </c:pt>
                <c:pt idx="24">
                  <c:v>0.95438876641804615</c:v>
                </c:pt>
                <c:pt idx="25">
                  <c:v>0.91870305129837515</c:v>
                </c:pt>
                <c:pt idx="26">
                  <c:v>0.88314145023469237</c:v>
                </c:pt>
                <c:pt idx="27">
                  <c:v>0.84783157792158725</c:v>
                </c:pt>
                <c:pt idx="28">
                  <c:v>0.81287666054536967</c:v>
                </c:pt>
                <c:pt idx="29">
                  <c:v>0.77836971986160464</c:v>
                </c:pt>
                <c:pt idx="30">
                  <c:v>0.74440536696620541</c:v>
                </c:pt>
                <c:pt idx="31">
                  <c:v>0.71108839606321972</c:v>
                </c:pt>
                <c:pt idx="32">
                  <c:v>0.67853705547340493</c:v>
                </c:pt>
                <c:pt idx="33">
                  <c:v>0.64688197561670879</c:v>
                </c:pt>
                <c:pt idx="34">
                  <c:v>0.61626031735475539</c:v>
                </c:pt>
                <c:pt idx="35">
                  <c:v>0.58680632278043099</c:v>
                </c:pt>
                <c:pt idx="36">
                  <c:v>0.55864079492955465</c:v>
                </c:pt>
                <c:pt idx="37">
                  <c:v>0.53185988879200785</c:v>
                </c:pt>
                <c:pt idx="38">
                  <c:v>0.50652624777602906</c:v>
                </c:pt>
                <c:pt idx="39">
                  <c:v>0.48266306447986018</c:v>
                </c:pt>
                <c:pt idx="40">
                  <c:v>0.46025169727634818</c:v>
                </c:pt>
                <c:pt idx="41">
                  <c:v>0.43923360931381605</c:v>
                </c:pt>
                <c:pt idx="42">
                  <c:v>0.4195154303937132</c:v>
                </c:pt>
                <c:pt idx="43">
                  <c:v>0.40097678832415884</c:v>
                </c:pt>
                <c:pt idx="44">
                  <c:v>0.38347959541609189</c:v>
                </c:pt>
                <c:pt idx="45">
                  <c:v>0.36687789142006988</c:v>
                </c:pt>
                <c:pt idx="46">
                  <c:v>0.35102690899162514</c:v>
                </c:pt>
                <c:pt idx="47">
                  <c:v>0.33579108818939662</c:v>
                </c:pt>
                <c:pt idx="48">
                  <c:v>0.32104993780923685</c:v>
                </c:pt>
                <c:pt idx="49">
                  <c:v>0.30670222986011186</c:v>
                </c:pt>
                <c:pt idx="50">
                  <c:v>0.29266794661404472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19-8740-A354-D70D66BB7D88}"/>
            </c:ext>
          </c:extLst>
        </c:ser>
        <c:ser>
          <c:idx val="11"/>
          <c:order val="11"/>
          <c:tx>
            <c:strRef>
              <c:f>Table_Dynam_GDP!$N$7</c:f>
              <c:strCache>
                <c:ptCount val="1"/>
                <c:pt idx="0">
                  <c:v>HF_HE_LS_PC-TVN</c:v>
                </c:pt>
              </c:strCache>
            </c:strRef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Table_Dynam_GDP!$N$8:$N$58</c:f>
              <c:numCache>
                <c:formatCode>0.00000000</c:formatCode>
                <c:ptCount val="51"/>
                <c:pt idx="0">
                  <c:v>0</c:v>
                </c:pt>
                <c:pt idx="1">
                  <c:v>0.21913209511903453</c:v>
                </c:pt>
                <c:pt idx="2">
                  <c:v>0.3885049524087858</c:v>
                </c:pt>
                <c:pt idx="3">
                  <c:v>0.47718576609172558</c:v>
                </c:pt>
                <c:pt idx="4">
                  <c:v>0.49131181403654356</c:v>
                </c:pt>
                <c:pt idx="5">
                  <c:v>0.44784291101136464</c:v>
                </c:pt>
                <c:pt idx="6">
                  <c:v>0.36503783420367419</c:v>
                </c:pt>
                <c:pt idx="7">
                  <c:v>0.25877543903480849</c:v>
                </c:pt>
                <c:pt idx="8">
                  <c:v>0.14183679433337204</c:v>
                </c:pt>
                <c:pt idx="9">
                  <c:v>2.433012431046766E-2</c:v>
                </c:pt>
                <c:pt idx="10">
                  <c:v>-8.5714112888501948E-2</c:v>
                </c:pt>
                <c:pt idx="11">
                  <c:v>-0.18193930023282512</c:v>
                </c:pt>
                <c:pt idx="12">
                  <c:v>-0.25948906515110837</c:v>
                </c:pt>
                <c:pt idx="13">
                  <c:v>-0.31498585666278611</c:v>
                </c:pt>
                <c:pt idx="14">
                  <c:v>-0.34656269711825782</c:v>
                </c:pt>
                <c:pt idx="15">
                  <c:v>-0.35387127081888403</c:v>
                </c:pt>
                <c:pt idx="16">
                  <c:v>-0.33801746730290905</c:v>
                </c:pt>
                <c:pt idx="17">
                  <c:v>-0.30140655766328628</c:v>
                </c:pt>
                <c:pt idx="18">
                  <c:v>-0.24750041088119623</c:v>
                </c:pt>
                <c:pt idx="19">
                  <c:v>-0.18050691573892053</c:v>
                </c:pt>
                <c:pt idx="20">
                  <c:v>-0.10503211782334487</c:v>
                </c:pt>
                <c:pt idx="21">
                  <c:v>-2.5727856530211035E-2</c:v>
                </c:pt>
                <c:pt idx="22">
                  <c:v>5.3030608366366749E-2</c:v>
                </c:pt>
                <c:pt idx="23">
                  <c:v>0.12741080177762765</c:v>
                </c:pt>
                <c:pt idx="24">
                  <c:v>0.19431502426723313</c:v>
                </c:pt>
                <c:pt idx="25">
                  <c:v>0.25149003918256696</c:v>
                </c:pt>
                <c:pt idx="26">
                  <c:v>0.29755644554012584</c:v>
                </c:pt>
                <c:pt idx="27">
                  <c:v>0.33196734850298171</c:v>
                </c:pt>
                <c:pt idx="28">
                  <c:v>0.35491200225126196</c:v>
                </c:pt>
                <c:pt idx="29">
                  <c:v>0.3671806048121784</c:v>
                </c:pt>
                <c:pt idx="30">
                  <c:v>0.37000950370917884</c:v>
                </c:pt>
                <c:pt idx="31">
                  <c:v>0.36492212190701867</c:v>
                </c:pt>
                <c:pt idx="32">
                  <c:v>0.35357940656024489</c:v>
                </c:pt>
                <c:pt idx="33">
                  <c:v>0.33764991763993724</c:v>
                </c:pt>
                <c:pt idx="34">
                  <c:v>0.31870583790098994</c:v>
                </c:pt>
                <c:pt idx="35">
                  <c:v>0.29814748166474558</c:v>
                </c:pt>
                <c:pt idx="36">
                  <c:v>0.27715623045796445</c:v>
                </c:pt>
                <c:pt idx="37">
                  <c:v>0.25667310092085671</c:v>
                </c:pt>
                <c:pt idx="38">
                  <c:v>0.23739819807615525</c:v>
                </c:pt>
                <c:pt idx="39">
                  <c:v>0.21980659513811673</c:v>
                </c:pt>
                <c:pt idx="40">
                  <c:v>0.20417481073051746</c:v>
                </c:pt>
                <c:pt idx="41">
                  <c:v>0.19061335690793157</c:v>
                </c:pt>
                <c:pt idx="42">
                  <c:v>0.17910144990029853</c:v>
                </c:pt>
                <c:pt idx="43">
                  <c:v>0.16952065968318664</c:v>
                </c:pt>
                <c:pt idx="44">
                  <c:v>0.16168558582969617</c:v>
                </c:pt>
                <c:pt idx="45">
                  <c:v>0.15537030231793647</c:v>
                </c:pt>
                <c:pt idx="46">
                  <c:v>0.15033013770198167</c:v>
                </c:pt>
                <c:pt idx="47">
                  <c:v>0.146318695742087</c:v>
                </c:pt>
                <c:pt idx="48">
                  <c:v>0.1431004406704961</c:v>
                </c:pt>
                <c:pt idx="49">
                  <c:v>0.14045952060321998</c:v>
                </c:pt>
                <c:pt idx="50">
                  <c:v>0.13820538439877073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19-8740-A354-D70D66BB7D88}"/>
            </c:ext>
          </c:extLst>
        </c:ser>
        <c:ser>
          <c:idx val="12"/>
          <c:order val="12"/>
          <c:tx>
            <c:strRef>
              <c:f>Table_Dynam_GDP!$O$7</c:f>
              <c:strCache>
                <c:ptCount val="1"/>
                <c:pt idx="0">
                  <c:v>LF_LE_SSC_WS</c:v>
                </c:pt>
              </c:strCache>
            </c:strRef>
          </c:tx>
          <c:spPr>
            <a:ln w="19050" cap="rnd">
              <a:solidFill>
                <a:srgbClr val="FFFC00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Table_Dynam_GDP!$O$8:$O$58</c:f>
              <c:numCache>
                <c:formatCode>0.00000000</c:formatCode>
                <c:ptCount val="51"/>
                <c:pt idx="0">
                  <c:v>0</c:v>
                </c:pt>
                <c:pt idx="1">
                  <c:v>2.4010641986382808E-2</c:v>
                </c:pt>
                <c:pt idx="2">
                  <c:v>5.0275441215874572E-2</c:v>
                </c:pt>
                <c:pt idx="3">
                  <c:v>6.4907496024302347E-2</c:v>
                </c:pt>
                <c:pt idx="4">
                  <c:v>6.2889804325649834E-2</c:v>
                </c:pt>
                <c:pt idx="5">
                  <c:v>4.6666167751929777E-2</c:v>
                </c:pt>
                <c:pt idx="6">
                  <c:v>2.155877292620012E-2</c:v>
                </c:pt>
                <c:pt idx="7">
                  <c:v>-7.1804128503827336E-3</c:v>
                </c:pt>
                <c:pt idx="8">
                  <c:v>-3.5559256904604819E-2</c:v>
                </c:pt>
                <c:pt idx="9">
                  <c:v>-6.1043250313796982E-2</c:v>
                </c:pt>
                <c:pt idx="10">
                  <c:v>-8.2343573971255246E-2</c:v>
                </c:pt>
                <c:pt idx="11">
                  <c:v>-9.9093294432295309E-2</c:v>
                </c:pt>
                <c:pt idx="12">
                  <c:v>-0.1115360913171104</c:v>
                </c:pt>
                <c:pt idx="13">
                  <c:v>-0.12026754990916988</c:v>
                </c:pt>
                <c:pt idx="14">
                  <c:v>-0.12603747315432789</c:v>
                </c:pt>
                <c:pt idx="15">
                  <c:v>-0.12960942686874866</c:v>
                </c:pt>
                <c:pt idx="16">
                  <c:v>-0.13167006453113084</c:v>
                </c:pt>
                <c:pt idx="17">
                  <c:v>-0.13277973817931166</c:v>
                </c:pt>
                <c:pt idx="18">
                  <c:v>-0.13335458168054481</c:v>
                </c:pt>
                <c:pt idx="19">
                  <c:v>-0.13367092772751388</c:v>
                </c:pt>
                <c:pt idx="20">
                  <c:v>-0.13388400122310573</c:v>
                </c:pt>
                <c:pt idx="21">
                  <c:v>-0.13405359267855133</c:v>
                </c:pt>
                <c:pt idx="22">
                  <c:v>-0.13417132578129598</c:v>
                </c:pt>
                <c:pt idx="23">
                  <c:v>-0.13418650913989971</c:v>
                </c:pt>
                <c:pt idx="24">
                  <c:v>-0.1340275321730533</c:v>
                </c:pt>
                <c:pt idx="25">
                  <c:v>-0.13361854193816303</c:v>
                </c:pt>
                <c:pt idx="26">
                  <c:v>-0.13289097360916768</c:v>
                </c:pt>
                <c:pt idx="27">
                  <c:v>-0.13179062968722288</c:v>
                </c:pt>
                <c:pt idx="28">
                  <c:v>-0.13028094403481072</c:v>
                </c:pt>
                <c:pt idx="29">
                  <c:v>-0.12834355359379046</c:v>
                </c:pt>
                <c:pt idx="30">
                  <c:v>-0.12597679892102365</c:v>
                </c:pt>
                <c:pt idx="31">
                  <c:v>-0.12319328186245482</c:v>
                </c:pt>
                <c:pt idx="32">
                  <c:v>-0.12001683401823282</c:v>
                </c:pt>
                <c:pt idx="33">
                  <c:v>-0.1164793892969862</c:v>
                </c:pt>
                <c:pt idx="34">
                  <c:v>-0.11261813202682047</c:v>
                </c:pt>
                <c:pt idx="35">
                  <c:v>-0.10847313454972474</c:v>
                </c:pt>
                <c:pt idx="36">
                  <c:v>-0.10408526300157428</c:v>
                </c:pt>
                <c:pt idx="37">
                  <c:v>-9.9494895220786361E-2</c:v>
                </c:pt>
                <c:pt idx="38">
                  <c:v>-9.474075552796668E-2</c:v>
                </c:pt>
                <c:pt idx="39">
                  <c:v>-8.9859330661234971E-2</c:v>
                </c:pt>
                <c:pt idx="40">
                  <c:v>-8.4884496996007197E-2</c:v>
                </c:pt>
                <c:pt idx="41">
                  <c:v>-7.9847425212076217E-2</c:v>
                </c:pt>
                <c:pt idx="42">
                  <c:v>-7.4776639239770848E-2</c:v>
                </c:pt>
                <c:pt idx="43">
                  <c:v>-6.9697970461102265E-2</c:v>
                </c:pt>
                <c:pt idx="44">
                  <c:v>-6.4634975797128735E-2</c:v>
                </c:pt>
                <c:pt idx="45">
                  <c:v>-5.9608900059937575E-2</c:v>
                </c:pt>
                <c:pt idx="46">
                  <c:v>-5.4639041476745032E-2</c:v>
                </c:pt>
                <c:pt idx="47">
                  <c:v>-4.9742883255998738E-2</c:v>
                </c:pt>
                <c:pt idx="48">
                  <c:v>-4.4936217701285752E-2</c:v>
                </c:pt>
                <c:pt idx="49">
                  <c:v>-4.0233359886654441E-2</c:v>
                </c:pt>
                <c:pt idx="50">
                  <c:v>-3.5647229680701997E-2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19-8740-A354-D70D66BB7D88}"/>
            </c:ext>
          </c:extLst>
        </c:ser>
        <c:ser>
          <c:idx val="13"/>
          <c:order val="13"/>
          <c:tx>
            <c:strRef>
              <c:f>Table_Dynam_GDP!$P$7</c:f>
              <c:strCache>
                <c:ptCount val="1"/>
                <c:pt idx="0">
                  <c:v>LF_HE_SSC_WS</c:v>
                </c:pt>
              </c:strCache>
            </c:strRef>
          </c:tx>
          <c:spPr>
            <a:ln w="19050" cap="rnd">
              <a:solidFill>
                <a:srgbClr val="FFA7BA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Table_Dynam_GDP!$P$8:$P$58</c:f>
              <c:numCache>
                <c:formatCode>0.00000000</c:formatCode>
                <c:ptCount val="51"/>
                <c:pt idx="0">
                  <c:v>0</c:v>
                </c:pt>
                <c:pt idx="1">
                  <c:v>-5.4580996968645046E-3</c:v>
                </c:pt>
                <c:pt idx="2">
                  <c:v>-2.2952065689341161E-2</c:v>
                </c:pt>
                <c:pt idx="3">
                  <c:v>-5.9412034573036454E-2</c:v>
                </c:pt>
                <c:pt idx="4">
                  <c:v>-0.11492380911162225</c:v>
                </c:pt>
                <c:pt idx="5">
                  <c:v>-0.18294161089600358</c:v>
                </c:pt>
                <c:pt idx="6">
                  <c:v>-0.25483660225983362</c:v>
                </c:pt>
                <c:pt idx="7">
                  <c:v>-0.32298370427740197</c:v>
                </c:pt>
                <c:pt idx="8">
                  <c:v>-0.38200515024757742</c:v>
                </c:pt>
                <c:pt idx="9">
                  <c:v>-0.42890300397306902</c:v>
                </c:pt>
                <c:pt idx="10">
                  <c:v>-0.46269456123897434</c:v>
                </c:pt>
                <c:pt idx="11">
                  <c:v>-0.48389212325895548</c:v>
                </c:pt>
                <c:pt idx="12">
                  <c:v>-0.49398717836389716</c:v>
                </c:pt>
                <c:pt idx="13">
                  <c:v>-0.49500437779586015</c:v>
                </c:pt>
                <c:pt idx="14">
                  <c:v>-0.48914893625597866</c:v>
                </c:pt>
                <c:pt idx="15">
                  <c:v>-0.47854888664107254</c:v>
                </c:pt>
                <c:pt idx="16">
                  <c:v>-0.46508637273456888</c:v>
                </c:pt>
                <c:pt idx="17">
                  <c:v>-0.4503047123904147</c:v>
                </c:pt>
                <c:pt idx="18">
                  <c:v>-0.4353763438806002</c:v>
                </c:pt>
                <c:pt idx="19">
                  <c:v>-0.42111527456769604</c:v>
                </c:pt>
                <c:pt idx="20">
                  <c:v>-0.40801889181381057</c:v>
                </c:pt>
                <c:pt idx="21">
                  <c:v>-0.39632549575000509</c:v>
                </c:pt>
                <c:pt idx="22">
                  <c:v>-0.38607731412226842</c:v>
                </c:pt>
                <c:pt idx="23">
                  <c:v>-0.37718082882605142</c:v>
                </c:pt>
                <c:pt idx="24">
                  <c:v>-0.36945968365243997</c:v>
                </c:pt>
                <c:pt idx="25">
                  <c:v>-0.36269752891618934</c:v>
                </c:pt>
                <c:pt idx="26">
                  <c:v>-0.356670388809599</c:v>
                </c:pt>
                <c:pt idx="27">
                  <c:v>-0.35116832336750115</c:v>
                </c:pt>
                <c:pt idx="28">
                  <c:v>-0.34600862418953104</c:v>
                </c:pt>
                <c:pt idx="29">
                  <c:v>-0.34104207779297457</c:v>
                </c:pt>
                <c:pt idx="30">
                  <c:v>-0.33615378363011095</c:v>
                </c:pt>
                <c:pt idx="31">
                  <c:v>-0.33126076054070808</c:v>
                </c:pt>
                <c:pt idx="32">
                  <c:v>-0.32630752269914298</c:v>
                </c:pt>
                <c:pt idx="33">
                  <c:v>-0.32126076332181785</c:v>
                </c:pt>
                <c:pt idx="34">
                  <c:v>-0.3161041266120157</c:v>
                </c:pt>
                <c:pt idx="35">
                  <c:v>-0.31083334731469847</c:v>
                </c:pt>
                <c:pt idx="36">
                  <c:v>-0.30545231772930448</c:v>
                </c:pt>
                <c:pt idx="37">
                  <c:v>-0.29996984397900883</c:v>
                </c:pt>
                <c:pt idx="38">
                  <c:v>-0.29439740923967728</c:v>
                </c:pt>
                <c:pt idx="39">
                  <c:v>-0.2887476885793494</c:v>
                </c:pt>
                <c:pt idx="40">
                  <c:v>-0.28303343008366788</c:v>
                </c:pt>
                <c:pt idx="41">
                  <c:v>-0.27726722757884792</c:v>
                </c:pt>
                <c:pt idx="42">
                  <c:v>-0.27146096397424602</c:v>
                </c:pt>
                <c:pt idx="43">
                  <c:v>-0.26562607976347019</c:v>
                </c:pt>
                <c:pt idx="44">
                  <c:v>-0.25977357787604349</c:v>
                </c:pt>
                <c:pt idx="45">
                  <c:v>-0.25391402959418219</c:v>
                </c:pt>
                <c:pt idx="46">
                  <c:v>-0.24805772339021592</c:v>
                </c:pt>
                <c:pt idx="47">
                  <c:v>-0.24221477757890852</c:v>
                </c:pt>
                <c:pt idx="48">
                  <c:v>-0.23639504308836656</c:v>
                </c:pt>
                <c:pt idx="49">
                  <c:v>-0.23060813254934809</c:v>
                </c:pt>
                <c:pt idx="50">
                  <c:v>-0.22486338967598885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19-8740-A354-D70D66BB7D88}"/>
            </c:ext>
          </c:extLst>
        </c:ser>
        <c:ser>
          <c:idx val="14"/>
          <c:order val="14"/>
          <c:tx>
            <c:strRef>
              <c:f>Table_Dynam_GDP!$Q$7</c:f>
              <c:strCache>
                <c:ptCount val="1"/>
                <c:pt idx="0">
                  <c:v>HF_LE_SSC_WS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Table_Dynam_GDP!$Q$8:$Q$58</c:f>
              <c:numCache>
                <c:formatCode>0.00000000</c:formatCode>
                <c:ptCount val="51"/>
                <c:pt idx="0">
                  <c:v>0</c:v>
                </c:pt>
                <c:pt idx="1">
                  <c:v>0.24942851884004469</c:v>
                </c:pt>
                <c:pt idx="2">
                  <c:v>0.48304195993948973</c:v>
                </c:pt>
                <c:pt idx="3">
                  <c:v>0.66767841293982055</c:v>
                </c:pt>
                <c:pt idx="4">
                  <c:v>0.80516984493892441</c:v>
                </c:pt>
                <c:pt idx="5">
                  <c:v>0.90581856682347972</c:v>
                </c:pt>
                <c:pt idx="6">
                  <c:v>0.97994962510838945</c:v>
                </c:pt>
                <c:pt idx="7">
                  <c:v>1.035225699399267</c:v>
                </c:pt>
                <c:pt idx="8">
                  <c:v>1.0765839157072632</c:v>
                </c:pt>
                <c:pt idx="9">
                  <c:v>1.1070401683151987</c:v>
                </c:pt>
                <c:pt idx="10">
                  <c:v>1.1285046870866511</c:v>
                </c:pt>
                <c:pt idx="11">
                  <c:v>1.1423379071004325</c:v>
                </c:pt>
                <c:pt idx="12">
                  <c:v>1.1496473063803636</c:v>
                </c:pt>
                <c:pt idx="13">
                  <c:v>1.1514110228431296</c:v>
                </c:pt>
                <c:pt idx="14">
                  <c:v>1.1485107318512711</c:v>
                </c:pt>
                <c:pt idx="15">
                  <c:v>1.1417287375765861</c:v>
                </c:pt>
                <c:pt idx="16">
                  <c:v>1.1317393738156101</c:v>
                </c:pt>
                <c:pt idx="17">
                  <c:v>1.1191052791237777</c:v>
                </c:pt>
                <c:pt idx="18">
                  <c:v>1.1042826107531045</c:v>
                </c:pt>
                <c:pt idx="19">
                  <c:v>1.0876320257900307</c:v>
                </c:pt>
                <c:pt idx="20">
                  <c:v>1.0694342571795357</c:v>
                </c:pt>
                <c:pt idx="21">
                  <c:v>1.0499062589659935</c:v>
                </c:pt>
                <c:pt idx="22">
                  <c:v>1.0292172519437592</c:v>
                </c:pt>
                <c:pt idx="23">
                  <c:v>1.0075025023729589</c:v>
                </c:pt>
                <c:pt idx="24">
                  <c:v>0.98487509664630934</c:v>
                </c:pt>
                <c:pt idx="25">
                  <c:v>0.96143482976922545</c:v>
                </c:pt>
                <c:pt idx="26">
                  <c:v>0.93727482336916079</c:v>
                </c:pt>
                <c:pt idx="27">
                  <c:v>0.91248575515279207</c:v>
                </c:pt>
                <c:pt idx="28">
                  <c:v>0.88715859666725905</c:v>
                </c:pt>
                <c:pt idx="29">
                  <c:v>0.86138542314186939</c:v>
                </c:pt>
                <c:pt idx="30">
                  <c:v>0.83525992049169329</c:v>
                </c:pt>
                <c:pt idx="31">
                  <c:v>0.8088765724394209</c:v>
                </c:pt>
                <c:pt idx="32">
                  <c:v>0.78232984121551219</c:v>
                </c:pt>
                <c:pt idx="33">
                  <c:v>0.75571300229335669</c:v>
                </c:pt>
                <c:pt idx="34">
                  <c:v>0.72911694724726583</c:v>
                </c:pt>
                <c:pt idx="35">
                  <c:v>0.70262919872241536</c:v>
                </c:pt>
                <c:pt idx="36">
                  <c:v>0.67633306456811315</c:v>
                </c:pt>
                <c:pt idx="37">
                  <c:v>0.6503067510865046</c:v>
                </c:pt>
                <c:pt idx="38">
                  <c:v>0.62462288016467138</c:v>
                </c:pt>
                <c:pt idx="39">
                  <c:v>0.59934833989165881</c:v>
                </c:pt>
                <c:pt idx="40">
                  <c:v>0.57454373220473531</c:v>
                </c:pt>
                <c:pt idx="41">
                  <c:v>0.5502636339445921</c:v>
                </c:pt>
                <c:pt idx="42">
                  <c:v>0.52655649588644327</c:v>
                </c:pt>
                <c:pt idx="43">
                  <c:v>0.503464797831632</c:v>
                </c:pt>
                <c:pt idx="44">
                  <c:v>0.48102531730591647</c:v>
                </c:pt>
                <c:pt idx="45">
                  <c:v>0.45926928884554297</c:v>
                </c:pt>
                <c:pt idx="46">
                  <c:v>0.43822277530407572</c:v>
                </c:pt>
                <c:pt idx="47">
                  <c:v>0.41790692013392583</c:v>
                </c:pt>
                <c:pt idx="48">
                  <c:v>0.39833827294832869</c:v>
                </c:pt>
                <c:pt idx="49">
                  <c:v>0.3795290998524159</c:v>
                </c:pt>
                <c:pt idx="50">
                  <c:v>0.36148764179566584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19-8740-A354-D70D66BB7D88}"/>
            </c:ext>
          </c:extLst>
        </c:ser>
        <c:ser>
          <c:idx val="15"/>
          <c:order val="15"/>
          <c:tx>
            <c:strRef>
              <c:f>Table_Dynam_GDP!$R$7</c:f>
              <c:strCache>
                <c:ptCount val="1"/>
                <c:pt idx="0">
                  <c:v>HF_HE_SSC_WS</c:v>
                </c:pt>
              </c:strCache>
            </c:strRef>
          </c:tx>
          <c:spPr>
            <a:ln w="19050" cap="rnd">
              <a:solidFill>
                <a:srgbClr val="0432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Table_Dynam_GDP!$R$8:$R$58</c:f>
              <c:numCache>
                <c:formatCode>0.00000000</c:formatCode>
                <c:ptCount val="51"/>
                <c:pt idx="0">
                  <c:v>0</c:v>
                </c:pt>
                <c:pt idx="1">
                  <c:v>0.2117196937236443</c:v>
                </c:pt>
                <c:pt idx="2">
                  <c:v>0.37642845681242765</c:v>
                </c:pt>
                <c:pt idx="3">
                  <c:v>0.46433876461422496</c:v>
                </c:pt>
                <c:pt idx="4">
                  <c:v>0.48349057968264386</c:v>
                </c:pt>
                <c:pt idx="5">
                  <c:v>0.45274519786564493</c:v>
                </c:pt>
                <c:pt idx="6">
                  <c:v>0.39164133641973464</c:v>
                </c:pt>
                <c:pt idx="7">
                  <c:v>0.31626226322509776</c:v>
                </c:pt>
                <c:pt idx="8">
                  <c:v>0.23829732361781986</c:v>
                </c:pt>
                <c:pt idx="9">
                  <c:v>0.1654936086469494</c:v>
                </c:pt>
                <c:pt idx="10">
                  <c:v>0.10249085087168375</c:v>
                </c:pt>
                <c:pt idx="11">
                  <c:v>5.1624802091465583E-2</c:v>
                </c:pt>
                <c:pt idx="12">
                  <c:v>1.3582904443332211E-2</c:v>
                </c:pt>
                <c:pt idx="13">
                  <c:v>-1.2081658594464972E-2</c:v>
                </c:pt>
                <c:pt idx="14">
                  <c:v>-2.6549175623080679E-2</c:v>
                </c:pt>
                <c:pt idx="15">
                  <c:v>-3.1420510740520768E-2</c:v>
                </c:pt>
                <c:pt idx="16">
                  <c:v>-2.8476501873353488E-2</c:v>
                </c:pt>
                <c:pt idx="17">
                  <c:v>-1.9500476187339633E-2</c:v>
                </c:pt>
                <c:pt idx="18">
                  <c:v>-6.155383445938245E-3</c:v>
                </c:pt>
                <c:pt idx="19">
                  <c:v>1.0092027427321959E-2</c:v>
                </c:pt>
                <c:pt idx="20">
                  <c:v>2.8008706313786824E-2</c:v>
                </c:pt>
                <c:pt idx="21">
                  <c:v>4.6603658374344548E-2</c:v>
                </c:pt>
                <c:pt idx="22">
                  <c:v>6.5115975267104886E-2</c:v>
                </c:pt>
                <c:pt idx="23">
                  <c:v>8.2989594389681898E-2</c:v>
                </c:pt>
                <c:pt idx="24">
                  <c:v>9.9841897727714901E-2</c:v>
                </c:pt>
                <c:pt idx="25">
                  <c:v>0.11543033834866545</c:v>
                </c:pt>
                <c:pt idx="26">
                  <c:v>0.12962073217530623</c:v>
                </c:pt>
                <c:pt idx="27">
                  <c:v>0.14235918188461039</c:v>
                </c:pt>
                <c:pt idx="28">
                  <c:v>0.15364849661172464</c:v>
                </c:pt>
                <c:pt idx="29">
                  <c:v>0.16352955062768348</c:v>
                </c:pt>
                <c:pt idx="30">
                  <c:v>0.17206710260930791</c:v>
                </c:pt>
                <c:pt idx="31">
                  <c:v>0.17933970983521341</c:v>
                </c:pt>
                <c:pt idx="32">
                  <c:v>0.1854324697850851</c:v>
                </c:pt>
                <c:pt idx="33">
                  <c:v>0.19043275407590876</c:v>
                </c:pt>
                <c:pt idx="34">
                  <c:v>0.19442712388417771</c:v>
                </c:pt>
                <c:pt idx="35">
                  <c:v>0.19749993465372206</c:v>
                </c:pt>
                <c:pt idx="36">
                  <c:v>0.19973239804038645</c:v>
                </c:pt>
                <c:pt idx="37">
                  <c:v>0.20120209913012665</c:v>
                </c:pt>
                <c:pt idx="38">
                  <c:v>0.20198279362071414</c:v>
                </c:pt>
                <c:pt idx="39">
                  <c:v>0.20214423965094763</c:v>
                </c:pt>
                <c:pt idx="40">
                  <c:v>0.20175217688056524</c:v>
                </c:pt>
                <c:pt idx="41">
                  <c:v>0.20086795912861444</c:v>
                </c:pt>
                <c:pt idx="42">
                  <c:v>0.19954868863616415</c:v>
                </c:pt>
                <c:pt idx="43">
                  <c:v>0.19784685014743175</c:v>
                </c:pt>
                <c:pt idx="44">
                  <c:v>0.19581053822734784</c:v>
                </c:pt>
                <c:pt idx="45">
                  <c:v>0.19348323728540784</c:v>
                </c:pt>
                <c:pt idx="46">
                  <c:v>0.1909041176141546</c:v>
                </c:pt>
                <c:pt idx="47">
                  <c:v>0.18810799485158292</c:v>
                </c:pt>
                <c:pt idx="48">
                  <c:v>0.18512578659652945</c:v>
                </c:pt>
                <c:pt idx="49">
                  <c:v>0.18198466425709547</c:v>
                </c:pt>
                <c:pt idx="50">
                  <c:v>0.17870841356879552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19-8740-A354-D70D66BB7D88}"/>
            </c:ext>
          </c:extLst>
        </c:ser>
        <c:ser>
          <c:idx val="16"/>
          <c:order val="16"/>
          <c:tx>
            <c:strRef>
              <c:f>Table_Dynam_GDP!$S$7</c:f>
              <c:strCache>
                <c:ptCount val="1"/>
                <c:pt idx="0">
                  <c:v>LF_LE_SSC_PC</c:v>
                </c:pt>
              </c:strCache>
            </c:strRef>
          </c:tx>
          <c:spPr>
            <a:ln w="19050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Table_Dynam_GDP!$S$8:$S$58</c:f>
              <c:numCache>
                <c:formatCode>0.00000000</c:formatCode>
                <c:ptCount val="51"/>
                <c:pt idx="0">
                  <c:v>0</c:v>
                </c:pt>
                <c:pt idx="1">
                  <c:v>2.5448153703955256E-2</c:v>
                </c:pt>
                <c:pt idx="2">
                  <c:v>5.4096467429043393E-2</c:v>
                </c:pt>
                <c:pt idx="3">
                  <c:v>7.1686285382099868E-2</c:v>
                </c:pt>
                <c:pt idx="4">
                  <c:v>7.2825104207230318E-2</c:v>
                </c:pt>
                <c:pt idx="5">
                  <c:v>5.9877167900523887E-2</c:v>
                </c:pt>
                <c:pt idx="6">
                  <c:v>3.8356764164126922E-2</c:v>
                </c:pt>
                <c:pt idx="7">
                  <c:v>1.3780852558076262E-2</c:v>
                </c:pt>
                <c:pt idx="8">
                  <c:v>-9.7194643819409343E-3</c:v>
                </c:pt>
                <c:pt idx="9">
                  <c:v>-2.9701561582717861E-2</c:v>
                </c:pt>
                <c:pt idx="10">
                  <c:v>-4.5193716564972952E-2</c:v>
                </c:pt>
                <c:pt idx="11">
                  <c:v>-5.6289101212014803E-2</c:v>
                </c:pt>
                <c:pt idx="12">
                  <c:v>-6.3720461939154038E-2</c:v>
                </c:pt>
                <c:pt idx="13">
                  <c:v>-6.8498205746903018E-2</c:v>
                </c:pt>
                <c:pt idx="14">
                  <c:v>-7.1643960852485478E-2</c:v>
                </c:pt>
                <c:pt idx="15">
                  <c:v>-7.4024062320054984E-2</c:v>
                </c:pt>
                <c:pt idx="16">
                  <c:v>-7.62711942211447E-2</c:v>
                </c:pt>
                <c:pt idx="17">
                  <c:v>-7.8771661144005911E-2</c:v>
                </c:pt>
                <c:pt idx="18">
                  <c:v>-8.1696000252540202E-2</c:v>
                </c:pt>
                <c:pt idx="19">
                  <c:v>-8.505116031273241E-2</c:v>
                </c:pt>
                <c:pt idx="20">
                  <c:v>-8.8738422251166682E-2</c:v>
                </c:pt>
                <c:pt idx="21">
                  <c:v>-9.2605693740477335E-2</c:v>
                </c:pt>
                <c:pt idx="22">
                  <c:v>-9.6488899260738226E-2</c:v>
                </c:pt>
                <c:pt idx="23">
                  <c:v>-0.10024025009586213</c:v>
                </c:pt>
                <c:pt idx="24">
                  <c:v>-0.10374419636561827</c:v>
                </c:pt>
                <c:pt idx="25">
                  <c:v>-0.10692345728789965</c:v>
                </c:pt>
                <c:pt idx="26">
                  <c:v>-0.1097374786352634</c:v>
                </c:pt>
                <c:pt idx="27">
                  <c:v>-0.11217622857335741</c:v>
                </c:pt>
                <c:pt idx="28">
                  <c:v>-0.11425229120241021</c:v>
                </c:pt>
                <c:pt idx="29">
                  <c:v>-0.11599213063747671</c:v>
                </c:pt>
                <c:pt idx="30">
                  <c:v>-0.11742878043415894</c:v>
                </c:pt>
                <c:pt idx="31">
                  <c:v>-0.11859601743118287</c:v>
                </c:pt>
                <c:pt idx="32">
                  <c:v>-0.1195247209938799</c:v>
                </c:pt>
                <c:pt idx="33">
                  <c:v>-0.12024106038930338</c:v>
                </c:pt>
                <c:pt idx="34">
                  <c:v>-0.12076621556302847</c:v>
                </c:pt>
                <c:pt idx="35">
                  <c:v>-0.1211170161068198</c:v>
                </c:pt>
                <c:pt idx="36">
                  <c:v>-0.12130744214797762</c:v>
                </c:pt>
                <c:pt idx="37">
                  <c:v>-0.12134991574497267</c:v>
                </c:pt>
                <c:pt idx="38">
                  <c:v>-0.12125628773711483</c:v>
                </c:pt>
                <c:pt idx="39">
                  <c:v>-0.12103881427726337</c:v>
                </c:pt>
                <c:pt idx="40">
                  <c:v>-0.12071027787214916</c:v>
                </c:pt>
                <c:pt idx="41">
                  <c:v>-0.12028370354287832</c:v>
                </c:pt>
                <c:pt idx="42">
                  <c:v>-0.11977214113637613</c:v>
                </c:pt>
                <c:pt idx="43">
                  <c:v>-0.11918775498148682</c:v>
                </c:pt>
                <c:pt idx="44">
                  <c:v>-0.1185413657221801</c:v>
                </c:pt>
                <c:pt idx="45">
                  <c:v>-0.11784187028274218</c:v>
                </c:pt>
                <c:pt idx="46">
                  <c:v>-0.11709594003737056</c:v>
                </c:pt>
                <c:pt idx="47">
                  <c:v>-0.11630782228470027</c:v>
                </c:pt>
                <c:pt idx="48">
                  <c:v>-0.11547934751504618</c:v>
                </c:pt>
                <c:pt idx="49">
                  <c:v>-0.11461036034662309</c:v>
                </c:pt>
                <c:pt idx="50">
                  <c:v>-0.11369894005810455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19-8740-A354-D70D66BB7D88}"/>
            </c:ext>
          </c:extLst>
        </c:ser>
        <c:ser>
          <c:idx val="17"/>
          <c:order val="17"/>
          <c:tx>
            <c:strRef>
              <c:f>Table_Dynam_GDP!$T$7</c:f>
              <c:strCache>
                <c:ptCount val="1"/>
                <c:pt idx="0">
                  <c:v>LF_HE_SSC_PC</c:v>
                </c:pt>
              </c:strCache>
            </c:strRef>
          </c:tx>
          <c:spPr>
            <a:ln w="19050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Table_Dynam_GDP!$T$8:$T$58</c:f>
              <c:numCache>
                <c:formatCode>0.00000000</c:formatCode>
                <c:ptCount val="51"/>
                <c:pt idx="0">
                  <c:v>0</c:v>
                </c:pt>
                <c:pt idx="1">
                  <c:v>-4.7247138974859659E-3</c:v>
                </c:pt>
                <c:pt idx="2">
                  <c:v>-2.2353043020906238E-2</c:v>
                </c:pt>
                <c:pt idx="3">
                  <c:v>-6.1495180697157537E-2</c:v>
                </c:pt>
                <c:pt idx="4">
                  <c:v>-0.12372429826070785</c:v>
                </c:pt>
                <c:pt idx="5">
                  <c:v>-0.20316499237439389</c:v>
                </c:pt>
                <c:pt idx="6">
                  <c:v>-0.29081459839651602</c:v>
                </c:pt>
                <c:pt idx="7">
                  <c:v>-0.37770131639786042</c:v>
                </c:pt>
                <c:pt idx="8">
                  <c:v>-0.45635857652328582</c:v>
                </c:pt>
                <c:pt idx="9">
                  <c:v>-0.52126213935643761</c:v>
                </c:pt>
                <c:pt idx="10">
                  <c:v>-0.56879589080169879</c:v>
                </c:pt>
                <c:pt idx="11">
                  <c:v>-0.59706183124359491</c:v>
                </c:pt>
                <c:pt idx="12">
                  <c:v>-0.60566579542957744</c:v>
                </c:pt>
                <c:pt idx="13">
                  <c:v>-0.59551133386276378</c:v>
                </c:pt>
                <c:pt idx="14">
                  <c:v>-0.56859203872567932</c:v>
                </c:pt>
                <c:pt idx="15">
                  <c:v>-0.52776440142427994</c:v>
                </c:pt>
                <c:pt idx="16">
                  <c:v>-0.47649257243521648</c:v>
                </c:pt>
                <c:pt idx="17">
                  <c:v>-0.4185704077922181</c:v>
                </c:pt>
                <c:pt idx="18">
                  <c:v>-0.35783722393158968</c:v>
                </c:pt>
                <c:pt idx="19">
                  <c:v>-0.29791081473162784</c:v>
                </c:pt>
                <c:pt idx="20">
                  <c:v>-0.24196086799272987</c:v>
                </c:pt>
                <c:pt idx="21">
                  <c:v>-0.19254083733545313</c:v>
                </c:pt>
                <c:pt idx="22">
                  <c:v>-0.15148855360701541</c:v>
                </c:pt>
                <c:pt idx="23">
                  <c:v>-0.11989711593821673</c:v>
                </c:pt>
                <c:pt idx="24">
                  <c:v>-9.8148229654138053E-2</c:v>
                </c:pt>
                <c:pt idx="25">
                  <c:v>-8.5994776881881396E-2</c:v>
                </c:pt>
                <c:pt idx="26">
                  <c:v>-8.2675026654277506E-2</c:v>
                </c:pt>
                <c:pt idx="27">
                  <c:v>-8.7042386740820987E-2</c:v>
                </c:pt>
                <c:pt idx="28">
                  <c:v>-9.7694625047439754E-2</c:v>
                </c:pt>
                <c:pt idx="29">
                  <c:v>-0.11309222430087029</c:v>
                </c:pt>
                <c:pt idx="30">
                  <c:v>-0.13165858791702734</c:v>
                </c:pt>
                <c:pt idx="31">
                  <c:v>-0.15185987291533865</c:v>
                </c:pt>
                <c:pt idx="32">
                  <c:v>-0.1722651791519092</c:v>
                </c:pt>
                <c:pt idx="33">
                  <c:v>-0.19159070291770997</c:v>
                </c:pt>
                <c:pt idx="34">
                  <c:v>-0.20873167499634304</c:v>
                </c:pt>
                <c:pt idx="35">
                  <c:v>-0.2227864073324759</c:v>
                </c:pt>
                <c:pt idx="36">
                  <c:v>-0.23307423702034757</c:v>
                </c:pt>
                <c:pt idx="37">
                  <c:v>-0.2391489444628192</c:v>
                </c:pt>
                <c:pt idx="38">
                  <c:v>-0.24080581686730662</c:v>
                </c:pt>
                <c:pt idx="39">
                  <c:v>-0.23808065835485559</c:v>
                </c:pt>
                <c:pt idx="40">
                  <c:v>-0.23123878340373105</c:v>
                </c:pt>
                <c:pt idx="41">
                  <c:v>-0.22075208138371272</c:v>
                </c:pt>
                <c:pt idx="42">
                  <c:v>-0.20726460462688889</c:v>
                </c:pt>
                <c:pt idx="43">
                  <c:v>-0.19154785189897661</c:v>
                </c:pt>
                <c:pt idx="44">
                  <c:v>-0.1744489630145063</c:v>
                </c:pt>
                <c:pt idx="45">
                  <c:v>-0.15683579215145516</c:v>
                </c:pt>
                <c:pt idx="46">
                  <c:v>-0.13954342853998991</c:v>
                </c:pt>
                <c:pt idx="47">
                  <c:v>-0.12332613064557352</c:v>
                </c:pt>
                <c:pt idx="48">
                  <c:v>-0.10881845388635014</c:v>
                </c:pt>
                <c:pt idx="49">
                  <c:v>-9.6507513329280314E-2</c:v>
                </c:pt>
                <c:pt idx="50">
                  <c:v>-8.6717533076940967E-2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819-8740-A354-D70D66BB7D88}"/>
            </c:ext>
          </c:extLst>
        </c:ser>
        <c:ser>
          <c:idx val="18"/>
          <c:order val="18"/>
          <c:tx>
            <c:strRef>
              <c:f>Table_Dynam_GDP!$U$7</c:f>
              <c:strCache>
                <c:ptCount val="1"/>
                <c:pt idx="0">
                  <c:v>HF_LE_SSC_PC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Table_Dynam_GDP!$U$8:$U$58</c:f>
              <c:numCache>
                <c:formatCode>0.00000000</c:formatCode>
                <c:ptCount val="51"/>
                <c:pt idx="0">
                  <c:v>0</c:v>
                </c:pt>
                <c:pt idx="1">
                  <c:v>0.25083056127097603</c:v>
                </c:pt>
                <c:pt idx="2">
                  <c:v>0.48744787789198885</c:v>
                </c:pt>
                <c:pt idx="3">
                  <c:v>0.67638289451270595</c:v>
                </c:pt>
                <c:pt idx="4">
                  <c:v>0.81901767419962912</c:v>
                </c:pt>
                <c:pt idx="5">
                  <c:v>0.92517910495737432</c:v>
                </c:pt>
                <c:pt idx="6">
                  <c:v>1.0047349413658369</c:v>
                </c:pt>
                <c:pt idx="7">
                  <c:v>1.0649103826050998</c:v>
                </c:pt>
                <c:pt idx="8">
                  <c:v>1.1102266690538931</c:v>
                </c:pt>
                <c:pt idx="9">
                  <c:v>1.143317852693615</c:v>
                </c:pt>
                <c:pt idx="10">
                  <c:v>1.1657629627185528</c:v>
                </c:pt>
                <c:pt idx="11">
                  <c:v>1.1786546462794867</c:v>
                </c:pt>
                <c:pt idx="12">
                  <c:v>1.1829041611447932</c:v>
                </c:pt>
                <c:pt idx="13">
                  <c:v>1.1793706277261951</c:v>
                </c:pt>
                <c:pt idx="14">
                  <c:v>1.1688976435202836</c:v>
                </c:pt>
                <c:pt idx="15">
                  <c:v>1.1523144354014248</c:v>
                </c:pt>
                <c:pt idx="16">
                  <c:v>1.1304285355117516</c:v>
                </c:pt>
                <c:pt idx="17">
                  <c:v>1.1040202808514588</c:v>
                </c:pt>
                <c:pt idx="18">
                  <c:v>1.0738389625617462</c:v>
                </c:pt>
                <c:pt idx="19">
                  <c:v>1.0405990566878298</c:v>
                </c:pt>
                <c:pt idx="20">
                  <c:v>1.00497441211711</c:v>
                </c:pt>
                <c:pt idx="21">
                  <c:v>0.96758930062015303</c:v>
                </c:pt>
                <c:pt idx="22">
                  <c:v>0.9290081400322503</c:v>
                </c:pt>
                <c:pt idx="23">
                  <c:v>0.8897258607541314</c:v>
                </c:pt>
                <c:pt idx="24">
                  <c:v>0.85016141405753753</c:v>
                </c:pt>
                <c:pt idx="25">
                  <c:v>0.81065582334252095</c:v>
                </c:pt>
                <c:pt idx="26">
                  <c:v>0.77147696787944753</c:v>
                </c:pt>
                <c:pt idx="27">
                  <c:v>0.73282976636619424</c:v>
                </c:pt>
                <c:pt idx="28">
                  <c:v>0.69487116968438567</c:v>
                </c:pt>
                <c:pt idx="29">
                  <c:v>0.65772703040392066</c:v>
                </c:pt>
                <c:pt idx="30">
                  <c:v>0.62150866180070707</c:v>
                </c:pt>
                <c:pt idx="31">
                  <c:v>0.58632652240080407</c:v>
                </c:pt>
                <c:pt idx="32">
                  <c:v>0.55229798950695574</c:v>
                </c:pt>
                <c:pt idx="33">
                  <c:v>0.51954982167550234</c:v>
                </c:pt>
                <c:pt idx="34">
                  <c:v>0.48821405981425148</c:v>
                </c:pt>
                <c:pt idx="35">
                  <c:v>0.45841906980084168</c:v>
                </c:pt>
                <c:pt idx="36">
                  <c:v>0.43027783285456422</c:v>
                </c:pt>
                <c:pt idx="37">
                  <c:v>0.4038751001291363</c:v>
                </c:pt>
                <c:pt idx="38">
                  <c:v>0.37925658296666942</c:v>
                </c:pt>
                <c:pt idx="39">
                  <c:v>0.35642120222083573</c:v>
                </c:pt>
                <c:pt idx="40">
                  <c:v>0.33531780746183237</c:v>
                </c:pt>
                <c:pt idx="41">
                  <c:v>0.31584706777638694</c:v>
                </c:pt>
                <c:pt idx="42">
                  <c:v>0.29786735813013276</c:v>
                </c:pt>
                <c:pt idx="43">
                  <c:v>0.28120442912706878</c:v>
                </c:pt>
                <c:pt idx="44">
                  <c:v>0.26566301900734501</c:v>
                </c:pt>
                <c:pt idx="45">
                  <c:v>0.25103937674137988</c:v>
                </c:pt>
                <c:pt idx="46">
                  <c:v>0.23713304330561513</c:v>
                </c:pt>
                <c:pt idx="47">
                  <c:v>0.22375728884691526</c:v>
                </c:pt>
                <c:pt idx="48">
                  <c:v>0.21074709758281962</c:v>
                </c:pt>
                <c:pt idx="49">
                  <c:v>0.19796485704659528</c:v>
                </c:pt>
                <c:pt idx="50">
                  <c:v>0.18530322979957159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19-8740-A354-D70D66BB7D88}"/>
            </c:ext>
          </c:extLst>
        </c:ser>
        <c:ser>
          <c:idx val="19"/>
          <c:order val="19"/>
          <c:tx>
            <c:strRef>
              <c:f>Table_Dynam_GDP!$V$7</c:f>
              <c:strCache>
                <c:ptCount val="1"/>
                <c:pt idx="0">
                  <c:v>HF_HE_SSC_PC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Table_Dynam_GDP!$V$8:$V$58</c:f>
              <c:numCache>
                <c:formatCode>0.00000000</c:formatCode>
                <c:ptCount val="51"/>
                <c:pt idx="0">
                  <c:v>0</c:v>
                </c:pt>
                <c:pt idx="1">
                  <c:v>0.21217373693471764</c:v>
                </c:pt>
                <c:pt idx="2">
                  <c:v>0.37568295251677597</c:v>
                </c:pt>
                <c:pt idx="3">
                  <c:v>0.45719678189073409</c:v>
                </c:pt>
                <c:pt idx="4">
                  <c:v>0.46095885686767701</c:v>
                </c:pt>
                <c:pt idx="5">
                  <c:v>0.40284877264229468</c:v>
                </c:pt>
                <c:pt idx="6">
                  <c:v>0.30105993112601315</c:v>
                </c:pt>
                <c:pt idx="7">
                  <c:v>0.17239718286827799</c:v>
                </c:pt>
                <c:pt idx="8">
                  <c:v>3.1386921539700019E-2</c:v>
                </c:pt>
                <c:pt idx="9">
                  <c:v>-0.10954576315130859</c:v>
                </c:pt>
                <c:pt idx="10">
                  <c:v>-0.23976287636355842</c:v>
                </c:pt>
                <c:pt idx="11">
                  <c:v>-0.35029897913969599</c:v>
                </c:pt>
                <c:pt idx="12">
                  <c:v>-0.4339739833055245</c:v>
                </c:pt>
                <c:pt idx="13">
                  <c:v>-0.48563647886382677</c:v>
                </c:pt>
                <c:pt idx="14">
                  <c:v>-0.50241644973152422</c:v>
                </c:pt>
                <c:pt idx="15">
                  <c:v>-0.48388525697072859</c:v>
                </c:pt>
                <c:pt idx="16">
                  <c:v>-0.43205174974291216</c:v>
                </c:pt>
                <c:pt idx="17">
                  <c:v>-0.35116336977981666</c:v>
                </c:pt>
                <c:pt idx="18">
                  <c:v>-0.24731756945907124</c:v>
                </c:pt>
                <c:pt idx="19">
                  <c:v>-0.12792148797936553</c:v>
                </c:pt>
                <c:pt idx="20">
                  <c:v>-1.0597455724514759E-3</c:v>
                </c:pt>
                <c:pt idx="21">
                  <c:v>0.12515846158240862</c:v>
                </c:pt>
                <c:pt idx="22">
                  <c:v>0.24320531219998998</c:v>
                </c:pt>
                <c:pt idx="23">
                  <c:v>0.34663950066353699</c:v>
                </c:pt>
                <c:pt idx="24">
                  <c:v>0.43047630378560964</c:v>
                </c:pt>
                <c:pt idx="25">
                  <c:v>0.49140484303207277</c:v>
                </c:pt>
                <c:pt idx="26">
                  <c:v>0.52785307894260836</c:v>
                </c:pt>
                <c:pt idx="27">
                  <c:v>0.53991173483329824</c:v>
                </c:pt>
                <c:pt idx="28">
                  <c:v>0.5291399780378514</c:v>
                </c:pt>
                <c:pt idx="29">
                  <c:v>0.49828338762420987</c:v>
                </c:pt>
                <c:pt idx="30">
                  <c:v>0.45094149385958016</c:v>
                </c:pt>
                <c:pt idx="31">
                  <c:v>0.39122274410376967</c:v>
                </c:pt>
                <c:pt idx="32">
                  <c:v>0.32342001484431115</c:v>
                </c:pt>
                <c:pt idx="33">
                  <c:v>0.2517324946497812</c:v>
                </c:pt>
                <c:pt idx="34">
                  <c:v>0.18004746312065834</c:v>
                </c:pt>
                <c:pt idx="35">
                  <c:v>0.1117845691477326</c:v>
                </c:pt>
                <c:pt idx="36">
                  <c:v>4.9797086182890027E-2</c:v>
                </c:pt>
                <c:pt idx="37">
                  <c:v>-3.6809913470658984E-3</c:v>
                </c:pt>
                <c:pt idx="38">
                  <c:v>-4.7053876682345841E-2</c:v>
                </c:pt>
                <c:pt idx="39">
                  <c:v>-7.935783449356526E-2</c:v>
                </c:pt>
                <c:pt idx="40">
                  <c:v>-0.10023737310256298</c:v>
                </c:pt>
                <c:pt idx="41">
                  <c:v>-0.10990540993267572</c:v>
                </c:pt>
                <c:pt idx="42">
                  <c:v>-0.10908864049008482</c:v>
                </c:pt>
                <c:pt idx="43">
                  <c:v>-9.8957161846469077E-2</c:v>
                </c:pt>
                <c:pt idx="44">
                  <c:v>-8.1038898930463343E-2</c:v>
                </c:pt>
                <c:pt idx="45">
                  <c:v>-5.7120779239427932E-2</c:v>
                </c:pt>
                <c:pt idx="46">
                  <c:v>-2.9140452330844724E-2</c:v>
                </c:pt>
                <c:pt idx="47">
                  <c:v>9.2551605606061571E-4</c:v>
                </c:pt>
                <c:pt idx="48">
                  <c:v>3.1170193514107325E-2</c:v>
                </c:pt>
                <c:pt idx="49">
                  <c:v>5.9854968418315835E-2</c:v>
                </c:pt>
                <c:pt idx="50">
                  <c:v>8.549161697435359E-2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819-8740-A354-D70D66BB7D88}"/>
            </c:ext>
          </c:extLst>
        </c:ser>
        <c:ser>
          <c:idx val="20"/>
          <c:order val="20"/>
          <c:tx>
            <c:strRef>
              <c:f>Table_Dynam_GDP!$W$7</c:f>
              <c:strCache>
                <c:ptCount val="1"/>
                <c:pt idx="0">
                  <c:v>LF_LE_SSC_PC-TVN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Table_Dynam_GDP!$W$8:$W$58</c:f>
              <c:numCache>
                <c:formatCode>0.00000000</c:formatCode>
                <c:ptCount val="51"/>
                <c:pt idx="0">
                  <c:v>0</c:v>
                </c:pt>
                <c:pt idx="1">
                  <c:v>2.506899180145794E-2</c:v>
                </c:pt>
                <c:pt idx="2">
                  <c:v>5.2736092058780493E-2</c:v>
                </c:pt>
                <c:pt idx="3">
                  <c:v>6.8811836743343235E-2</c:v>
                </c:pt>
                <c:pt idx="4">
                  <c:v>6.8151978718189454E-2</c:v>
                </c:pt>
                <c:pt idx="5">
                  <c:v>5.3389675060966368E-2</c:v>
                </c:pt>
                <c:pt idx="6">
                  <c:v>3.0226636603947199E-2</c:v>
                </c:pt>
                <c:pt idx="7">
                  <c:v>4.2589368541845474E-3</c:v>
                </c:pt>
                <c:pt idx="8">
                  <c:v>-2.0385427115943155E-2</c:v>
                </c:pt>
                <c:pt idx="9">
                  <c:v>-4.1302150733513177E-2</c:v>
                </c:pt>
                <c:pt idx="10">
                  <c:v>-5.7551166532954223E-2</c:v>
                </c:pt>
                <c:pt idx="11">
                  <c:v>-6.922631816663749E-2</c:v>
                </c:pt>
                <c:pt idx="12">
                  <c:v>-7.7026233291555002E-2</c:v>
                </c:pt>
                <c:pt idx="13">
                  <c:v>-8.1902854725324215E-2</c:v>
                </c:pt>
                <c:pt idx="14">
                  <c:v>-8.4813140051009928E-2</c:v>
                </c:pt>
                <c:pt idx="15">
                  <c:v>-8.6570174432853975E-2</c:v>
                </c:pt>
                <c:pt idx="16">
                  <c:v>-8.7777812641365305E-2</c:v>
                </c:pt>
                <c:pt idx="17">
                  <c:v>-8.8823928928072338E-2</c:v>
                </c:pt>
                <c:pt idx="18">
                  <c:v>-8.991100825921361E-2</c:v>
                </c:pt>
                <c:pt idx="19">
                  <c:v>-9.1102803510967334E-2</c:v>
                </c:pt>
                <c:pt idx="20">
                  <c:v>-9.2374077601764526E-2</c:v>
                </c:pt>
                <c:pt idx="21">
                  <c:v>-9.3653737080634514E-2</c:v>
                </c:pt>
                <c:pt idx="22">
                  <c:v>-9.4858093306704472E-2</c:v>
                </c:pt>
                <c:pt idx="23">
                  <c:v>-9.5912610016568589E-2</c:v>
                </c:pt>
                <c:pt idx="24">
                  <c:v>-9.6763640450758803E-2</c:v>
                </c:pt>
                <c:pt idx="25">
                  <c:v>-9.7382906365561794E-2</c:v>
                </c:pt>
                <c:pt idx="26">
                  <c:v>-9.7766122366094166E-2</c:v>
                </c:pt>
                <c:pt idx="27">
                  <c:v>-9.7928933330315715E-2</c:v>
                </c:pt>
                <c:pt idx="28">
                  <c:v>-9.7901495034291575E-2</c:v>
                </c:pt>
                <c:pt idx="29">
                  <c:v>-9.7722605614369851E-2</c:v>
                </c:pt>
                <c:pt idx="30">
                  <c:v>-9.743483083114457E-2</c:v>
                </c:pt>
                <c:pt idx="31">
                  <c:v>-9.70805560625565E-2</c:v>
                </c:pt>
                <c:pt idx="32">
                  <c:v>-9.6698922920679387E-2</c:v>
                </c:pt>
                <c:pt idx="33">
                  <c:v>-9.6324106401546317E-2</c:v>
                </c:pt>
                <c:pt idx="34">
                  <c:v>-9.5984138398352847E-2</c:v>
                </c:pt>
                <c:pt idx="35">
                  <c:v>-9.5700793130926165E-2</c:v>
                </c:pt>
                <c:pt idx="36">
                  <c:v>-9.5489546082905274E-2</c:v>
                </c:pt>
                <c:pt idx="37">
                  <c:v>-9.5360107351916135E-2</c:v>
                </c:pt>
                <c:pt idx="38">
                  <c:v>-9.5316972364511976E-2</c:v>
                </c:pt>
                <c:pt idx="39">
                  <c:v>-9.5360101551833498E-2</c:v>
                </c:pt>
                <c:pt idx="40">
                  <c:v>-9.5485502780012776E-2</c:v>
                </c:pt>
                <c:pt idx="41">
                  <c:v>-9.5686038466702428E-2</c:v>
                </c:pt>
                <c:pt idx="42">
                  <c:v>-9.5951920113601652E-2</c:v>
                </c:pt>
                <c:pt idx="43">
                  <c:v>-9.627148447528544E-2</c:v>
                </c:pt>
                <c:pt idx="44">
                  <c:v>-9.6631601126706546E-2</c:v>
                </c:pt>
                <c:pt idx="45">
                  <c:v>-9.7018290400385787E-2</c:v>
                </c:pt>
                <c:pt idx="46">
                  <c:v>-9.7417217093187514E-2</c:v>
                </c:pt>
                <c:pt idx="47">
                  <c:v>-9.7814209595492585E-2</c:v>
                </c:pt>
                <c:pt idx="48">
                  <c:v>-9.8195584661964208E-2</c:v>
                </c:pt>
                <c:pt idx="49">
                  <c:v>-9.8548545413068567E-2</c:v>
                </c:pt>
                <c:pt idx="50">
                  <c:v>-9.8861435917230178E-2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19-8740-A354-D70D66BB7D88}"/>
            </c:ext>
          </c:extLst>
        </c:ser>
        <c:ser>
          <c:idx val="21"/>
          <c:order val="21"/>
          <c:tx>
            <c:strRef>
              <c:f>Table_Dynam_GDP!$X$7</c:f>
              <c:strCache>
                <c:ptCount val="1"/>
                <c:pt idx="0">
                  <c:v>LF_HE_SSC_PC-TVN</c:v>
                </c:pt>
              </c:strCache>
            </c:strRef>
          </c:tx>
          <c:spPr>
            <a:ln w="19050" cap="rnd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Table_Dynam_GDP!$X$8:$X$58</c:f>
              <c:numCache>
                <c:formatCode>0.00000000</c:formatCode>
                <c:ptCount val="51"/>
                <c:pt idx="0">
                  <c:v>0</c:v>
                </c:pt>
                <c:pt idx="1">
                  <c:v>-4.9181975106060705E-3</c:v>
                </c:pt>
                <c:pt idx="2">
                  <c:v>-2.2789446085391685E-2</c:v>
                </c:pt>
                <c:pt idx="3">
                  <c:v>-6.1726034854270306E-2</c:v>
                </c:pt>
                <c:pt idx="4">
                  <c:v>-0.12271236908172334</c:v>
                </c:pt>
                <c:pt idx="5">
                  <c:v>-0.19947313043194859</c:v>
                </c:pt>
                <c:pt idx="6">
                  <c:v>-0.28297168314196375</c:v>
                </c:pt>
                <c:pt idx="7">
                  <c:v>-0.36462088068585086</c:v>
                </c:pt>
                <c:pt idx="8">
                  <c:v>-0.43771072065134087</c:v>
                </c:pt>
                <c:pt idx="9">
                  <c:v>-0.49773105367079129</c:v>
                </c:pt>
                <c:pt idx="10">
                  <c:v>-0.54218603591208447</c:v>
                </c:pt>
                <c:pt idx="11">
                  <c:v>-0.57024007345233274</c:v>
                </c:pt>
                <c:pt idx="12">
                  <c:v>-0.58234826949091767</c:v>
                </c:pt>
                <c:pt idx="13">
                  <c:v>-0.57992432816854622</c:v>
                </c:pt>
                <c:pt idx="14">
                  <c:v>-0.56505272805599249</c:v>
                </c:pt>
                <c:pt idx="15">
                  <c:v>-0.54023755157551756</c:v>
                </c:pt>
                <c:pt idx="16">
                  <c:v>-0.50818045378483445</c:v>
                </c:pt>
                <c:pt idx="17">
                  <c:v>-0.47158475249817755</c:v>
                </c:pt>
                <c:pt idx="18">
                  <c:v>-0.43298865809551224</c:v>
                </c:pt>
                <c:pt idx="19">
                  <c:v>-0.39463188198827215</c:v>
                </c:pt>
                <c:pt idx="20">
                  <c:v>-0.35836103437656419</c:v>
                </c:pt>
                <c:pt idx="21">
                  <c:v>-0.32557534110781994</c:v>
                </c:pt>
                <c:pt idx="22">
                  <c:v>-0.2972120943736889</c:v>
                </c:pt>
                <c:pt idx="23">
                  <c:v>-0.27376680451408619</c:v>
                </c:pt>
                <c:pt idx="24">
                  <c:v>-0.25534182681791195</c:v>
                </c:pt>
                <c:pt idx="25">
                  <c:v>-0.2417136879722892</c:v>
                </c:pt>
                <c:pt idx="26">
                  <c:v>-0.23241077262149412</c:v>
                </c:pt>
                <c:pt idx="27">
                  <c:v>-0.22679280740615093</c:v>
                </c:pt>
                <c:pt idx="28">
                  <c:v>-0.22412557875235439</c:v>
                </c:pt>
                <c:pt idx="29">
                  <c:v>-0.22364582369150954</c:v>
                </c:pt>
                <c:pt idx="30">
                  <c:v>-0.22461384815575247</c:v>
                </c:pt>
                <c:pt idx="31">
                  <c:v>-0.22635315260446376</c:v>
                </c:pt>
                <c:pt idx="32">
                  <c:v>-0.22827727293582845</c:v>
                </c:pt>
                <c:pt idx="33">
                  <c:v>-0.22990525093036229</c:v>
                </c:pt>
                <c:pt idx="34">
                  <c:v>-0.23086818534607811</c:v>
                </c:pt>
                <c:pt idx="35">
                  <c:v>-0.23090774311673723</c:v>
                </c:pt>
                <c:pt idx="36">
                  <c:v>-0.22986966801752384</c:v>
                </c:pt>
                <c:pt idx="37">
                  <c:v>-0.22769302962037941</c:v>
                </c:pt>
                <c:pt idx="38">
                  <c:v>-0.22439690386325539</c:v>
                </c:pt>
                <c:pt idx="39">
                  <c:v>-0.22006550289969118</c:v>
                </c:pt>
                <c:pt idx="40">
                  <c:v>-0.21483272794303732</c:v>
                </c:pt>
                <c:pt idx="41">
                  <c:v>-0.20886669343493924</c:v>
                </c:pt>
                <c:pt idx="42">
                  <c:v>-0.20235504131299598</c:v>
                </c:pt>
                <c:pt idx="43">
                  <c:v>-0.19549169057454518</c:v>
                </c:pt>
                <c:pt idx="44">
                  <c:v>-0.18846513308785617</c:v>
                </c:pt>
                <c:pt idx="45">
                  <c:v>-0.1814488262593783</c:v>
                </c:pt>
                <c:pt idx="46">
                  <c:v>-0.17459392609079361</c:v>
                </c:pt>
                <c:pt idx="47">
                  <c:v>-0.16802442975558662</c:v>
                </c:pt>
                <c:pt idx="48">
                  <c:v>-0.16183426992230077</c:v>
                </c:pt>
                <c:pt idx="49">
                  <c:v>-0.15608695210496126</c:v>
                </c:pt>
                <c:pt idx="50">
                  <c:v>-0.15081669367371653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819-8740-A354-D70D66BB7D88}"/>
            </c:ext>
          </c:extLst>
        </c:ser>
        <c:ser>
          <c:idx val="22"/>
          <c:order val="22"/>
          <c:tx>
            <c:strRef>
              <c:f>Table_Dynam_GDP!$Y$7</c:f>
              <c:strCache>
                <c:ptCount val="1"/>
                <c:pt idx="0">
                  <c:v>HF_LE_SSC_PC-TVN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Table_Dynam_GDP!$Y$8:$Y$58</c:f>
              <c:numCache>
                <c:formatCode>0.00000000</c:formatCode>
                <c:ptCount val="51"/>
                <c:pt idx="0">
                  <c:v>0</c:v>
                </c:pt>
                <c:pt idx="1">
                  <c:v>0.2501578167143137</c:v>
                </c:pt>
                <c:pt idx="2">
                  <c:v>0.48500207667847572</c:v>
                </c:pt>
                <c:pt idx="3">
                  <c:v>0.67118153194376529</c:v>
                </c:pt>
                <c:pt idx="4">
                  <c:v>0.810567305972687</c:v>
                </c:pt>
                <c:pt idx="5">
                  <c:v>0.91354745729821385</c:v>
                </c:pt>
                <c:pt idx="6">
                  <c:v>0.99040668978673807</c:v>
                </c:pt>
                <c:pt idx="7">
                  <c:v>1.0485623344781869</c:v>
                </c:pt>
                <c:pt idx="8">
                  <c:v>1.0925306501931464</c:v>
                </c:pt>
                <c:pt idx="9">
                  <c:v>1.1248237875722822</c:v>
                </c:pt>
                <c:pt idx="10">
                  <c:v>1.1468688471778954</c:v>
                </c:pt>
                <c:pt idx="11">
                  <c:v>1.1596417055920849</c:v>
                </c:pt>
                <c:pt idx="12">
                  <c:v>1.1640053641092551</c:v>
                </c:pt>
                <c:pt idx="13">
                  <c:v>1.1608420531019847</c:v>
                </c:pt>
                <c:pt idx="14">
                  <c:v>1.1510722074139057</c:v>
                </c:pt>
                <c:pt idx="15">
                  <c:v>1.1356272875462148</c:v>
                </c:pt>
                <c:pt idx="16">
                  <c:v>1.1154130080321512</c:v>
                </c:pt>
                <c:pt idx="17">
                  <c:v>1.0912793970612844</c:v>
                </c:pt>
                <c:pt idx="18">
                  <c:v>1.0640018320602129</c:v>
                </c:pt>
                <c:pt idx="19">
                  <c:v>1.0342717139148361</c:v>
                </c:pt>
                <c:pt idx="20">
                  <c:v>1.0026930014928048</c:v>
                </c:pt>
                <c:pt idx="21">
                  <c:v>0.9697828724029689</c:v>
                </c:pt>
                <c:pt idx="22">
                  <c:v>0.93597431237573137</c:v>
                </c:pt>
                <c:pt idx="23">
                  <c:v>0.9016208714648144</c:v>
                </c:pt>
                <c:pt idx="24">
                  <c:v>0.8670029264231438</c:v>
                </c:pt>
                <c:pt idx="25">
                  <c:v>0.83233683219525734</c:v>
                </c:pt>
                <c:pt idx="26">
                  <c:v>0.79778628942752672</c:v>
                </c:pt>
                <c:pt idx="27">
                  <c:v>0.76347579203250859</c:v>
                </c:pt>
                <c:pt idx="28">
                  <c:v>0.72950522641810345</c:v>
                </c:pt>
                <c:pt idx="29">
                  <c:v>0.69596395812911993</c:v>
                </c:pt>
                <c:pt idx="30">
                  <c:v>0.66294261657673381</c:v>
                </c:pt>
                <c:pt idx="31">
                  <c:v>0.63054175940533419</c:v>
                </c:pt>
                <c:pt idx="32">
                  <c:v>0.59887515387708756</c:v>
                </c:pt>
                <c:pt idx="33">
                  <c:v>0.56806897676950907</c:v>
                </c:pt>
                <c:pt idx="34">
                  <c:v>0.53825585114513075</c:v>
                </c:pt>
                <c:pt idx="35">
                  <c:v>0.50956597507094692</c:v>
                </c:pt>
                <c:pt idx="36">
                  <c:v>0.48211662518549137</c:v>
                </c:pt>
                <c:pt idx="37">
                  <c:v>0.45600144506818818</c:v>
                </c:pt>
                <c:pt idx="38">
                  <c:v>0.43128187489602787</c:v>
                </c:pt>
                <c:pt idx="39">
                  <c:v>0.40798130341721528</c:v>
                </c:pt>
                <c:pt idx="40">
                  <c:v>0.38608304444185393</c:v>
                </c:pt>
                <c:pt idx="41">
                  <c:v>0.36553220859887325</c:v>
                </c:pt>
                <c:pt idx="42">
                  <c:v>0.34624043711823926</c:v>
                </c:pt>
                <c:pt idx="43">
                  <c:v>0.32809380807723443</c:v>
                </c:pt>
                <c:pt idx="44">
                  <c:v>0.31096156375274298</c:v>
                </c:pt>
                <c:pt idx="45">
                  <c:v>0.29470557269462017</c:v>
                </c:pt>
                <c:pt idx="46">
                  <c:v>0.27918915159323987</c:v>
                </c:pt>
                <c:pt idx="47">
                  <c:v>0.26428442073180847</c:v>
                </c:pt>
                <c:pt idx="48">
                  <c:v>0.24987803543949916</c:v>
                </c:pt>
                <c:pt idx="49">
                  <c:v>0.23587506598394814</c:v>
                </c:pt>
                <c:pt idx="50">
                  <c:v>0.22220074384060595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19-8740-A354-D70D66BB7D88}"/>
            </c:ext>
          </c:extLst>
        </c:ser>
        <c:ser>
          <c:idx val="23"/>
          <c:order val="23"/>
          <c:tx>
            <c:strRef>
              <c:f>Table_Dynam_GDP!$Z$7</c:f>
              <c:strCache>
                <c:ptCount val="1"/>
                <c:pt idx="0">
                  <c:v>HF_HE_SSC_PC-TVN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Table_Dynam_GDP!$B$8:$B$58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Table_Dynam_GDP!$Z$8:$Z$58</c:f>
              <c:numCache>
                <c:formatCode>0.00000000</c:formatCode>
                <c:ptCount val="51"/>
                <c:pt idx="0">
                  <c:v>0</c:v>
                </c:pt>
                <c:pt idx="1">
                  <c:v>0.21182244977022702</c:v>
                </c:pt>
                <c:pt idx="2">
                  <c:v>0.37492624205575087</c:v>
                </c:pt>
                <c:pt idx="3">
                  <c:v>0.45706930886031394</c:v>
                </c:pt>
                <c:pt idx="4">
                  <c:v>0.46392756321542716</c:v>
                </c:pt>
                <c:pt idx="5">
                  <c:v>0.41257302013655295</c:v>
                </c:pt>
                <c:pt idx="6">
                  <c:v>0.32171200592729932</c:v>
                </c:pt>
                <c:pt idx="7">
                  <c:v>0.20777046956341749</c:v>
                </c:pt>
                <c:pt idx="8">
                  <c:v>8.4000454998878205E-2</c:v>
                </c:pt>
                <c:pt idx="9">
                  <c:v>-3.9192985401903524E-2</c:v>
                </c:pt>
                <c:pt idx="10">
                  <c:v>-0.1536855595901554</c:v>
                </c:pt>
                <c:pt idx="11">
                  <c:v>-0.25320854928156944</c:v>
                </c:pt>
                <c:pt idx="12">
                  <c:v>-0.3331267025726059</c:v>
                </c:pt>
                <c:pt idx="13">
                  <c:v>-0.3903578303066646</c:v>
                </c:pt>
                <c:pt idx="14">
                  <c:v>-0.42334838033371014</c:v>
                </c:pt>
                <c:pt idx="15">
                  <c:v>-0.43203508060637441</c:v>
                </c:pt>
                <c:pt idx="16">
                  <c:v>-0.41774793461593074</c:v>
                </c:pt>
                <c:pt idx="17">
                  <c:v>-0.38303645780071172</c:v>
                </c:pt>
                <c:pt idx="18">
                  <c:v>-0.33142115590895083</c:v>
                </c:pt>
                <c:pt idx="19">
                  <c:v>-0.26708785783267075</c:v>
                </c:pt>
                <c:pt idx="20">
                  <c:v>-0.19455324798064444</c:v>
                </c:pt>
                <c:pt idx="21">
                  <c:v>-0.118331159884566</c:v>
                </c:pt>
                <c:pt idx="22">
                  <c:v>-4.2631412977633953E-2</c:v>
                </c:pt>
                <c:pt idx="23">
                  <c:v>2.8885188694460773E-2</c:v>
                </c:pt>
                <c:pt idx="24">
                  <c:v>9.3280039482701582E-2</c:v>
                </c:pt>
                <c:pt idx="25">
                  <c:v>0.14843143860747698</c:v>
                </c:pt>
                <c:pt idx="26">
                  <c:v>0.19305408314873596</c:v>
                </c:pt>
                <c:pt idx="27">
                  <c:v>0.22665276303530657</c:v>
                </c:pt>
                <c:pt idx="28">
                  <c:v>0.2494258156141349</c:v>
                </c:pt>
                <c:pt idx="29">
                  <c:v>0.26213385965707658</c:v>
                </c:pt>
                <c:pt idx="30">
                  <c:v>0.26595156865112379</c:v>
                </c:pt>
                <c:pt idx="31">
                  <c:v>0.26231716477564948</c:v>
                </c:pt>
                <c:pt idx="32">
                  <c:v>0.25279192786873406</c:v>
                </c:pt>
                <c:pt idx="33">
                  <c:v>0.23893918809849701</c:v>
                </c:pt>
                <c:pt idx="34">
                  <c:v>0.22222809145475697</c:v>
                </c:pt>
                <c:pt idx="35">
                  <c:v>0.20396456484483849</c:v>
                </c:pt>
                <c:pt idx="36">
                  <c:v>0.18524881996029308</c:v>
                </c:pt>
                <c:pt idx="37">
                  <c:v>0.16695664730566051</c:v>
                </c:pt>
                <c:pt idx="38">
                  <c:v>0.14974024838381172</c:v>
                </c:pt>
                <c:pt idx="39">
                  <c:v>0.13404365020543985</c:v>
                </c:pt>
                <c:pt idx="40">
                  <c:v>0.1201279329214433</c:v>
                </c:pt>
                <c:pt idx="41">
                  <c:v>0.10810158920488977</c:v>
                </c:pt>
                <c:pt idx="42">
                  <c:v>9.7952680743951248E-2</c:v>
                </c:pt>
                <c:pt idx="43">
                  <c:v>8.9579762513092298E-2</c:v>
                </c:pt>
                <c:pt idx="44">
                  <c:v>8.2819752990270779E-2</c:v>
                </c:pt>
                <c:pt idx="45">
                  <c:v>7.7471970579923166E-2</c:v>
                </c:pt>
                <c:pt idx="46">
                  <c:v>7.3317818094098541E-2</c:v>
                </c:pt>
                <c:pt idx="47">
                  <c:v>7.0135960429618116E-2</c:v>
                </c:pt>
                <c:pt idx="48">
                  <c:v>6.7713728023455211E-2</c:v>
                </c:pt>
                <c:pt idx="49">
                  <c:v>6.585498287419167E-2</c:v>
                </c:pt>
                <c:pt idx="50">
                  <c:v>6.4385248843978893E-2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819-8740-A354-D70D66BB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105103"/>
        <c:axId val="509111727"/>
      </c:lineChart>
      <c:dateAx>
        <c:axId val="509105103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9111727"/>
        <c:crosses val="autoZero"/>
        <c:auto val="1"/>
        <c:lblOffset val="100"/>
        <c:baseTimeUnit val="years"/>
        <c:majorUnit val="10"/>
      </c:dateAx>
      <c:valAx>
        <c:axId val="509111727"/>
        <c:scaling>
          <c:orientation val="minMax"/>
          <c:max val="1.4"/>
          <c:min val="-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chemeClr val="tx1"/>
                    </a:solidFill>
                  </a:rPr>
                  <a:t>% deviation from</a:t>
                </a:r>
                <a:r>
                  <a:rPr lang="fr-FR" sz="1200" baseline="0">
                    <a:solidFill>
                      <a:schemeClr val="tx1"/>
                    </a:solidFill>
                  </a:rPr>
                  <a:t> baseline scenario </a:t>
                </a:r>
                <a:endParaRPr lang="fr-FR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91051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Table_Dynam_EMS!$C$7</c:f>
              <c:strCache>
                <c:ptCount val="1"/>
                <c:pt idx="0">
                  <c:v>LF_LE_LS_WS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Table_Dynam_EMS!$C$8:$C$58</c:f>
              <c:numCache>
                <c:formatCode>0.00000000</c:formatCode>
                <c:ptCount val="51"/>
                <c:pt idx="0">
                  <c:v>0</c:v>
                </c:pt>
                <c:pt idx="1">
                  <c:v>-1.1929823961905117</c:v>
                </c:pt>
                <c:pt idx="2">
                  <c:v>-1.9405678799803705</c:v>
                </c:pt>
                <c:pt idx="3">
                  <c:v>-2.369092307156806</c:v>
                </c:pt>
                <c:pt idx="4">
                  <c:v>-2.6067880924451114</c:v>
                </c:pt>
                <c:pt idx="5">
                  <c:v>-2.7332303703467731</c:v>
                </c:pt>
                <c:pt idx="6">
                  <c:v>-2.7935593728201424</c:v>
                </c:pt>
                <c:pt idx="7">
                  <c:v>-2.8131719883357609</c:v>
                </c:pt>
                <c:pt idx="8">
                  <c:v>-2.806801579723428</c:v>
                </c:pt>
                <c:pt idx="9">
                  <c:v>-2.7834659711138299</c:v>
                </c:pt>
                <c:pt idx="10">
                  <c:v>-2.7490331075876506</c:v>
                </c:pt>
                <c:pt idx="11">
                  <c:v>-2.7075322590247142</c:v>
                </c:pt>
                <c:pt idx="12">
                  <c:v>-2.6618334610530758</c:v>
                </c:pt>
                <c:pt idx="13">
                  <c:v>-2.6140139453021516</c:v>
                </c:pt>
                <c:pt idx="14">
                  <c:v>-2.5655695381540444</c:v>
                </c:pt>
                <c:pt idx="15">
                  <c:v>-2.5175487656520779</c:v>
                </c:pt>
                <c:pt idx="16">
                  <c:v>-2.4706474561571046</c:v>
                </c:pt>
                <c:pt idx="17">
                  <c:v>-2.425282935856421</c:v>
                </c:pt>
                <c:pt idx="18">
                  <c:v>-2.3816564937594653</c:v>
                </c:pt>
                <c:pt idx="19">
                  <c:v>-2.3398073983897372</c:v>
                </c:pt>
                <c:pt idx="20">
                  <c:v>-2.2996602623706619</c:v>
                </c:pt>
                <c:pt idx="21">
                  <c:v>-2.2610652871848824</c:v>
                </c:pt>
                <c:pt idx="22">
                  <c:v>-2.223831248251773</c:v>
                </c:pt>
                <c:pt idx="23">
                  <c:v>-2.1877514429682665</c:v>
                </c:pt>
                <c:pt idx="24">
                  <c:v>-2.1526227532838949</c:v>
                </c:pt>
                <c:pt idx="25">
                  <c:v>-2.1182585793410147</c:v>
                </c:pt>
                <c:pt idx="26">
                  <c:v>-2.0844965737431553</c:v>
                </c:pt>
                <c:pt idx="27">
                  <c:v>-2.0512022136313424</c:v>
                </c:pt>
                <c:pt idx="28">
                  <c:v>-2.0182692983226391</c:v>
                </c:pt>
                <c:pt idx="29">
                  <c:v>-1.9856183156567564</c:v>
                </c:pt>
                <c:pt idx="30">
                  <c:v>-1.9531935757458485</c:v>
                </c:pt>
                <c:pt idx="31">
                  <c:v>-1.920959596330829</c:v>
                </c:pt>
                <c:pt idx="32">
                  <c:v>-1.8888974190522823</c:v>
                </c:pt>
                <c:pt idx="33">
                  <c:v>-1.8570011563353028</c:v>
                </c:pt>
                <c:pt idx="34">
                  <c:v>-1.8252747730534313</c:v>
                </c:pt>
                <c:pt idx="35">
                  <c:v>-1.7937294138616666</c:v>
                </c:pt>
                <c:pt idx="36">
                  <c:v>-1.7623813158785806</c:v>
                </c:pt>
                <c:pt idx="37">
                  <c:v>-1.7312497478365607</c:v>
                </c:pt>
                <c:pt idx="38">
                  <c:v>-1.7003562260409444</c:v>
                </c:pt>
                <c:pt idx="39">
                  <c:v>-1.6697229058380669</c:v>
                </c:pt>
                <c:pt idx="40">
                  <c:v>-1.6393723189467302</c:v>
                </c:pt>
                <c:pt idx="41">
                  <c:v>-1.6093263696780991</c:v>
                </c:pt>
                <c:pt idx="42">
                  <c:v>-1.5796064718958558</c:v>
                </c:pt>
                <c:pt idx="43">
                  <c:v>-1.5502328453491532</c:v>
                </c:pt>
                <c:pt idx="44">
                  <c:v>-1.5212245311327921</c:v>
                </c:pt>
                <c:pt idx="45">
                  <c:v>-1.4925991061336963</c:v>
                </c:pt>
                <c:pt idx="46">
                  <c:v>-1.4643726627307951</c:v>
                </c:pt>
                <c:pt idx="47">
                  <c:v>-1.4365597929903218</c:v>
                </c:pt>
                <c:pt idx="48">
                  <c:v>-1.4091732085951936</c:v>
                </c:pt>
                <c:pt idx="49">
                  <c:v>-1.3822242254907136</c:v>
                </c:pt>
                <c:pt idx="50">
                  <c:v>-1.355722399199788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3-4862-9817-881AB6ED820F}"/>
            </c:ext>
          </c:extLst>
        </c:ser>
        <c:ser>
          <c:idx val="1"/>
          <c:order val="1"/>
          <c:tx>
            <c:strRef>
              <c:f>Table_Dynam_EMS!$D$7</c:f>
              <c:strCache>
                <c:ptCount val="1"/>
                <c:pt idx="0">
                  <c:v>LF_HE_LS_WS</c:v>
                </c:pt>
              </c:strCache>
            </c:strRef>
          </c:tx>
          <c:spPr>
            <a:ln w="19050" cap="rnd">
              <a:solidFill>
                <a:srgbClr val="FF2F92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Table_Dynam_EMS!$D$8:$D$58</c:f>
              <c:numCache>
                <c:formatCode>0.00000000</c:formatCode>
                <c:ptCount val="51"/>
                <c:pt idx="0">
                  <c:v>0</c:v>
                </c:pt>
                <c:pt idx="1">
                  <c:v>-1.242762565466482</c:v>
                </c:pt>
                <c:pt idx="2">
                  <c:v>-2.064787919465505</c:v>
                </c:pt>
                <c:pt idx="3">
                  <c:v>-2.5755414599256343</c:v>
                </c:pt>
                <c:pt idx="4">
                  <c:v>-2.8943109704306802</c:v>
                </c:pt>
                <c:pt idx="5">
                  <c:v>-3.0957171466149846</c:v>
                </c:pt>
                <c:pt idx="6">
                  <c:v>-3.2219461532857818</c:v>
                </c:pt>
                <c:pt idx="7">
                  <c:v>-3.2966910152924189</c:v>
                </c:pt>
                <c:pt idx="8">
                  <c:v>-3.3339571564016901</c:v>
                </c:pt>
                <c:pt idx="9">
                  <c:v>-3.3428494589568536</c:v>
                </c:pt>
                <c:pt idx="10">
                  <c:v>-3.3299709957429591</c:v>
                </c:pt>
                <c:pt idx="11">
                  <c:v>-3.3005477985626031</c:v>
                </c:pt>
                <c:pt idx="12">
                  <c:v>-3.2589197614140808</c:v>
                </c:pt>
                <c:pt idx="13">
                  <c:v>-3.2087375863044998</c:v>
                </c:pt>
                <c:pt idx="14">
                  <c:v>-3.1530372706958243</c:v>
                </c:pt>
                <c:pt idx="15">
                  <c:v>-3.0942753277747537</c:v>
                </c:pt>
                <c:pt idx="16">
                  <c:v>-3.0343621287002742</c:v>
                </c:pt>
                <c:pt idx="17">
                  <c:v>-2.9747074753807556</c:v>
                </c:pt>
                <c:pt idx="18">
                  <c:v>-2.9162802949353694</c:v>
                </c:pt>
                <c:pt idx="19">
                  <c:v>-2.8596790571979724</c:v>
                </c:pt>
                <c:pt idx="20">
                  <c:v>-2.8052067662236002</c:v>
                </c:pt>
                <c:pt idx="21">
                  <c:v>-2.7529448542899848</c:v>
                </c:pt>
                <c:pt idx="22">
                  <c:v>-2.7028207153248163</c:v>
                </c:pt>
                <c:pt idx="23">
                  <c:v>-2.6546657278553765</c:v>
                </c:pt>
                <c:pt idx="24">
                  <c:v>-2.6082620527847933</c:v>
                </c:pt>
                <c:pt idx="25">
                  <c:v>-2.5633775770625977</c:v>
                </c:pt>
                <c:pt idx="26">
                  <c:v>-2.5197901641327514</c:v>
                </c:pt>
                <c:pt idx="27">
                  <c:v>-2.4773024697358426</c:v>
                </c:pt>
                <c:pt idx="28">
                  <c:v>-2.4357492672393399</c:v>
                </c:pt>
                <c:pt idx="29">
                  <c:v>-2.3949991726962994</c:v>
                </c:pt>
                <c:pt idx="30">
                  <c:v>-2.3549526112404795</c:v>
                </c:pt>
                <c:pt idx="31">
                  <c:v>-2.3155376678478556</c:v>
                </c:pt>
                <c:pt idx="32">
                  <c:v>-2.2767047660245288</c:v>
                </c:pt>
                <c:pt idx="33">
                  <c:v>-2.2384213185147717</c:v>
                </c:pt>
                <c:pt idx="34">
                  <c:v>-2.2006668866073054</c:v>
                </c:pt>
                <c:pt idx="35">
                  <c:v>-2.1634290560666125</c:v>
                </c:pt>
                <c:pt idx="36">
                  <c:v>-2.1267000933482549</c:v>
                </c:pt>
                <c:pt idx="37">
                  <c:v>-2.0904749788994481</c:v>
                </c:pt>
                <c:pt idx="38">
                  <c:v>-2.0547494261152655</c:v>
                </c:pt>
                <c:pt idx="39">
                  <c:v>-2.0195194194690957</c:v>
                </c:pt>
                <c:pt idx="40">
                  <c:v>-1.9847804313399942</c:v>
                </c:pt>
                <c:pt idx="41">
                  <c:v>-1.9505275610759876</c:v>
                </c:pt>
                <c:pt idx="42">
                  <c:v>-1.9167556555904297</c:v>
                </c:pt>
                <c:pt idx="43">
                  <c:v>-1.8834592599868971</c:v>
                </c:pt>
                <c:pt idx="44">
                  <c:v>-1.8506328088481294</c:v>
                </c:pt>
                <c:pt idx="45">
                  <c:v>-1.8182714529954014</c:v>
                </c:pt>
                <c:pt idx="46">
                  <c:v>-1.7863701277599175</c:v>
                </c:pt>
                <c:pt idx="47">
                  <c:v>-1.7549242681235699</c:v>
                </c:pt>
                <c:pt idx="48">
                  <c:v>-1.7239297738061432</c:v>
                </c:pt>
                <c:pt idx="49">
                  <c:v>-1.6933827322102024</c:v>
                </c:pt>
                <c:pt idx="50">
                  <c:v>-1.6632797691406576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3-4862-9817-881AB6ED820F}"/>
            </c:ext>
          </c:extLst>
        </c:ser>
        <c:ser>
          <c:idx val="2"/>
          <c:order val="2"/>
          <c:tx>
            <c:strRef>
              <c:f>Table_Dynam_EMS!$E$7</c:f>
              <c:strCache>
                <c:ptCount val="1"/>
                <c:pt idx="0">
                  <c:v>HF_LE_LS_WS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Table_Dynam_EMS!$E$8:$E$58</c:f>
              <c:numCache>
                <c:formatCode>0.00000000</c:formatCode>
                <c:ptCount val="51"/>
                <c:pt idx="0">
                  <c:v>0</c:v>
                </c:pt>
                <c:pt idx="1">
                  <c:v>-5.3351140785127704</c:v>
                </c:pt>
                <c:pt idx="2">
                  <c:v>-8.4612548895093393</c:v>
                </c:pt>
                <c:pt idx="3">
                  <c:v>-10.187797487968231</c:v>
                </c:pt>
                <c:pt idx="4">
                  <c:v>-11.093352932271195</c:v>
                </c:pt>
                <c:pt idx="5">
                  <c:v>-11.516958010076539</c:v>
                </c:pt>
                <c:pt idx="6">
                  <c:v>-11.654312008092216</c:v>
                </c:pt>
                <c:pt idx="7">
                  <c:v>-11.620280187718269</c:v>
                </c:pt>
                <c:pt idx="8">
                  <c:v>-11.484108132688553</c:v>
                </c:pt>
                <c:pt idx="9">
                  <c:v>-11.288731736695489</c:v>
                </c:pt>
                <c:pt idx="10">
                  <c:v>-11.061342663207929</c:v>
                </c:pt>
                <c:pt idx="11">
                  <c:v>-10.819279793339909</c:v>
                </c:pt>
                <c:pt idx="12">
                  <c:v>-10.57346099659463</c:v>
                </c:pt>
                <c:pt idx="13">
                  <c:v>-10.330511474018211</c:v>
                </c:pt>
                <c:pt idx="14">
                  <c:v>-10.094173479090829</c:v>
                </c:pt>
                <c:pt idx="15">
                  <c:v>-9.8662867645511234</c:v>
                </c:pt>
                <c:pt idx="16">
                  <c:v>-9.6474858811146369</c:v>
                </c:pt>
                <c:pt idx="17">
                  <c:v>-9.4376946530562833</c:v>
                </c:pt>
                <c:pt idx="18">
                  <c:v>-9.2364673058343509</c:v>
                </c:pt>
                <c:pt idx="19">
                  <c:v>-9.0432138425077255</c:v>
                </c:pt>
                <c:pt idx="20">
                  <c:v>-8.8573385244494425</c:v>
                </c:pt>
                <c:pt idx="21">
                  <c:v>-8.6783154440979509</c:v>
                </c:pt>
                <c:pt idx="22">
                  <c:v>-8.5057210523844855</c:v>
                </c:pt>
                <c:pt idx="23">
                  <c:v>-8.3392384661454262</c:v>
                </c:pt>
                <c:pt idx="24">
                  <c:v>-8.1786452592330647</c:v>
                </c:pt>
                <c:pt idx="25">
                  <c:v>-8.0237931814160497</c:v>
                </c:pt>
                <c:pt idx="26">
                  <c:v>-7.8745849739578428</c:v>
                </c:pt>
                <c:pt idx="27">
                  <c:v>-7.7309523505185158</c:v>
                </c:pt>
                <c:pt idx="28">
                  <c:v>-7.592836889969834</c:v>
                </c:pt>
                <c:pt idx="29">
                  <c:v>-7.4601747879475706</c:v>
                </c:pt>
                <c:pt idx="30">
                  <c:v>-7.3328857553128124</c:v>
                </c:pt>
                <c:pt idx="31">
                  <c:v>-7.2108658212056138</c:v>
                </c:pt>
                <c:pt idx="32">
                  <c:v>-7.0939833821559883</c:v>
                </c:pt>
                <c:pt idx="33">
                  <c:v>-6.982078065609743</c:v>
                </c:pt>
                <c:pt idx="34">
                  <c:v>-6.8749615102379869</c:v>
                </c:pt>
                <c:pt idx="35">
                  <c:v>-6.7724198002035108</c:v>
                </c:pt>
                <c:pt idx="36">
                  <c:v>-6.6742168328434932</c:v>
                </c:pt>
                <c:pt idx="37">
                  <c:v>-6.5800978961546575</c:v>
                </c:pt>
                <c:pt idx="38">
                  <c:v>-6.4897942051387769</c:v>
                </c:pt>
                <c:pt idx="39">
                  <c:v>-6.4030266495361143</c:v>
                </c:pt>
                <c:pt idx="40">
                  <c:v>-6.3195097398059952</c:v>
                </c:pt>
                <c:pt idx="41">
                  <c:v>-6.2389553841144192</c:v>
                </c:pt>
                <c:pt idx="42">
                  <c:v>-6.1610760127928099</c:v>
                </c:pt>
                <c:pt idx="43">
                  <c:v>-6.0855874115093078</c:v>
                </c:pt>
                <c:pt idx="44">
                  <c:v>-6.0122114001473825</c:v>
                </c:pt>
                <c:pt idx="45">
                  <c:v>-5.9406780137102881</c:v>
                </c:pt>
                <c:pt idx="46">
                  <c:v>-5.8707269484675635</c:v>
                </c:pt>
                <c:pt idx="47">
                  <c:v>-5.8021097626884348</c:v>
                </c:pt>
                <c:pt idx="48">
                  <c:v>-5.7345903195843988</c:v>
                </c:pt>
                <c:pt idx="49">
                  <c:v>-5.6679464129944286</c:v>
                </c:pt>
                <c:pt idx="50">
                  <c:v>-5.6019701896699576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3-4862-9817-881AB6ED820F}"/>
            </c:ext>
          </c:extLst>
        </c:ser>
        <c:ser>
          <c:idx val="3"/>
          <c:order val="3"/>
          <c:tx>
            <c:strRef>
              <c:f>Table_Dynam_EMS!$F$7</c:f>
              <c:strCache>
                <c:ptCount val="1"/>
                <c:pt idx="0">
                  <c:v>HF_HE_LS_WS</c:v>
                </c:pt>
              </c:strCache>
            </c:strRef>
          </c:tx>
          <c:spPr>
            <a:ln w="19050" cap="rnd">
              <a:solidFill>
                <a:srgbClr val="0096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Table_Dynam_EMS!$F$8:$F$58</c:f>
              <c:numCache>
                <c:formatCode>0.00000000</c:formatCode>
                <c:ptCount val="51"/>
                <c:pt idx="0">
                  <c:v>0</c:v>
                </c:pt>
                <c:pt idx="1">
                  <c:v>-5.3968471436278804</c:v>
                </c:pt>
                <c:pt idx="2">
                  <c:v>-8.6351518080518659</c:v>
                </c:pt>
                <c:pt idx="3">
                  <c:v>-10.517960072177212</c:v>
                </c:pt>
                <c:pt idx="4">
                  <c:v>-11.618399651576095</c:v>
                </c:pt>
                <c:pt idx="5">
                  <c:v>-12.267591860876593</c:v>
                </c:pt>
                <c:pt idx="6">
                  <c:v>-12.650947015259039</c:v>
                </c:pt>
                <c:pt idx="7">
                  <c:v>-12.87194415314783</c:v>
                </c:pt>
                <c:pt idx="8">
                  <c:v>-12.988695054501632</c:v>
                </c:pt>
                <c:pt idx="9">
                  <c:v>-13.034274212083075</c:v>
                </c:pt>
                <c:pt idx="10">
                  <c:v>-13.027904579585137</c:v>
                </c:pt>
                <c:pt idx="11">
                  <c:v>-12.981120212653574</c:v>
                </c:pt>
                <c:pt idx="12">
                  <c:v>-12.901200098538856</c:v>
                </c:pt>
                <c:pt idx="13">
                  <c:v>-12.793111486311325</c:v>
                </c:pt>
                <c:pt idx="14">
                  <c:v>-12.660618820730662</c:v>
                </c:pt>
                <c:pt idx="15">
                  <c:v>-12.506906816448693</c:v>
                </c:pt>
                <c:pt idx="16">
                  <c:v>-12.334910965902857</c:v>
                </c:pt>
                <c:pt idx="17">
                  <c:v>-12.147467965035519</c:v>
                </c:pt>
                <c:pt idx="18">
                  <c:v>-11.947358237671535</c:v>
                </c:pt>
                <c:pt idx="19">
                  <c:v>-11.737288098217558</c:v>
                </c:pt>
                <c:pt idx="20">
                  <c:v>-11.519843882198799</c:v>
                </c:pt>
                <c:pt idx="21">
                  <c:v>-11.297439324444202</c:v>
                </c:pt>
                <c:pt idx="22">
                  <c:v>-11.072269197936313</c:v>
                </c:pt>
                <c:pt idx="23">
                  <c:v>-10.846275564515107</c:v>
                </c:pt>
                <c:pt idx="24">
                  <c:v>-10.621129492925608</c:v>
                </c:pt>
                <c:pt idx="25">
                  <c:v>-10.398227316417163</c:v>
                </c:pt>
                <c:pt idx="26">
                  <c:v>-10.17869929566244</c:v>
                </c:pt>
                <c:pt idx="27">
                  <c:v>-9.9634277732164271</c:v>
                </c:pt>
                <c:pt idx="28">
                  <c:v>-9.7530715296017085</c:v>
                </c:pt>
                <c:pt idx="29">
                  <c:v>-9.5480935621866099</c:v>
                </c:pt>
                <c:pt idx="30">
                  <c:v>-9.3487900472613248</c:v>
                </c:pt>
                <c:pt idx="31">
                  <c:v>-9.1553183904660944</c:v>
                </c:pt>
                <c:pt idx="32">
                  <c:v>-8.9677235111543236</c:v>
                </c:pt>
                <c:pt idx="33">
                  <c:v>-8.7859612885541338</c:v>
                </c:pt>
                <c:pt idx="34">
                  <c:v>-8.6099191516744717</c:v>
                </c:pt>
                <c:pt idx="35">
                  <c:v>-8.4394335054581155</c:v>
                </c:pt>
                <c:pt idx="36">
                  <c:v>-8.2743041850705019</c:v>
                </c:pt>
                <c:pt idx="37">
                  <c:v>-8.114306593807207</c:v>
                </c:pt>
                <c:pt idx="38">
                  <c:v>-7.9592010810531573</c:v>
                </c:pt>
                <c:pt idx="39">
                  <c:v>-7.8087405959023855</c:v>
                </c:pt>
                <c:pt idx="40">
                  <c:v>-7.6626768598147095</c:v>
                </c:pt>
                <c:pt idx="41">
                  <c:v>-7.5207645253189899</c:v>
                </c:pt>
                <c:pt idx="42">
                  <c:v>-7.3827653113046843</c:v>
                </c:pt>
                <c:pt idx="43">
                  <c:v>-7.2484495572666896</c:v>
                </c:pt>
                <c:pt idx="44">
                  <c:v>-7.1175990371957205</c:v>
                </c:pt>
                <c:pt idx="45">
                  <c:v>-6.990007351036609</c:v>
                </c:pt>
                <c:pt idx="46">
                  <c:v>-6.8654809798993632</c:v>
                </c:pt>
                <c:pt idx="47">
                  <c:v>-6.7438391189580731</c:v>
                </c:pt>
                <c:pt idx="48">
                  <c:v>-6.6249140794667483</c:v>
                </c:pt>
                <c:pt idx="49">
                  <c:v>-6.5085507514738854</c:v>
                </c:pt>
                <c:pt idx="50">
                  <c:v>-6.3946057563759702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83-4862-9817-881AB6ED820F}"/>
            </c:ext>
          </c:extLst>
        </c:ser>
        <c:ser>
          <c:idx val="4"/>
          <c:order val="4"/>
          <c:tx>
            <c:strRef>
              <c:f>Table_Dynam_EMS!$G$7</c:f>
              <c:strCache>
                <c:ptCount val="1"/>
                <c:pt idx="0">
                  <c:v>LF_LE_LS_PC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Table_Dynam_EMS!$G$8:$G$58</c:f>
              <c:numCache>
                <c:formatCode>0.00000000</c:formatCode>
                <c:ptCount val="51"/>
                <c:pt idx="0">
                  <c:v>0</c:v>
                </c:pt>
                <c:pt idx="1">
                  <c:v>-1.1961777909335725</c:v>
                </c:pt>
                <c:pt idx="2">
                  <c:v>-1.9460355310856547</c:v>
                </c:pt>
                <c:pt idx="3">
                  <c:v>-2.3767796964146881</c:v>
                </c:pt>
                <c:pt idx="4">
                  <c:v>-2.6173318111449295</c:v>
                </c:pt>
                <c:pt idx="5">
                  <c:v>-2.7472576306653007</c:v>
                </c:pt>
                <c:pt idx="6">
                  <c:v>-2.8112208159629115</c:v>
                </c:pt>
                <c:pt idx="7">
                  <c:v>-2.8340396886694319</c:v>
                </c:pt>
                <c:pt idx="8">
                  <c:v>-2.8300433288909854</c:v>
                </c:pt>
                <c:pt idx="9">
                  <c:v>-2.8081409551752978</c:v>
                </c:pt>
                <c:pt idx="10">
                  <c:v>-2.7743723084300065</c:v>
                </c:pt>
                <c:pt idx="11">
                  <c:v>-2.7331211568882852</c:v>
                </c:pt>
                <c:pt idx="12">
                  <c:v>-2.6876707358267304</c:v>
                </c:pt>
                <c:pt idx="13">
                  <c:v>-2.6404625430213047</c:v>
                </c:pt>
                <c:pt idx="14">
                  <c:v>-2.593239208159559</c:v>
                </c:pt>
                <c:pt idx="15">
                  <c:v>-2.5471536486364244</c:v>
                </c:pt>
                <c:pt idx="16">
                  <c:v>-2.5028750051441451</c:v>
                </c:pt>
                <c:pt idx="17">
                  <c:v>-2.4606963228184564</c:v>
                </c:pt>
                <c:pt idx="18">
                  <c:v>-2.4206395143280934</c:v>
                </c:pt>
                <c:pt idx="19">
                  <c:v>-2.3825496522198897</c:v>
                </c:pt>
                <c:pt idx="20">
                  <c:v>-2.3461738013352607</c:v>
                </c:pt>
                <c:pt idx="21">
                  <c:v>-2.3112212827378742</c:v>
                </c:pt>
                <c:pt idx="22">
                  <c:v>-2.2774054774710839</c:v>
                </c:pt>
                <c:pt idx="23">
                  <c:v>-2.2444695468747833</c:v>
                </c:pt>
                <c:pt idx="24">
                  <c:v>-2.212198743306093</c:v>
                </c:pt>
                <c:pt idx="25">
                  <c:v>-2.1804229758648153</c:v>
                </c:pt>
                <c:pt idx="26">
                  <c:v>-2.1490127417761462</c:v>
                </c:pt>
                <c:pt idx="27">
                  <c:v>-2.1178717678620895</c:v>
                </c:pt>
                <c:pt idx="28">
                  <c:v>-2.086928142629263</c:v>
                </c:pt>
                <c:pt idx="29">
                  <c:v>-2.0561262974565619</c:v>
                </c:pt>
                <c:pt idx="30">
                  <c:v>-2.025420552306878</c:v>
                </c:pt>
                <c:pt idx="31">
                  <c:v>-1.9947709354163123</c:v>
                </c:pt>
                <c:pt idx="32">
                  <c:v>-1.9641415198570433</c:v>
                </c:pt>
                <c:pt idx="33">
                  <c:v>-1.9335004950308043</c:v>
                </c:pt>
                <c:pt idx="34">
                  <c:v>-1.9028217789694657</c:v>
                </c:pt>
                <c:pt idx="35">
                  <c:v>-1.8720872828026924</c:v>
                </c:pt>
                <c:pt idx="36">
                  <c:v>-1.8412891345949811</c:v>
                </c:pt>
                <c:pt idx="37">
                  <c:v>-1.8104313152858986</c:v>
                </c:pt>
                <c:pt idx="38">
                  <c:v>-1.7795304276540191</c:v>
                </c:pt>
                <c:pt idx="39">
                  <c:v>-1.7486152295834723</c:v>
                </c:pt>
                <c:pt idx="40">
                  <c:v>-1.7177253926096814</c:v>
                </c:pt>
                <c:pt idx="41">
                  <c:v>-1.6869092118003248</c:v>
                </c:pt>
                <c:pt idx="42">
                  <c:v>-1.6562208183458993</c:v>
                </c:pt>
                <c:pt idx="43">
                  <c:v>-1.6257176533795548</c:v>
                </c:pt>
                <c:pt idx="44">
                  <c:v>-1.595457178031634</c:v>
                </c:pt>
                <c:pt idx="45">
                  <c:v>-1.5654947459034951</c:v>
                </c:pt>
                <c:pt idx="46">
                  <c:v>-1.5358815411157356</c:v>
                </c:pt>
                <c:pt idx="47">
                  <c:v>-1.5066631573208866</c:v>
                </c:pt>
                <c:pt idx="48">
                  <c:v>-1.4778785049060938</c:v>
                </c:pt>
                <c:pt idx="49">
                  <c:v>-1.4495596636583397</c:v>
                </c:pt>
                <c:pt idx="50">
                  <c:v>-1.4217316392993284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83-4862-9817-881AB6ED820F}"/>
            </c:ext>
          </c:extLst>
        </c:ser>
        <c:ser>
          <c:idx val="5"/>
          <c:order val="5"/>
          <c:tx>
            <c:strRef>
              <c:f>Table_Dynam_EMS!$H$7</c:f>
              <c:strCache>
                <c:ptCount val="1"/>
                <c:pt idx="0">
                  <c:v>LF_HE_LS_PC</c:v>
                </c:pt>
              </c:strCache>
            </c:strRef>
          </c:tx>
          <c:spPr>
            <a:ln w="19050" cap="rnd">
              <a:solidFill>
                <a:srgbClr val="FF85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Table_Dynam_EMS!$H$8:$H$58</c:f>
              <c:numCache>
                <c:formatCode>0.00000000</c:formatCode>
                <c:ptCount val="51"/>
                <c:pt idx="0">
                  <c:v>0</c:v>
                </c:pt>
                <c:pt idx="1">
                  <c:v>-1.2461890787078156</c:v>
                </c:pt>
                <c:pt idx="2">
                  <c:v>-2.0719559948140898</c:v>
                </c:pt>
                <c:pt idx="3">
                  <c:v>-2.589123347275768</c:v>
                </c:pt>
                <c:pt idx="4">
                  <c:v>-2.9189934464727174</c:v>
                </c:pt>
                <c:pt idx="5">
                  <c:v>-3.1368031501287641</c:v>
                </c:pt>
                <c:pt idx="6">
                  <c:v>-3.2839082938444952</c:v>
                </c:pt>
                <c:pt idx="7">
                  <c:v>-3.3820411948801143</c:v>
                </c:pt>
                <c:pt idx="8">
                  <c:v>-3.4425310551390087</c:v>
                </c:pt>
                <c:pt idx="9">
                  <c:v>-3.4715045172974968</c:v>
                </c:pt>
                <c:pt idx="10">
                  <c:v>-3.4726707577042326</c:v>
                </c:pt>
                <c:pt idx="11">
                  <c:v>-3.4487952041394099</c:v>
                </c:pt>
                <c:pt idx="12">
                  <c:v>-3.4024845922727254</c:v>
                </c:pt>
                <c:pt idx="13">
                  <c:v>-3.3365942155244577</c:v>
                </c:pt>
                <c:pt idx="14">
                  <c:v>-3.2544010018574432</c:v>
                </c:pt>
                <c:pt idx="15">
                  <c:v>-3.1596115490581944</c:v>
                </c:pt>
                <c:pt idx="16">
                  <c:v>-3.0562492664310548</c:v>
                </c:pt>
                <c:pt idx="17">
                  <c:v>-2.9484607548652342</c:v>
                </c:pt>
                <c:pt idx="18">
                  <c:v>-2.840282367161262</c:v>
                </c:pt>
                <c:pt idx="19">
                  <c:v>-2.7354054248853399</c:v>
                </c:pt>
                <c:pt idx="20">
                  <c:v>-2.636972753722433</c:v>
                </c:pt>
                <c:pt idx="21">
                  <c:v>-2.5474291985155717</c:v>
                </c:pt>
                <c:pt idx="22">
                  <c:v>-2.4684390936715039</c:v>
                </c:pt>
                <c:pt idx="23">
                  <c:v>-2.4008718276648411</c:v>
                </c:pt>
                <c:pt idx="24">
                  <c:v>-2.3448493164646034</c:v>
                </c:pt>
                <c:pt idx="25">
                  <c:v>-2.2998413553120045</c:v>
                </c:pt>
                <c:pt idx="26">
                  <c:v>-2.2647925936307489</c:v>
                </c:pt>
                <c:pt idx="27">
                  <c:v>-2.2382638410657685</c:v>
                </c:pt>
                <c:pt idx="28">
                  <c:v>-2.2185724433904319</c:v>
                </c:pt>
                <c:pt idx="29">
                  <c:v>-2.203920092523981</c:v>
                </c:pt>
                <c:pt idx="30">
                  <c:v>-2.1925010431912861</c:v>
                </c:pt>
                <c:pt idx="31">
                  <c:v>-2.1825878362283113</c:v>
                </c:pt>
                <c:pt idx="32">
                  <c:v>-2.1725959150295848</c:v>
                </c:pt>
                <c:pt idx="33">
                  <c:v>-2.1611303559798123</c:v>
                </c:pt>
                <c:pt idx="34">
                  <c:v>-2.1470200805748019</c:v>
                </c:pt>
                <c:pt idx="35">
                  <c:v>-2.129342904986431</c:v>
                </c:pt>
                <c:pt idx="36">
                  <c:v>-2.1074444333056164</c:v>
                </c:pt>
                <c:pt idx="37">
                  <c:v>-2.0809494160033415</c:v>
                </c:pt>
                <c:pt idx="38">
                  <c:v>-2.0497673897271751</c:v>
                </c:pt>
                <c:pt idx="39">
                  <c:v>-2.0140852011479415</c:v>
                </c:pt>
                <c:pt idx="40">
                  <c:v>-1.9743480186404483</c:v>
                </c:pt>
                <c:pt idx="41">
                  <c:v>-1.9312250954286014</c:v>
                </c:pt>
                <c:pt idx="42">
                  <c:v>-1.8855630027454828</c:v>
                </c:pt>
                <c:pt idx="43">
                  <c:v>-1.8383267552534055</c:v>
                </c:pt>
                <c:pt idx="44">
                  <c:v>-1.790535221308498</c:v>
                </c:pt>
                <c:pt idx="45">
                  <c:v>-1.743195129661379</c:v>
                </c:pt>
                <c:pt idx="46">
                  <c:v>-1.6972396388099331</c:v>
                </c:pt>
                <c:pt idx="47">
                  <c:v>-1.6534758486383416</c:v>
                </c:pt>
                <c:pt idx="48">
                  <c:v>-1.6125445903561464</c:v>
                </c:pt>
                <c:pt idx="49">
                  <c:v>-1.5748958369031785</c:v>
                </c:pt>
                <c:pt idx="50">
                  <c:v>-1.5407784647333944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83-4862-9817-881AB6ED820F}"/>
            </c:ext>
          </c:extLst>
        </c:ser>
        <c:ser>
          <c:idx val="6"/>
          <c:order val="6"/>
          <c:tx>
            <c:strRef>
              <c:f>Table_Dynam_EMS!$I$7</c:f>
              <c:strCache>
                <c:ptCount val="1"/>
                <c:pt idx="0">
                  <c:v>HF_LE_LS_PC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Table_Dynam_EMS!$I$8:$I$58</c:f>
              <c:numCache>
                <c:formatCode>0.00000000</c:formatCode>
                <c:ptCount val="51"/>
                <c:pt idx="0">
                  <c:v>0</c:v>
                </c:pt>
                <c:pt idx="1">
                  <c:v>-5.3296635539064718</c:v>
                </c:pt>
                <c:pt idx="2">
                  <c:v>-8.4323106205189902</c:v>
                </c:pt>
                <c:pt idx="3">
                  <c:v>-10.121136377564998</c:v>
                </c:pt>
                <c:pt idx="4">
                  <c:v>-10.979435374958136</c:v>
                </c:pt>
                <c:pt idx="5">
                  <c:v>-11.350754803907604</c:v>
                </c:pt>
                <c:pt idx="6">
                  <c:v>-11.434822451713744</c:v>
                </c:pt>
                <c:pt idx="7">
                  <c:v>-11.349977723519778</c:v>
                </c:pt>
                <c:pt idx="8">
                  <c:v>-11.168377096418558</c:v>
                </c:pt>
                <c:pt idx="9">
                  <c:v>-10.935301081020143</c:v>
                </c:pt>
                <c:pt idx="10">
                  <c:v>-10.679720228529455</c:v>
                </c:pt>
                <c:pt idx="11">
                  <c:v>-10.420196359399581</c:v>
                </c:pt>
                <c:pt idx="12">
                  <c:v>-10.168331323123848</c:v>
                </c:pt>
                <c:pt idx="13">
                  <c:v>-9.9309158416126522</c:v>
                </c:pt>
                <c:pt idx="14">
                  <c:v>-9.7113622833829396</c:v>
                </c:pt>
                <c:pt idx="15">
                  <c:v>-9.5107139838698114</c:v>
                </c:pt>
                <c:pt idx="16">
                  <c:v>-9.3283836667950268</c:v>
                </c:pt>
                <c:pt idx="17">
                  <c:v>-9.1627059900703411</c:v>
                </c:pt>
                <c:pt idx="18">
                  <c:v>-9.0113562271961438</c:v>
                </c:pt>
                <c:pt idx="19">
                  <c:v>-8.871670042740476</c:v>
                </c:pt>
                <c:pt idx="20">
                  <c:v>-8.7408878874611133</c:v>
                </c:pt>
                <c:pt idx="21">
                  <c:v>-8.6163400939329176</c:v>
                </c:pt>
                <c:pt idx="22">
                  <c:v>-8.4955833617994863</c:v>
                </c:pt>
                <c:pt idx="23">
                  <c:v>-8.3764958782305712</c:v>
                </c:pt>
                <c:pt idx="24">
                  <c:v>-8.2573359813828411</c:v>
                </c:pt>
                <c:pt idx="25">
                  <c:v>-8.1367683531738066</c:v>
                </c:pt>
                <c:pt idx="26">
                  <c:v>-8.0138621743908729</c:v>
                </c:pt>
                <c:pt idx="27">
                  <c:v>-7.8880656605375794</c:v>
                </c:pt>
                <c:pt idx="28">
                  <c:v>-7.7591623605983262</c:v>
                </c:pt>
                <c:pt idx="29">
                  <c:v>-7.6272151620628499</c:v>
                </c:pt>
                <c:pt idx="30">
                  <c:v>-7.4925042367148471</c:v>
                </c:pt>
                <c:pt idx="31">
                  <c:v>-7.3554646284978649</c:v>
                </c:pt>
                <c:pt idx="32">
                  <c:v>-7.2166287509940581</c:v>
                </c:pt>
                <c:pt idx="33">
                  <c:v>-7.0765773216713512</c:v>
                </c:pt>
                <c:pt idx="34">
                  <c:v>-6.9359014150271125</c:v>
                </c:pt>
                <c:pt idx="35">
                  <c:v>-6.7951760637056324</c:v>
                </c:pt>
                <c:pt idx="36">
                  <c:v>-6.6549446171937703</c:v>
                </c:pt>
                <c:pt idx="37">
                  <c:v>-6.51571227656963</c:v>
                </c:pt>
                <c:pt idx="38">
                  <c:v>-6.3779459229438507</c:v>
                </c:pt>
                <c:pt idx="39">
                  <c:v>-6.2420776243691467</c:v>
                </c:pt>
                <c:pt idx="40">
                  <c:v>-6.1085094511351805</c:v>
                </c:pt>
                <c:pt idx="41">
                  <c:v>-5.9776173333710547</c:v>
                </c:pt>
                <c:pt idx="42">
                  <c:v>-5.8497530538224041</c:v>
                </c:pt>
                <c:pt idx="43">
                  <c:v>-5.7252436258883099</c:v>
                </c:pt>
                <c:pt idx="44">
                  <c:v>-5.604388310053487</c:v>
                </c:pt>
                <c:pt idx="45">
                  <c:v>-5.4874537172245557</c:v>
                </c:pt>
                <c:pt idx="46">
                  <c:v>-5.3746679811248255</c:v>
                </c:pt>
                <c:pt idx="47">
                  <c:v>-5.26621462532243</c:v>
                </c:pt>
                <c:pt idx="48">
                  <c:v>-5.1622275704717779</c:v>
                </c:pt>
                <c:pt idx="49">
                  <c:v>-5.0627867695582696</c:v>
                </c:pt>
                <c:pt idx="50">
                  <c:v>-4.9679160413698238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83-4862-9817-881AB6ED820F}"/>
            </c:ext>
          </c:extLst>
        </c:ser>
        <c:ser>
          <c:idx val="7"/>
          <c:order val="7"/>
          <c:tx>
            <c:strRef>
              <c:f>Table_Dynam_EMS!$J$7</c:f>
              <c:strCache>
                <c:ptCount val="1"/>
                <c:pt idx="0">
                  <c:v>HF_HE_LS_PC</c:v>
                </c:pt>
              </c:strCache>
            </c:strRef>
          </c:tx>
          <c:spPr>
            <a:ln w="19050" cap="rnd">
              <a:solidFill>
                <a:srgbClr val="9437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Table_Dynam_EMS!$J$8:$J$58</c:f>
              <c:numCache>
                <c:formatCode>0.00000000</c:formatCode>
                <c:ptCount val="51"/>
                <c:pt idx="0">
                  <c:v>0</c:v>
                </c:pt>
                <c:pt idx="1">
                  <c:v>-5.3901452471495359</c:v>
                </c:pt>
                <c:pt idx="2">
                  <c:v>-8.606373131372413</c:v>
                </c:pt>
                <c:pt idx="3">
                  <c:v>-10.462111168795463</c:v>
                </c:pt>
                <c:pt idx="4">
                  <c:v>-11.543301859110521</c:v>
                </c:pt>
                <c:pt idx="5">
                  <c:v>-12.193158838984298</c:v>
                </c:pt>
                <c:pt idx="6">
                  <c:v>-12.606433288021702</c:v>
                </c:pt>
                <c:pt idx="7">
                  <c:v>-12.891956347505518</c:v>
                </c:pt>
                <c:pt idx="8">
                  <c:v>-13.108598301225527</c:v>
                </c:pt>
                <c:pt idx="9">
                  <c:v>-13.285570928879487</c:v>
                </c:pt>
                <c:pt idx="10">
                  <c:v>-13.434131034862462</c:v>
                </c:pt>
                <c:pt idx="11">
                  <c:v>-13.554722000852138</c:v>
                </c:pt>
                <c:pt idx="12">
                  <c:v>-13.641700355859721</c:v>
                </c:pt>
                <c:pt idx="13">
                  <c:v>-13.686702778174853</c:v>
                </c:pt>
                <c:pt idx="14">
                  <c:v>-13.681129200435416</c:v>
                </c:pt>
                <c:pt idx="15">
                  <c:v>-13.617942474845057</c:v>
                </c:pt>
                <c:pt idx="16">
                  <c:v>-13.492873514543668</c:v>
                </c:pt>
                <c:pt idx="17">
                  <c:v>-13.305090680980857</c:v>
                </c:pt>
                <c:pt idx="18">
                  <c:v>-13.057393359666836</c:v>
                </c:pt>
                <c:pt idx="19">
                  <c:v>-12.756004102212415</c:v>
                </c:pt>
                <c:pt idx="20">
                  <c:v>-12.410045773498169</c:v>
                </c:pt>
                <c:pt idx="21">
                  <c:v>-12.030799259850999</c:v>
                </c:pt>
                <c:pt idx="22">
                  <c:v>-11.630837678808204</c:v>
                </c:pt>
                <c:pt idx="23">
                  <c:v>-11.223126831865581</c:v>
                </c:pt>
                <c:pt idx="24">
                  <c:v>-10.820169521576961</c:v>
                </c:pt>
                <c:pt idx="25">
                  <c:v>-10.433258193997574</c:v>
                </c:pt>
                <c:pt idx="26">
                  <c:v>-10.071881975413133</c:v>
                </c:pt>
                <c:pt idx="27">
                  <c:v>-9.7433197868632249</c:v>
                </c:pt>
                <c:pt idx="28">
                  <c:v>-9.4524308513556754</c:v>
                </c:pt>
                <c:pt idx="29">
                  <c:v>-9.2016353032915106</c:v>
                </c:pt>
                <c:pt idx="30">
                  <c:v>-8.9910599271551543</c:v>
                </c:pt>
                <c:pt idx="31">
                  <c:v>-8.8188110581281514</c:v>
                </c:pt>
                <c:pt idx="32">
                  <c:v>-8.6813312289189639</c:v>
                </c:pt>
                <c:pt idx="33">
                  <c:v>-8.5737963911050272</c:v>
                </c:pt>
                <c:pt idx="34">
                  <c:v>-8.4905197326699327</c:v>
                </c:pt>
                <c:pt idx="35">
                  <c:v>-8.4253360736885945</c:v>
                </c:pt>
                <c:pt idx="36">
                  <c:v>-8.3719526042106303</c:v>
                </c:pt>
                <c:pt idx="37">
                  <c:v>-8.3242596657911676</c:v>
                </c:pt>
                <c:pt idx="38">
                  <c:v>-8.2765971845374047</c:v>
                </c:pt>
                <c:pt idx="39">
                  <c:v>-8.2239768469524854</c:v>
                </c:pt>
                <c:pt idx="40">
                  <c:v>-8.1622570995913186</c:v>
                </c:pt>
                <c:pt idx="41">
                  <c:v>-8.0882688262982398</c:v>
                </c:pt>
                <c:pt idx="42">
                  <c:v>-7.9998883759946011</c:v>
                </c:pt>
                <c:pt idx="43">
                  <c:v>-7.8960557564460965</c:v>
                </c:pt>
                <c:pt idx="44">
                  <c:v>-7.7767387471161413</c:v>
                </c:pt>
                <c:pt idx="45">
                  <c:v>-7.6428462601628606</c:v>
                </c:pt>
                <c:pt idx="46">
                  <c:v>-7.4960970645300051</c:v>
                </c:pt>
                <c:pt idx="47">
                  <c:v>-7.3388538501340861</c:v>
                </c:pt>
                <c:pt idx="48">
                  <c:v>-7.1739339359573107</c:v>
                </c:pt>
                <c:pt idx="49">
                  <c:v>-7.0044107490851104</c:v>
                </c:pt>
                <c:pt idx="50">
                  <c:v>-6.8334171567810191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83-4862-9817-881AB6ED820F}"/>
            </c:ext>
          </c:extLst>
        </c:ser>
        <c:ser>
          <c:idx val="8"/>
          <c:order val="8"/>
          <c:tx>
            <c:strRef>
              <c:f>Table_Dynam_EMS!$K$7</c:f>
              <c:strCache>
                <c:ptCount val="1"/>
                <c:pt idx="0">
                  <c:v>LF_LE_LS_PC-TVN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Table_Dynam_EMS!$K$8:$K$58</c:f>
              <c:numCache>
                <c:formatCode>0.00000000</c:formatCode>
                <c:ptCount val="51"/>
                <c:pt idx="0">
                  <c:v>0</c:v>
                </c:pt>
                <c:pt idx="1">
                  <c:v>-1.1966467138824211</c:v>
                </c:pt>
                <c:pt idx="2">
                  <c:v>-1.9478706386541811</c:v>
                </c:pt>
                <c:pt idx="3">
                  <c:v>-2.3810164611574702</c:v>
                </c:pt>
                <c:pt idx="4">
                  <c:v>-2.6249001786671999</c:v>
                </c:pt>
                <c:pt idx="5">
                  <c:v>-2.7588739897370429</c:v>
                </c:pt>
                <c:pt idx="6">
                  <c:v>-2.8273933804939588</c:v>
                </c:pt>
                <c:pt idx="7">
                  <c:v>-2.8551247724878825</c:v>
                </c:pt>
                <c:pt idx="8">
                  <c:v>-2.8562975320497452</c:v>
                </c:pt>
                <c:pt idx="9">
                  <c:v>-2.8397422837543096</c:v>
                </c:pt>
                <c:pt idx="10">
                  <c:v>-2.8114090396685443</c:v>
                </c:pt>
                <c:pt idx="11">
                  <c:v>-2.7755623023100973</c:v>
                </c:pt>
                <c:pt idx="12">
                  <c:v>-2.7353359396734667</c:v>
                </c:pt>
                <c:pt idx="13">
                  <c:v>-2.6930050906337377</c:v>
                </c:pt>
                <c:pt idx="14">
                  <c:v>-2.6501484758947647</c:v>
                </c:pt>
                <c:pt idx="15">
                  <c:v>-2.6077769154505215</c:v>
                </c:pt>
                <c:pt idx="16">
                  <c:v>-2.5664530548314302</c:v>
                </c:pt>
                <c:pt idx="17">
                  <c:v>-2.5264067355411313</c:v>
                </c:pt>
                <c:pt idx="18">
                  <c:v>-2.4876400414327149</c:v>
                </c:pt>
                <c:pt idx="19">
                  <c:v>-2.4500173153401028</c:v>
                </c:pt>
                <c:pt idx="20">
                  <c:v>-2.4133358376031366</c:v>
                </c:pt>
                <c:pt idx="21">
                  <c:v>-2.3773770345980161</c:v>
                </c:pt>
                <c:pt idx="22">
                  <c:v>-2.3419393706690328</c:v>
                </c:pt>
                <c:pt idx="23">
                  <c:v>-2.3068566299991211</c:v>
                </c:pt>
                <c:pt idx="24">
                  <c:v>-2.2720044808963613</c:v>
                </c:pt>
                <c:pt idx="25">
                  <c:v>-2.2372996349352192</c:v>
                </c:pt>
                <c:pt idx="26">
                  <c:v>-2.2026942448561848</c:v>
                </c:pt>
                <c:pt idx="27">
                  <c:v>-2.1681679998294734</c:v>
                </c:pt>
                <c:pt idx="28">
                  <c:v>-2.133720196013722</c:v>
                </c:pt>
                <c:pt idx="29">
                  <c:v>-2.099362249463832</c:v>
                </c:pt>
                <c:pt idx="30">
                  <c:v>-2.0651120439026505</c:v>
                </c:pt>
                <c:pt idx="31">
                  <c:v>-2.0309898623287248</c:v>
                </c:pt>
                <c:pt idx="32">
                  <c:v>-1.9970160932660908</c:v>
                </c:pt>
                <c:pt idx="33">
                  <c:v>-1.9632102882590652</c:v>
                </c:pt>
                <c:pt idx="34">
                  <c:v>-1.9295913277823318</c:v>
                </c:pt>
                <c:pt idx="35">
                  <c:v>-1.8961780262970684</c:v>
                </c:pt>
                <c:pt idx="36">
                  <c:v>-1.8629900365126129</c:v>
                </c:pt>
                <c:pt idx="37">
                  <c:v>-1.8300484923850724</c:v>
                </c:pt>
                <c:pt idx="38">
                  <c:v>-1.7973763923200159</c:v>
                </c:pt>
                <c:pt idx="39">
                  <c:v>-1.7649985230716703</c:v>
                </c:pt>
                <c:pt idx="40">
                  <c:v>-1.7329409710445387</c:v>
                </c:pt>
                <c:pt idx="41">
                  <c:v>-1.701230322583136</c:v>
                </c:pt>
                <c:pt idx="42">
                  <c:v>-1.6698927771318095</c:v>
                </c:pt>
                <c:pt idx="43">
                  <c:v>-1.6389530787487838</c:v>
                </c:pt>
                <c:pt idx="44">
                  <c:v>-1.6084337943181426</c:v>
                </c:pt>
                <c:pt idx="45">
                  <c:v>-1.5783543165257208</c:v>
                </c:pt>
                <c:pt idx="46">
                  <c:v>-1.5487305504322646</c:v>
                </c:pt>
                <c:pt idx="47">
                  <c:v>-1.5195749612696652</c:v>
                </c:pt>
                <c:pt idx="48">
                  <c:v>-1.4908961392242515</c:v>
                </c:pt>
                <c:pt idx="49">
                  <c:v>-1.4626988092804383</c:v>
                </c:pt>
                <c:pt idx="50">
                  <c:v>-1.4349851459872554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83-4862-9817-881AB6ED820F}"/>
            </c:ext>
          </c:extLst>
        </c:ser>
        <c:ser>
          <c:idx val="9"/>
          <c:order val="9"/>
          <c:tx>
            <c:strRef>
              <c:f>Table_Dynam_EMS!$L$7</c:f>
              <c:strCache>
                <c:ptCount val="1"/>
                <c:pt idx="0">
                  <c:v>LF_HE_LS_PC-TVN</c:v>
                </c:pt>
              </c:strCache>
            </c:strRef>
          </c:tx>
          <c:spPr>
            <a:ln w="19050" cap="rnd">
              <a:solidFill>
                <a:srgbClr val="FF8AD8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Table_Dynam_EMS!$L$8:$L$58</c:f>
              <c:numCache>
                <c:formatCode>0.00000000</c:formatCode>
                <c:ptCount val="51"/>
                <c:pt idx="0">
                  <c:v>0</c:v>
                </c:pt>
                <c:pt idx="1">
                  <c:v>-1.2464563744634227</c:v>
                </c:pt>
                <c:pt idx="2">
                  <c:v>-2.0727360156766128</c:v>
                </c:pt>
                <c:pt idx="3">
                  <c:v>-2.5902621440557549</c:v>
                </c:pt>
                <c:pt idx="4">
                  <c:v>-2.9197788399525249</c:v>
                </c:pt>
                <c:pt idx="5">
                  <c:v>-3.1360940219408495</c:v>
                </c:pt>
                <c:pt idx="6">
                  <c:v>-3.2804710246273516</c:v>
                </c:pt>
                <c:pt idx="7">
                  <c:v>-3.3749646689292145</c:v>
                </c:pt>
                <c:pt idx="8">
                  <c:v>-3.4316047094403834</c:v>
                </c:pt>
                <c:pt idx="9">
                  <c:v>-3.4574779607653872</c:v>
                </c:pt>
                <c:pt idx="10">
                  <c:v>-3.4573497245000806</c:v>
                </c:pt>
                <c:pt idx="11">
                  <c:v>-3.4349608655518726</c:v>
                </c:pt>
                <c:pt idx="12">
                  <c:v>-3.3936511488085963</c:v>
                </c:pt>
                <c:pt idx="13">
                  <c:v>-3.3366431569879951</c:v>
                </c:pt>
                <c:pt idx="14">
                  <c:v>-3.2671477667648996</c:v>
                </c:pt>
                <c:pt idx="15">
                  <c:v>-3.1883671256129231</c:v>
                </c:pt>
                <c:pt idx="16">
                  <c:v>-3.1034362345313649</c:v>
                </c:pt>
                <c:pt idx="17">
                  <c:v>-3.0153302073444688</c:v>
                </c:pt>
                <c:pt idx="18">
                  <c:v>-2.9267600206550726</c:v>
                </c:pt>
                <c:pt idx="19">
                  <c:v>-2.8400754055475708</c:v>
                </c:pt>
                <c:pt idx="20">
                  <c:v>-2.7571892230903283</c:v>
                </c:pt>
                <c:pt idx="21">
                  <c:v>-2.6795321830919816</c:v>
                </c:pt>
                <c:pt idx="22">
                  <c:v>-2.608041221157098</c:v>
                </c:pt>
                <c:pt idx="23">
                  <c:v>-2.5431803879342518</c:v>
                </c:pt>
                <c:pt idx="24">
                  <c:v>-2.4849892955465025</c:v>
                </c:pt>
                <c:pt idx="25">
                  <c:v>-2.4331519213553254</c:v>
                </c:pt>
                <c:pt idx="26">
                  <c:v>-2.3870773991303551</c:v>
                </c:pt>
                <c:pt idx="27">
                  <c:v>-2.345984840581028</c:v>
                </c:pt>
                <c:pt idx="28">
                  <c:v>-2.3089847012995546</c:v>
                </c:pt>
                <c:pt idx="29">
                  <c:v>-2.2751519795076058</c:v>
                </c:pt>
                <c:pt idx="30">
                  <c:v>-2.2435872359896858</c:v>
                </c:pt>
                <c:pt idx="31">
                  <c:v>-2.2134630999991689</c:v>
                </c:pt>
                <c:pt idx="32">
                  <c:v>-2.1840581186520658</c:v>
                </c:pt>
                <c:pt idx="33">
                  <c:v>-2.1547767427035791</c:v>
                </c:pt>
                <c:pt idx="34">
                  <c:v>-2.1251588128362031</c:v>
                </c:pt>
                <c:pt idx="35">
                  <c:v>-2.094879346994083</c:v>
                </c:pt>
                <c:pt idx="36">
                  <c:v>-2.0637413255544135</c:v>
                </c:pt>
                <c:pt idx="37">
                  <c:v>-2.0316633837053177</c:v>
                </c:pt>
                <c:pt idx="38">
                  <c:v>-1.998663522343691</c:v>
                </c:pt>
                <c:pt idx="39">
                  <c:v>-1.9648410832085017</c:v>
                </c:pt>
                <c:pt idx="40">
                  <c:v>-1.9303565960992697</c:v>
                </c:pt>
                <c:pt idx="41">
                  <c:v>-1.8954131621532477</c:v>
                </c:pt>
                <c:pt idx="42">
                  <c:v>-1.8602377594084007</c:v>
                </c:pt>
                <c:pt idx="43">
                  <c:v>-1.8250637915729118</c:v>
                </c:pt>
                <c:pt idx="44">
                  <c:v>-1.7901171779415193</c:v>
                </c:pt>
                <c:pt idx="45">
                  <c:v>-1.7556041213211637</c:v>
                </c:pt>
                <c:pt idx="46">
                  <c:v>-1.7217018906247383</c:v>
                </c:pt>
                <c:pt idx="47">
                  <c:v>-1.6885532234515277</c:v>
                </c:pt>
                <c:pt idx="48">
                  <c:v>-1.6562627552552112</c:v>
                </c:pt>
                <c:pt idx="49">
                  <c:v>-1.6248970801038376</c:v>
                </c:pt>
                <c:pt idx="50">
                  <c:v>-1.5944863510245044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83-4862-9817-881AB6ED820F}"/>
            </c:ext>
          </c:extLst>
        </c:ser>
        <c:ser>
          <c:idx val="10"/>
          <c:order val="10"/>
          <c:tx>
            <c:strRef>
              <c:f>Table_Dynam_EMS!$M$7</c:f>
              <c:strCache>
                <c:ptCount val="1"/>
                <c:pt idx="0">
                  <c:v>HF_LE_LS_PC-TVN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Table_Dynam_EMS!$M$8:$M$58</c:f>
              <c:numCache>
                <c:formatCode>0.00000000</c:formatCode>
                <c:ptCount val="51"/>
                <c:pt idx="0">
                  <c:v>0</c:v>
                </c:pt>
                <c:pt idx="1">
                  <c:v>-5.3312624926288628</c:v>
                </c:pt>
                <c:pt idx="2">
                  <c:v>-8.4391268055591055</c:v>
                </c:pt>
                <c:pt idx="3">
                  <c:v>-10.138467251410511</c:v>
                </c:pt>
                <c:pt idx="4">
                  <c:v>-11.013566148075393</c:v>
                </c:pt>
                <c:pt idx="5">
                  <c:v>-11.408210351571491</c:v>
                </c:pt>
                <c:pt idx="6">
                  <c:v>-11.521736202110656</c:v>
                </c:pt>
                <c:pt idx="7">
                  <c:v>-11.47163464214006</c:v>
                </c:pt>
                <c:pt idx="8">
                  <c:v>-11.328917197434784</c:v>
                </c:pt>
                <c:pt idx="9">
                  <c:v>-11.13754470769126</c:v>
                </c:pt>
                <c:pt idx="10">
                  <c:v>-10.925081858522301</c:v>
                </c:pt>
                <c:pt idx="11">
                  <c:v>-10.708667770754898</c:v>
                </c:pt>
                <c:pt idx="12">
                  <c:v>-10.498527466024832</c:v>
                </c:pt>
                <c:pt idx="13">
                  <c:v>-10.300183056260481</c:v>
                </c:pt>
                <c:pt idx="14">
                  <c:v>-10.115946873432824</c:v>
                </c:pt>
                <c:pt idx="15">
                  <c:v>-9.945983783132494</c:v>
                </c:pt>
                <c:pt idx="16">
                  <c:v>-9.7890893890248414</c:v>
                </c:pt>
                <c:pt idx="17">
                  <c:v>-9.6432635224145908</c:v>
                </c:pt>
                <c:pt idx="18">
                  <c:v>-9.5061286599299137</c:v>
                </c:pt>
                <c:pt idx="19">
                  <c:v>-9.3752291165383301</c:v>
                </c:pt>
                <c:pt idx="20">
                  <c:v>-9.2482370590935226</c:v>
                </c:pt>
                <c:pt idx="21">
                  <c:v>-9.1230870942731421</c:v>
                </c:pt>
                <c:pt idx="22">
                  <c:v>-8.9980556971333456</c:v>
                </c:pt>
                <c:pt idx="23">
                  <c:v>-8.8717984015164184</c:v>
                </c:pt>
                <c:pt idx="24">
                  <c:v>-8.7433548701185906</c:v>
                </c:pt>
                <c:pt idx="25">
                  <c:v>-8.6121295618567633</c:v>
                </c:pt>
                <c:pt idx="26">
                  <c:v>-8.4778548300583285</c:v>
                </c:pt>
                <c:pt idx="27">
                  <c:v>-8.3405416801733523</c:v>
                </c:pt>
                <c:pt idx="28">
                  <c:v>-8.2004237421236752</c:v>
                </c:pt>
                <c:pt idx="29">
                  <c:v>-8.057898895398008</c:v>
                </c:pt>
                <c:pt idx="30">
                  <c:v>-7.9134728420044436</c:v>
                </c:pt>
                <c:pt idx="31">
                  <c:v>-7.7677084568126382</c:v>
                </c:pt>
                <c:pt idx="32">
                  <c:v>-7.6211834176746702</c:v>
                </c:pt>
                <c:pt idx="33">
                  <c:v>-7.4744579497945107</c:v>
                </c:pt>
                <c:pt idx="34">
                  <c:v>-7.3280531035782808</c:v>
                </c:pt>
                <c:pt idx="35">
                  <c:v>-7.1824389960724151</c:v>
                </c:pt>
                <c:pt idx="36">
                  <c:v>-7.0380314835993047</c:v>
                </c:pt>
                <c:pt idx="37">
                  <c:v>-6.8951950367971975</c:v>
                </c:pt>
                <c:pt idx="38">
                  <c:v>-6.7542492972663126</c:v>
                </c:pt>
                <c:pt idx="39">
                  <c:v>-6.6154773007848107</c:v>
                </c:pt>
                <c:pt idx="40">
                  <c:v>-6.4791329885793942</c:v>
                </c:pt>
                <c:pt idx="41">
                  <c:v>-6.3454469454602975</c:v>
                </c:pt>
                <c:pt idx="42">
                  <c:v>-6.2146295226994663</c:v>
                </c:pt>
                <c:pt idx="43">
                  <c:v>-6.0868713643221444</c:v>
                </c:pt>
                <c:pt idx="44">
                  <c:v>-5.962341493567747</c:v>
                </c:pt>
                <c:pt idx="45">
                  <c:v>-5.8411839093269631</c:v>
                </c:pt>
                <c:pt idx="46">
                  <c:v>-5.7235132966665825</c:v>
                </c:pt>
                <c:pt idx="47">
                  <c:v>-5.6094110072292036</c:v>
                </c:pt>
                <c:pt idx="48">
                  <c:v>-5.4989214941660087</c:v>
                </c:pt>
                <c:pt idx="49">
                  <c:v>-5.3920503191029701</c:v>
                </c:pt>
                <c:pt idx="50">
                  <c:v>-5.2887635342435679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83-4862-9817-881AB6ED820F}"/>
            </c:ext>
          </c:extLst>
        </c:ser>
        <c:ser>
          <c:idx val="11"/>
          <c:order val="11"/>
          <c:tx>
            <c:strRef>
              <c:f>Table_Dynam_EMS!$N$7</c:f>
              <c:strCache>
                <c:ptCount val="1"/>
                <c:pt idx="0">
                  <c:v>HF_HE_LS_PC-TVN</c:v>
                </c:pt>
              </c:strCache>
            </c:strRef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Table_Dynam_EMS!$N$8:$N$58</c:f>
              <c:numCache>
                <c:formatCode>0.00000000</c:formatCode>
                <c:ptCount val="51"/>
                <c:pt idx="0">
                  <c:v>0</c:v>
                </c:pt>
                <c:pt idx="1">
                  <c:v>-5.3912633683332434</c:v>
                </c:pt>
                <c:pt idx="2">
                  <c:v>-8.6105152457849226</c:v>
                </c:pt>
                <c:pt idx="3">
                  <c:v>-10.470941995530369</c:v>
                </c:pt>
                <c:pt idx="4">
                  <c:v>-11.55710359621569</c:v>
                </c:pt>
                <c:pt idx="5">
                  <c:v>-12.210065304380635</c:v>
                </c:pt>
                <c:pt idx="6">
                  <c:v>-12.622295611270484</c:v>
                </c:pt>
                <c:pt idx="7">
                  <c:v>-12.900872710483135</c:v>
                </c:pt>
                <c:pt idx="8">
                  <c:v>-13.103971145738335</c:v>
                </c:pt>
                <c:pt idx="9">
                  <c:v>-13.261457360411288</c:v>
                </c:pt>
                <c:pt idx="10">
                  <c:v>-13.386621069586614</c:v>
                </c:pt>
                <c:pt idx="11">
                  <c:v>-13.483100589330432</c:v>
                </c:pt>
                <c:pt idx="12">
                  <c:v>-13.549207567661048</c:v>
                </c:pt>
                <c:pt idx="13">
                  <c:v>-13.580785078243418</c:v>
                </c:pt>
                <c:pt idx="14">
                  <c:v>-13.573157403671566</c:v>
                </c:pt>
                <c:pt idx="15">
                  <c:v>-13.52244446919595</c:v>
                </c:pt>
                <c:pt idx="16">
                  <c:v>-13.42638559647985</c:v>
                </c:pt>
                <c:pt idx="17">
                  <c:v>-13.284766208637588</c:v>
                </c:pt>
                <c:pt idx="18">
                  <c:v>-13.099521677527793</c:v>
                </c:pt>
                <c:pt idx="19">
                  <c:v>-12.874588864585368</c:v>
                </c:pt>
                <c:pt idx="20">
                  <c:v>-12.615573087066934</c:v>
                </c:pt>
                <c:pt idx="21">
                  <c:v>-12.329296105732768</c:v>
                </c:pt>
                <c:pt idx="22">
                  <c:v>-12.023286673639866</c:v>
                </c:pt>
                <c:pt idx="23">
                  <c:v>-11.705267706379452</c:v>
                </c:pt>
                <c:pt idx="24">
                  <c:v>-11.382685146243244</c:v>
                </c:pt>
                <c:pt idx="25">
                  <c:v>-11.062312687308973</c:v>
                </c:pt>
                <c:pt idx="26">
                  <c:v>-10.749953498364629</c:v>
                </c:pt>
                <c:pt idx="27">
                  <c:v>-10.450248589418409</c:v>
                </c:pt>
                <c:pt idx="28">
                  <c:v>-10.1665910809003</c:v>
                </c:pt>
                <c:pt idx="29">
                  <c:v>-9.90113622078802</c:v>
                </c:pt>
                <c:pt idx="30">
                  <c:v>-9.654890121913196</c:v>
                </c:pt>
                <c:pt idx="31">
                  <c:v>-9.4278581074077827</c:v>
                </c:pt>
                <c:pt idx="32">
                  <c:v>-9.2192300910027942</c:v>
                </c:pt>
                <c:pt idx="33">
                  <c:v>-9.0275821629204227</c:v>
                </c:pt>
                <c:pt idx="34">
                  <c:v>-8.8510774831378818</c:v>
                </c:pt>
                <c:pt idx="35">
                  <c:v>-8.6876508503817682</c:v>
                </c:pt>
                <c:pt idx="36">
                  <c:v>-8.5351686596691678</c:v>
                </c:pt>
                <c:pt idx="37">
                  <c:v>-8.3915568666002684</c:v>
                </c:pt>
                <c:pt idx="38">
                  <c:v>-8.2548972130057514</c:v>
                </c:pt>
                <c:pt idx="39">
                  <c:v>-8.1234914471003385</c:v>
                </c:pt>
                <c:pt idx="40">
                  <c:v>-7.9958976980536107</c:v>
                </c:pt>
                <c:pt idx="41">
                  <c:v>-7.8709436239118746</c:v>
                </c:pt>
                <c:pt idx="42">
                  <c:v>-7.7477212676841267</c:v>
                </c:pt>
                <c:pt idx="43">
                  <c:v>-7.6255685174448251</c:v>
                </c:pt>
                <c:pt idx="44">
                  <c:v>-7.5040417405155324</c:v>
                </c:pt>
                <c:pt idx="45">
                  <c:v>-7.3828837481297205</c:v>
                </c:pt>
                <c:pt idx="46">
                  <c:v>-7.2619898269096872</c:v>
                </c:pt>
                <c:pt idx="47">
                  <c:v>-7.1413741401925019</c:v>
                </c:pt>
                <c:pt idx="48">
                  <c:v>-7.0211381001269002</c:v>
                </c:pt>
                <c:pt idx="49">
                  <c:v>-6.9014428044758773</c:v>
                </c:pt>
                <c:pt idx="50">
                  <c:v>-6.782483838036935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83-4862-9817-881AB6ED820F}"/>
            </c:ext>
          </c:extLst>
        </c:ser>
        <c:ser>
          <c:idx val="12"/>
          <c:order val="12"/>
          <c:tx>
            <c:strRef>
              <c:f>Table_Dynam_EMS!$O$7</c:f>
              <c:strCache>
                <c:ptCount val="1"/>
                <c:pt idx="0">
                  <c:v>LF_LE_SSC_WS</c:v>
                </c:pt>
              </c:strCache>
            </c:strRef>
          </c:tx>
          <c:spPr>
            <a:ln w="19050" cap="rnd">
              <a:solidFill>
                <a:srgbClr val="FFFC00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Table_Dynam_EMS!$O$8:$O$58</c:f>
              <c:numCache>
                <c:formatCode>0.00000000</c:formatCode>
                <c:ptCount val="51"/>
                <c:pt idx="0">
                  <c:v>0</c:v>
                </c:pt>
                <c:pt idx="1">
                  <c:v>-1.2549789394302402</c:v>
                </c:pt>
                <c:pt idx="2">
                  <c:v>-2.0509436478016951</c:v>
                </c:pt>
                <c:pt idx="3">
                  <c:v>-2.5129017139396748</c:v>
                </c:pt>
                <c:pt idx="4">
                  <c:v>-2.7742020046313542</c:v>
                </c:pt>
                <c:pt idx="5">
                  <c:v>-2.9181553789826009</c:v>
                </c:pt>
                <c:pt idx="6">
                  <c:v>-2.9920541278004698</c:v>
                </c:pt>
                <c:pt idx="7">
                  <c:v>-3.0224276108648307</c:v>
                </c:pt>
                <c:pt idx="8">
                  <c:v>-3.0245826385922214</c:v>
                </c:pt>
                <c:pt idx="9">
                  <c:v>-3.0078438939011964</c:v>
                </c:pt>
                <c:pt idx="10">
                  <c:v>-2.9782837035949083</c:v>
                </c:pt>
                <c:pt idx="11">
                  <c:v>-2.9401138171371688</c:v>
                </c:pt>
                <c:pt idx="12">
                  <c:v>-2.8963950225317614</c:v>
                </c:pt>
                <c:pt idx="13">
                  <c:v>-2.849406626062112</c:v>
                </c:pt>
                <c:pt idx="14">
                  <c:v>-2.800848816159851</c:v>
                </c:pt>
                <c:pt idx="15">
                  <c:v>-2.7519644421458045</c:v>
                </c:pt>
                <c:pt idx="16">
                  <c:v>-2.7036229572508286</c:v>
                </c:pt>
                <c:pt idx="17">
                  <c:v>-2.6563875592227726</c:v>
                </c:pt>
                <c:pt idx="18">
                  <c:v>-2.6105746606244651</c:v>
                </c:pt>
                <c:pt idx="19">
                  <c:v>-2.5663087084162539</c:v>
                </c:pt>
                <c:pt idx="20">
                  <c:v>-2.5235726033012162</c:v>
                </c:pt>
                <c:pt idx="21">
                  <c:v>-2.482252695757714</c:v>
                </c:pt>
                <c:pt idx="22">
                  <c:v>-2.4421771213948507</c:v>
                </c:pt>
                <c:pt idx="23">
                  <c:v>-2.4031469301190156</c:v>
                </c:pt>
                <c:pt idx="24">
                  <c:v>-2.3649596650889171</c:v>
                </c:pt>
                <c:pt idx="25">
                  <c:v>-2.3274259957353882</c:v>
                </c:pt>
                <c:pt idx="26">
                  <c:v>-2.2903802469485535</c:v>
                </c:pt>
                <c:pt idx="27">
                  <c:v>-2.2536857945620659</c:v>
                </c:pt>
                <c:pt idx="28">
                  <c:v>-2.2172366177515723</c:v>
                </c:pt>
                <c:pt idx="29">
                  <c:v>-2.1809561761777063</c:v>
                </c:pt>
                <c:pt idx="30">
                  <c:v>-2.1447944888994819</c:v>
                </c:pt>
                <c:pt idx="31">
                  <c:v>-2.1087242727436672</c:v>
                </c:pt>
                <c:pt idx="32">
                  <c:v>-2.0727368140122215</c:v>
                </c:pt>
                <c:pt idx="33">
                  <c:v>-2.0368379220463528</c:v>
                </c:pt>
                <c:pt idx="34">
                  <c:v>-2.0010442758452318</c:v>
                </c:pt>
                <c:pt idx="35">
                  <c:v>-1.9653802387867847</c:v>
                </c:pt>
                <c:pt idx="36">
                  <c:v>-1.9298753403654167</c:v>
                </c:pt>
                <c:pt idx="37">
                  <c:v>-1.894562203219563</c:v>
                </c:pt>
                <c:pt idx="38">
                  <c:v>-1.8594746507802795</c:v>
                </c:pt>
                <c:pt idx="39">
                  <c:v>-1.8246473755550885</c:v>
                </c:pt>
                <c:pt idx="40">
                  <c:v>-1.7901142351045007</c:v>
                </c:pt>
                <c:pt idx="41">
                  <c:v>-1.7559077634087483</c:v>
                </c:pt>
                <c:pt idx="42">
                  <c:v>-1.7220595938228334</c:v>
                </c:pt>
                <c:pt idx="43">
                  <c:v>-1.6885989098299192</c:v>
                </c:pt>
                <c:pt idx="44">
                  <c:v>-1.6555536248617386</c:v>
                </c:pt>
                <c:pt idx="45">
                  <c:v>-1.6229490126609458</c:v>
                </c:pt>
                <c:pt idx="46">
                  <c:v>-1.5908084866940397</c:v>
                </c:pt>
                <c:pt idx="47">
                  <c:v>-1.5591531982210527</c:v>
                </c:pt>
                <c:pt idx="48">
                  <c:v>-1.5280020857897481</c:v>
                </c:pt>
                <c:pt idx="49">
                  <c:v>-1.497371912374601</c:v>
                </c:pt>
                <c:pt idx="50">
                  <c:v>-1.4672771722740063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83-4862-9817-881AB6ED820F}"/>
            </c:ext>
          </c:extLst>
        </c:ser>
        <c:ser>
          <c:idx val="13"/>
          <c:order val="13"/>
          <c:tx>
            <c:strRef>
              <c:f>Table_Dynam_EMS!$P$7</c:f>
              <c:strCache>
                <c:ptCount val="1"/>
                <c:pt idx="0">
                  <c:v>LF_HE_SSC_WS</c:v>
                </c:pt>
              </c:strCache>
            </c:strRef>
          </c:tx>
          <c:spPr>
            <a:ln w="19050" cap="rnd">
              <a:solidFill>
                <a:srgbClr val="FFA7BA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Table_Dynam_EMS!$P$8:$P$58</c:f>
              <c:numCache>
                <c:formatCode>0.00000000</c:formatCode>
                <c:ptCount val="51"/>
                <c:pt idx="0">
                  <c:v>0</c:v>
                </c:pt>
                <c:pt idx="1">
                  <c:v>-1.3045212542810436</c:v>
                </c:pt>
                <c:pt idx="2">
                  <c:v>-2.1743181053399341</c:v>
                </c:pt>
                <c:pt idx="3">
                  <c:v>-2.717478436539722</c:v>
                </c:pt>
                <c:pt idx="4">
                  <c:v>-3.0583596912547417</c:v>
                </c:pt>
                <c:pt idx="5">
                  <c:v>-3.2752740007824355</c:v>
                </c:pt>
                <c:pt idx="6">
                  <c:v>-3.4125375666890223</c:v>
                </c:pt>
                <c:pt idx="7">
                  <c:v>-3.494988715610825</c:v>
                </c:pt>
                <c:pt idx="8">
                  <c:v>-3.5372573031576704</c:v>
                </c:pt>
                <c:pt idx="9">
                  <c:v>-3.5488410005609317</c:v>
                </c:pt>
                <c:pt idx="10">
                  <c:v>-3.5366615393710665</c:v>
                </c:pt>
                <c:pt idx="11">
                  <c:v>-3.5062605604381791</c:v>
                </c:pt>
                <c:pt idx="12">
                  <c:v>-3.4623102131019934</c:v>
                </c:pt>
                <c:pt idx="13">
                  <c:v>-3.4088027798563014</c:v>
                </c:pt>
                <c:pt idx="14">
                  <c:v>-3.3491067275138175</c:v>
                </c:pt>
                <c:pt idx="15">
                  <c:v>-3.2859820017771768</c:v>
                </c:pt>
                <c:pt idx="16">
                  <c:v>-3.2215976511000055</c:v>
                </c:pt>
                <c:pt idx="17">
                  <c:v>-3.1575677977599192</c:v>
                </c:pt>
                <c:pt idx="18">
                  <c:v>-3.0950084205804251</c:v>
                </c:pt>
                <c:pt idx="19">
                  <c:v>-3.0346104084652548</c:v>
                </c:pt>
                <c:pt idx="20">
                  <c:v>-2.9767213715909291</c:v>
                </c:pt>
                <c:pt idx="21">
                  <c:v>-2.9214286356945118</c:v>
                </c:pt>
                <c:pt idx="22">
                  <c:v>-2.8686369427092795</c:v>
                </c:pt>
                <c:pt idx="23">
                  <c:v>-2.8181363423574579</c:v>
                </c:pt>
                <c:pt idx="24">
                  <c:v>-2.7696575416031655</c:v>
                </c:pt>
                <c:pt idx="25">
                  <c:v>-2.7229139980514905</c:v>
                </c:pt>
                <c:pt idx="26">
                  <c:v>-2.6776313579267685</c:v>
                </c:pt>
                <c:pt idx="27">
                  <c:v>-2.6335657696402337</c:v>
                </c:pt>
                <c:pt idx="28">
                  <c:v>-2.5905131735112552</c:v>
                </c:pt>
                <c:pt idx="29">
                  <c:v>-2.5483117288986223</c:v>
                </c:pt>
                <c:pt idx="30">
                  <c:v>-2.5068395734365478</c:v>
                </c:pt>
                <c:pt idx="31">
                  <c:v>-2.466009803433733</c:v>
                </c:pt>
                <c:pt idx="32">
                  <c:v>-2.4257640047333884</c:v>
                </c:pt>
                <c:pt idx="33">
                  <c:v>-2.3860655312638368</c:v>
                </c:pt>
                <c:pt idx="34">
                  <c:v>-2.3468934403334418</c:v>
                </c:pt>
                <c:pt idx="35">
                  <c:v>-2.3082371230957799</c:v>
                </c:pt>
                <c:pt idx="36">
                  <c:v>-2.2700920949863312</c:v>
                </c:pt>
                <c:pt idx="37">
                  <c:v>-2.2324568504855646</c:v>
                </c:pt>
                <c:pt idx="38">
                  <c:v>-2.1953313027422205</c:v>
                </c:pt>
                <c:pt idx="39">
                  <c:v>-2.1587145995293766</c:v>
                </c:pt>
                <c:pt idx="40">
                  <c:v>-2.1226050368332916</c:v>
                </c:pt>
                <c:pt idx="41">
                  <c:v>-2.0869999543771556</c:v>
                </c:pt>
                <c:pt idx="42">
                  <c:v>-2.0518957288772288</c:v>
                </c:pt>
                <c:pt idx="43">
                  <c:v>-2.0172874463775914</c:v>
                </c:pt>
                <c:pt idx="44">
                  <c:v>-1.9831699314543094</c:v>
                </c:pt>
                <c:pt idx="45">
                  <c:v>-1.9495378517977113</c:v>
                </c:pt>
                <c:pt idx="46">
                  <c:v>-1.9163854298497762</c:v>
                </c:pt>
                <c:pt idx="47">
                  <c:v>-1.8837071803092242</c:v>
                </c:pt>
                <c:pt idx="48">
                  <c:v>-1.8514976675454875</c:v>
                </c:pt>
                <c:pt idx="49">
                  <c:v>-1.8197515725486557</c:v>
                </c:pt>
                <c:pt idx="50">
                  <c:v>-1.7884639809863101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83-4862-9817-881AB6ED820F}"/>
            </c:ext>
          </c:extLst>
        </c:ser>
        <c:ser>
          <c:idx val="14"/>
          <c:order val="14"/>
          <c:tx>
            <c:strRef>
              <c:f>Table_Dynam_EMS!$Q$7</c:f>
              <c:strCache>
                <c:ptCount val="1"/>
                <c:pt idx="0">
                  <c:v>HF_LE_SSC_WS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Table_Dynam_EMS!$Q$8:$Q$58</c:f>
              <c:numCache>
                <c:formatCode>0.00000000</c:formatCode>
                <c:ptCount val="51"/>
                <c:pt idx="0">
                  <c:v>0</c:v>
                </c:pt>
                <c:pt idx="1">
                  <c:v>-5.3852166944267417</c:v>
                </c:pt>
                <c:pt idx="2">
                  <c:v>-8.5444931169784688</c:v>
                </c:pt>
                <c:pt idx="3">
                  <c:v>-10.291010653516553</c:v>
                </c:pt>
                <c:pt idx="4">
                  <c:v>-11.210246057886408</c:v>
                </c:pt>
                <c:pt idx="5">
                  <c:v>-11.645305414986606</c:v>
                </c:pt>
                <c:pt idx="6">
                  <c:v>-11.793801425327</c:v>
                </c:pt>
                <c:pt idx="7">
                  <c:v>-11.771232664761033</c:v>
                </c:pt>
                <c:pt idx="8">
                  <c:v>-11.646794454708143</c:v>
                </c:pt>
                <c:pt idx="9">
                  <c:v>-11.463062371921618</c:v>
                </c:pt>
                <c:pt idx="10">
                  <c:v>-11.246783187299425</c:v>
                </c:pt>
                <c:pt idx="11">
                  <c:v>-11.01489403372341</c:v>
                </c:pt>
                <c:pt idx="12">
                  <c:v>-10.778016224282238</c:v>
                </c:pt>
                <c:pt idx="13">
                  <c:v>-10.542602701213999</c:v>
                </c:pt>
                <c:pt idx="14">
                  <c:v>-10.312339865035881</c:v>
                </c:pt>
                <c:pt idx="15">
                  <c:v>-10.089105864787907</c:v>
                </c:pt>
                <c:pt idx="16">
                  <c:v>-9.8736400387710805</c:v>
                </c:pt>
                <c:pt idx="17">
                  <c:v>-9.6660092387123804</c:v>
                </c:pt>
                <c:pt idx="18">
                  <c:v>-9.4659255046903432</c:v>
                </c:pt>
                <c:pt idx="19">
                  <c:v>-9.2729529207118624</c:v>
                </c:pt>
                <c:pt idx="20">
                  <c:v>-9.0866338790607912</c:v>
                </c:pt>
                <c:pt idx="21">
                  <c:v>-8.90655793090448</c:v>
                </c:pt>
                <c:pt idx="22">
                  <c:v>-8.7323919563926147</c:v>
                </c:pt>
                <c:pt idx="23">
                  <c:v>-8.5638856376880952</c:v>
                </c:pt>
                <c:pt idx="24">
                  <c:v>-8.4008624559023364</c:v>
                </c:pt>
                <c:pt idx="25">
                  <c:v>-8.2432037436265819</c:v>
                </c:pt>
                <c:pt idx="26">
                  <c:v>-8.0908302900354663</c:v>
                </c:pt>
                <c:pt idx="27">
                  <c:v>-7.9436847297922331</c:v>
                </c:pt>
                <c:pt idx="28">
                  <c:v>-7.8017162639002047</c:v>
                </c:pt>
                <c:pt idx="29">
                  <c:v>-7.664868426544091</c:v>
                </c:pt>
                <c:pt idx="30">
                  <c:v>-7.5330701588167903</c:v>
                </c:pt>
                <c:pt idx="31">
                  <c:v>-7.4062299201271049</c:v>
                </c:pt>
                <c:pt idx="32">
                  <c:v>-7.2842323858940734</c:v>
                </c:pt>
                <c:pt idx="33">
                  <c:v>-7.1669373993572982</c:v>
                </c:pt>
                <c:pt idx="34">
                  <c:v>-7.0541804421492156</c:v>
                </c:pt>
                <c:pt idx="35">
                  <c:v>-6.9457744726758364</c:v>
                </c:pt>
                <c:pt idx="36">
                  <c:v>-6.8415125597543476</c:v>
                </c:pt>
                <c:pt idx="37">
                  <c:v>-6.7411707446575093</c:v>
                </c:pt>
                <c:pt idx="38">
                  <c:v>-6.6445117784971197</c:v>
                </c:pt>
                <c:pt idx="39">
                  <c:v>-6.551288217418783</c:v>
                </c:pt>
                <c:pt idx="40">
                  <c:v>-6.4612457920665385</c:v>
                </c:pt>
                <c:pt idx="41">
                  <c:v>-6.374126697986215</c:v>
                </c:pt>
                <c:pt idx="42">
                  <c:v>-6.2896723744319978</c:v>
                </c:pt>
                <c:pt idx="43">
                  <c:v>-6.207626119011211</c:v>
                </c:pt>
                <c:pt idx="44">
                  <c:v>-6.1277354767927061</c:v>
                </c:pt>
                <c:pt idx="45">
                  <c:v>-6.0497543321830882</c:v>
                </c:pt>
                <c:pt idx="46">
                  <c:v>-5.9734445240634422</c:v>
                </c:pt>
                <c:pt idx="47">
                  <c:v>-5.8985775740922559</c:v>
                </c:pt>
                <c:pt idx="48">
                  <c:v>-5.8249357956418173</c:v>
                </c:pt>
                <c:pt idx="49">
                  <c:v>-5.7523133108906226</c:v>
                </c:pt>
                <c:pt idx="50">
                  <c:v>-5.6805169014359169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83-4862-9817-881AB6ED820F}"/>
            </c:ext>
          </c:extLst>
        </c:ser>
        <c:ser>
          <c:idx val="15"/>
          <c:order val="15"/>
          <c:tx>
            <c:strRef>
              <c:f>Table_Dynam_EMS!$R$7</c:f>
              <c:strCache>
                <c:ptCount val="1"/>
                <c:pt idx="0">
                  <c:v>HF_HE_SSC_WS</c:v>
                </c:pt>
              </c:strCache>
            </c:strRef>
          </c:tx>
          <c:spPr>
            <a:ln w="19050" cap="rnd">
              <a:solidFill>
                <a:srgbClr val="0432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Table_Dynam_EMS!$R$8:$R$58</c:f>
              <c:numCache>
                <c:formatCode>0.00000000</c:formatCode>
                <c:ptCount val="51"/>
                <c:pt idx="0">
                  <c:v>0</c:v>
                </c:pt>
                <c:pt idx="1">
                  <c:v>-5.4466406693244762</c:v>
                </c:pt>
                <c:pt idx="2">
                  <c:v>-8.7173113657151085</c:v>
                </c:pt>
                <c:pt idx="3">
                  <c:v>-10.618765499061256</c:v>
                </c:pt>
                <c:pt idx="4">
                  <c:v>-11.730895426419718</c:v>
                </c:pt>
                <c:pt idx="5">
                  <c:v>-12.388798984799598</c:v>
                </c:pt>
                <c:pt idx="6">
                  <c:v>-12.779740866229982</c:v>
                </c:pt>
                <c:pt idx="7">
                  <c:v>-13.007828820060075</c:v>
                </c:pt>
                <c:pt idx="8">
                  <c:v>-13.131185272787215</c:v>
                </c:pt>
                <c:pt idx="9">
                  <c:v>-13.182650703576481</c:v>
                </c:pt>
                <c:pt idx="10">
                  <c:v>-13.181184758939434</c:v>
                </c:pt>
                <c:pt idx="11">
                  <c:v>-13.138138799811239</c:v>
                </c:pt>
                <c:pt idx="12">
                  <c:v>-13.060730855844616</c:v>
                </c:pt>
                <c:pt idx="13">
                  <c:v>-12.95398717496392</c:v>
                </c:pt>
                <c:pt idx="14">
                  <c:v>-12.821825921279428</c:v>
                </c:pt>
                <c:pt idx="15">
                  <c:v>-12.667645207692168</c:v>
                </c:pt>
                <c:pt idx="16">
                  <c:v>-12.494617845284894</c:v>
                </c:pt>
                <c:pt idx="17">
                  <c:v>-12.305811289882174</c:v>
                </c:pt>
                <c:pt idx="18">
                  <c:v>-12.104207446782389</c:v>
                </c:pt>
                <c:pt idx="19">
                  <c:v>-11.89267081952795</c:v>
                </c:pt>
                <c:pt idx="20">
                  <c:v>-11.673896590916078</c:v>
                </c:pt>
                <c:pt idx="21">
                  <c:v>-11.450358525232085</c:v>
                </c:pt>
                <c:pt idx="22">
                  <c:v>-11.224267990664682</c:v>
                </c:pt>
                <c:pt idx="23">
                  <c:v>-10.997548524204815</c:v>
                </c:pt>
                <c:pt idx="24">
                  <c:v>-10.771827251078969</c:v>
                </c:pt>
                <c:pt idx="25">
                  <c:v>-10.548440884170162</c:v>
                </c:pt>
                <c:pt idx="26">
                  <c:v>-10.328453216771305</c:v>
                </c:pt>
                <c:pt idx="27">
                  <c:v>-10.112680596717849</c:v>
                </c:pt>
                <c:pt idx="28">
                  <c:v>-9.9017217759049601</c:v>
                </c:pt>
                <c:pt idx="29">
                  <c:v>-9.6959894156369746</c:v>
                </c:pt>
                <c:pt idx="30">
                  <c:v>-9.4957409756304401</c:v>
                </c:pt>
                <c:pt idx="31">
                  <c:v>-9.3011073977575691</c:v>
                </c:pt>
                <c:pt idx="32">
                  <c:v>-9.1121188995110458</c:v>
                </c:pt>
                <c:pt idx="33">
                  <c:v>-8.9287271273618458</c:v>
                </c:pt>
                <c:pt idx="34">
                  <c:v>-8.7508241166799792</c:v>
                </c:pt>
                <c:pt idx="35">
                  <c:v>-8.5782577650438956</c:v>
                </c:pt>
                <c:pt idx="36">
                  <c:v>-8.4108444842163284</c:v>
                </c:pt>
                <c:pt idx="37">
                  <c:v>-8.2483795829309194</c:v>
                </c:pt>
                <c:pt idx="38">
                  <c:v>-8.0906452345115181</c:v>
                </c:pt>
                <c:pt idx="39">
                  <c:v>-7.9374169376417942</c:v>
                </c:pt>
                <c:pt idx="40">
                  <c:v>-7.7884685414980614</c:v>
                </c:pt>
                <c:pt idx="41">
                  <c:v>-7.6435764438954052</c:v>
                </c:pt>
                <c:pt idx="42">
                  <c:v>-7.5025224019960257</c:v>
                </c:pt>
                <c:pt idx="43">
                  <c:v>-7.3650955118086392</c:v>
                </c:pt>
                <c:pt idx="44">
                  <c:v>-7.2310949129731679</c:v>
                </c:pt>
                <c:pt idx="45">
                  <c:v>-7.1003297632097002</c:v>
                </c:pt>
                <c:pt idx="46">
                  <c:v>-6.9726205694432108</c:v>
                </c:pt>
                <c:pt idx="47">
                  <c:v>-6.8477995862874952</c:v>
                </c:pt>
                <c:pt idx="48">
                  <c:v>-6.7257104942689994</c:v>
                </c:pt>
                <c:pt idx="49">
                  <c:v>-6.6062086583030588</c:v>
                </c:pt>
                <c:pt idx="50">
                  <c:v>-6.4891600310416848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183-4862-9817-881AB6ED820F}"/>
            </c:ext>
          </c:extLst>
        </c:ser>
        <c:ser>
          <c:idx val="16"/>
          <c:order val="16"/>
          <c:tx>
            <c:strRef>
              <c:f>Table_Dynam_EMS!$S$7</c:f>
              <c:strCache>
                <c:ptCount val="1"/>
                <c:pt idx="0">
                  <c:v>LF_LE_SSC_PC</c:v>
                </c:pt>
              </c:strCache>
            </c:strRef>
          </c:tx>
          <c:spPr>
            <a:ln w="19050" cap="rnd">
              <a:solidFill>
                <a:srgbClr val="FF9300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Table_Dynam_EMS!$S$8:$S$58</c:f>
              <c:numCache>
                <c:formatCode>0.00000000</c:formatCode>
                <c:ptCount val="51"/>
                <c:pt idx="0">
                  <c:v>0</c:v>
                </c:pt>
                <c:pt idx="1">
                  <c:v>-1.2594970787614734</c:v>
                </c:pt>
                <c:pt idx="2">
                  <c:v>-2.0592107064904108</c:v>
                </c:pt>
                <c:pt idx="3">
                  <c:v>-2.5250093440937094</c:v>
                </c:pt>
                <c:pt idx="4">
                  <c:v>-2.791043283159278</c:v>
                </c:pt>
                <c:pt idx="5">
                  <c:v>-2.9406613489474709</c:v>
                </c:pt>
                <c:pt idx="6">
                  <c:v>-3.0206361547591487</c:v>
                </c:pt>
                <c:pt idx="7">
                  <c:v>-3.056816961829234</c:v>
                </c:pt>
                <c:pt idx="8">
                  <c:v>-3.063993876777249</c:v>
                </c:pt>
                <c:pt idx="9">
                  <c:v>-3.0512969092853059</c:v>
                </c:pt>
                <c:pt idx="10">
                  <c:v>-3.0249268972800225</c:v>
                </c:pt>
                <c:pt idx="11">
                  <c:v>-2.9894456058865204</c:v>
                </c:pt>
                <c:pt idx="12">
                  <c:v>-2.9483455421156046</c:v>
                </c:pt>
                <c:pt idx="13">
                  <c:v>-2.9042924062644526</c:v>
                </c:pt>
                <c:pt idx="14">
                  <c:v>-2.8592434739512007</c:v>
                </c:pt>
                <c:pt idx="15">
                  <c:v>-2.8145361299407701</c:v>
                </c:pt>
                <c:pt idx="16">
                  <c:v>-2.7709828433158834</c:v>
                </c:pt>
                <c:pt idx="17">
                  <c:v>-2.7289775034086916</c:v>
                </c:pt>
                <c:pt idx="18">
                  <c:v>-2.6886061028426056</c:v>
                </c:pt>
                <c:pt idx="19">
                  <c:v>-2.6497507585681146</c:v>
                </c:pt>
                <c:pt idx="20">
                  <c:v>-2.6121790121527599</c:v>
                </c:pt>
                <c:pt idx="21">
                  <c:v>-2.5756130512346598</c:v>
                </c:pt>
                <c:pt idx="22">
                  <c:v>-2.5397784534727963</c:v>
                </c:pt>
                <c:pt idx="23">
                  <c:v>-2.5044339217881295</c:v>
                </c:pt>
                <c:pt idx="24">
                  <c:v>-2.4693858522719769</c:v>
                </c:pt>
                <c:pt idx="25">
                  <c:v>-2.4344914481891577</c:v>
                </c:pt>
                <c:pt idx="26">
                  <c:v>-2.3996545836742378</c:v>
                </c:pt>
                <c:pt idx="27">
                  <c:v>-2.3648177667011328</c:v>
                </c:pt>
                <c:pt idx="28">
                  <c:v>-2.3299526059648912</c:v>
                </c:pt>
                <c:pt idx="29">
                  <c:v>-2.2950508870628883</c:v>
                </c:pt>
                <c:pt idx="30">
                  <c:v>-2.2601172403852621</c:v>
                </c:pt>
                <c:pt idx="31">
                  <c:v>-2.2251636352149551</c:v>
                </c:pt>
                <c:pt idx="32">
                  <c:v>-2.1902062715175363</c:v>
                </c:pt>
                <c:pt idx="33">
                  <c:v>-2.1552639911682658</c:v>
                </c:pt>
                <c:pt idx="34">
                  <c:v>-2.1203580870887806</c:v>
                </c:pt>
                <c:pt idx="35">
                  <c:v>-2.0855128442900384</c:v>
                </c:pt>
                <c:pt idx="36">
                  <c:v>-2.0507562323056172</c:v>
                </c:pt>
                <c:pt idx="37">
                  <c:v>-2.0161204843593739</c:v>
                </c:pt>
                <c:pt idx="38">
                  <c:v>-1.9816420862892592</c:v>
                </c:pt>
                <c:pt idx="39">
                  <c:v>-1.9473612990072109</c:v>
                </c:pt>
                <c:pt idx="40">
                  <c:v>-1.9133211359179003</c:v>
                </c:pt>
                <c:pt idx="41">
                  <c:v>-1.8795658682581706</c:v>
                </c:pt>
                <c:pt idx="42">
                  <c:v>-1.8461392694966161</c:v>
                </c:pt>
                <c:pt idx="43">
                  <c:v>-1.8130832259247498</c:v>
                </c:pt>
                <c:pt idx="44">
                  <c:v>-1.7804358776449258</c:v>
                </c:pt>
                <c:pt idx="45">
                  <c:v>-1.7482304333421683</c:v>
                </c:pt>
                <c:pt idx="46">
                  <c:v>-1.7164943853497094</c:v>
                </c:pt>
                <c:pt idx="47">
                  <c:v>-1.6852490695987266</c:v>
                </c:pt>
                <c:pt idx="48">
                  <c:v>-1.6545094427688145</c:v>
                </c:pt>
                <c:pt idx="49">
                  <c:v>-1.6242842848861794</c:v>
                </c:pt>
                <c:pt idx="50">
                  <c:v>-1.5945767525438304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83-4862-9817-881AB6ED820F}"/>
            </c:ext>
          </c:extLst>
        </c:ser>
        <c:ser>
          <c:idx val="17"/>
          <c:order val="17"/>
          <c:tx>
            <c:strRef>
              <c:f>Table_Dynam_EMS!$T$7</c:f>
              <c:strCache>
                <c:ptCount val="1"/>
                <c:pt idx="0">
                  <c:v>LF_HE_SSC_PC</c:v>
                </c:pt>
              </c:strCache>
            </c:strRef>
          </c:tx>
          <c:spPr>
            <a:ln w="19050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Table_Dynam_EMS!$T$8:$T$58</c:f>
              <c:numCache>
                <c:formatCode>0.00000000</c:formatCode>
                <c:ptCount val="51"/>
                <c:pt idx="0">
                  <c:v>0</c:v>
                </c:pt>
                <c:pt idx="1">
                  <c:v>-1.3092525297650148</c:v>
                </c:pt>
                <c:pt idx="2">
                  <c:v>-2.1842686992514682</c:v>
                </c:pt>
                <c:pt idx="3">
                  <c:v>-2.7355571540341406</c:v>
                </c:pt>
                <c:pt idx="4">
                  <c:v>-3.0897059695717655</c:v>
                </c:pt>
                <c:pt idx="5">
                  <c:v>-3.3258092586058718</c:v>
                </c:pt>
                <c:pt idx="6">
                  <c:v>-3.4874204454114932</c:v>
                </c:pt>
                <c:pt idx="7">
                  <c:v>-3.5973938369128211</c:v>
                </c:pt>
                <c:pt idx="8">
                  <c:v>-3.6675971380343841</c:v>
                </c:pt>
                <c:pt idx="9">
                  <c:v>-3.7044295913419178</c:v>
                </c:pt>
                <c:pt idx="10">
                  <c:v>-3.7117832846803922</c:v>
                </c:pt>
                <c:pt idx="11">
                  <c:v>-3.6925969881949627</c:v>
                </c:pt>
                <c:pt idx="12">
                  <c:v>-3.6496629233011224</c:v>
                </c:pt>
                <c:pt idx="13">
                  <c:v>-3.586025063212761</c:v>
                </c:pt>
                <c:pt idx="14">
                  <c:v>-3.5051324082532753</c:v>
                </c:pt>
                <c:pt idx="15">
                  <c:v>-3.4108278283704441</c:v>
                </c:pt>
                <c:pt idx="16">
                  <c:v>-3.3072234299029613</c:v>
                </c:pt>
                <c:pt idx="17">
                  <c:v>-3.1985051739615078</c:v>
                </c:pt>
                <c:pt idx="18">
                  <c:v>-3.0887073679081278</c:v>
                </c:pt>
                <c:pt idx="19">
                  <c:v>-2.9814931715352211</c:v>
                </c:pt>
                <c:pt idx="20">
                  <c:v>-2.8799704049726982</c:v>
                </c:pt>
                <c:pt idx="21">
                  <c:v>-2.7865614418926654</c:v>
                </c:pt>
                <c:pt idx="22">
                  <c:v>-2.7029366983273517</c:v>
                </c:pt>
                <c:pt idx="23">
                  <c:v>-2.6300110268219878</c:v>
                </c:pt>
                <c:pt idx="24">
                  <c:v>-2.5679951893955222</c:v>
                </c:pt>
                <c:pt idx="25">
                  <c:v>-2.5164891601772377</c:v>
                </c:pt>
                <c:pt idx="26">
                  <c:v>-2.4746017474815751</c:v>
                </c:pt>
                <c:pt idx="27">
                  <c:v>-2.4410808731681555</c:v>
                </c:pt>
                <c:pt idx="28">
                  <c:v>-2.4144412862543763</c:v>
                </c:pt>
                <c:pt idx="29">
                  <c:v>-2.3930796345625449</c:v>
                </c:pt>
                <c:pt idx="30">
                  <c:v>-2.3753712590336096</c:v>
                </c:pt>
                <c:pt idx="31">
                  <c:v>-2.3597466247903043</c:v>
                </c:pt>
                <c:pt idx="32">
                  <c:v>-2.3447491191297853</c:v>
                </c:pt>
                <c:pt idx="33">
                  <c:v>-2.3290773556911448</c:v>
                </c:pt>
                <c:pt idx="34">
                  <c:v>-2.3116170382966095</c:v>
                </c:pt>
                <c:pt idx="35">
                  <c:v>-2.2914646179331588</c:v>
                </c:pt>
                <c:pt idx="36">
                  <c:v>-2.267946651162156</c:v>
                </c:pt>
                <c:pt idx="37">
                  <c:v>-2.2406327033879792</c:v>
                </c:pt>
                <c:pt idx="38">
                  <c:v>-2.2093426492030166</c:v>
                </c:pt>
                <c:pt idx="39">
                  <c:v>-2.1741438451602257</c:v>
                </c:pt>
                <c:pt idx="40">
                  <c:v>-2.1353373514974239</c:v>
                </c:pt>
                <c:pt idx="41">
                  <c:v>-2.0934314581514624</c:v>
                </c:pt>
                <c:pt idx="42">
                  <c:v>-2.0491031740964338</c:v>
                </c:pt>
                <c:pt idx="43">
                  <c:v>-2.0031491248201028</c:v>
                </c:pt>
                <c:pt idx="44">
                  <c:v>-1.9564314073769906</c:v>
                </c:pt>
                <c:pt idx="45">
                  <c:v>-1.9098205904704124</c:v>
                </c:pt>
                <c:pt idx="46">
                  <c:v>-1.8641419560557204</c:v>
                </c:pt>
                <c:pt idx="47">
                  <c:v>-1.8201286083667112</c:v>
                </c:pt>
                <c:pt idx="48">
                  <c:v>-1.7783847834273114</c:v>
                </c:pt>
                <c:pt idx="49">
                  <c:v>-1.7393605869685191</c:v>
                </c:pt>
                <c:pt idx="50">
                  <c:v>-1.7033399534676308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183-4862-9817-881AB6ED820F}"/>
            </c:ext>
          </c:extLst>
        </c:ser>
        <c:ser>
          <c:idx val="18"/>
          <c:order val="18"/>
          <c:tx>
            <c:strRef>
              <c:f>Table_Dynam_EMS!$U$7</c:f>
              <c:strCache>
                <c:ptCount val="1"/>
                <c:pt idx="0">
                  <c:v>HF_LE_SSC_PC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Table_Dynam_EMS!$U$8:$U$58</c:f>
              <c:numCache>
                <c:formatCode>0.00000000</c:formatCode>
                <c:ptCount val="51"/>
                <c:pt idx="0">
                  <c:v>0</c:v>
                </c:pt>
                <c:pt idx="1">
                  <c:v>-5.3801289179695626</c:v>
                </c:pt>
                <c:pt idx="2">
                  <c:v>-8.5158070576137561</c:v>
                </c:pt>
                <c:pt idx="3">
                  <c:v>-10.223860686852893</c:v>
                </c:pt>
                <c:pt idx="4">
                  <c:v>-11.094509807789866</c:v>
                </c:pt>
                <c:pt idx="5">
                  <c:v>-11.475524753898025</c:v>
                </c:pt>
                <c:pt idx="6">
                  <c:v>-11.568720104277974</c:v>
                </c:pt>
                <c:pt idx="7">
                  <c:v>-11.493225471663449</c:v>
                </c:pt>
                <c:pt idx="8">
                  <c:v>-11.32127434888549</c:v>
                </c:pt>
                <c:pt idx="9">
                  <c:v>-11.097882082535405</c:v>
                </c:pt>
                <c:pt idx="10">
                  <c:v>-10.851638824906152</c:v>
                </c:pt>
                <c:pt idx="11">
                  <c:v>-10.600740286558963</c:v>
                </c:pt>
                <c:pt idx="12">
                  <c:v>-10.356499976304557</c:v>
                </c:pt>
                <c:pt idx="13">
                  <c:v>-10.125519507063697</c:v>
                </c:pt>
                <c:pt idx="14">
                  <c:v>-9.9111172476607621</c:v>
                </c:pt>
                <c:pt idx="15">
                  <c:v>-9.7143211291624176</c:v>
                </c:pt>
                <c:pt idx="16">
                  <c:v>-9.5345863206368282</c:v>
                </c:pt>
                <c:pt idx="17">
                  <c:v>-9.3703281022889158</c:v>
                </c:pt>
                <c:pt idx="18">
                  <c:v>-9.2193244675052632</c:v>
                </c:pt>
                <c:pt idx="19">
                  <c:v>-9.079024123631541</c:v>
                </c:pt>
                <c:pt idx="20">
                  <c:v>-8.9467830258568526</c:v>
                </c:pt>
                <c:pt idx="21">
                  <c:v>-8.8200445837770651</c:v>
                </c:pt>
                <c:pt idx="22">
                  <c:v>-8.6964734884633863</c:v>
                </c:pt>
                <c:pt idx="23">
                  <c:v>-8.5740491997382655</c:v>
                </c:pt>
                <c:pt idx="24">
                  <c:v>-8.4511238114807981</c:v>
                </c:pt>
                <c:pt idx="25">
                  <c:v>-8.3264477570384354</c:v>
                </c:pt>
                <c:pt idx="26">
                  <c:v>-8.1991675034857501</c:v>
                </c:pt>
                <c:pt idx="27">
                  <c:v>-8.0687998528641725</c:v>
                </c:pt>
                <c:pt idx="28">
                  <c:v>-7.9351881962710147</c:v>
                </c:pt>
                <c:pt idx="29">
                  <c:v>-7.7984466108389157</c:v>
                </c:pt>
                <c:pt idx="30">
                  <c:v>-7.6588981346137448</c:v>
                </c:pt>
                <c:pt idx="31">
                  <c:v>-7.5170130146209875</c:v>
                </c:pt>
                <c:pt idx="32">
                  <c:v>-7.373351771953562</c:v>
                </c:pt>
                <c:pt idx="33">
                  <c:v>-7.228517074359031</c:v>
                </c:pt>
                <c:pt idx="34">
                  <c:v>-7.0831165593603469</c:v>
                </c:pt>
                <c:pt idx="35">
                  <c:v>-6.93773716720818</c:v>
                </c:pt>
                <c:pt idx="36">
                  <c:v>-6.7929302306925958</c:v>
                </c:pt>
                <c:pt idx="37">
                  <c:v>-6.6492054618726426</c:v>
                </c:pt>
                <c:pt idx="38">
                  <c:v>-6.507031320910583</c:v>
                </c:pt>
                <c:pt idx="39">
                  <c:v>-6.3668388029423317</c:v>
                </c:pt>
                <c:pt idx="40">
                  <c:v>-6.2290265538618383</c:v>
                </c:pt>
                <c:pt idx="41">
                  <c:v>-6.0939650622753305</c:v>
                </c:pt>
                <c:pt idx="42">
                  <c:v>-5.9619989342142858</c:v>
                </c:pt>
                <c:pt idx="43">
                  <c:v>-5.8334466466302137</c:v>
                </c:pt>
                <c:pt idx="44">
                  <c:v>-5.7085979388972641</c:v>
                </c:pt>
                <c:pt idx="45">
                  <c:v>-5.5877093811558591</c:v>
                </c:pt>
                <c:pt idx="46">
                  <c:v>-5.4709990274803282</c:v>
                </c:pt>
                <c:pt idx="47">
                  <c:v>-5.3586407145620463</c:v>
                </c:pt>
                <c:pt idx="48">
                  <c:v>-5.2507595575960302</c:v>
                </c:pt>
                <c:pt idx="49">
                  <c:v>-5.147427884096456</c:v>
                </c:pt>
                <c:pt idx="50">
                  <c:v>-5.0486636645646126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83-4862-9817-881AB6ED820F}"/>
            </c:ext>
          </c:extLst>
        </c:ser>
        <c:ser>
          <c:idx val="19"/>
          <c:order val="19"/>
          <c:tx>
            <c:strRef>
              <c:f>Table_Dynam_EMS!$V$7</c:f>
              <c:strCache>
                <c:ptCount val="1"/>
                <c:pt idx="0">
                  <c:v>HF_HE_SSC_PC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Table_Dynam_EMS!$V$8:$V$58</c:f>
              <c:numCache>
                <c:formatCode>0.00000000</c:formatCode>
                <c:ptCount val="51"/>
                <c:pt idx="0">
                  <c:v>0</c:v>
                </c:pt>
                <c:pt idx="1">
                  <c:v>-5.4403858646526748</c:v>
                </c:pt>
                <c:pt idx="2">
                  <c:v>-8.6890562482747402</c:v>
                </c:pt>
                <c:pt idx="3">
                  <c:v>-10.56309580819793</c:v>
                </c:pt>
                <c:pt idx="4">
                  <c:v>-11.655434835006151</c:v>
                </c:pt>
                <c:pt idx="5">
                  <c:v>-12.313591007493784</c:v>
                </c:pt>
                <c:pt idx="6">
                  <c:v>-12.734503149577158</c:v>
                </c:pt>
                <c:pt idx="7">
                  <c:v>-13.027911364421429</c:v>
                </c:pt>
                <c:pt idx="8">
                  <c:v>-13.25289391758615</c:v>
                </c:pt>
                <c:pt idx="9">
                  <c:v>-13.438533302473965</c:v>
                </c:pt>
                <c:pt idx="10">
                  <c:v>-13.595838117689052</c:v>
                </c:pt>
                <c:pt idx="11">
                  <c:v>-13.725005323466434</c:v>
                </c:pt>
                <c:pt idx="12">
                  <c:v>-13.820202406918092</c:v>
                </c:pt>
                <c:pt idx="13">
                  <c:v>-13.872947955231197</c:v>
                </c:pt>
                <c:pt idx="14">
                  <c:v>-13.874584532969781</c:v>
                </c:pt>
                <c:pt idx="15">
                  <c:v>-13.818056019858249</c:v>
                </c:pt>
                <c:pt idx="16">
                  <c:v>-13.699088241078361</c:v>
                </c:pt>
                <c:pt idx="17">
                  <c:v>-13.516836555383637</c:v>
                </c:pt>
                <c:pt idx="18">
                  <c:v>-13.274064445884537</c:v>
                </c:pt>
                <c:pt idx="19">
                  <c:v>-12.976928560236711</c:v>
                </c:pt>
                <c:pt idx="20">
                  <c:v>-12.634456923583304</c:v>
                </c:pt>
                <c:pt idx="21">
                  <c:v>-12.257814758269237</c:v>
                </c:pt>
                <c:pt idx="22">
                  <c:v>-11.859451803897414</c:v>
                </c:pt>
                <c:pt idx="23">
                  <c:v>-11.452218835552685</c:v>
                </c:pt>
                <c:pt idx="24">
                  <c:v>-11.048528306529636</c:v>
                </c:pt>
                <c:pt idx="25">
                  <c:v>-10.659621343882186</c:v>
                </c:pt>
                <c:pt idx="26">
                  <c:v>-10.29498552585143</c:v>
                </c:pt>
                <c:pt idx="27">
                  <c:v>-9.9619536380328064</c:v>
                </c:pt>
                <c:pt idx="28">
                  <c:v>-9.6654943262777238</c:v>
                </c:pt>
                <c:pt idx="29">
                  <c:v>-9.4081875468871363</c:v>
                </c:pt>
                <c:pt idx="30">
                  <c:v>-9.1903606442813253</c:v>
                </c:pt>
                <c:pt idx="31">
                  <c:v>-9.0103484507676583</c:v>
                </c:pt>
                <c:pt idx="32">
                  <c:v>-8.8648356333436933</c:v>
                </c:pt>
                <c:pt idx="33">
                  <c:v>-8.749239401637265</c:v>
                </c:pt>
                <c:pt idx="34">
                  <c:v>-8.6581001773673893</c:v>
                </c:pt>
                <c:pt idx="35">
                  <c:v>-8.58545455090659</c:v>
                </c:pt>
                <c:pt idx="36">
                  <c:v>-8.5251777135906934</c:v>
                </c:pt>
                <c:pt idx="37">
                  <c:v>-8.4712872918174416</c:v>
                </c:pt>
                <c:pt idx="38">
                  <c:v>-8.4182073444311492</c:v>
                </c:pt>
                <c:pt idx="39">
                  <c:v>-8.3609887884978917</c:v>
                </c:pt>
                <c:pt idx="40">
                  <c:v>-8.2954857322079416</c:v>
                </c:pt>
                <c:pt idx="41">
                  <c:v>-8.2184846968230367</c:v>
                </c:pt>
                <c:pt idx="42">
                  <c:v>-8.1277819389487647</c:v>
                </c:pt>
                <c:pt idx="43">
                  <c:v>-8.0222086644024078</c:v>
                </c:pt>
                <c:pt idx="44">
                  <c:v>-7.9016022342171084</c:v>
                </c:pt>
                <c:pt idx="45">
                  <c:v>-7.7667278893720386</c:v>
                </c:pt>
                <c:pt idx="46">
                  <c:v>-7.6191558556682804</c:v>
                </c:pt>
                <c:pt idx="47">
                  <c:v>-7.4611037922276076</c:v>
                </c:pt>
                <c:pt idx="48">
                  <c:v>-7.2952553500453483</c:v>
                </c:pt>
                <c:pt idx="49">
                  <c:v>-7.1245682572898321</c:v>
                </c:pt>
                <c:pt idx="50">
                  <c:v>-6.9520832105409163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183-4862-9817-881AB6ED820F}"/>
            </c:ext>
          </c:extLst>
        </c:ser>
        <c:ser>
          <c:idx val="20"/>
          <c:order val="20"/>
          <c:tx>
            <c:strRef>
              <c:f>Table_Dynam_EMS!$W$7</c:f>
              <c:strCache>
                <c:ptCount val="1"/>
                <c:pt idx="0">
                  <c:v>LF_LE_SSC_PC-TVN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Table_Dynam_EMS!$W$8:$W$58</c:f>
              <c:numCache>
                <c:formatCode>0.00000000</c:formatCode>
                <c:ptCount val="51"/>
                <c:pt idx="0">
                  <c:v>0</c:v>
                </c:pt>
                <c:pt idx="1">
                  <c:v>-1.2600491113287871</c:v>
                </c:pt>
                <c:pt idx="2">
                  <c:v>-2.0613670653592431</c:v>
                </c:pt>
                <c:pt idx="3">
                  <c:v>-2.5299812976706693</c:v>
                </c:pt>
                <c:pt idx="4">
                  <c:v>-2.7999136862463136</c:v>
                </c:pt>
                <c:pt idx="5">
                  <c:v>-2.9542568665491542</c:v>
                </c:pt>
                <c:pt idx="6">
                  <c:v>-3.0395328593395776</c:v>
                </c:pt>
                <c:pt idx="7">
                  <c:v>-3.0814064533051466</c:v>
                </c:pt>
                <c:pt idx="8">
                  <c:v>-3.0945465043906495</c:v>
                </c:pt>
                <c:pt idx="9">
                  <c:v>-3.0879901094134299</c:v>
                </c:pt>
                <c:pt idx="10">
                  <c:v>-3.0678370189315629</c:v>
                </c:pt>
                <c:pt idx="11">
                  <c:v>-3.0385187566564387</c:v>
                </c:pt>
                <c:pt idx="12">
                  <c:v>-3.0033672811204615</c:v>
                </c:pt>
                <c:pt idx="13">
                  <c:v>-2.9648720152185226</c:v>
                </c:pt>
                <c:pt idx="14">
                  <c:v>-2.9248197289522215</c:v>
                </c:pt>
                <c:pt idx="15">
                  <c:v>-2.8844042762450672</c:v>
                </c:pt>
                <c:pt idx="16">
                  <c:v>-2.8443361544716383</c:v>
                </c:pt>
                <c:pt idx="17">
                  <c:v>-2.8049561816172019</c:v>
                </c:pt>
                <c:pt idx="18">
                  <c:v>-2.7663450202757733</c:v>
                </c:pt>
                <c:pt idx="19">
                  <c:v>-2.728420966545031</c:v>
                </c:pt>
                <c:pt idx="20">
                  <c:v>-2.6910190599739536</c:v>
                </c:pt>
                <c:pt idx="21">
                  <c:v>-2.6539496128943352</c:v>
                </c:pt>
                <c:pt idx="22">
                  <c:v>-2.617036565270936</c:v>
                </c:pt>
                <c:pt idx="23">
                  <c:v>-2.5801391039980914</c:v>
                </c:pt>
                <c:pt idx="24">
                  <c:v>-2.5431601837307083</c:v>
                </c:pt>
                <c:pt idx="25">
                  <c:v>-2.5060462928801042</c:v>
                </c:pt>
                <c:pt idx="26">
                  <c:v>-2.4687819580436976</c:v>
                </c:pt>
                <c:pt idx="27">
                  <c:v>-2.431381774487773</c:v>
                </c:pt>
                <c:pt idx="28">
                  <c:v>-2.3938820920075821</c:v>
                </c:pt>
                <c:pt idx="29">
                  <c:v>-2.3563332294463168</c:v>
                </c:pt>
                <c:pt idx="30">
                  <c:v>-2.3187932295603897</c:v>
                </c:pt>
                <c:pt idx="31">
                  <c:v>-2.2813229728860462</c:v>
                </c:pt>
                <c:pt idx="32">
                  <c:v>-2.2439828572522802</c:v>
                </c:pt>
                <c:pt idx="33">
                  <c:v>-2.2068305932468224</c:v>
                </c:pt>
                <c:pt idx="34">
                  <c:v>-2.16991991493245</c:v>
                </c:pt>
                <c:pt idx="35">
                  <c:v>-2.1332999185238899</c:v>
                </c:pt>
                <c:pt idx="36">
                  <c:v>-2.0970147926986482</c:v>
                </c:pt>
                <c:pt idx="37">
                  <c:v>-2.0611036674798466</c:v>
                </c:pt>
                <c:pt idx="38">
                  <c:v>-2.0256006730570375</c:v>
                </c:pt>
                <c:pt idx="39">
                  <c:v>-1.990534922247944</c:v>
                </c:pt>
                <c:pt idx="40">
                  <c:v>-1.9559305776090552</c:v>
                </c:pt>
                <c:pt idx="41">
                  <c:v>-1.9218068736905902</c:v>
                </c:pt>
                <c:pt idx="42">
                  <c:v>-1.8881782942782865</c:v>
                </c:pt>
                <c:pt idx="43">
                  <c:v>-1.8550546228002118</c:v>
                </c:pt>
                <c:pt idx="44">
                  <c:v>-1.8224416592381831</c:v>
                </c:pt>
                <c:pt idx="45">
                  <c:v>-1.7903406160012625</c:v>
                </c:pt>
                <c:pt idx="46">
                  <c:v>-1.7587497049387668</c:v>
                </c:pt>
                <c:pt idx="47">
                  <c:v>-1.7276640305063151</c:v>
                </c:pt>
                <c:pt idx="48">
                  <c:v>-1.6970761986518479</c:v>
                </c:pt>
                <c:pt idx="49">
                  <c:v>-1.6669765565132333</c:v>
                </c:pt>
                <c:pt idx="50">
                  <c:v>-1.6373546149296314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83-4862-9817-881AB6ED820F}"/>
            </c:ext>
          </c:extLst>
        </c:ser>
        <c:ser>
          <c:idx val="21"/>
          <c:order val="21"/>
          <c:tx>
            <c:strRef>
              <c:f>Table_Dynam_EMS!$X$7</c:f>
              <c:strCache>
                <c:ptCount val="1"/>
                <c:pt idx="0">
                  <c:v>LF_HE_SSC_PC-TVN</c:v>
                </c:pt>
              </c:strCache>
            </c:strRef>
          </c:tx>
          <c:spPr>
            <a:ln w="19050" cap="rnd">
              <a:solidFill>
                <a:srgbClr val="D883FF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Table_Dynam_EMS!$X$8:$X$58</c:f>
              <c:numCache>
                <c:formatCode>0.00000000</c:formatCode>
                <c:ptCount val="51"/>
                <c:pt idx="0">
                  <c:v>0</c:v>
                </c:pt>
                <c:pt idx="1">
                  <c:v>-1.3095808318201674</c:v>
                </c:pt>
                <c:pt idx="2">
                  <c:v>-2.1852424634165146</c:v>
                </c:pt>
                <c:pt idx="3">
                  <c:v>-2.7370280331425523</c:v>
                </c:pt>
                <c:pt idx="4">
                  <c:v>-3.0908481692667467</c:v>
                </c:pt>
                <c:pt idx="5">
                  <c:v>-3.3252402533297643</c:v>
                </c:pt>
                <c:pt idx="6">
                  <c:v>-3.4835664955514822</c:v>
                </c:pt>
                <c:pt idx="7">
                  <c:v>-3.5889556875852713</c:v>
                </c:pt>
                <c:pt idx="8">
                  <c:v>-3.6539854872802868</c:v>
                </c:pt>
                <c:pt idx="9">
                  <c:v>-3.6860783711567424</c:v>
                </c:pt>
                <c:pt idx="10">
                  <c:v>-3.6902900323068089</c:v>
                </c:pt>
                <c:pt idx="11">
                  <c:v>-3.6706750442401792</c:v>
                </c:pt>
                <c:pt idx="12">
                  <c:v>-3.6309194674000511</c:v>
                </c:pt>
                <c:pt idx="13">
                  <c:v>-3.5746036645328938</c:v>
                </c:pt>
                <c:pt idx="14">
                  <c:v>-3.5052759821033286</c:v>
                </c:pt>
                <c:pt idx="15">
                  <c:v>-3.4264251454356187</c:v>
                </c:pt>
                <c:pt idx="16">
                  <c:v>-3.3413994641820155</c:v>
                </c:pt>
                <c:pt idx="17">
                  <c:v>-3.2533028087661786</c:v>
                </c:pt>
                <c:pt idx="18">
                  <c:v>-3.1648909445230577</c:v>
                </c:pt>
                <c:pt idx="19">
                  <c:v>-3.0784849562825012</c:v>
                </c:pt>
                <c:pt idx="20">
                  <c:v>-2.9959135713741647</c:v>
                </c:pt>
                <c:pt idx="21">
                  <c:v>-2.9184898227663125</c:v>
                </c:pt>
                <c:pt idx="22">
                  <c:v>-2.8470219962590915</c:v>
                </c:pt>
                <c:pt idx="23">
                  <c:v>-2.7818547652498693</c:v>
                </c:pt>
                <c:pt idx="24">
                  <c:v>-2.7229334293531915</c:v>
                </c:pt>
                <c:pt idx="25">
                  <c:v>-2.6698828899081595</c:v>
                </c:pt>
                <c:pt idx="26">
                  <c:v>-2.6220927404336236</c:v>
                </c:pt>
                <c:pt idx="27">
                  <c:v>-2.5788012334654553</c:v>
                </c:pt>
                <c:pt idx="28">
                  <c:v>-2.5391715405245652</c:v>
                </c:pt>
                <c:pt idx="29">
                  <c:v>-2.5023572629973678</c:v>
                </c:pt>
                <c:pt idx="30">
                  <c:v>-2.4675540687158937</c:v>
                </c:pt>
                <c:pt idx="31">
                  <c:v>-2.4340373571244189</c:v>
                </c:pt>
                <c:pt idx="32">
                  <c:v>-2.4011876443272961</c:v>
                </c:pt>
                <c:pt idx="33">
                  <c:v>-2.3685031180457505</c:v>
                </c:pt>
                <c:pt idx="34">
                  <c:v>-2.3356043419125228</c:v>
                </c:pt>
                <c:pt idx="35">
                  <c:v>-2.3022308333423114</c:v>
                </c:pt>
                <c:pt idx="36">
                  <c:v>-2.2682314542527005</c:v>
                </c:pt>
                <c:pt idx="37">
                  <c:v>-2.2335526679372109</c:v>
                </c:pt>
                <c:pt idx="38">
                  <c:v>-2.1982222814224017</c:v>
                </c:pt>
                <c:pt idx="39">
                  <c:v>-2.1623343210417589</c:v>
                </c:pt>
                <c:pt idx="40">
                  <c:v>-2.1260307131267031</c:v>
                </c:pt>
                <c:pt idx="41">
                  <c:v>-2.0894858513949677</c:v>
                </c:pt>
                <c:pt idx="42">
                  <c:v>-2.0528906825272975</c:v>
                </c:pt>
                <c:pt idx="43">
                  <c:v>-2.0164388669600353</c:v>
                </c:pt>
                <c:pt idx="44">
                  <c:v>-1.9803150026846628</c:v>
                </c:pt>
                <c:pt idx="45">
                  <c:v>-1.9446852208499843</c:v>
                </c:pt>
                <c:pt idx="46">
                  <c:v>-1.9096900363420377</c:v>
                </c:pt>
                <c:pt idx="47">
                  <c:v>-1.8754402761551603</c:v>
                </c:pt>
                <c:pt idx="48">
                  <c:v>-1.8420144879940481</c:v>
                </c:pt>
                <c:pt idx="49">
                  <c:v>-1.8094594293961874</c:v>
                </c:pt>
                <c:pt idx="50">
                  <c:v>-1.7777919134553621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183-4862-9817-881AB6ED820F}"/>
            </c:ext>
          </c:extLst>
        </c:ser>
        <c:ser>
          <c:idx val="22"/>
          <c:order val="22"/>
          <c:tx>
            <c:strRef>
              <c:f>Table_Dynam_EMS!$Y$7</c:f>
              <c:strCache>
                <c:ptCount val="1"/>
                <c:pt idx="0">
                  <c:v>HF_LE_SSC_PC-TVN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Table_Dynam_EMS!$Y$8:$Y$58</c:f>
              <c:numCache>
                <c:formatCode>0.00000000</c:formatCode>
                <c:ptCount val="51"/>
                <c:pt idx="0">
                  <c:v>0</c:v>
                </c:pt>
                <c:pt idx="1">
                  <c:v>-5.3818534742874675</c:v>
                </c:pt>
                <c:pt idx="2">
                  <c:v>-8.5231241060869767</c:v>
                </c:pt>
                <c:pt idx="3">
                  <c:v>-10.242386070500952</c:v>
                </c:pt>
                <c:pt idx="4">
                  <c:v>-11.130843015065384</c:v>
                </c:pt>
                <c:pt idx="5">
                  <c:v>-11.536436854066491</c:v>
                </c:pt>
                <c:pt idx="6">
                  <c:v>-11.660480441498544</c:v>
                </c:pt>
                <c:pt idx="7">
                  <c:v>-11.621127500412653</c:v>
                </c:pt>
                <c:pt idx="8">
                  <c:v>-11.489343429472921</c:v>
                </c:pt>
                <c:pt idx="9">
                  <c:v>-11.308720842461584</c:v>
                </c:pt>
                <c:pt idx="10">
                  <c:v>-11.10637007889247</c:v>
                </c:pt>
                <c:pt idx="11">
                  <c:v>-10.899022729521812</c:v>
                </c:pt>
                <c:pt idx="12">
                  <c:v>-10.696605792524638</c:v>
                </c:pt>
                <c:pt idx="13">
                  <c:v>-10.504470228664831</c:v>
                </c:pt>
                <c:pt idx="14">
                  <c:v>-10.324873767838294</c:v>
                </c:pt>
                <c:pt idx="15">
                  <c:v>-10.158019975849831</c:v>
                </c:pt>
                <c:pt idx="16">
                  <c:v>-10.002808583957057</c:v>
                </c:pt>
                <c:pt idx="17">
                  <c:v>-9.8573831414071282</c:v>
                </c:pt>
                <c:pt idx="18">
                  <c:v>-9.7195283293041506</c:v>
                </c:pt>
                <c:pt idx="19">
                  <c:v>-9.5869535295960535</c:v>
                </c:pt>
                <c:pt idx="20">
                  <c:v>-9.4574888882120955</c:v>
                </c:pt>
                <c:pt idx="21">
                  <c:v>-9.3292140665789507</c:v>
                </c:pt>
                <c:pt idx="22">
                  <c:v>-9.2005351335010861</c:v>
                </c:pt>
                <c:pt idx="23">
                  <c:v>-9.0702211470783727</c:v>
                </c:pt>
                <c:pt idx="24">
                  <c:v>-8.9374098998384994</c:v>
                </c:pt>
                <c:pt idx="25">
                  <c:v>-8.801589691157762</c:v>
                </c:pt>
                <c:pt idx="26">
                  <c:v>-8.662563781291011</c:v>
                </c:pt>
                <c:pt idx="27">
                  <c:v>-8.5204025262730845</c:v>
                </c:pt>
                <c:pt idx="28">
                  <c:v>-8.3753886565580586</c:v>
                </c:pt>
                <c:pt idx="29">
                  <c:v>-8.227960074555785</c:v>
                </c:pt>
                <c:pt idx="30">
                  <c:v>-8.0786547090714311</c:v>
                </c:pt>
                <c:pt idx="31">
                  <c:v>-7.9280608603632281</c:v>
                </c:pt>
                <c:pt idx="32">
                  <c:v>-7.7767759676177217</c:v>
                </c:pt>
                <c:pt idx="33">
                  <c:v>-7.6253751384801838</c:v>
                </c:pt>
                <c:pt idx="34">
                  <c:v>-7.4743903478435403</c:v>
                </c:pt>
                <c:pt idx="35">
                  <c:v>-7.3242991971369182</c:v>
                </c:pt>
                <c:pt idx="36">
                  <c:v>-7.1755220333264873</c:v>
                </c:pt>
                <c:pt idx="37">
                  <c:v>-7.0284251660015284</c:v>
                </c:pt>
                <c:pt idx="38">
                  <c:v>-6.8833276849580072</c:v>
                </c:pt>
                <c:pt idx="39">
                  <c:v>-6.7405097568050021</c:v>
                </c:pt>
                <c:pt idx="40">
                  <c:v>-6.6002203845484715</c:v>
                </c:pt>
                <c:pt idx="41">
                  <c:v>-6.4626833592351218</c:v>
                </c:pt>
                <c:pt idx="42">
                  <c:v>-6.3281006246838745</c:v>
                </c:pt>
                <c:pt idx="43">
                  <c:v>-6.1966532050442673</c:v>
                </c:pt>
                <c:pt idx="44">
                  <c:v>-6.0684996711185875</c:v>
                </c:pt>
                <c:pt idx="45">
                  <c:v>-5.9437732769392904</c:v>
                </c:pt>
                <c:pt idx="46">
                  <c:v>-5.8225781396326166</c:v>
                </c:pt>
                <c:pt idx="47">
                  <c:v>-5.7049856734488369</c:v>
                </c:pt>
                <c:pt idx="48">
                  <c:v>-5.5910315306485607</c:v>
                </c:pt>
                <c:pt idx="49">
                  <c:v>-5.4807139169945724</c:v>
                </c:pt>
                <c:pt idx="50">
                  <c:v>-5.3739932598489411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183-4862-9817-881AB6ED820F}"/>
            </c:ext>
          </c:extLst>
        </c:ser>
        <c:ser>
          <c:idx val="23"/>
          <c:order val="23"/>
          <c:tx>
            <c:strRef>
              <c:f>Table_Dynam_EMS!$Z$7</c:f>
              <c:strCache>
                <c:ptCount val="1"/>
                <c:pt idx="0">
                  <c:v>HF_HE_SSC_PC-TVN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Table_Dynam_EMS!$B$8:$B$58</c:f>
              <c:numCache>
                <c:formatCode>yyyy</c:formatCode>
                <c:ptCount val="51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  <c:pt idx="25">
                  <c:v>45658</c:v>
                </c:pt>
                <c:pt idx="26">
                  <c:v>46023</c:v>
                </c:pt>
                <c:pt idx="27">
                  <c:v>46388</c:v>
                </c:pt>
                <c:pt idx="28">
                  <c:v>46753</c:v>
                </c:pt>
                <c:pt idx="29">
                  <c:v>47119</c:v>
                </c:pt>
                <c:pt idx="30">
                  <c:v>47484</c:v>
                </c:pt>
                <c:pt idx="31">
                  <c:v>47849</c:v>
                </c:pt>
                <c:pt idx="32">
                  <c:v>48214</c:v>
                </c:pt>
                <c:pt idx="33">
                  <c:v>48580</c:v>
                </c:pt>
                <c:pt idx="34">
                  <c:v>48945</c:v>
                </c:pt>
                <c:pt idx="35">
                  <c:v>49310</c:v>
                </c:pt>
                <c:pt idx="36">
                  <c:v>49675</c:v>
                </c:pt>
                <c:pt idx="37">
                  <c:v>50041</c:v>
                </c:pt>
                <c:pt idx="38">
                  <c:v>50406</c:v>
                </c:pt>
                <c:pt idx="39">
                  <c:v>50771</c:v>
                </c:pt>
                <c:pt idx="40">
                  <c:v>51136</c:v>
                </c:pt>
                <c:pt idx="41">
                  <c:v>51502</c:v>
                </c:pt>
                <c:pt idx="42">
                  <c:v>51867</c:v>
                </c:pt>
                <c:pt idx="43">
                  <c:v>52232</c:v>
                </c:pt>
                <c:pt idx="44">
                  <c:v>52597</c:v>
                </c:pt>
                <c:pt idx="45">
                  <c:v>52963</c:v>
                </c:pt>
                <c:pt idx="46">
                  <c:v>53328</c:v>
                </c:pt>
                <c:pt idx="47">
                  <c:v>53693</c:v>
                </c:pt>
                <c:pt idx="48">
                  <c:v>54058</c:v>
                </c:pt>
                <c:pt idx="49">
                  <c:v>54424</c:v>
                </c:pt>
                <c:pt idx="50">
                  <c:v>54789</c:v>
                </c:pt>
              </c:numCache>
            </c:numRef>
          </c:cat>
          <c:val>
            <c:numRef>
              <c:f>Table_Dynam_EMS!$Z$8:$Z$58</c:f>
              <c:numCache>
                <c:formatCode>0.00000000</c:formatCode>
                <c:ptCount val="51"/>
                <c:pt idx="0">
                  <c:v>0</c:v>
                </c:pt>
                <c:pt idx="1">
                  <c:v>-5.4416065249545227</c:v>
                </c:pt>
                <c:pt idx="2">
                  <c:v>-8.6935721316829362</c:v>
                </c:pt>
                <c:pt idx="3">
                  <c:v>-10.572722869801277</c:v>
                </c:pt>
                <c:pt idx="4">
                  <c:v>-11.67050131245313</c:v>
                </c:pt>
                <c:pt idx="5">
                  <c:v>-12.332112886833235</c:v>
                </c:pt>
                <c:pt idx="6">
                  <c:v>-12.752033481328095</c:v>
                </c:pt>
                <c:pt idx="7">
                  <c:v>-13.038094950606427</c:v>
                </c:pt>
                <c:pt idx="8">
                  <c:v>-13.248579970319396</c:v>
                </c:pt>
                <c:pt idx="9">
                  <c:v>-13.413197664734167</c:v>
                </c:pt>
                <c:pt idx="10">
                  <c:v>-13.545036209141269</c:v>
                </c:pt>
                <c:pt idx="11">
                  <c:v>-13.647601037190638</c:v>
                </c:pt>
                <c:pt idx="12">
                  <c:v>-13.719180700960843</c:v>
                </c:pt>
                <c:pt idx="13">
                  <c:v>-13.75570087875284</c:v>
                </c:pt>
                <c:pt idx="14">
                  <c:v>-13.752645364579209</c:v>
                </c:pt>
                <c:pt idx="15">
                  <c:v>-13.706331562694507</c:v>
                </c:pt>
                <c:pt idx="16">
                  <c:v>-13.614695123962973</c:v>
                </c:pt>
                <c:pt idx="17">
                  <c:v>-13.477683251215621</c:v>
                </c:pt>
                <c:pt idx="18">
                  <c:v>-13.297334609657408</c:v>
                </c:pt>
                <c:pt idx="19">
                  <c:v>-13.077617272293708</c:v>
                </c:pt>
                <c:pt idx="20">
                  <c:v>-12.824092582631398</c:v>
                </c:pt>
                <c:pt idx="21">
                  <c:v>-12.543469410489649</c:v>
                </c:pt>
                <c:pt idx="22">
                  <c:v>-12.243108280375703</c:v>
                </c:pt>
                <c:pt idx="23">
                  <c:v>-11.930527259065848</c:v>
                </c:pt>
                <c:pt idx="24">
                  <c:v>-11.612952110937069</c:v>
                </c:pt>
                <c:pt idx="25">
                  <c:v>-11.296942253280751</c:v>
                </c:pt>
                <c:pt idx="26">
                  <c:v>-10.988111437540383</c:v>
                </c:pt>
                <c:pt idx="27">
                  <c:v>-10.690951223958734</c:v>
                </c:pt>
                <c:pt idx="28">
                  <c:v>-10.408755210686349</c:v>
                </c:pt>
                <c:pt idx="29">
                  <c:v>-10.143633639213977</c:v>
                </c:pt>
                <c:pt idx="30">
                  <c:v>-9.8966015407275005</c:v>
                </c:pt>
                <c:pt idx="31">
                  <c:v>-9.6677220487186961</c:v>
                </c:pt>
                <c:pt idx="32">
                  <c:v>-9.4562835756055499</c:v>
                </c:pt>
                <c:pt idx="33">
                  <c:v>-9.2609906087141027</c:v>
                </c:pt>
                <c:pt idx="34">
                  <c:v>-9.0801536098977227</c:v>
                </c:pt>
                <c:pt idx="35">
                  <c:v>-8.9118626476198841</c:v>
                </c:pt>
                <c:pt idx="36">
                  <c:v>-8.754137352098013</c:v>
                </c:pt>
                <c:pt idx="37">
                  <c:v>-8.6050464502891444</c:v>
                </c:pt>
                <c:pt idx="38">
                  <c:v>-8.4627985510128951</c:v>
                </c:pt>
                <c:pt idx="39">
                  <c:v>-8.3258017200346082</c:v>
                </c:pt>
                <c:pt idx="40">
                  <c:v>-8.1926986124128085</c:v>
                </c:pt>
                <c:pt idx="41">
                  <c:v>-8.0623787274953003</c:v>
                </c:pt>
                <c:pt idx="42">
                  <c:v>-7.9339747908461984</c:v>
                </c:pt>
                <c:pt idx="43">
                  <c:v>-7.8068466600459629</c:v>
                </c:pt>
                <c:pt idx="44">
                  <c:v>-7.6805564809603766</c:v>
                </c:pt>
                <c:pt idx="45">
                  <c:v>-7.5548403630027128</c:v>
                </c:pt>
                <c:pt idx="46">
                  <c:v>-7.4295774200330511</c:v>
                </c:pt>
                <c:pt idx="47">
                  <c:v>-7.3047596526721215</c:v>
                </c:pt>
                <c:pt idx="48">
                  <c:v>-7.180463115431424</c:v>
                </c:pt>
                <c:pt idx="49">
                  <c:v>-7.0568228795882533</c:v>
                </c:pt>
                <c:pt idx="50">
                  <c:v>-6.9340098054792021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183-4862-9817-881AB6ED8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105103"/>
        <c:axId val="509111727"/>
      </c:lineChart>
      <c:dateAx>
        <c:axId val="509105103"/>
        <c:scaling>
          <c:orientation val="minMax"/>
        </c:scaling>
        <c:delete val="0"/>
        <c:axPos val="b"/>
        <c:numFmt formatCode="yyyy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9111727"/>
        <c:crosses val="autoZero"/>
        <c:auto val="1"/>
        <c:lblOffset val="100"/>
        <c:baseTimeUnit val="years"/>
        <c:majorUnit val="10"/>
      </c:dateAx>
      <c:valAx>
        <c:axId val="5091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chemeClr val="tx1"/>
                    </a:solidFill>
                  </a:rPr>
                  <a:t>% deviation from</a:t>
                </a:r>
                <a:r>
                  <a:rPr lang="fr-FR" sz="1200" baseline="0">
                    <a:solidFill>
                      <a:schemeClr val="tx1"/>
                    </a:solidFill>
                  </a:rPr>
                  <a:t> baseline scenario </a:t>
                </a:r>
                <a:endParaRPr lang="fr-FR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910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087228-14A1-8E45-8CCE-629CC5525861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513352-E61F-4601-A60A-AE48BB4F32A6}">
  <sheetPr/>
  <sheetViews>
    <sheetView zoomScale="5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12</xdr:row>
      <xdr:rowOff>57149</xdr:rowOff>
    </xdr:from>
    <xdr:to>
      <xdr:col>9</xdr:col>
      <xdr:colOff>238125</xdr:colOff>
      <xdr:row>36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38099</xdr:rowOff>
    </xdr:from>
    <xdr:to>
      <xdr:col>7</xdr:col>
      <xdr:colOff>742950</xdr:colOff>
      <xdr:row>27</xdr:row>
      <xdr:rowOff>123824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752474</xdr:colOff>
      <xdr:row>9</xdr:row>
      <xdr:rowOff>19049</xdr:rowOff>
    </xdr:from>
    <xdr:to>
      <xdr:col>7</xdr:col>
      <xdr:colOff>742949</xdr:colOff>
      <xdr:row>27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8</xdr:row>
      <xdr:rowOff>180974</xdr:rowOff>
    </xdr:from>
    <xdr:to>
      <xdr:col>7</xdr:col>
      <xdr:colOff>742950</xdr:colOff>
      <xdr:row>26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</xdr:row>
      <xdr:rowOff>171450</xdr:rowOff>
    </xdr:from>
    <xdr:to>
      <xdr:col>7</xdr:col>
      <xdr:colOff>752475</xdr:colOff>
      <xdr:row>26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D3EF69-6011-B64C-B122-9C3E9B5062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EB60C0-17B6-F525-3764-FA77B33824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issela LANDA" id="{54E78137-4F81-4B66-93EF-6B6374DED3A3}" userId="S::gissela.landa@sciencespo.fr::c8bc271b-6cd4-4c63-a811-8b51f16348c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line" refreshedDate="43650.709881712966" createdVersion="6" refreshedVersion="6" minRefreshableVersion="3" recordCount="1224" xr:uid="{00000000-000A-0000-FFFF-FFFF00000000}">
  <cacheSource type="worksheet">
    <worksheetSource name="raw"/>
  </cacheSource>
  <cacheFields count="27">
    <cacheField name="_date_" numFmtId="164">
      <sharedItems containsSemiMixedTypes="0" containsNonDate="0" containsDate="1" containsString="0" minDate="2000-01-01T00:00:00" maxDate="2050-01-02T00:00:00" count="51">
        <d v="2000-01-01T00:00:00"/>
        <d v="2001-01-01T00:00:00"/>
        <d v="2002-01-01T00:00:00"/>
        <d v="2003-01-01T00:00:00"/>
        <d v="2004-01-01T00:00:00"/>
        <d v="2005-01-01T00:00:00"/>
        <d v="2006-01-01T00:00:00"/>
        <d v="2007-01-01T00:00:00"/>
        <d v="2008-01-01T00:00:00"/>
        <d v="2009-01-01T00:00:00"/>
        <d v="2010-01-01T00:00:00"/>
        <d v="2011-01-01T00:00:00"/>
        <d v="2012-01-01T00:00:00"/>
        <d v="2013-01-01T00:00:00"/>
        <d v="2014-01-01T00:00:00"/>
        <d v="2015-01-01T00:00:00"/>
        <d v="2016-01-01T00:00:00"/>
        <d v="2017-01-01T00:00:00"/>
        <d v="2018-01-01T00:00:00"/>
        <d v="2019-01-01T00:00:00"/>
        <d v="2020-01-01T00:00:00"/>
        <d v="2021-01-01T00:00:00"/>
        <d v="2022-01-01T00:00:00"/>
        <d v="2023-01-01T00:00:00"/>
        <d v="2024-01-01T00:00:00"/>
        <d v="2025-01-01T00:00:00"/>
        <d v="2026-01-01T00:00:00"/>
        <d v="2027-01-01T00:00:00"/>
        <d v="2028-01-01T00:00:00"/>
        <d v="2029-01-01T00:00:00"/>
        <d v="2030-01-01T00:00:00"/>
        <d v="2031-01-01T00:00:00"/>
        <d v="2032-01-01T00:00:00"/>
        <d v="2033-01-01T00:00:00"/>
        <d v="2034-01-01T00:00:00"/>
        <d v="2035-01-01T00:00:00"/>
        <d v="2036-01-01T00:00:00"/>
        <d v="2037-01-01T00:00:00"/>
        <d v="2038-01-01T00:00:00"/>
        <d v="2039-01-01T00:00:00"/>
        <d v="2040-01-01T00:00:00"/>
        <d v="2041-01-01T00:00:00"/>
        <d v="2042-01-01T00:00:00"/>
        <d v="2043-01-01T00:00:00"/>
        <d v="2044-01-01T00:00:00"/>
        <d v="2045-01-01T00:00:00"/>
        <d v="2046-01-01T00:00:00"/>
        <d v="2047-01-01T00:00:00"/>
        <d v="2048-01-01T00:00:00"/>
        <d v="2049-01-01T00:00:00"/>
        <d v="2050-01-01T00:00:00"/>
      </sharedItems>
      <fieldGroup par="26" base="0">
        <rangePr groupBy="months" startDate="2000-01-01T00:00:00" endDate="2050-01-02T00:00:00"/>
        <groupItems count="14">
          <s v="&lt;01/01/200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01/2050"/>
        </groupItems>
      </fieldGroup>
    </cacheField>
    <cacheField name="redis_ls" numFmtId="0">
      <sharedItems containsSemiMixedTypes="0" containsString="0" containsNumber="1" containsInteger="1" minValue="0" maxValue="1" count="2">
        <n v="1"/>
        <n v="0"/>
      </sharedItems>
    </cacheField>
    <cacheField name="wage_eq" numFmtId="0">
      <sharedItems containsSemiMixedTypes="0" containsString="0" containsNumber="1" containsInteger="1" minValue="0" maxValue="2" count="3">
        <n v="2"/>
        <n v="1"/>
        <n v="0"/>
      </sharedItems>
    </cacheField>
    <cacheField name="flex" numFmtId="0">
      <sharedItems containsSemiMixedTypes="0" containsString="0" containsNumber="1" containsInteger="1" minValue="0" maxValue="1" count="2">
        <n v="1"/>
        <n v="0"/>
      </sharedItems>
    </cacheField>
    <cacheField name="expo" numFmtId="0">
      <sharedItems containsSemiMixedTypes="0" containsString="0" containsNumber="1" containsInteger="1" minValue="0" maxValue="1" count="2">
        <n v="1"/>
        <n v="0"/>
      </sharedItems>
    </cacheField>
    <cacheField name="100*(gdp_1/gdp_0-1)" numFmtId="0">
      <sharedItems containsSemiMixedTypes="0" containsString="0" containsNumber="1" minValue="-0.53442367954046333" maxValue="1.0313415606533205" count="401">
        <n v="0"/>
        <n v="0.20855428839370305"/>
        <n v="0.36591284164433358"/>
        <n v="0.44062103689337384"/>
        <n v="0.43832995557873122"/>
        <n v="0.37584646015433876"/>
        <n v="0.27190223169175631"/>
        <n v="0.14354013046806724"/>
        <n v="5.2839893245337777E-3"/>
        <n v="-0.13065004829458937"/>
        <n v="-0.25401578983896833"/>
        <n v="-0.35639678557783938"/>
        <n v="-0.43128320605881898"/>
        <n v="-0.47426615086395563"/>
        <n v="-0.48323072821380153"/>
        <n v="-0.45845127835163479"/>
        <n v="-0.40252497264129383"/>
        <n v="-0.32012057366285207"/>
        <n v="-0.2175536100775477"/>
        <n v="-0.10223029230568281"/>
        <n v="1.7978532177709283E-2"/>
        <n v="0.1353645064373632"/>
        <n v="0.24294556350821228"/>
        <n v="0.33491968534378191"/>
        <n v="0.40697804719849184"/>
        <n v="0.45646796999849748"/>
        <n v="0.48240889817496857"/>
        <n v="0.48537734112754638"/>
        <n v="0.46728572344603148"/>
        <n v="0.43108719746596247"/>
        <n v="0.38044366326952517"/>
        <n v="0.3193923740310689"/>
        <n v="0.25204267302798566"/>
        <n v="0.18232436628471405"/>
        <n v="0.11379809133813534"/>
        <n v="4.9527655028969164E-2"/>
        <n v="-7.9937730546597585E-3"/>
        <n v="-5.6875508299369937E-2"/>
        <n v="-9.5831477019503453E-2"/>
        <n v="-0.12416194696170946"/>
        <n v="-0.14172066425233165"/>
        <n v="-0.14887033064983068"/>
        <n v="-0.14642564103972688"/>
        <n v="-0.13558379102391882"/>
        <n v="-0.11784292440915056"/>
        <n v="-9.4909288780953283E-2"/>
        <n v="-6.8597800773162465E-2"/>
        <n v="-4.0730806977229417E-2"/>
        <n v="-1.3040903051841912E-2"/>
        <n v="1.2915226977594507E-2"/>
        <n v="3.5827243445085699E-2"/>
        <n v="0.24649600577715258"/>
        <n v="0.47483617080570362"/>
        <n v="0.65273231958657973"/>
        <n v="0.78238068387534998"/>
        <n v="0.8741192049338764"/>
        <n v="0.93815375784360722"/>
        <n v="0.98197635144985362"/>
        <n v="1.0103613606065709"/>
        <n v="1.0262021614715566"/>
        <n v="1.0313415606533205"/>
        <n v="1.0271289832471497"/>
        <n v="1.0147128393235061"/>
        <n v="0.99515923981416954"/>
        <n v="0.96948265888441298"/>
        <n v="0.93864453653709212"/>
        <n v="0.90354673901957838"/>
        <n v="0.86502881587036118"/>
        <n v="0.82386833299574747"/>
        <n v="0.78078209242060659"/>
        <n v="0.73642501884916278"/>
        <n v="0.69138669489348104"/>
        <n v="0.64618573398758095"/>
        <n v="0.60126522968364515"/>
        <n v="0.5569898368134929"/>
        <n v="0.51364810119456372"/>
        <n v="0.47145928891971778"/>
        <n v="0.43058559331727864"/>
        <n v="0.39114695750563921"/>
        <n v="0.35323735595589323"/>
        <n v="0.31693945250814703"/>
        <n v="0.28233512374646885"/>
        <n v="0.24951102691264104"/>
        <n v="0.21855810202695558"/>
        <n v="0.18956578620796805"/>
        <n v="0.16261238595076666"/>
        <n v="0.13775360112802115"/>
        <n v="0.11501154290800564"/>
        <n v="9.4366184961747201E-2"/>
        <n v="7.575080645927379E-2"/>
        <n v="5.9051934956255714E-2"/>
        <n v="4.4114040072984473E-2"/>
        <n v="3.074785774022093E-2"/>
        <n v="1.8741554839718511E-2"/>
        <n v="7.8729931884957693E-3"/>
        <n v="-2.0780265277409171E-3"/>
        <n v="-1.1318784926672709E-2"/>
        <n v="-2.0034895335019343E-2"/>
        <n v="-2.8383869701065212E-2"/>
        <n v="-3.6491700700547192E-2"/>
        <n v="-4.4451594924543869E-2"/>
        <n v="-4.6567916436535128E-3"/>
        <n v="-2.1776856799204936E-2"/>
        <n v="-5.9529442439509861E-2"/>
        <n v="-0.11907433985914873"/>
        <n v="-0.1942640847661159"/>
        <n v="-0.27600314505005219"/>
        <n v="-0.35539359342592336"/>
        <n v="-0.4251786786973466"/>
        <n v="-0.48014483627262239"/>
        <n v="-0.51705407589888175"/>
        <n v="-0.53442367954046333"/>
        <n v="-0.53228301013612533"/>
        <n v="-0.51194101126393887"/>
        <n v="-0.47575409484462705"/>
        <n v="-0.4268786462477081"/>
        <n v="-0.36900017985198597"/>
        <n v="-0.30604574811998742"/>
        <n v="-0.24189718335827504"/>
        <n v="-0.1801275338518149"/>
        <n v="-0.12378416863622066"/>
        <n v="-7.5234879249885811E-2"/>
        <n v="-3.6086075406982498E-2"/>
        <n v="-7.1724409768769704E-3"/>
        <n v="1.1391305760399817E-2"/>
        <n v="2.0111574538606014E-2"/>
        <n v="1.9988056272923771E-2"/>
        <n v="1.2374217597299619E-2"/>
        <n v="-1.1583190061115189E-3"/>
        <n v="-1.8941509068293172E-2"/>
        <n v="-3.9311649792128645E-2"/>
        <n v="-6.0687882295595852E-2"/>
        <n v="-8.1629725444298806E-2"/>
        <n v="-0.10087741023641073"/>
        <n v="-0.11737974622496594"/>
        <n v="-0.13031322439983617"/>
        <n v="-0.13909531349655113"/>
        <n v="-0.14339222123674888"/>
        <n v="-0.14312056914107529"/>
        <n v="-0.13844060854334428"/>
        <n v="-0.12973916694195564"/>
        <n v="-0.11760103339465422"/>
        <n v="-0.10276911769195873"/>
        <n v="-8.6095059058066692E-2"/>
        <n v="-6.8483774302297018E-2"/>
        <n v="-5.083645058558961E-2"/>
        <n v="-3.3995992090540827E-2"/>
        <n v="-1.8699925923537641E-2"/>
        <n v="-5.5436341551140522E-3"/>
        <n v="5.0439433422200253E-3"/>
        <n v="1.2811236745879917E-2"/>
        <n v="2.4940653908456234E-2"/>
        <n v="5.2637090282980914E-2"/>
        <n v="6.9067087380680903E-2"/>
        <n v="6.9123258945236188E-2"/>
        <n v="5.5385803611374129E-2"/>
        <n v="3.3476435259505166E-2"/>
        <n v="8.9214268721660162E-3"/>
        <n v="-1.4206741190947447E-2"/>
        <n v="-3.3558548800738386E-2"/>
        <n v="-4.8262496928086485E-2"/>
        <n v="-5.8498553206676185E-2"/>
        <n v="-6.5061850239100938E-2"/>
        <n v="-6.8996531066312095E-2"/>
        <n v="-7.1331612082381479E-2"/>
        <n v="-7.2919916767755222E-2"/>
        <n v="-7.4367013938780868E-2"/>
        <n v="-7.6025549617964039E-2"/>
        <n v="-7.8032359233715098E-2"/>
        <n v="-8.0364663749477039E-2"/>
        <n v="-8.290107503358124E-2"/>
        <n v="-8.5474824603337662E-2"/>
        <n v="-8.7915206568855986E-2"/>
        <n v="-9.0074777312243448E-2"/>
        <n v="-9.1844112487060592E-2"/>
        <n v="-9.3156238915326206E-2"/>
        <n v="-9.3983748166392989E-2"/>
        <n v="-9.4331543490611125E-2"/>
        <n v="-9.4227796985479895E-2"/>
        <n v="-9.3714903071995259E-2"/>
        <n v="-9.2841614542271689E-2"/>
        <n v="-9.1657201726358384E-2"/>
        <n v="-9.0207507961925781E-2"/>
        <n v="-8.8533246564947987E-2"/>
        <n v="-8.6669722982868347E-2"/>
        <n v="-8.4647407419236043E-2"/>
        <n v="-8.2493286552753897E-2"/>
        <n v="-8.0232030897009476E-2"/>
        <n v="-7.7887091602302227E-2"/>
        <n v="-7.5481194670923291E-2"/>
        <n v="-7.3036539135606926E-2"/>
        <n v="-7.0574468317929906E-2"/>
        <n v="-6.8114903788296655E-2"/>
        <n v="-6.5675895821148966E-2"/>
        <n v="-6.3272708807560196E-2"/>
        <n v="-6.0917617747757724E-2"/>
        <n v="-5.8619495587530768E-2"/>
        <n v="-5.6383814177507485E-2"/>
        <n v="-5.4212946227827352E-2"/>
        <n v="-5.2106292117493069E-2"/>
        <n v="-5.0061034533033233E-2"/>
        <n v="0.20810757298195259"/>
        <n v="0.36664635053222927"/>
        <n v="0.44758590711266866"/>
        <n v="0.46016756489455357"/>
        <n v="0.42391560280996554"/>
        <n v="0.35863475531856537"/>
        <n v="0.28042207725547108"/>
        <n v="0.20083798816048493"/>
        <n v="0.12742880344744911"/>
        <n v="6.4605204130185889E-2"/>
        <n v="1.4471037750540816E-2"/>
        <n v="-2.2505162560459979E-2"/>
        <n v="-4.696610372048049E-2"/>
        <n v="-6.0259342077351175E-2"/>
        <n v="-6.4121205168388151E-2"/>
        <n v="-6.0435705106576254E-2"/>
        <n v="-5.105852869105032E-2"/>
        <n v="-3.7696492952576932E-2"/>
        <n v="-2.1835749469101273E-2"/>
        <n v="-4.7081992854969279E-3"/>
        <n v="1.2712739399867168E-2"/>
        <n v="2.9695716379563031E-2"/>
        <n v="4.5722739823528258E-2"/>
        <n v="6.0454167937318282E-2"/>
        <n v="7.3692782083822905E-2"/>
        <n v="8.5349730911121746E-2"/>
        <n v="9.5414661285242452E-2"/>
        <n v="0.10393119286036256"/>
        <n v="0.11097721713748676"/>
        <n v="0.11665055043532657"/>
        <n v="0.12105838606055741"/>
        <n v="0.12431053823773741"/>
        <n v="0.12651500344151856"/>
        <n v="0.12777546961124653"/>
        <n v="0.1281901844648381"/>
        <n v="0.12785129217343094"/>
        <n v="0.12684502522779528"/>
        <n v="0.12525160780130218"/>
        <n v="0.12314549860812374"/>
        <n v="0.12059567460958043"/>
        <n v="0.11766554168743948"/>
        <n v="0.11441316625153686"/>
        <n v="0.11089128446801766"/>
        <n v="0.1071474609324774"/>
        <n v="0.10322425118272083"/>
        <n v="9.9159326886466559E-2"/>
        <n v="9.4985769219713134E-2"/>
        <n v="9.0732468481635742E-2"/>
        <n v="8.6424362473702665E-2"/>
        <n v="8.2082874944799933E-2"/>
        <n v="0.24511815947576565"/>
        <n v="0.47053746556924292"/>
        <n v="0.6443032278825811"/>
        <n v="0.76907864078781252"/>
        <n v="0.85568535157674042"/>
        <n v="0.91478566184937105"/>
        <n v="0.9542982576813186"/>
        <n v="0.97938929671668173"/>
        <n v="0.99329541902719587"/>
        <n v="0.99813802051857969"/>
        <n v="0.99547083290612015"/>
        <n v="0.98656882621310782"/>
        <n v="0.97254756841711476"/>
        <n v="0.95439516569810756"/>
        <n v="0.93297237972536085"/>
        <n v="0.90900744965485281"/>
        <n v="0.88309803983301904"/>
        <n v="0.85572069684498597"/>
        <n v="0.8272466895256958"/>
        <n v="0.79796068251598573"/>
        <n v="0.76807970160113204"/>
        <n v="0.73777081413579637"/>
        <n v="0.7071661129573581"/>
        <n v="0.67637474275248355"/>
        <n v="0.64549201572436932"/>
        <n v="0.61460571564426747"/>
        <n v="0.5838000235406815"/>
        <n v="0.55315787353982238"/>
        <n v="0.52276143253506824"/>
        <n v="0.49269218269945014"/>
        <n v="0.46303010339514561"/>
        <n v="0.43385269802553861"/>
        <n v="0.4052338394592514"/>
        <n v="0.37724264914191785"/>
        <n v="0.34994287406471258"/>
        <n v="0.32339202671256562"/>
        <n v="0.29764103783185281"/>
        <n v="0.27273399941136756"/>
        <n v="0.248708225243921"/>
        <n v="0.22559419529950553"/>
        <n v="0.20341603659210783"/>
        <n v="0.18219166830730771"/>
        <n v="0.16193337423744403"/>
        <n v="0.14264810338819878"/>
        <n v="0.12433799347983943"/>
        <n v="0.10700079861276635"/>
        <n v="9.0630432155647256E-2"/>
        <n v="7.5217252217973929E-2"/>
        <n v="6.0748488710293813E-2"/>
        <n v="4.7208715618229924E-2"/>
        <n v="-5.376168111592694E-3"/>
        <n v="-2.235235999786811E-2"/>
        <n v="-5.7481818619942171E-2"/>
        <n v="-0.11053984914847215"/>
        <n v="-0.1748283179992538"/>
        <n v="-0.24173421839286391"/>
        <n v="-0.30377989031336039"/>
        <n v="-0.35581752353170959"/>
        <n v="-0.39511673293002314"/>
        <n v="-0.42096476610808953"/>
        <n v="-0.43412184152350486"/>
        <n v="-0.43629001088766328"/>
        <n v="-0.42965983837124355"/>
        <n v="-0.41655632235064743"/>
        <n v="-0.39918404079521963"/>
        <n v="-0.37946401615055469"/>
        <n v="-0.35894832608661664"/>
        <n v="-0.33879527169146106"/>
        <n v="-0.31978941536682237"/>
        <n v="-0.30238946528783339"/>
        <n v="-0.28679105639192182"/>
        <n v="-0.27299389434072285"/>
        <n v="-0.26086436525810663"/>
        <n v="-0.25019043219128845"/>
        <n v="-0.24072520206084302"/>
        <n v="-0.2322192413434232"/>
        <n v="-0.22444222697850513"/>
        <n v="-0.21719537600201066"/>
        <n v="-0.21031706423814134"/>
        <n v="-0.20368296890038717"/>
        <n v="-0.19720292183019739"/>
        <n v="-0.19081588630119883"/>
        <n v="-0.18448420593335513"/>
        <n v="-0.17818790644300586"/>
        <n v="-0.17191949009275342"/>
        <n v="-0.16567989427761498"/>
        <n v="-0.15947502746530562"/>
        <n v="-0.15331340864316312"/>
        <n v="-0.14720469059548158"/>
        <n v="-0.1411584333075977"/>
        <n v="-0.13518389566371525"/>
        <n v="-0.12928951837655189"/>
        <n v="-0.12348312008022555"/>
        <n v="-0.11777196707859483"/>
        <n v="-0.11216271200567007"/>
        <n v="-0.1066617102184364"/>
        <n v="-0.10127502018817403"/>
        <n v="-9.6008266588043512E-2"/>
        <n v="-9.0866848295090286E-2"/>
        <n v="-8.5855839450554861E-2"/>
        <n v="2.3530422165274345E-2"/>
        <n v="4.8922167627574176E-2"/>
        <n v="6.2539150243656749E-2"/>
        <n v="5.9655975885886114E-2"/>
        <n v="4.2939282946141688E-2"/>
        <n v="1.7833221726060167E-2"/>
        <n v="-1.0377623124735447E-2"/>
        <n v="-3.7732406805202068E-2"/>
        <n v="-6.1766948350938655E-2"/>
        <n v="-8.1280991674903547E-2"/>
        <n v="-9.59998623485947E-2"/>
        <n v="-0.10625261565703203"/>
        <n v="-0.11270781351826464"/>
        <n v="-0.11617296182075965"/>
        <n v="-0.11745388423339831"/>
        <n v="-0.11726560432284705"/>
        <n v="-0.11618557460891799"/>
        <n v="-0.11463846495106678"/>
        <n v="-0.11290355186526213"/>
        <n v="-0.11113580784308796"/>
        <n v="-0.10939331711506961"/>
        <n v="-0.10766619769327912"/>
        <n v="-0.10590311444103051"/>
        <n v="-0.10403309934206018"/>
        <n v="-0.10198238081070565"/>
        <n v="-9.968564566847915E-2"/>
        <n v="-9.7092932662778964E-2"/>
        <n v="-9.4172462047703576E-2"/>
        <n v="-9.0910846524416833E-2"/>
        <n v="-8.7311409485835156E-2"/>
        <n v="-8.3391332373439209E-2"/>
        <n v="-7.9178529900891803E-2"/>
        <n v="-7.4708282838320539E-2"/>
        <n v="-7.0020410357640728E-2"/>
        <n v="-6.5156728597381974E-2"/>
        <n v="-6.0159126535153096E-2"/>
        <n v="-5.5068193682294986E-2"/>
        <n v="-4.9922146886915986E-2"/>
        <n v="-4.4756378957755416E-2"/>
        <n v="-3.9602952889106202E-2"/>
        <n v="-3.4490799750097612E-2"/>
        <n v="-2.9445641144831836E-2"/>
        <n v="-2.4490216912220752E-2"/>
        <n v="-1.9644521504347257E-2"/>
        <n v="-1.4926046845242791E-2"/>
        <n v="-1.0350029441841269E-2"/>
        <n v="-5.9296797826013936E-3"/>
        <n v="-1.6763358427374087E-3"/>
        <n v="2.4002183790061693E-3"/>
        <n v="6.2917473183876638E-3"/>
      </sharedItems>
    </cacheField>
    <cacheField name="f_l_1-f_l_0" numFmtId="0">
      <sharedItems containsSemiMixedTypes="0" containsString="0" containsNumber="1" minValue="-250.93528000000151" maxValue="290.95098999999755"/>
    </cacheField>
    <cacheField name="100*(ems_1/ems_0-1)" numFmtId="0">
      <sharedItems containsSemiMixedTypes="0" containsString="0" containsNumber="1" minValue="-11.936004647416599" maxValue="0"/>
    </cacheField>
    <cacheField name="100*(ch_1/ch_0-1)" numFmtId="0">
      <sharedItems containsSemiMixedTypes="0" containsString="0" containsNumber="1" minValue="-0.22099900660895733" maxValue="2.4656606473454357"/>
    </cacheField>
    <cacheField name="100*(i_1/i_0-1)" numFmtId="0">
      <sharedItems containsSemiMixedTypes="0" containsString="0" containsNumber="1" minValue="-1.5729927027822832" maxValue="4.4132992708658225"/>
    </cacheField>
    <cacheField name="100*(x_1/x_0-1)" numFmtId="0">
      <sharedItems containsSemiMixedTypes="0" containsString="0" containsNumber="1" minValue="-3.7507597466854392" maxValue="0.22397377917353634"/>
    </cacheField>
    <cacheField name="100*(m_1/m_0-1)" numFmtId="0">
      <sharedItems containsSemiMixedTypes="0" containsString="0" containsNumber="1" minValue="-0.61361472118007798" maxValue="1.7051013079210087"/>
    </cacheField>
    <cacheField name="100*((dispinc_at_val_1/pch_1)/(dispinc_at_val_0/pch_0)-1)" numFmtId="0">
      <sharedItems containsSemiMixedTypes="0" containsString="0" containsNumber="1" minValue="-0.2069912387083872" maxValue="2.434262132278131"/>
    </cacheField>
    <cacheField name="100*(rsav_h_val_1-rsav_h_val_0)" numFmtId="0">
      <sharedItems containsSemiMixedTypes="0" containsString="0" containsNumber="1" minValue="-4.003732999999926E-2" maxValue="6.504732999999957E-2"/>
    </cacheField>
    <cacheField name="100*(pch_1/pch_0-1)" numFmtId="0">
      <sharedItems containsSemiMixedTypes="0" containsString="0" containsNumber="1" minValue="-0.12738064589243869" maxValue="5.0037767664883326"/>
    </cacheField>
    <cacheField name="100*(py_1/py_0-1)" numFmtId="0">
      <sharedItems containsSemiMixedTypes="0" containsString="0" containsNumber="1" minValue="-0.35450931918610262" maxValue="5.5443788411232209"/>
    </cacheField>
    <cacheField name="100*(pva_1/pva_0-1)" numFmtId="0">
      <sharedItems containsSemiMixedTypes="0" containsString="0" containsNumber="1" minValue="-0.82058199135918164" maxValue="6.7305999750929324"/>
    </cacheField>
    <cacheField name="100*(pci_1/pci_0-1)" numFmtId="0">
      <sharedItems containsSemiMixedTypes="0" containsString="0" containsNumber="1" minValue="0" maxValue="4.7087389149918391"/>
    </cacheField>
    <cacheField name="100*(px_1/pci_0-1)" numFmtId="0">
      <sharedItems containsSemiMixedTypes="0" containsString="0" containsNumber="1" minValue="-3.4409104062770646" maxValue="2.7886315900035097"/>
    </cacheField>
    <cacheField name="100*(pm_1/pci_0-1)" numFmtId="0">
      <sharedItems containsSemiMixedTypes="0" containsString="0" containsNumber="1" minValue="-5.4115264491727544E-7" maxValue="87.855127290543635"/>
    </cacheField>
    <cacheField name="100*(w_1/w_0-1)" numFmtId="0">
      <sharedItems containsSemiMixedTypes="0" containsString="0" containsNumber="1" minValue="-0.43259772081885028" maxValue="7.5551232759999865"/>
    </cacheField>
    <cacheField name="100*((c_l_1/pva_1)/(c_l_0/pva_0)-1)" numFmtId="0">
      <sharedItems containsSemiMixedTypes="0" containsString="0" containsNumber="1" minValue="-0.70291476360486715" maxValue="0.56025177239882318"/>
    </cacheField>
    <cacheField name="100*(unr_1-unr_0)" numFmtId="0">
      <sharedItems containsSemiMixedTypes="0" containsString="0" containsNumber="1" minValue="-0.73608282000000025" maxValue="0.59811268500000003"/>
    </cacheField>
    <cacheField name="100*(rbal_trade_val_1-rbal_trade_val_0)" numFmtId="0">
      <sharedItems containsSemiMixedTypes="0" containsString="0" containsNumber="1" minValue="-0.47600698999999985" maxValue="0.47333069999999988"/>
    </cacheField>
    <cacheField name="100*(rbal_g_prim_val_1-rbal_g_prim_val_0)" numFmtId="0">
      <sharedItems containsSemiMixedTypes="0" containsString="0" containsNumber="1" minValue="-0.34324078000000025" maxValue="1.2646272399999998"/>
    </cacheField>
    <cacheField name="Trimestres" numFmtId="0" databaseField="0">
      <fieldGroup base="0">
        <rangePr groupBy="quarters" startDate="2000-01-01T00:00:00" endDate="2050-01-02T00:00:00"/>
        <groupItems count="6">
          <s v="&lt;01/01/2000"/>
          <s v="Trimestre1"/>
          <s v="Trimestre2"/>
          <s v="Trimestre3"/>
          <s v="Trimestre4"/>
          <s v="&gt;02/01/2050"/>
        </groupItems>
      </fieldGroup>
    </cacheField>
    <cacheField name="Années" numFmtId="0" databaseField="0">
      <fieldGroup base="0">
        <rangePr groupBy="years" startDate="2000-01-01T00:00:00" endDate="2050-01-02T00:00:00"/>
        <groupItems count="53">
          <s v="&lt;01/0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&gt;02/01/205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4">
  <r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5.5122246639394135E-3"/>
    <n v="0.21461386473387023"/>
    <n v="0"/>
    <n v="0"/>
    <n v="0"/>
    <n v="0"/>
    <n v="0"/>
  </r>
  <r>
    <x v="1"/>
    <x v="0"/>
    <x v="0"/>
    <x v="0"/>
    <x v="0"/>
    <x v="1"/>
    <n v="45.529180000001361"/>
    <n v="-5.3466931905403747"/>
    <n v="0.10467704724699267"/>
    <n v="0.52941366892054198"/>
    <n v="-0.15692302812132519"/>
    <n v="-0.32081816817889353"/>
    <n v="0.15196110760333781"/>
    <n v="4.2364370000000373E-2"/>
    <n v="0.45947044451868368"/>
    <n v="0.12377493421649177"/>
    <n v="-0.5887247928415662"/>
    <n v="0.83368873229541229"/>
    <n v="0.26892141209957643"/>
    <n v="0.7383468991344122"/>
    <n v="4.0137346784407946E-2"/>
    <n v="-0.4176771041384808"/>
    <n v="-0.13597448000000067"/>
    <n v="0.12184155000000002"/>
    <n v="6.9087009999999754E-3"/>
  </r>
  <r>
    <x v="2"/>
    <x v="0"/>
    <x v="0"/>
    <x v="0"/>
    <x v="0"/>
    <x v="2"/>
    <n v="94.551980000000185"/>
    <n v="-8.4566234557495683"/>
    <n v="0.27159876933426919"/>
    <n v="0.98832233115206947"/>
    <n v="-0.4192242007269531"/>
    <n v="-0.46066527416701586"/>
    <n v="0.33031113669703682"/>
    <n v="5.2502449999999867E-2"/>
    <n v="0.59909242957212339"/>
    <n v="0.32237667889809529"/>
    <n v="-0.29773514295744485"/>
    <n v="0.94354665106861635"/>
    <n v="0.51454819614926706"/>
    <n v="1.589078849063652"/>
    <n v="0.2464023439991081"/>
    <n v="-0.42403068869787397"/>
    <n v="-0.27026569000000028"/>
    <n v="0.16531182999999991"/>
    <n v="0.12360578699999997"/>
  </r>
  <r>
    <x v="3"/>
    <x v="0"/>
    <x v="0"/>
    <x v="0"/>
    <x v="0"/>
    <x v="3"/>
    <n v="128.58480000000054"/>
    <n v="-10.167852981777115"/>
    <n v="0.43717935041152067"/>
    <n v="1.3157122433438806"/>
    <n v="-0.76463217609482603"/>
    <n v="-0.4705677449166723"/>
    <n v="0.48188925789760528"/>
    <n v="3.99038200000007E-2"/>
    <n v="0.80587331380124194"/>
    <n v="0.58705210646405881"/>
    <n v="6.1308259907622009E-2"/>
    <n v="1.1174141596386633"/>
    <n v="0.76411320248117587"/>
    <n v="2.7406496804606828"/>
    <n v="0.50974447968994419"/>
    <n v="-0.4638330893796172"/>
    <n v="-0.35344374000000067"/>
    <n v="0.15791261000000015"/>
    <n v="0.21914700999999998"/>
  </r>
  <r>
    <x v="4"/>
    <x v="0"/>
    <x v="0"/>
    <x v="0"/>
    <x v="0"/>
    <x v="4"/>
    <n v="141.17425999999978"/>
    <n v="-11.084222451728209"/>
    <n v="0.56933005215784593"/>
    <n v="1.5199462609099879"/>
    <n v="-1.1703590786987128"/>
    <n v="-0.42037773290229952"/>
    <n v="0.58827495000499663"/>
    <n v="1.6881900000000061E-2"/>
    <n v="1.0457645569045937"/>
    <n v="0.88347230935799104"/>
    <n v="0.45022300213146682"/>
    <n v="1.3254752933809399"/>
    <n v="1.0083796135189171"/>
    <n v="4.1427661076471667"/>
    <n v="0.80110037395944023"/>
    <n v="-0.5208828209402605"/>
    <n v="-0.37365933000000073"/>
    <n v="0.11802693999999996"/>
    <n v="0.27916925999999997"/>
  </r>
  <r>
    <x v="5"/>
    <x v="0"/>
    <x v="0"/>
    <x v="0"/>
    <x v="0"/>
    <x v="5"/>
    <n v="132.21933999999965"/>
    <n v="-11.559413572945221"/>
    <n v="0.65777667661552908"/>
    <n v="1.6311705726700376"/>
    <n v="-1.6096141037150957"/>
    <n v="-0.35275411790357536"/>
    <n v="0.65212862063415145"/>
    <n v="-5.0273000000003454E-3"/>
    <n v="1.2900298676783661"/>
    <n v="1.1793562634859978"/>
    <n v="0.83251564701616321"/>
    <n v="1.5400028027056534"/>
    <n v="1.2331957569775565"/>
    <n v="5.731909906369359"/>
    <n v="1.1032551313861161"/>
    <n v="-0.5709979574177293"/>
    <n v="-0.33579223000000102"/>
    <n v="5.6938569999999758E-2"/>
    <n v="0.30369664300000004"/>
  </r>
  <r>
    <x v="6"/>
    <x v="0"/>
    <x v="0"/>
    <x v="0"/>
    <x v="0"/>
    <x v="6"/>
    <n v="104.73660999999993"/>
    <n v="-11.793893344116469"/>
    <n v="0.70230540170115319"/>
    <n v="1.6820160137399176"/>
    <n v="-2.0547444860829045"/>
    <n v="-0.29078142504833648"/>
    <n v="0.67804019489829948"/>
    <n v="-2.1583990000000053E-2"/>
    <n v="1.5177758410636066"/>
    <n v="1.4506198246722057"/>
    <n v="1.1807082024150262"/>
    <n v="1.7403287057595973"/>
    <n v="1.426978213033081"/>
    <n v="7.4372803381304919"/>
    <n v="1.3971428533869235"/>
    <n v="-0.60266741011774094"/>
    <n v="-0.25154524000000067"/>
    <n v="-1.7391199999999829E-2"/>
    <n v="0.29700030709999997"/>
  </r>
  <r>
    <x v="7"/>
    <x v="0"/>
    <x v="0"/>
    <x v="0"/>
    <x v="0"/>
    <x v="7"/>
    <n v="63.033739999998943"/>
    <n v="-11.89937266436506"/>
    <n v="0.70649691918809321"/>
    <n v="1.7001968954474034"/>
    <n v="-2.4803831368546025"/>
    <n v="-0.24609363951229035"/>
    <n v="0.67003848514204378"/>
    <n v="-3.2421689999999337E-2"/>
    <n v="1.7145417213690672"/>
    <n v="1.6809092998707476"/>
    <n v="1.476141914332918"/>
    <n v="1.9121539575475577"/>
    <n v="1.5816378366821482"/>
    <n v="9.1846422994250396"/>
    <n v="1.6626564152129264"/>
    <n v="-0.61522420464634742"/>
    <n v="-0.13459964999999949"/>
    <n v="-9.8407499999999926E-2"/>
    <n v="0.26491409500000002"/>
  </r>
  <r>
    <x v="8"/>
    <x v="0"/>
    <x v="0"/>
    <x v="0"/>
    <x v="0"/>
    <x v="8"/>
    <n v="11.798240000000078"/>
    <n v="-11.936004647416599"/>
    <n v="0.67556540643665119"/>
    <n v="1.7066423597605684"/>
    <n v="-2.8651938474204885"/>
    <n v="-0.22351620515698167"/>
    <n v="0.63249685241357767"/>
    <n v="-3.8305529999999033E-2"/>
    <n v="1.8705619852154243"/>
    <n v="1.8598849960762109"/>
    <n v="1.7071779749141092"/>
    <n v="2.0459882780642591"/>
    <n v="1.6919075352600288"/>
    <n v="10.899699412115037"/>
    <n v="1.8816535695154624"/>
    <n v="-0.61353028358871464"/>
    <n v="1.507480000000061E-3"/>
    <n v="-0.18034695399999998"/>
    <n v="0.21408111799999988"/>
  </r>
  <r>
    <x v="9"/>
    <x v="0"/>
    <x v="0"/>
    <x v="0"/>
    <x v="0"/>
    <x v="9"/>
    <n v="-44.27722999999969"/>
    <n v="-11.933490940682445"/>
    <n v="0.61593174662037953"/>
    <n v="1.7160487629984233"/>
    <n v="-3.192481953000903"/>
    <n v="-0.22347538857709903"/>
    <n v="0.57093805385319829"/>
    <n v="-4.003732999999926E-2"/>
    <n v="1.9796311110707121"/>
    <n v="1.9818402502078447"/>
    <n v="1.8676685431037177"/>
    <n v="2.1360083078041825"/>
    <n v="1.7547625982789583"/>
    <n v="12.511649855437824"/>
    <n v="2.0401380295693938"/>
    <n v="-0.60404169961308929"/>
    <n v="0.14411999999999967"/>
    <n v="-0.25816433100000002"/>
    <n v="0.15155382999999992"/>
  </r>
  <r>
    <x v="10"/>
    <x v="0"/>
    <x v="0"/>
    <x v="0"/>
    <x v="0"/>
    <x v="10"/>
    <n v="-100.62696000000142"/>
    <n v="-11.903304374168433"/>
    <n v="0.53514217924188756"/>
    <n v="1.738189297598236"/>
    <n v="-3.4502083105878767"/>
    <n v="-0.2433512732770704"/>
    <n v="0.49218529570185243"/>
    <n v="-3.8253979999999799E-2"/>
    <n v="2.0385496341337017"/>
    <n v="2.0448495070024997"/>
    <n v="1.9559697024731149"/>
    <n v="2.1794379307082057"/>
    <n v="1.7692464382224937"/>
    <n v="13.956958560746813"/>
    <n v="2.1293519925872584"/>
    <n v="-0.59266523233917345"/>
    <n v="0.28165710000000005"/>
    <n v="-0.32764447319999995"/>
    <n v="8.439229999999999E-2"/>
  </r>
  <r>
    <x v="11"/>
    <x v="0"/>
    <x v="0"/>
    <x v="0"/>
    <x v="0"/>
    <x v="11"/>
    <n v="-152.89505999999892"/>
    <n v="-11.846151684932082"/>
    <n v="0.44161522784353924"/>
    <n v="1.7791719241139869"/>
    <n v="-3.6307816065905163"/>
    <n v="-0.27842051381434807"/>
    <n v="0.4040112988976885"/>
    <n v="-3.3519129999999564E-2"/>
    <n v="2.0468949072250275"/>
    <n v="2.0502443166747542"/>
    <n v="1.9742969739830363"/>
    <n v="2.1762327336201981"/>
    <n v="1.7365397188709775"/>
    <n v="15.183028335514104"/>
    <n v="2.1460868106190523"/>
    <n v="-0.58380936837849617"/>
    <n v="0.40374188999999994"/>
    <n v="-0.38555525330000001"/>
    <n v="1.9236790000000045E-2"/>
  </r>
  <r>
    <x v="12"/>
    <x v="0"/>
    <x v="0"/>
    <x v="0"/>
    <x v="0"/>
    <x v="12"/>
    <n v="-197.07079000000158"/>
    <n v="-11.756876732577137"/>
    <n v="0.344141122195607"/>
    <n v="1.8423518738706512"/>
    <n v="-3.7307975044105879"/>
    <n v="-0.32266729161553043"/>
    <n v="0.31451203687005158"/>
    <n v="-2.6438609999999974E-2"/>
    <n v="2.0068771036241717"/>
    <n v="2.0021924891073128"/>
    <n v="1.9281839854724092"/>
    <n v="2.1288443136491475"/>
    <n v="1.6600338263727421"/>
    <n v="16.151304444141125"/>
    <n v="2.0924785990244388"/>
    <n v="-0.58007257049256244"/>
    <n v="0.50146614"/>
    <n v="-0.42977223899999994"/>
    <n v="-3.8102669999999852E-2"/>
  </r>
  <r>
    <x v="13"/>
    <x v="0"/>
    <x v="0"/>
    <x v="0"/>
    <x v="0"/>
    <x v="13"/>
    <n v="-229.7031599999973"/>
    <n v="-11.627895730381066"/>
    <n v="0.25121450370106935"/>
    <n v="1.9288793897320966"/>
    <n v="-3.7507597466854392"/>
    <n v="-0.36954824266470787"/>
    <n v="0.23137621444402345"/>
    <n v="-1.7721260000000405E-2"/>
    <n v="1.9231270136210288"/>
    <n v="1.9072452028898956"/>
    <n v="1.8259048901628772"/>
    <n v="2.0419277422270676"/>
    <n v="1.5452447224072019"/>
    <n v="16.839372968858246"/>
    <n v="1.9754316897616864"/>
    <n v="-0.58225966589794398"/>
    <n v="0.56780821100000001"/>
    <n v="-0.45933021799999996"/>
    <n v="-8.2998749999999705E-2"/>
  </r>
  <r>
    <x v="14"/>
    <x v="0"/>
    <x v="0"/>
    <x v="0"/>
    <x v="0"/>
    <x v="14"/>
    <n v="-248.16895999999906"/>
    <n v="-11.451669172197832"/>
    <n v="0.17032287619855868"/>
    <n v="2.0379851989644093"/>
    <n v="-3.6947583585337784"/>
    <n v="-0.41270808548479199"/>
    <n v="0.1611756312614343"/>
    <n v="-8.1793600000004685E-3"/>
    <n v="1.8023492407298836"/>
    <n v="1.7738016562288017"/>
    <n v="1.6778160412536325"/>
    <n v="1.9219402387227857"/>
    <n v="1.3995029490009081"/>
    <n v="17.241749696123733"/>
    <n v="1.8057455528127209"/>
    <n v="-0.58959481870878294"/>
    <n v="0.59811268500000003"/>
    <n v="-0.47437423899999998"/>
    <n v="-0.11227032999999997"/>
  </r>
  <r>
    <x v="15"/>
    <x v="0"/>
    <x v="0"/>
    <x v="0"/>
    <x v="0"/>
    <x v="15"/>
    <n v="-250.93528000000151"/>
    <n v="-11.222434692442462"/>
    <n v="0.10730481054432861"/>
    <n v="2.1671363599663929"/>
    <n v="-3.5700699996249363"/>
    <n v="-0.44660860147446302"/>
    <n v="0.10877706330263415"/>
    <n v="1.3176399999995092E-3"/>
    <n v="1.6528357302889818"/>
    <n v="1.6115082631354305"/>
    <n v="1.495637164550323"/>
    <n v="1.7766388136553957"/>
    <n v="1.2314397990847104"/>
    <n v="17.369260568201806"/>
    <n v="1.5970129668985811"/>
    <n v="-0.60008113190348489"/>
    <n v="0.59049372"/>
    <n v="-0.47600698999999985"/>
    <n v="-0.12433568999999992"/>
  </r>
  <r>
    <x v="16"/>
    <x v="0"/>
    <x v="0"/>
    <x v="0"/>
    <x v="0"/>
    <x v="16"/>
    <n v="-237.74669999999969"/>
    <n v="-10.93731222691947"/>
    <n v="6.5877254338664315E-2"/>
    <n v="2.3121823657510809"/>
    <n v="-3.3866571719417427"/>
    <n v="-0.46702383946317649"/>
    <n v="7.6953688636005602E-2"/>
    <n v="9.9200800000004419E-3"/>
    <n v="1.4838780828465126"/>
    <n v="1.4306290067082061"/>
    <n v="1.2917170000508849"/>
    <n v="1.6145223570040779"/>
    <n v="1.050345516468032"/>
    <n v="17.247136926502151"/>
    <n v="1.3643823016313172"/>
    <n v="-0.61096485565057534"/>
    <n v="0.54602881000000014"/>
    <n v="-0.46605476000000001"/>
    <n v="-0.1192406"/>
  </r>
  <r>
    <x v="17"/>
    <x v="0"/>
    <x v="0"/>
    <x v="0"/>
    <x v="0"/>
    <x v="17"/>
    <n v="-209.67828999999983"/>
    <n v="-10.596859437154471"/>
    <n v="4.7401283815684536E-2"/>
    <n v="2.4675740500923471"/>
    <n v="-3.1565644978424068"/>
    <n v="-0.47136066557026401"/>
    <n v="6.6249424674946766E-2"/>
    <n v="1.6888300000000855E-2"/>
    <n v="1.3051324994515223"/>
    <n v="1.2414361320531642"/>
    <n v="1.07833229583989"/>
    <n v="1.4442684815014095"/>
    <n v="0.86549254608390136"/>
    <n v="16.91211850850376"/>
    <n v="1.1233006522999744"/>
    <n v="-0.61924566197543163"/>
    <n v="0.46865388999999985"/>
    <n v="-0.44679272000000009"/>
    <n v="-9.8555999999999644E-2"/>
  </r>
  <r>
    <x v="18"/>
    <x v="0"/>
    <x v="0"/>
    <x v="0"/>
    <x v="0"/>
    <x v="18"/>
    <n v="-169.02513999999792"/>
    <n v="-10.205151884654462"/>
    <n v="5.0917600057753809E-2"/>
    <n v="2.626696075162549"/>
    <n v="-2.8932274758677878"/>
    <n v="-0.45877859581182623"/>
    <n v="7.5104110019075243E-2"/>
    <n v="2.1676760000000073E-2"/>
    <n v="1.125999219709839"/>
    <n v="1.0536612288730041"/>
    <n v="0.86705655813508198"/>
    <n v="1.2742134778557235"/>
    <n v="0.68551363833864176"/>
    <n v="16.408965365832962"/>
    <n v="0.88836020681817285"/>
    <n v="-0.62215629823860752"/>
    <n v="0.36473918"/>
    <n v="-0.42067518999999998"/>
    <n v="-6.5152010000000399E-2"/>
  </r>
  <r>
    <x v="19"/>
    <x v="0"/>
    <x v="0"/>
    <x v="0"/>
    <x v="0"/>
    <x v="19"/>
    <n v="-119.03699000000051"/>
    <n v="-9.7694752969935461"/>
    <n v="7.3436265338444606E-2"/>
    <n v="2.7823116180383689"/>
    <n v="-2.6107261498644396"/>
    <n v="-0.4301089251760537"/>
    <n v="0.10020785757960393"/>
    <n v="2.399387999999919E-2"/>
    <n v="0.95506974855661397"/>
    <n v="0.87603284538557702"/>
    <n v="0.66822792204690451"/>
    <n v="1.1119124528710334"/>
    <n v="0.51790086910785682"/>
    <n v="15.786794346835453"/>
    <n v="0.67235044554423418"/>
    <n v="-0.61754407794083477"/>
    <n v="0.24239734000000013"/>
    <n v="-0.39010833"/>
    <n v="-2.287026999999997E-2"/>
  </r>
  <r>
    <x v="20"/>
    <x v="0"/>
    <x v="0"/>
    <x v="0"/>
    <x v="0"/>
    <x v="20"/>
    <n v="-63.543149999997695"/>
    <n v="-9.2997248538170041"/>
    <n v="0.11042714533935349"/>
    <n v="2.9270857753158852"/>
    <n v="-2.3230248026021694"/>
    <n v="-0.38759873121478883"/>
    <n v="0.137015195705259"/>
    <n v="2.382484000000018E-2"/>
    <n v="0.79968160628016705"/>
    <n v="0.71591926066711942"/>
    <n v="0.49053160719920719"/>
    <n v="0.96379817607128437"/>
    <n v="0.36866141178015788"/>
    <n v="15.095606318318765"/>
    <n v="0.48558220676493402"/>
    <n v="-0.60410519514468852"/>
    <n v="0.1106311799999999"/>
    <n v="-0.35728674000000021"/>
    <n v="2.3870649999999799E-2"/>
  </r>
  <r>
    <x v="21"/>
    <x v="0"/>
    <x v="0"/>
    <x v="0"/>
    <x v="0"/>
    <x v="21"/>
    <n v="-6.5339199999980337"/>
    <n v="-8.8076123790969856"/>
    <n v="0.15642764156198474"/>
    <n v="3.0541322647027913"/>
    <n v="-2.0432446200401855"/>
    <n v="-0.3345284753290767"/>
    <n v="0.18033347387298448"/>
    <n v="2.1414059999999568E-2"/>
    <n v="0.66560503330270748"/>
    <n v="0.57907838790618449"/>
    <n v="0.34070720859822323"/>
    <n v="0.83494410139812736"/>
    <n v="0.24213476444316928"/>
    <n v="14.383268165923969"/>
    <n v="0.3355037685605966"/>
    <n v="-0.58145953789240368"/>
    <n v="-2.1546190000000173E-2"/>
    <n v="-0.3240982"/>
    <n v="7.0495780000000285E-2"/>
  </r>
  <r>
    <x v="22"/>
    <x v="0"/>
    <x v="0"/>
    <x v="0"/>
    <x v="0"/>
    <x v="22"/>
    <n v="48.231650000001537"/>
    <n v="-8.3057799444430138"/>
    <n v="0.20568133382998788"/>
    <n v="3.1575227695796571"/>
    <n v="-1.7830153460477338"/>
    <n v="-0.27476497609744133"/>
    <n v="0.22490689293392929"/>
    <n v="1.721391999999905E-2"/>
    <n v="0.55686597220825362"/>
    <n v="0.46951626479321273"/>
    <n v="0.22338223992501849"/>
    <n v="0.72893094410497739"/>
    <n v="0.14095541848717641"/>
    <n v="13.693105762896995"/>
    <n v="0.22659057315164155"/>
    <n v="-0.55008255748126844"/>
    <n v="-0.14589422999999985"/>
    <n v="-0.29208719"/>
    <n v="0.11268070000000005"/>
  </r>
  <r>
    <x v="23"/>
    <x v="0"/>
    <x v="0"/>
    <x v="0"/>
    <x v="0"/>
    <x v="23"/>
    <n v="97.537340000002587"/>
    <n v="-7.8069093991974592"/>
    <n v="0.25273142429638185"/>
    <n v="3.2327028054064399"/>
    <n v="-1.5519462760900993"/>
    <n v="-0.212311726686365"/>
    <n v="0.26593123524876194"/>
    <n v="1.1812719999999832E-2"/>
    <n v="0.4757006807149633"/>
    <n v="0.38944441428334642"/>
    <n v="0.14102822548640592"/>
    <n v="0.64780603512992752"/>
    <n v="6.6129814485305083E-2"/>
    <n v="13.062158989878947"/>
    <n v="0.16046123768438392"/>
    <n v="-0.51113426557145569"/>
    <n v="-0.25554188200000005"/>
    <n v="-0.26246121999999994"/>
    <n v="0.14671209000000004"/>
  </r>
  <r>
    <x v="24"/>
    <x v="0"/>
    <x v="0"/>
    <x v="0"/>
    <x v="0"/>
    <x v="24"/>
    <n v="138.91087000000334"/>
    <n v="-7.3229028672896153"/>
    <n v="0.29291097264227961"/>
    <n v="3.2767748863500312"/>
    <n v="-1.3572480327436964"/>
    <n v="-0.15091034231694556"/>
    <n v="0.29945719040840313"/>
    <n v="5.8554699999990856E-3"/>
    <n v="0.42262440577922611"/>
    <n v="0.33932970435504028"/>
    <n v="9.4030823172563949E-2"/>
    <n v="0.59212549300335926"/>
    <n v="1.7196760410209677E-2"/>
    <n v="12.520075525889474"/>
    <n v="0.13616161100966639"/>
    <n v="-0.46623435403823077"/>
    <n v="-0.34535619800000006"/>
    <n v="-0.23612248000000025"/>
    <n v="0.16977476000000005"/>
  </r>
  <r>
    <x v="25"/>
    <x v="0"/>
    <x v="0"/>
    <x v="0"/>
    <x v="0"/>
    <x v="25"/>
    <n v="170.7109100000016"/>
    <n v="-6.8641932350750112"/>
    <n v="0.32269345905773239"/>
    <n v="3.2886266656985574"/>
    <n v="-1.20352341095884"/>
    <n v="-9.3731918214123855E-2"/>
    <n v="0.32265857453261937"/>
    <n v="-3.1120000000550707E-5"/>
    <n v="0.39659129604165955"/>
    <n v="0.31802564107166198"/>
    <n v="8.0860128442261647E-2"/>
    <n v="0.56106709950032307"/>
    <n v="-7.5617489884827194E-3"/>
    <n v="12.088568885217876"/>
    <n v="0.15055724778125779"/>
    <n v="-0.41722892016408109"/>
    <n v="-0.41208523900000005"/>
    <n v="-0.21370895999999995"/>
    <n v="0.18014303000000004"/>
  </r>
  <r>
    <x v="26"/>
    <x v="0"/>
    <x v="0"/>
    <x v="0"/>
    <x v="0"/>
    <x v="26"/>
    <n v="192.11603999999716"/>
    <n v="-6.439225640674195"/>
    <n v="0.33988404976217357"/>
    <n v="3.268902585816158"/>
    <n v="-1.0927317254051383"/>
    <n v="-4.3180844958112807E-2"/>
    <n v="0.33395088739911483"/>
    <n v="-5.3028500000010248E-3"/>
    <n v="0.39522356634873468"/>
    <n v="0.32297288148741554"/>
    <n v="9.8324534833538202E-2"/>
    <n v="0.55260276107071959"/>
    <n v="-1.0878824728410841E-2"/>
    <n v="11.781349491605164"/>
    <n v="0.19878395269261606"/>
    <n v="-0.365984167638711"/>
    <n v="-0.45430959000000004"/>
    <n v="-0.19563344000000008"/>
    <n v="0.17725880999999999"/>
  </r>
  <r>
    <x v="27"/>
    <x v="0"/>
    <x v="0"/>
    <x v="0"/>
    <x v="0"/>
    <x v="27"/>
    <n v="203.04236999999921"/>
    <n v="-6.0541330531458932"/>
    <n v="0.34364803485182893"/>
    <n v="3.2198324305636961"/>
    <n v="-1.0243170113469757"/>
    <n v="-8.1666449368578142E-4"/>
    <n v="0.33296460057274935"/>
    <n v="-9.5461899999996214E-3"/>
    <n v="0.41508499935756227"/>
    <n v="0.35045605459689266"/>
    <n v="0.14189034985891968"/>
    <n v="0.56371596061801643"/>
    <n v="3.7486413005938246E-3"/>
    <n v="11.604429343612965"/>
    <n v="0.27471707379371768"/>
    <n v="-0.31423031231300191"/>
    <n v="-0.47225296800000005"/>
    <n v="-0.18211304000000009"/>
    <n v="0.16168821000000014"/>
  </r>
  <r>
    <x v="28"/>
    <x v="0"/>
    <x v="0"/>
    <x v="0"/>
    <x v="0"/>
    <x v="28"/>
    <n v="204.01887999999963"/>
    <n v="-5.7126097287045869"/>
    <n v="0.33439105461590124"/>
    <n v="3.1449450605710583"/>
    <n v="-0.99547734647337238"/>
    <n v="3.2616035145105471E-2"/>
    <n v="0.32039206695226863"/>
    <n v="-1.2507259999999798E-2"/>
    <n v="0.45197720227159177"/>
    <n v="0.39590079444700166"/>
    <n v="0.20604336769207698"/>
    <n v="0.590651405527165"/>
    <n v="3.2312232153874909E-2"/>
    <n v="11.556715606812308"/>
    <n v="0.37143118989126922"/>
    <n v="-0.26346082812036542"/>
    <n v="-0.46750497300000005"/>
    <n v="-0.17318634000000002"/>
    <n v="0.1349639100000001"/>
  </r>
  <r>
    <x v="29"/>
    <x v="0"/>
    <x v="0"/>
    <x v="0"/>
    <x v="0"/>
    <x v="29"/>
    <n v="196.04543000000194"/>
    <n v="-5.4159678258543948"/>
    <n v="0.31352286450030409"/>
    <n v="3.0487050593152709"/>
    <n v="-1.0015443443949668"/>
    <n v="5.7073657360073859E-2"/>
    <n v="0.29774221533505063"/>
    <n v="-1.4099260000000058E-2"/>
    <n v="0.50123996673709925"/>
    <n v="0.45419245110849271"/>
    <n v="0.28467208617661832"/>
    <n v="0.62918017093662737"/>
    <n v="7.0533966626684652E-2"/>
    <n v="11.63081925395093"/>
    <n v="0.48163153699407601"/>
    <n v="-0.21488647579881448"/>
    <n v="-0.4427031600000001"/>
    <n v="-0.16871978999999995"/>
    <n v="9.9337940000000097E-2"/>
  </r>
  <r>
    <x v="30"/>
    <x v="0"/>
    <x v="0"/>
    <x v="0"/>
    <x v="0"/>
    <x v="30"/>
    <n v="180.45251999999891"/>
    <n v="-5.1633457945162604"/>
    <n v="0.28315080376526414"/>
    <n v="2.9361153924214678"/>
    <n v="-1.0364340481299528"/>
    <n v="7.3047956509886269E-2"/>
    <n v="0.26704870822029658"/>
    <n v="-1.4388290000000303E-2"/>
    <n v="0.55803974065296025"/>
    <n v="0.5199976375338089"/>
    <n v="0.37144826645187923"/>
    <n v="0.67486550909017229"/>
    <n v="0.11409259734593835"/>
    <n v="11.81402100078024"/>
    <n v="0.59804437318540238"/>
    <n v="-0.16943006618351797"/>
    <n v="-0.40121139999999988"/>
    <n v="-0.16840815000000003"/>
    <n v="5.7484780000000013E-2"/>
  </r>
  <r>
    <x v="31"/>
    <x v="0"/>
    <x v="0"/>
    <x v="0"/>
    <x v="0"/>
    <x v="31"/>
    <n v="158.77442000000156"/>
    <n v="-4.9520268593925554"/>
    <n v="0.24575405334270606"/>
    <n v="2.8123295871473442"/>
    <n v="-1.0931324895094074"/>
    <n v="8.1384525588390488E-2"/>
    <n v="0.23058122732395603"/>
    <n v="-1.3560989999999995E-2"/>
    <n v="0.61763293103223038"/>
    <n v="0.58807029177418979"/>
    <n v="0.46018586904799097"/>
    <n v="0.72331508425851343"/>
    <n v="0.15882870662196069"/>
    <n v="12.089349822682482"/>
    <n v="0.71375897529144527"/>
    <n v="-0.12775253768522177"/>
    <n v="-0.34682057000000011"/>
    <n v="-0.17177533300000003"/>
    <n v="1.2200839999999824E-2"/>
  </r>
  <r>
    <x v="32"/>
    <x v="0"/>
    <x v="0"/>
    <x v="0"/>
    <x v="0"/>
    <x v="32"/>
    <n v="132.64162000000215"/>
    <n v="-4.7778226205053791"/>
    <n v="0.20388724842499428"/>
    <n v="2.6823099187704535"/>
    <n v="-1.1641785759722079"/>
    <n v="8.3116485431888876E-2"/>
    <n v="0.1905989074434844"/>
    <n v="-1.1880320000000333E-2"/>
    <n v="0.6755955006318759"/>
    <n v="0.65352581662265763"/>
    <n v="0.54515852874925663"/>
    <n v="0.7704073172120296"/>
    <n v="0.20092468318551049"/>
    <n v="12.436735756165419"/>
    <n v="0.82251505969364036"/>
    <n v="-9.0292325079643909E-2"/>
    <n v="-0.28348739000000001"/>
    <n v="-0.17818285999999986"/>
    <n v="-3.3857340000000014E-2"/>
  </r>
  <r>
    <x v="33"/>
    <x v="0"/>
    <x v="0"/>
    <x v="0"/>
    <x v="0"/>
    <x v="33"/>
    <n v="103.69391999999789"/>
    <n v="-4.6354792321214422"/>
    <n v="0.15994875926674812"/>
    <n v="2.5505580349627799"/>
    <n v="-1.2421157733641941"/>
    <n v="7.9335378215095176E-2"/>
    <n v="0.14917227563355784"/>
    <n v="-9.6381799999989415E-3"/>
    <n v="0.72801217456195388"/>
    <n v="0.7120699284334675"/>
    <n v="0.62136252158868643"/>
    <n v="0.81248190827174493"/>
    <n v="0.23705560708382478"/>
    <n v="12.834201511470145"/>
    <n v="0.91893457215705965"/>
    <n v="-5.7306845895144232E-2"/>
    <n v="-0.21511886999999991"/>
    <n v="-0.18685077000000008"/>
    <n v="-7.836701999999994E-2"/>
  </r>
  <r>
    <x v="34"/>
    <x v="0"/>
    <x v="0"/>
    <x v="0"/>
    <x v="0"/>
    <x v="34"/>
    <n v="73.512640000000829"/>
    <n v="-4.5190750543338654"/>
    <n v="0.11603012607432905"/>
    <n v="2.4209296801629421"/>
    <n v="-1.3198891879785624"/>
    <n v="7.110835067676291E-2"/>
    <n v="0.10808010206053709"/>
    <n v="-7.1130799999999383E-3"/>
    <n v="0.77162271906823232"/>
    <n v="0.76017319792696103"/>
    <n v="0.68471485911965058"/>
    <n v="0.84648878736428568"/>
    <n v="0.26450809862577085"/>
    <n v="13.259055880701464"/>
    <n v="0.99869445442180016"/>
    <n v="-2.8908472251343298E-2"/>
    <n v="-0.14540246999999989"/>
    <n v="-0.19689353000000004"/>
    <n v="-0.11945310000000021"/>
  </r>
  <r>
    <x v="35"/>
    <x v="0"/>
    <x v="0"/>
    <x v="0"/>
    <x v="0"/>
    <x v="35"/>
    <n v="43.568290000002889"/>
    <n v="-4.4223862432519967"/>
    <n v="7.384644404762053E-2"/>
    <n v="2.2965325050425367"/>
    <n v="-1.391172716400646"/>
    <n v="5.9439378303149937E-2"/>
    <n v="6.8775037018498075E-2"/>
    <n v="-4.5394000000004153E-3"/>
    <n v="0.80392173246777165"/>
    <n v="0.79518727033474068"/>
    <n v="0.7321826229304218"/>
    <n v="0.87009123673091882"/>
    <n v="0.28126416144580446"/>
    <n v="13.689048348050425"/>
    <n v="1.05863944143334"/>
    <n v="-5.0890030963146593E-3"/>
    <n v="-7.7678099999999889E-2"/>
    <n v="-0.20736990999999996"/>
    <n v="-0.15572680999999983"/>
  </r>
  <r>
    <x v="36"/>
    <x v="0"/>
    <x v="0"/>
    <x v="0"/>
    <x v="0"/>
    <x v="36"/>
    <n v="15.180130000000645"/>
    <n v="-4.3392113383667885"/>
    <n v="3.4731323031400585E-2"/>
    <n v="2.1796954611995156"/>
    <n v="-1.4506203283919938"/>
    <n v="4.5262771982201855E-2"/>
    <n v="3.2396020716962681E-2"/>
    <n v="-2.0912200000000603E-3"/>
    <n v="0.82321490289649635"/>
    <n v="0.81540152780055219"/>
    <n v="0.76184244622896635"/>
    <n v="0.88172277704390289"/>
    <n v="0.28604811615760006"/>
    <n v="14.103439029964093"/>
    <n v="1.0968375106361394"/>
    <n v="1.4266813057606242E-2"/>
    <n v="-1.4844699999999947E-2"/>
    <n v="-0.21734261000000005"/>
    <n v="-0.18626638999999987"/>
  </r>
  <r>
    <x v="37"/>
    <x v="0"/>
    <x v="0"/>
    <x v="0"/>
    <x v="0"/>
    <x v="37"/>
    <n v="-10.51622000000134"/>
    <n v="-4.2636495276648478"/>
    <n v="-3.2645406166098567E-4"/>
    <n v="2.0719915364037167"/>
    <n v="-1.4940374697833048"/>
    <n v="2.9453536061985197E-2"/>
    <n v="-1.929859026805758E-4"/>
    <n v="1.1959000000005826E-4"/>
    <n v="0.82863078351875785"/>
    <n v="0.82004400505015784"/>
    <n v="0.77287469145541632"/>
    <n v="0.88059829871722783"/>
    <n v="0.27833491058044668"/>
    <n v="14.483936976422251"/>
    <n v="1.1125752241730735"/>
    <n v="2.9377060572199909E-2"/>
    <n v="4.0705926999999933E-2"/>
    <n v="-0.22594094000000006"/>
    <n v="-0.21056162999999983"/>
  </r>
  <r>
    <x v="38"/>
    <x v="0"/>
    <x v="0"/>
    <x v="0"/>
    <x v="0"/>
    <x v="38"/>
    <n v="-32.595369999999093"/>
    <n v="-4.1903325069962083"/>
    <n v="-3.0629629294520733E-2"/>
    <n v="1.9742957398161565"/>
    <n v="-1.5184765887019336"/>
    <n v="1.2840415686055096E-2"/>
    <n v="-2.8359534123723051E-2"/>
    <n v="2.0344099999999865E-3"/>
    <n v="0.82009268248741662"/>
    <n v="0.80923152797556241"/>
    <n v="0.76550006523552483"/>
    <n v="0.8666842160636623"/>
    <n v="0.25832027406575975"/>
    <n v="14.815461336787571"/>
    <n v="1.1062981410081774"/>
    <n v="4.0561410290362865E-2"/>
    <n v="8.713427200000004E-2"/>
    <n v="-0.23241921000000004"/>
    <n v="-0.22844419000000032"/>
  </r>
  <r>
    <x v="39"/>
    <x v="0"/>
    <x v="0"/>
    <x v="0"/>
    <x v="0"/>
    <x v="39"/>
    <n v="-50.363970000002155"/>
    <n v="-4.1146118788286223"/>
    <n v="-5.5720991129970532E-2"/>
    <n v="1.8868618411263416"/>
    <n v="-1.5222613325002188"/>
    <n v="-3.7901198415624116E-3"/>
    <n v="-5.1668585049158278E-2"/>
    <n v="3.6327299999999729E-3"/>
    <n v="0.79825366050487734"/>
    <n v="0.78387821013801151"/>
    <n v="0.74086685119867379"/>
    <n v="0.84063167050847376"/>
    <n v="0.22685511053004426"/>
    <n v="15.086687883540971"/>
    <n v="1.0794985457332817"/>
    <n v="4.8239485088763523E-2"/>
    <n v="0.123180553"/>
    <n v="-0.23620380999999982"/>
    <n v="-0.24001952000000035"/>
  </r>
  <r>
    <x v="40"/>
    <x v="0"/>
    <x v="0"/>
    <x v="0"/>
    <x v="0"/>
    <x v="40"/>
    <n v="-63.37695999999778"/>
    <n v="-4.0327001535379932"/>
    <n v="-7.5346195924697046E-2"/>
    <n v="1.8094070642523219"/>
    <n v="-1.5049472736560099"/>
    <n v="-1.9703987709751569E-2"/>
    <n v="-6.9863943664938422E-2"/>
    <n v="4.9158899999998673E-3"/>
    <n v="0.76440057043356546"/>
    <n v="0.74557083697022186"/>
    <n v="0.70090230340014159"/>
    <n v="0.80367947986896837"/>
    <n v="0.18534768885147823"/>
    <n v="15.290354468682366"/>
    <n v="1.0345586797009476"/>
    <n v="5.2921342867962018E-2"/>
    <n v="0.14817520140000001"/>
    <n v="-0.23692364999999999"/>
    <n v="-0.24560985999999979"/>
  </r>
  <r>
    <x v="41"/>
    <x v="0"/>
    <x v="0"/>
    <x v="0"/>
    <x v="0"/>
    <x v="41"/>
    <n v="-71.446359999998094"/>
    <n v="-3.9417656926515665"/>
    <n v="-8.9434267279431268E-2"/>
    <n v="1.741198439095859"/>
    <n v="-1.4672276177487231"/>
    <n v="-3.4241228252585021E-2"/>
    <n v="-8.2863267275523622E-2"/>
    <n v="5.8934400000001941E-3"/>
    <n v="0.72033287247856848"/>
    <n v="0.69642220063794724"/>
    <n v="0.64813762103483885"/>
    <n v="0.75753570948531301"/>
    <n v="0.13564225568194477"/>
    <n v="15.423317904970135"/>
    <n v="0.97455727562882899"/>
    <n v="5.5190282908212929E-2"/>
    <n v="0.16203039300000002"/>
    <n v="-0.23442182000000011"/>
    <n v="-0.24571056999999966"/>
  </r>
  <r>
    <x v="42"/>
    <x v="0"/>
    <x v="0"/>
    <x v="0"/>
    <x v="0"/>
    <x v="42"/>
    <n v="-74.639920000001439"/>
    <n v="-3.8399779759392016"/>
    <n v="-9.8091855810245043E-2"/>
    <n v="1.6811392166043104"/>
    <n v="-1.4107934617757834"/>
    <n v="-4.6847189475973661E-2"/>
    <n v="-9.0762610353012363E-2"/>
    <n v="6.5746099999999807E-3"/>
    <n v="0.66822518857787561"/>
    <n v="0.63891088407954655"/>
    <n v="0.58552015569843796"/>
    <n v="0.70424429781483777"/>
    <n v="7.9880716410229979E-2"/>
    <n v="15.486370950869999"/>
    <n v="0.90305255197506984"/>
    <n v="5.5675479407235606E-2"/>
    <n v="0.16520976300000001"/>
    <n v="-0.22874818000000013"/>
    <n v="-0.24095749999999971"/>
  </r>
  <r>
    <x v="43"/>
    <x v="0"/>
    <x v="0"/>
    <x v="0"/>
    <x v="0"/>
    <x v="43"/>
    <n v="-73.267509999997856"/>
    <n v="-3.7265043461315206"/>
    <n v="-0.10160417751405859"/>
    <n v="1.6278559470688236"/>
    <n v="-1.3381587518260685"/>
    <n v="-5.7103976852912464E-2"/>
    <n v="-9.3840549921830885E-2"/>
    <n v="6.9651199999992697E-3"/>
    <n v="0.61048097859000006"/>
    <n v="0.57571908480633649"/>
    <n v="0.5162229420366371"/>
    <n v="0.64604708555786594"/>
    <n v="2.0358654704999424E-2"/>
    <n v="15.483846961863312"/>
    <n v="0.82385424890618619"/>
    <n v="5.5017608410645735E-2"/>
    <n v="0.15867402199999997"/>
    <n v="-0.22013607999999996"/>
    <n v="-0.23210031000000034"/>
  </r>
  <r>
    <x v="44"/>
    <x v="0"/>
    <x v="0"/>
    <x v="0"/>
    <x v="0"/>
    <x v="44"/>
    <n v="-67.854070000001229"/>
    <n v="-3.6014571024392095"/>
    <n v="-0.1004336919127824"/>
    <n v="1.5797870455333651"/>
    <n v="-1.2524610556008731"/>
    <n v="-6.4755151268180988E-2"/>
    <n v="-9.2554975791248051E-2"/>
    <n v="7.068770000000224E-3"/>
    <n v="0.54958626088796869"/>
    <n v="0.50957600444165863"/>
    <n v="0.44346185056525211"/>
    <n v="0.58524827666031065"/>
    <n v="-4.0615165779034346E-2"/>
    <n v="15.423054292822957"/>
    <n v="0.7407997360478813"/>
    <n v="5.3831316444075128E-2"/>
    <n v="0.14380230600000007"/>
    <n v="-0.20896723999999992"/>
    <n v="-0.21997667000000012"/>
  </r>
  <r>
    <x v="45"/>
    <x v="0"/>
    <x v="0"/>
    <x v="0"/>
    <x v="0"/>
    <x v="45"/>
    <n v="-59.099620000000868"/>
    <n v="-3.4657971837708246"/>
    <n v="-9.5209069302637506E-2"/>
    <n v="1.5352734841340254"/>
    <n v="-1.1572478997397662"/>
    <n v="-6.9719131508161336E-2"/>
    <n v="-8.7527733029624244E-2"/>
    <n v="6.8917799999998475E-3"/>
    <n v="0.4879721267138093"/>
    <n v="0.44311472731282109"/>
    <n v="0.37032955166818038"/>
    <n v="0.52408890757089654"/>
    <n v="-0.10084649013261116"/>
    <n v="15.313592295931411"/>
    <n v="0.65754771582715588"/>
    <n v="5.2667608936585175E-2"/>
    <n v="0.12229208599999998"/>
    <n v="-0.19573014"/>
    <n v="-0.20548312000000027"/>
  </r>
  <r>
    <x v="46"/>
    <x v="0"/>
    <x v="0"/>
    <x v="0"/>
    <x v="0"/>
    <x v="46"/>
    <n v="-47.828830000005837"/>
    <n v="-3.3211993060256573"/>
    <n v="-8.6701007432321564E-2"/>
    <n v="1.4926498937027466"/>
    <n v="-1.0562620470071726"/>
    <n v="-7.2086974221341471E-2"/>
    <n v="-7.9514037922012726E-2"/>
    <n v="6.448030000000271E-3"/>
    <n v="0.42789238317444411"/>
    <n v="0.37874791958654175"/>
    <n v="0.29965116613772658"/>
    <n v="0.46463692041678328"/>
    <n v="-0.15836410676682844"/>
    <n v="15.166604127337813"/>
    <n v="0.57740092395206499"/>
    <n v="5.1984226731160987E-2"/>
    <n v="9.6043603000000019E-2"/>
    <n v="-0.18097670000000005"/>
    <n v="-0.18954086000000023"/>
  </r>
  <r>
    <x v="47"/>
    <x v="0"/>
    <x v="0"/>
    <x v="0"/>
    <x v="0"/>
    <x v="47"/>
    <n v="-34.934199999996054"/>
    <n v="-3.1698893216087431"/>
    <n v="-7.5783260821882248E-2"/>
    <n v="1.4503331719376344"/>
    <n v="-0.95323374522876536"/>
    <n v="-7.2104938604711233E-2"/>
    <n v="-6.9359076858677149E-2"/>
    <n v="5.763169999999096E-3"/>
    <n v="0.37132258588379319"/>
    <n v="0.31856839746753352"/>
    <n v="0.23386892505978807"/>
    <n v="0.40869746132610185"/>
    <n v="-0.21150371333297224"/>
    <n v="14.994020719548562"/>
    <n v="0.5031661471060378"/>
    <n v="5.2123156192762643E-2"/>
    <n v="6.7037162999999955E-2"/>
    <n v="-0.16528147999999993"/>
    <n v="-0.17305665000000026"/>
  </r>
  <r>
    <x v="48"/>
    <x v="0"/>
    <x v="0"/>
    <x v="0"/>
    <x v="0"/>
    <x v="48"/>
    <n v="-21.317580000002636"/>
    <n v="-3.0144643261381998"/>
    <n v="-6.3382299843606216E-2"/>
    <n v="1.4069040655987575"/>
    <n v="-0.85169212379977433"/>
    <n v="-7.0144252895665282E-2"/>
    <n v="-5.7945709373041776E-2"/>
    <n v="4.8767399999996575E-3"/>
    <n v="0.31988422349777945"/>
    <n v="0.2642746109122518"/>
    <n v="0.17495680480241749"/>
    <n v="0.35774632904963521"/>
    <n v="-0.25896478904007258"/>
    <n v="14.807843330295501"/>
    <n v="0.43705708438723789"/>
    <n v="5.3300977801007399E-2"/>
    <n v="3.7212806000000084E-2"/>
    <n v="-0.14920617999999997"/>
    <n v="-0.15688124000000012"/>
  </r>
  <r>
    <x v="49"/>
    <x v="0"/>
    <x v="0"/>
    <x v="0"/>
    <x v="0"/>
    <x v="49"/>
    <n v="-7.8352900000027148"/>
    <n v="-2.8577072433720208"/>
    <n v="-5.0421110886833542E-2"/>
    <n v="1.3611766205849474"/>
    <n v="-0.75480220433575829"/>
    <n v="-6.6661884466712173E-2"/>
    <n v="-4.6138298674314182E-2"/>
    <n v="3.841340000000637E-3"/>
    <n v="0.27479520881834585"/>
    <n v="0.2171239889091181"/>
    <n v="0.12436770849226786"/>
    <n v="0.31288691103532607"/>
    <n v="-0.29984089999699481"/>
    <n v="14.619503178137293"/>
    <n v="0.38064051993011994"/>
    <n v="5.56093735273544E-2"/>
    <n v="8.3615239999999466E-3"/>
    <n v="-0.13327127999999999"/>
    <n v="-0.14176880000000003"/>
  </r>
  <r>
    <x v="50"/>
    <x v="0"/>
    <x v="0"/>
    <x v="0"/>
    <x v="0"/>
    <x v="50"/>
    <n v="4.7489599999971688"/>
    <n v="-2.7024090687874369"/>
    <n v="-3.7762401293139902E-2"/>
    <n v="1.3122516860108124"/>
    <n v="-0.6652357422223476"/>
    <n v="-6.2157752626590401E-2"/>
    <n v="-3.4729831450541759E-2"/>
    <n v="2.7195399999999093E-3"/>
    <n v="0.23684739017055811"/>
    <n v="0.17791335739418823"/>
    <n v="8.3011862940529646E-2"/>
    <n v="0.2748306873907147"/>
    <n v="-0.33362493849554697"/>
    <n v="14.439324664963227"/>
    <n v="0.33482434788196791"/>
    <n v="5.9026130084771644E-2"/>
    <n v="-1.7964369999999997E-2"/>
    <n v="-0.11793489999999997"/>
    <n v="-0.12834134000000025"/>
  </r>
  <r>
    <x v="0"/>
    <x v="0"/>
    <x v="0"/>
    <x v="0"/>
    <x v="1"/>
    <x v="0"/>
    <n v="0"/>
    <n v="0"/>
    <n v="0"/>
    <n v="0"/>
    <n v="0"/>
    <n v="0"/>
    <n v="0"/>
    <n v="0"/>
    <n v="0"/>
    <n v="0"/>
    <n v="0"/>
    <n v="0"/>
    <n v="3.8736428717323079E-3"/>
    <n v="0.21921084285785319"/>
    <n v="0"/>
    <n v="0"/>
    <n v="0"/>
    <n v="0"/>
    <n v="0"/>
  </r>
  <r>
    <x v="1"/>
    <x v="0"/>
    <x v="0"/>
    <x v="0"/>
    <x v="1"/>
    <x v="51"/>
    <n v="51.239659999999276"/>
    <n v="-5.2875162557840198"/>
    <n v="0.11581858227627251"/>
    <n v="0.55643455974170308"/>
    <n v="-4.8595787731409157E-2"/>
    <n v="-0.32200200693651704"/>
    <n v="0.1683491096716061"/>
    <n v="4.7065620000000252E-2"/>
    <n v="0.46509211674199413"/>
    <n v="0.13073914985179957"/>
    <n v="-0.58046939728294555"/>
    <n v="0.83943067463683185"/>
    <n v="0.26920437914708106"/>
    <n v="0.76437603278298738"/>
    <n v="4.5500461883185572E-2"/>
    <n v="-0.42027025586850453"/>
    <n v="-0.15306476000000041"/>
    <n v="0.15155706999999996"/>
    <n v="2.2378615000000039E-2"/>
  </r>
  <r>
    <x v="2"/>
    <x v="0"/>
    <x v="0"/>
    <x v="0"/>
    <x v="1"/>
    <x v="52"/>
    <n v="114.55407999999807"/>
    <n v="-8.2873479554530718"/>
    <n v="0.31558777052997922"/>
    <n v="1.0770388110559637"/>
    <n v="-0.1327829833824401"/>
    <n v="-0.44843626829569327"/>
    <n v="0.38833952662282734"/>
    <n v="6.504732999999957E-2"/>
    <n v="0.62232882827724101"/>
    <n v="0.35142570106454496"/>
    <n v="-0.26280901319508665"/>
    <n v="0.96689039072768157"/>
    <n v="0.52356838821550067"/>
    <n v="1.6740686216036194"/>
    <n v="0.27140300878083501"/>
    <n v="-0.43335531574381081"/>
    <n v="-0.32863880999999956"/>
    <n v="0.24419021000000007"/>
    <n v="0.17636427300000007"/>
  </r>
  <r>
    <x v="3"/>
    <x v="0"/>
    <x v="0"/>
    <x v="0"/>
    <x v="1"/>
    <x v="53"/>
    <n v="172.63004000000001"/>
    <n v="-9.8379409698376552"/>
    <n v="0.54367770001553239"/>
    <n v="1.5006804174414912"/>
    <n v="-0.24869950064160262"/>
    <n v="-0.42362514992939637"/>
    <n v="0.61259756781426589"/>
    <n v="6.1480250000001124E-2"/>
    <n v="0.86516889396150987"/>
    <n v="0.66160340098910808"/>
    <n v="0.15197941388402914"/>
    <n v="1.1762448724393471"/>
    <n v="0.79079139234814466"/>
    <n v="2.9508091044104123"/>
    <n v="0.5796460569236217"/>
    <n v="-0.48331233295715315"/>
    <n v="-0.47937539000000029"/>
    <n v="0.30270860999999993"/>
    <n v="0.33421299400000004"/>
  </r>
  <r>
    <x v="4"/>
    <x v="0"/>
    <x v="0"/>
    <x v="0"/>
    <x v="1"/>
    <x v="54"/>
    <n v="218.97349000000031"/>
    <n v="-10.541097426246093"/>
    <n v="0.77276073188725647"/>
    <n v="1.8313116218812375"/>
    <n v="-0.39240541937479723"/>
    <n v="-0.31215603673904191"/>
    <n v="0.82560123197055191"/>
    <n v="4.7033550000000202E-2"/>
    <n v="1.165652220626856"/>
    <n v="1.0348060039533813"/>
    <n v="0.63600838878941079"/>
    <n v="1.443220769311071"/>
    <n v="1.0640702822416248"/>
    <n v="4.5799536183135814"/>
    <n v="0.95289075947200264"/>
    <n v="-0.55247094655894724"/>
    <n v="-0.59222995000000056"/>
    <n v="0.34279937999999976"/>
    <n v="0.48199361099999993"/>
  </r>
  <r>
    <x v="5"/>
    <x v="0"/>
    <x v="0"/>
    <x v="0"/>
    <x v="1"/>
    <x v="55"/>
    <n v="252.47559000000183"/>
    <n v="-10.751463448617804"/>
    <n v="0.993919379306063"/>
    <n v="2.0916676853816041"/>
    <n v="-0.55860126585043357"/>
    <n v="-0.15348480629464589"/>
    <n v="1.0299292090298451"/>
    <n v="3.1986879999999773E-2"/>
    <n v="1.5004245878989408"/>
    <n v="1.4455174331589271"/>
    <n v="1.1618041030188042"/>
    <n v="1.744843213073044"/>
    <n v="1.332148548120804"/>
    <n v="6.5392299391013653"/>
    <n v="1.3851398524344249"/>
    <n v="-0.61454815398153118"/>
    <n v="-0.66830516000000029"/>
    <n v="0.37218426000000004"/>
    <n v="0.61742347900000005"/>
  </r>
  <r>
    <x v="6"/>
    <x v="0"/>
    <x v="0"/>
    <x v="0"/>
    <x v="1"/>
    <x v="56"/>
    <n v="274.37218999999823"/>
    <n v="-10.675100253326731"/>
    <n v="1.205041690163644"/>
    <n v="2.3053562764188795"/>
    <n v="-0.74135427982896518"/>
    <n v="2.9804835107816174E-2"/>
    <n v="1.2273003693172635"/>
    <n v="1.973383000000023E-2"/>
    <n v="1.8529329864515942"/>
    <n v="1.8747104450282492"/>
    <n v="1.7087704768317113"/>
    <n v="2.0641050588198873"/>
    <n v="1.5864724475488146"/>
    <n v="8.8028466162796803"/>
    <n v="1.8669524691746098"/>
    <n v="-0.65555192806144857"/>
    <n v="-0.71351686999999997"/>
    <n v="0.39470188000000006"/>
    <n v="0.74018430700000004"/>
  </r>
  <r>
    <x v="7"/>
    <x v="0"/>
    <x v="0"/>
    <x v="0"/>
    <x v="1"/>
    <x v="57"/>
    <n v="286.58554000000004"/>
    <n v="-10.433770459572944"/>
    <n v="1.4050094748342845"/>
    <n v="2.4907996999686821"/>
    <n v="-0.93487369617850646"/>
    <n v="0.22390051501754993"/>
    <n v="1.4165429973332255"/>
    <n v="1.0206610000000615E-2"/>
    <n v="2.211700969806274"/>
    <n v="2.308904658023625"/>
    <n v="2.2623162623881976"/>
    <n v="2.3889982694596412"/>
    <n v="1.8216536603359978"/>
    <n v="11.34288952673459"/>
    <n v="2.3853481871519255"/>
    <n v="-0.67217413821415439"/>
    <n v="-0.7343159900000007"/>
    <n v="0.41256976000000023"/>
    <n v="0.84996478000000009"/>
  </r>
  <r>
    <x v="8"/>
    <x v="0"/>
    <x v="0"/>
    <x v="0"/>
    <x v="1"/>
    <x v="58"/>
    <n v="290.95098999999755"/>
    <n v="-10.101304842400172"/>
    <n v="1.5921420134499042"/>
    <n v="2.6603351462981983"/>
    <n v="-1.133915576921718"/>
    <n v="0.41951647853770702"/>
    <n v="1.595039364629347"/>
    <n v="2.559639999999419E-3"/>
    <n v="2.5683041622599267"/>
    <n v="2.7381219627029107"/>
    <n v="2.8115921348535799"/>
    <n v="2.7107002771862954"/>
    <n v="2.0342975333093483"/>
    <n v="14.129577859954413"/>
    <n v="2.926093258183271"/>
    <n v="-0.66668380803101002"/>
    <n v="-0.73608282000000025"/>
    <n v="0.42722570000000015"/>
    <n v="0.94644468999999998"/>
  </r>
  <r>
    <x v="9"/>
    <x v="0"/>
    <x v="0"/>
    <x v="0"/>
    <x v="1"/>
    <x v="59"/>
    <n v="288.96248999999807"/>
    <n v="-9.7236316531547082"/>
    <n v="1.7643880892080244"/>
    <n v="2.8212890507267163"/>
    <n v="-1.3338867007371413"/>
    <n v="0.61000700369744365"/>
    <n v="1.7600436754427573"/>
    <n v="-3.8317299999993115E-3"/>
    <n v="2.9159919646814858"/>
    <n v="3.1543440102290932"/>
    <n v="3.3477339880104928"/>
    <n v="3.0222352579183376"/>
    <n v="2.2219572376714014"/>
    <n v="17.131181296556996"/>
    <n v="3.4753545880799486"/>
    <n v="-0.64322345666438796"/>
    <n v="-0.7228541399999997"/>
    <n v="0.43958181000000041"/>
    <n v="1.0295080400000001"/>
  </r>
  <r>
    <x v="10"/>
    <x v="0"/>
    <x v="0"/>
    <x v="0"/>
    <x v="1"/>
    <x v="60"/>
    <n v="281.77088999999978"/>
    <n v="-9.329791277576982"/>
    <n v="1.9198255720878077"/>
    <n v="2.9774742045580505"/>
    <n v="-1.5308008952240382"/>
    <n v="0.79054935004252425"/>
    <n v="1.9093103132182376"/>
    <n v="-9.2602499999996923E-3"/>
    <n v="3.2489728281531294"/>
    <n v="3.5506828734867879"/>
    <n v="3.8629050742711835"/>
    <n v="3.317754006441187"/>
    <n v="2.3825909099781661"/>
    <n v="20.313954453640235"/>
    <n v="4.0204778429922206"/>
    <n v="-0.60593394992183303"/>
    <n v="-0.69758311999999911"/>
    <n v="0.4501155"/>
    <n v="1.0993126900000001"/>
  </r>
  <r>
    <x v="11"/>
    <x v="0"/>
    <x v="0"/>
    <x v="0"/>
    <x v="1"/>
    <x v="61"/>
    <n v="270.271090000002"/>
    <n v="-8.9381137215200361"/>
    <n v="2.0569637332134905"/>
    <n v="3.1304626535812119"/>
    <n v="-1.7211984694967319"/>
    <n v="0.9577263391133739"/>
    <n v="2.0412324149149619"/>
    <n v="-1.3834360000000712E-2"/>
    <n v="3.5621420223183042"/>
    <n v="3.9210759270354556"/>
    <n v="4.3499428275834751"/>
    <n v="3.5922525636469693"/>
    <n v="2.5144276133489463"/>
    <n v="23.642231826942517"/>
    <n v="4.5502327466488746"/>
    <n v="-0.55828945376033001"/>
    <n v="-0.66250851999999916"/>
    <n v="0.45895068000000039"/>
    <n v="1.1562302800000004"/>
  </r>
  <r>
    <x v="12"/>
    <x v="0"/>
    <x v="0"/>
    <x v="0"/>
    <x v="1"/>
    <x v="62"/>
    <n v="255.19585000000006"/>
    <n v="-8.5598346187869883"/>
    <n v="2.1748101024585909"/>
    <n v="3.2804710402016157"/>
    <n v="-1.902082141607242"/>
    <n v="1.1092391781908351"/>
    <n v="2.154756315761297"/>
    <n v="-1.761297999999939E-2"/>
    <n v="3.8510426703533884"/>
    <n v="4.2602657998575877"/>
    <n v="4.8023478066871128"/>
    <n v="3.8415241867514771"/>
    <n v="2.6160500512739659"/>
    <n v="27.078719293036691"/>
    <n v="5.0548346139358769"/>
    <n v="-0.50303046676493102"/>
    <n v="-0.61945689999999964"/>
    <n v="0.46595759999999986"/>
    <n v="1.2007400499999998"/>
  </r>
  <r>
    <x v="13"/>
    <x v="0"/>
    <x v="0"/>
    <x v="0"/>
    <x v="1"/>
    <x v="63"/>
    <n v="237.18583000000217"/>
    <n v="-8.2013431770044054"/>
    <n v="2.2728036767459159"/>
    <n v="3.426908349982094"/>
    <n v="-2.0708835713946994"/>
    <n v="1.243672066690138"/>
    <n v="2.2492466368874364"/>
    <n v="-2.0666400000000917E-2"/>
    <n v="4.1119176148025849"/>
    <n v="4.5638934514254936"/>
    <n v="5.2144193164860742"/>
    <n v="4.062202584824659"/>
    <n v="2.6865441110262012"/>
    <n v="30.584980307724873"/>
    <n v="5.5259108814241786"/>
    <n v="-0.4423133735434015"/>
    <n v="-0.57003692999999944"/>
    <n v="0.47085978000000056"/>
    <n v="1.2333383500000004"/>
  </r>
  <r>
    <x v="14"/>
    <x v="0"/>
    <x v="0"/>
    <x v="0"/>
    <x v="1"/>
    <x v="64"/>
    <n v="216.83218999999735"/>
    <n v="-7.8656709748629261"/>
    <n v="2.3507184948306614"/>
    <n v="3.5686954168624885"/>
    <n v="-2.2254541828612973"/>
    <n v="1.3602969981428403"/>
    <n v="2.3243815881739627"/>
    <n v="-2.3082229999998871E-2"/>
    <n v="4.3417769347652513"/>
    <n v="4.8286031933087115"/>
    <n v="5.581420243477675"/>
    <n v="4.2518115774661913"/>
    <n v="2.7256241082753485"/>
    <n v="34.122089429473078"/>
    <n v="5.9564782024412066"/>
    <n v="-0.37788876417637063"/>
    <n v="-0.51574290999999994"/>
    <n v="0.47333069999999988"/>
    <n v="1.25449075"/>
  </r>
  <r>
    <x v="15"/>
    <x v="0"/>
    <x v="0"/>
    <x v="0"/>
    <x v="1"/>
    <x v="65"/>
    <n v="194.69834000000264"/>
    <n v="-7.5535320076225325"/>
    <n v="2.4085886507251297"/>
    <n v="3.7044551738576459"/>
    <n v="-2.3640683089875547"/>
    <n v="1.4589204576251458"/>
    <n v="2.3800987857394595"/>
    <n v="-2.4948519999999641E-2"/>
    <n v="4.5384438382033432"/>
    <n v="5.0521110014496218"/>
    <n v="5.8997127613371836"/>
    <n v="4.40878596708556"/>
    <n v="2.7336982671623211"/>
    <n v="37.651410075996729"/>
    <n v="6.3409385740934132"/>
    <n v="-0.31123912180121005"/>
    <n v="-0.45799895000000063"/>
    <n v="0.47306992999999953"/>
    <n v="1.2646272399999998"/>
  </r>
  <r>
    <x v="16"/>
    <x v="0"/>
    <x v="0"/>
    <x v="0"/>
    <x v="1"/>
    <x v="66"/>
    <n v="171.32812000000195"/>
    <n v="-7.2640760711702885"/>
    <n v="2.4466750473531196"/>
    <n v="3.8326400977084285"/>
    <n v="-2.4854275950239368"/>
    <n v="1.5397682965304416"/>
    <n v="2.4165810312533953"/>
    <n v="-2.6336150000000336E-2"/>
    <n v="4.7005682068461452"/>
    <n v="5.2332194811603561"/>
    <n v="6.1668409355015941"/>
    <n v="4.5324510540565299"/>
    <n v="2.7118688241042133"/>
    <n v="41.13544782744691"/>
    <n v="6.6750817784939853"/>
    <n v="-0.24366312458338202"/>
    <n v="-0.39816957000000031"/>
    <n v="0.46985558999999982"/>
    <n v="1.26416741"/>
  </r>
  <r>
    <x v="17"/>
    <x v="0"/>
    <x v="0"/>
    <x v="0"/>
    <x v="1"/>
    <x v="67"/>
    <n v="147.24658999999883"/>
    <n v="-6.9954475727425862"/>
    <n v="2.4654607661568351"/>
    <n v="3.9516322021417194"/>
    <n v="-2.5886590669387921"/>
    <n v="1.6034000374222979"/>
    <n v="2.434262132278131"/>
    <n v="-2.7290269999999395E-2"/>
    <n v="4.8276083089802579"/>
    <n v="5.3717789855605602"/>
    <n v="6.3815556450973032"/>
    <n v="4.6229628268057432"/>
    <n v="2.6618762861540857"/>
    <n v="44.538717538380567"/>
    <n v="6.9560785968720396"/>
    <n v="-0.17631642142670323"/>
    <n v="-0.33755385999999987"/>
    <n v="0.46357461999999988"/>
    <n v="1.2535585099999995"/>
  </r>
  <r>
    <x v="18"/>
    <x v="0"/>
    <x v="0"/>
    <x v="0"/>
    <x v="1"/>
    <x v="68"/>
    <n v="122.95628000000215"/>
    <n v="-6.74520487537057"/>
    <n v="2.4656606473454357"/>
    <n v="4.0598304492155846"/>
    <n v="-2.6733028222941102"/>
    <n v="1.6506418491911923"/>
    <n v="2.4338341270141228"/>
    <n v="-2.7831909999999349E-2"/>
    <n v="4.9197831522248547"/>
    <n v="5.4686033078682694"/>
    <n v="6.5437844855255722"/>
    <n v="4.681217483068445"/>
    <n v="2.5860041385274091"/>
    <n v="47.828566227612356"/>
    <n v="7.1824508985208757"/>
    <n v="-0.11022262048069331"/>
    <n v="-0.27737150000000033"/>
    <n v="0.45423514999999998"/>
    <n v="1.2333114799999996"/>
  </r>
  <r>
    <x v="19"/>
    <x v="0"/>
    <x v="0"/>
    <x v="0"/>
    <x v="1"/>
    <x v="69"/>
    <n v="98.93090999999913"/>
    <n v="-6.5106368493357047"/>
    <n v="2.4482266990401236"/>
    <n v="4.155727520220398"/>
    <n v="-2.739288871007961"/>
    <n v="1.6825288246817394"/>
    <n v="2.4162437351545218"/>
    <n v="-2.7966399999999891E-2"/>
    <n v="4.978001996382897"/>
    <n v="5.5253501440789998"/>
    <n v="6.6545545179326648"/>
    <n v="4.7087389149918391"/>
    <n v="2.4869595073210737"/>
    <n v="50.975895209285468"/>
    <n v="7.3540113977383914"/>
    <n v="-4.6268261179849279E-2"/>
    <n v="-0.21874424000000031"/>
    <n v="0.44196537000000047"/>
    <n v="1.2040244800000008"/>
  </r>
  <r>
    <x v="20"/>
    <x v="0"/>
    <x v="0"/>
    <x v="0"/>
    <x v="1"/>
    <x v="70"/>
    <n v="75.607100000001083"/>
    <n v="-6.2890009012238064"/>
    <n v="2.4143392852311152"/>
    <n v="4.2379745802249902"/>
    <n v="-2.7869034949188798"/>
    <n v="1.700251103649042"/>
    <n v="2.3826708278715802"/>
    <n v="-2.7694400000000119E-2"/>
    <n v="5.0037767664883326"/>
    <n v="5.5443788411232209"/>
    <n v="6.7158763416908851"/>
    <n v="4.7075544867621666"/>
    <n v="2.3677438336696444"/>
    <n v="53.955738730975611"/>
    <n v="7.4717698544479294"/>
    <n v="1.480916720058012E-2"/>
    <n v="-0.16267503000000003"/>
    <n v="0.42700294"/>
    <n v="1.1663897900000004"/>
  </r>
  <r>
    <x v="21"/>
    <x v="0"/>
    <x v="0"/>
    <x v="0"/>
    <x v="1"/>
    <x v="71"/>
    <n v="53.374909999998636"/>
    <n v="-6.077698842942092"/>
    <n v="2.365381008628753"/>
    <n v="4.3054308494698379"/>
    <n v="-2.8167477941641206"/>
    <n v="1.7051013079210087"/>
    <n v="2.3344903244407522"/>
    <n v="-2.7021929999999916E-2"/>
    <n v="4.9991224495574249"/>
    <n v="5.5285963635474777"/>
    <n v="6.7305999750929324"/>
    <n v="4.6800684698489858"/>
    <n v="2.2315240047287244"/>
    <n v="56.747667874546707"/>
    <n v="7.5378073575314897"/>
    <n v="7.2432171985226113E-2"/>
    <n v="-0.11002615999999993"/>
    <n v="0.40967828999999983"/>
    <n v="1.1211844200000007"/>
  </r>
  <r>
    <x v="22"/>
    <x v="0"/>
    <x v="0"/>
    <x v="0"/>
    <x v="1"/>
    <x v="72"/>
    <n v="32.568030000002182"/>
    <n v="-5.8744016721437253"/>
    <n v="2.3028939769866863"/>
    <n v="4.3571974312426986"/>
    <n v="-2.8296905139167938"/>
    <n v="1.6984240459670064"/>
    <n v="2.2732224772641363"/>
    <n v="-2.5967109999999738E-2"/>
    <n v="4.9664515971139522"/>
    <n v="5.4813018702625449"/>
    <n v="6.7022523515025467"/>
    <n v="4.6289386392729392"/>
    <n v="2.0815122736952629"/>
    <n v="59.336006686431951"/>
    <n v="7.5551232759999865"/>
    <n v="0.12618909895296682"/>
    <n v="-6.1498990000000142E-2"/>
    <n v="0.39039425000000005"/>
    <n v="1.0692492699999994"/>
  </r>
  <r>
    <x v="23"/>
    <x v="0"/>
    <x v="0"/>
    <x v="0"/>
    <x v="1"/>
    <x v="73"/>
    <n v="13.454969999998866"/>
    <n v="-5.6771307743947119"/>
    <n v="2.2285282341781176"/>
    <n v="4.3926357301871999"/>
    <n v="-2.8268180552647237"/>
    <n v="1.6815699307529686"/>
    <n v="2.2004784336479677"/>
    <n v="-2.4562570000000172E-2"/>
    <n v="4.9084676491360835"/>
    <n v="5.4060386442186026"/>
    <n v="6.6348671988848862"/>
    <n v="4.5569642798945376"/>
    <n v="1.9208603585364692"/>
    <n v="61.709863553856351"/>
    <n v="7.5274618067044941"/>
    <n v="0.17583205926592349"/>
    <n v="-1.7617860000000013E-2"/>
    <n v="0.36960373999999974"/>
    <n v="1.0114628399999992"/>
  </r>
  <r>
    <x v="24"/>
    <x v="0"/>
    <x v="0"/>
    <x v="0"/>
    <x v="1"/>
    <x v="74"/>
    <n v="-3.7677000000003318"/>
    <n v="-5.4843016884180695"/>
    <n v="2.143988447051659"/>
    <n v="4.4113732155616203"/>
    <n v="-2.8093840804132131"/>
    <n v="1.6558571363510355"/>
    <n v="2.1179092398556643"/>
    <n v="-2.2853860000000836E-2"/>
    <n v="4.8280617541190285"/>
    <n v="5.3064599244130317"/>
    <n v="6.5328165323127019"/>
    <n v="4.466987194241745"/>
    <n v="1.7525711236823005"/>
    <n v="63.862993181112039"/>
    <n v="7.4591277079945728"/>
    <n v="0.22126577724108643"/>
    <n v="2.1278979999999822E-2"/>
    <n v="0.34778685999999959"/>
    <n v="0.94871671999999929"/>
  </r>
  <r>
    <x v="25"/>
    <x v="0"/>
    <x v="0"/>
    <x v="0"/>
    <x v="1"/>
    <x v="75"/>
    <n v="-18.978540000000066"/>
    <n v="-5.294734902159048"/>
    <n v="2.0509873765525377"/>
    <n v="4.4132992708658225"/>
    <n v="-2.7787607033795791"/>
    <n v="1.6225424110919429"/>
    <n v="2.027163691693068"/>
    <n v="-2.0895059999999355E-2"/>
    <n v="4.7282171466972889"/>
    <n v="5.1862133206932004"/>
    <n v="6.4006519129301997"/>
    <n v="4.3618096141028406"/>
    <n v="1.5794296837540855"/>
    <n v="65.793514646888582"/>
    <n v="7.3547999751420567"/>
    <n v="0.26252879877219915"/>
    <n v="5.5039159999999837E-2"/>
    <n v="0.32542836999999991"/>
    <n v="0.8818974199999996"/>
  </r>
  <r>
    <x v="26"/>
    <x v="0"/>
    <x v="0"/>
    <x v="0"/>
    <x v="1"/>
    <x v="76"/>
    <n v="-32.130510000002687"/>
    <n v="-5.107639619728765"/>
    <n v="1.9512097281239482"/>
    <n v="4.3985539636571591"/>
    <n v="-2.7363931076628045"/>
    <n v="1.5828033891800874"/>
    <n v="1.9298597805535334"/>
    <n v="-1.8743190000000687E-2"/>
    <n v="4.6119242558366746"/>
    <n v="5.0488463625308011"/>
    <n v="6.2429622082856406"/>
    <n v="4.2441296132582185"/>
    <n v="1.4039539340711782"/>
    <n v="67.503517738241797"/>
    <n v="7.2193537421636256"/>
    <n v="0.29976830611788685"/>
    <n v="8.3685730000000041E-2"/>
    <n v="0.30299639000000017"/>
    <n v="0.81187778999999982"/>
  </r>
  <r>
    <x v="27"/>
    <x v="0"/>
    <x v="0"/>
    <x v="0"/>
    <x v="1"/>
    <x v="77"/>
    <n v="-43.245539999999892"/>
    <n v="-4.9225755895385248"/>
    <n v="1.8462898109756098"/>
    <n v="4.3675125551564609"/>
    <n v="-2.6837587479009439"/>
    <n v="1.5377313873037091"/>
    <n v="1.8275679877368445"/>
    <n v="-1.6452730000000859E-2"/>
    <n v="4.4821084540074052"/>
    <n v="4.8977337981640945"/>
    <n v="6.0642520941080358"/>
    <n v="4.1164929416564133"/>
    <n v="1.2283642416703211"/>
    <n v="68.998590812467214"/>
    <n v="7.0576980744609275"/>
    <n v="0.33321163882049643"/>
    <n v="0.10739688999999997"/>
    <n v="0.28092315000000023"/>
    <n v="0.73951715000000062"/>
  </r>
  <r>
    <x v="28"/>
    <x v="0"/>
    <x v="0"/>
    <x v="0"/>
    <x v="1"/>
    <x v="78"/>
    <n v="-52.405490000001009"/>
    <n v="-4.7393996598525163"/>
    <n v="1.7378004551223736"/>
    <n v="4.3207666376925191"/>
    <n v="-2.6223324585395336"/>
    <n v="1.4883330612089019"/>
    <n v="1.7218052370737924"/>
    <n v="-1.4071949999999722E-2"/>
    <n v="4.3415716076858457"/>
    <n v="4.7360258259909527"/>
    <n v="5.8688435436772046"/>
    <n v="3.9812610006721316"/>
    <n v="1.0545690281121844"/>
    <n v="70.287302678773628"/>
    <n v="6.8746361446161863"/>
    <n v="0.36313739395674727"/>
    <n v="0.12647764000000006"/>
    <n v="0.25958889000000029"/>
    <n v="0.66566774000000051"/>
  </r>
  <r>
    <x v="29"/>
    <x v="0"/>
    <x v="0"/>
    <x v="0"/>
    <x v="1"/>
    <x v="79"/>
    <n v="-59.739839999998367"/>
    <n v="-4.5582032070709317"/>
    <n v="1.6272506649727791"/>
    <n v="4.2591027104418977"/>
    <n v="-2.553556538963786"/>
    <n v="1.435538129237357"/>
    <n v="1.6140331160781507"/>
    <n v="-1.1641280000000698E-2"/>
    <n v="4.1929481090579035"/>
    <n v="4.5666150032661834"/>
    <n v="5.6608008699930323"/>
    <n v="3.8405919836118851"/>
    <n v="0.88416601423808583"/>
    <n v="71.380667914300318"/>
    <n v="6.6747520953496453"/>
    <n v="0.38984886819131148"/>
    <n v="0.14132643999999994"/>
    <n v="0.23930954999999976"/>
    <n v="0.5911826300000006"/>
  </r>
  <r>
    <x v="30"/>
    <x v="0"/>
    <x v="0"/>
    <x v="0"/>
    <x v="1"/>
    <x v="80"/>
    <n v="-65.41197000000102"/>
    <n v="-4.379247241592255"/>
    <n v="1.5160850991691177"/>
    <n v="4.1834783751601323"/>
    <n v="-2.4788177535943756"/>
    <n v="1.3802094474001825"/>
    <n v="1.5056581997103136"/>
    <n v="-9.1940900000003767E-3"/>
    <n v="4.0386729466791893"/>
    <n v="4.3921191843779184"/>
    <n v="5.4438779413185978"/>
    <n v="3.6964330692655478"/>
    <n v="0.7184535910972123"/>
    <n v="72.291617655356546"/>
    <n v="6.4623256723559619"/>
    <n v="0.41365169649283384"/>
    <n v="0.15240033999999997"/>
    <n v="0.22032904999999964"/>
    <n v="0.51692055999999975"/>
  </r>
  <r>
    <x v="31"/>
    <x v="0"/>
    <x v="0"/>
    <x v="0"/>
    <x v="1"/>
    <x v="81"/>
    <n v="-69.605400000000373"/>
    <n v="-4.2029004464587345"/>
    <n v="1.4056822257997759"/>
    <n v="4.0949953249412419"/>
    <n v="-2.3994295169144308"/>
    <n v="1.3231526270984117"/>
    <n v="1.3980256232090982"/>
    <n v="-6.7591199999994522E-3"/>
    <n v="3.8809633591086801"/>
    <n v="4.2148770080175701"/>
    <n v="5.2214851712720112"/>
    <n v="3.5505217309183434"/>
    <n v="0.55845189672458773"/>
    <n v="73.034497014602096"/>
    <n v="6.2412743407479043"/>
    <n v="0.434837224859419"/>
    <n v="0.16018218000000001"/>
    <n v="0.20281667000000003"/>
    <n v="0.44374327000000002"/>
  </r>
  <r>
    <x v="32"/>
    <x v="0"/>
    <x v="0"/>
    <x v="0"/>
    <x v="1"/>
    <x v="82"/>
    <n v="-72.511210000000574"/>
    <n v="-4.0295851784084231"/>
    <n v="1.2973451280639869"/>
    <n v="3.9948696913288506"/>
    <n v="-2.3166188041573776"/>
    <n v="1.2651222570199794"/>
    <n v="1.2924076248790772"/>
    <n v="-4.3637200000001819E-3"/>
    <n v="3.7218083794728019"/>
    <n v="4.0369525931674533"/>
    <n v="4.9966729402212362"/>
    <n v="3.4043918933510442"/>
    <n v="0.4049288954359076"/>
    <n v="73.624598863492679"/>
    <n v="6.0151192761648042"/>
    <n v="0.45367177604411779"/>
    <n v="0.16515287000000001"/>
    <n v="0.18686924999999979"/>
    <n v="0.3725036000000001"/>
  </r>
  <r>
    <x v="33"/>
    <x v="0"/>
    <x v="0"/>
    <x v="0"/>
    <x v="1"/>
    <x v="83"/>
    <n v="-74.318150000002788"/>
    <n v="-3.8597341869950896"/>
    <n v="1.1922855236512708"/>
    <n v="3.8843993699896773"/>
    <n v="-2.2315175093969519"/>
    <n v="1.2068232352342223"/>
    <n v="1.1899832447004099"/>
    <n v="-2.0370199999994454E-3"/>
    <n v="3.5629671263218254"/>
    <n v="3.8601463590169915"/>
    <n v="4.7721278999405481"/>
    <n v="3.2593841419688463"/>
    <n v="0.25842923038981169"/>
    <n v="74.077743471152772"/>
    <n v="5.7869720519501122"/>
    <n v="0.47039151388563738"/>
    <n v="0.16777069000000008"/>
    <n v="0.17251797999999971"/>
    <n v="0.30402388999999985"/>
  </r>
  <r>
    <x v="34"/>
    <x v="0"/>
    <x v="0"/>
    <x v="0"/>
    <x v="1"/>
    <x v="84"/>
    <n v="-75.205539999999019"/>
    <n v="-3.6937596899675906"/>
    <n v="1.0916005435184006"/>
    <n v="3.7649298975334089"/>
    <n v="-2.1451579736357695"/>
    <n v="1.1489070703511128"/>
    <n v="1.0918130443454688"/>
    <n v="1.881900000000325E-4"/>
    <n v="3.4059726079359143"/>
    <n v="3.6860092241010056"/>
    <n v="4.5501788586906233"/>
    <n v="3.1166572911856427"/>
    <n v="0.11930363427667956"/>
    <n v="74.409906662152594"/>
    <n v="5.5595365090110205"/>
    <n v="0.48520156876494802"/>
    <n v="0.16845855699999993"/>
    <n v="0.15973867000000017"/>
    <n v="0.23906751999999976"/>
  </r>
  <r>
    <x v="35"/>
    <x v="0"/>
    <x v="0"/>
    <x v="0"/>
    <x v="1"/>
    <x v="85"/>
    <n v="-75.339489999998477"/>
    <n v="-3.5320345231679928"/>
    <n v="0.99624463881484715"/>
    <n v="3.6378196749002001"/>
    <n v="-2.0584698687061587"/>
    <n v="1.0919640608622494"/>
    <n v="0.99881043370657618"/>
    <n v="2.2750199999990728E-3"/>
    <n v="3.2521391413787848"/>
    <n v="3.5158580644501614"/>
    <n v="4.332808784338793"/>
    <n v="2.9772008438669673"/>
    <n v="-1.226193379564311E-2"/>
    <n v="74.636898572057049"/>
    <n v="5.3351216781921229"/>
    <n v="0.49827854222694867"/>
    <n v="0.167598515"/>
    <n v="0.14846416000000029"/>
    <n v="0.17830693000000022"/>
  </r>
  <r>
    <x v="36"/>
    <x v="0"/>
    <x v="0"/>
    <x v="0"/>
    <x v="1"/>
    <x v="86"/>
    <n v="-74.871729999998934"/>
    <n v="-3.3748836760860712"/>
    <n v="0.90700250739668142"/>
    <n v="3.5044070660879223"/>
    <n v="-1.9722806152146055"/>
    <n v="1.036512776051346"/>
    <n v="0.91171634176270278"/>
    <n v="4.1839000000001847E-3"/>
    <n v="3.1025711429508496"/>
    <n v="3.350790703343165"/>
    <n v="4.1216708621831133"/>
    <n v="2.8418451721446747"/>
    <n v="-0.13622036455778197"/>
    <n v="74.774088801850922"/>
    <n v="5.115661208426836"/>
    <n v="0.50977447739617432"/>
    <n v="0.16553246099999999"/>
    <n v="0.13859750000000046"/>
    <n v="0.1222932000000003"/>
  </r>
  <r>
    <x v="37"/>
    <x v="0"/>
    <x v="0"/>
    <x v="0"/>
    <x v="1"/>
    <x v="87"/>
    <n v="-73.940539999999601"/>
    <n v="-3.222584152916641"/>
    <n v="0.82446512250147208"/>
    <n v="3.3659805443197355"/>
    <n v="-1.8873151752368256"/>
    <n v="0.98298934488538769"/>
    <n v="0.83107863772882151"/>
    <n v="5.8753899999999804E-3"/>
    <n v="2.9581738949060465"/>
    <n v="3.1917001689797608"/>
    <n v="3.9181064436933699"/>
    <n v="2.7112715284479005"/>
    <n v="-0.25264080230481545"/>
    <n v="74.836178410941216"/>
    <n v="4.9027359699407524"/>
    <n v="0.51982129940741917"/>
    <n v="0.16256672799999997"/>
    <n v="0.13002454999999982"/>
    <n v="7.1431609999999396E-2"/>
  </r>
  <r>
    <x v="38"/>
    <x v="0"/>
    <x v="0"/>
    <x v="0"/>
    <x v="1"/>
    <x v="88"/>
    <n v="-72.67268999999942"/>
    <n v="-3.0753697234466637"/>
    <n v="0.74901537627172221"/>
    <n v="3.2237540663164532"/>
    <n v="-1.80419872613935"/>
    <n v="0.93173853450223554"/>
    <n v="0.75724119115232469"/>
    <n v="7.3138999999999843E-3"/>
    <n v="2.8196640820717045"/>
    <n v="3.0392875639022598"/>
    <n v="3.7231637743631252"/>
    <n v="2.5860204854823543"/>
    <n v="-0.36168792300850239"/>
    <n v="74.837013059076014"/>
    <n v="4.6975976723911073"/>
    <n v="0.52853499939962134"/>
    <n v="0.15897862899999998"/>
    <n v="0.12262472999999968"/>
    <n v="2.5966280000000452E-2"/>
  </r>
  <r>
    <x v="39"/>
    <x v="0"/>
    <x v="0"/>
    <x v="0"/>
    <x v="1"/>
    <x v="89"/>
    <n v="-71.18579999999929"/>
    <n v="-2.933438208758421"/>
    <n v="0.68082379825755712"/>
    <n v="3.078848708742532"/>
    <n v="-1.7234584112270523"/>
    <n v="0.88300845746742684"/>
    <n v="0.69034397562051097"/>
    <n v="8.4713599999994282E-3"/>
    <n v="2.6875804294672845"/>
    <n v="2.8940727745056405"/>
    <n v="3.5376172617942458"/>
    <n v="2.4664984949372082"/>
    <n v="-0.46360584330756849"/>
    <n v="74.789434924104654"/>
    <n v="4.5011922166833918"/>
    <n v="0.5360183389725437"/>
    <n v="0.155022774"/>
    <n v="0.11627932999999993"/>
    <n v="-1.4023519999999817E-2"/>
  </r>
  <r>
    <x v="40"/>
    <x v="0"/>
    <x v="0"/>
    <x v="0"/>
    <x v="1"/>
    <x v="90"/>
    <n v="-69.590200000002369"/>
    <n v="-2.7969585018693954"/>
    <n v="0.61985596028046874"/>
    <n v="2.9322809305587949"/>
    <n v="-1.6455261302890545"/>
    <n v="0.83694984951416806"/>
    <n v="0.63033425387928332"/>
    <n v="9.3304499999988244E-3"/>
    <n v="2.5622945435124445"/>
    <n v="2.7564061971615761"/>
    <n v="3.3619865339401978"/>
    <n v="2.3529844386808163"/>
    <n v="-0.55870429681117439"/>
    <n v="74.705169789636656"/>
    <n v="4.3141820038475664"/>
    <n v="0.54236286201845285"/>
    <n v="0.15093577799999996"/>
    <n v="0.1108769399999994"/>
    <n v="-4.8616120000000151E-2"/>
  </r>
  <r>
    <x v="41"/>
    <x v="0"/>
    <x v="0"/>
    <x v="0"/>
    <x v="1"/>
    <x v="91"/>
    <n v="-67.989799999999377"/>
    <n v="-2.6660759825237412"/>
    <n v="0.5658919090167247"/>
    <n v="2.7849575186789322"/>
    <n v="-1.5707418427182929"/>
    <n v="0.79362030953813445"/>
    <n v="0.57698771225871415"/>
    <n v="9.8864899999995259E-3"/>
    <n v="2.4440214531919136"/>
    <n v="2.6264779938151461"/>
    <n v="3.1965561554106792"/>
    <n v="2.2456363035521454"/>
    <n v="-0.64734636921963684"/>
    <n v="74.594747548558288"/>
    <n v="4.1369679695112627"/>
    <n v="0.54764935311704122"/>
    <n v="0.14693846199999999"/>
    <n v="0.10631613999999984"/>
    <n v="-7.8029820000000139E-2"/>
  </r>
  <r>
    <x v="42"/>
    <x v="0"/>
    <x v="0"/>
    <x v="0"/>
    <x v="1"/>
    <x v="92"/>
    <n v="-66.482090000001335"/>
    <n v="-2.5409152131114054"/>
    <n v="0.51855349410991902"/>
    <n v="2.6376762902961648"/>
    <n v="-1.499356914118144"/>
    <n v="0.75299306451397374"/>
    <n v="0.52993654735233875"/>
    <n v="1.0148050000000075E-2"/>
    <n v="2.3328312050651334"/>
    <n v="2.5043300310988226"/>
    <n v="3.0413956262624664"/>
    <n v="2.1444974202328826"/>
    <n v="-0.72993879506784154"/>
    <n v="74.467452207848055"/>
    <n v="3.969711134853382"/>
    <n v="0.55194773846427569"/>
    <n v="0.14323538200000002"/>
    <n v="0.10250601000000026"/>
    <n v="-0.10259806999999982"/>
  </r>
  <r>
    <x v="43"/>
    <x v="0"/>
    <x v="0"/>
    <x v="0"/>
    <x v="1"/>
    <x v="93"/>
    <n v="-65.156910000001517"/>
    <n v="-2.4215797714856158"/>
    <n v="0.47733803704659294"/>
    <n v="2.4911314851166821"/>
    <n v="-1.4315383736258847"/>
    <n v="0.71496924902627601"/>
    <n v="0.48870209610707427"/>
    <n v="1.0135990000000039E-2"/>
    <n v="2.2286609801310142"/>
    <n v="2.3898666385995027"/>
    <n v="2.8963800705671838"/>
    <n v="2.0495046715792498"/>
    <n v="-0.80692278032914455"/>
    <n v="74.331299608721764"/>
    <n v="3.8123548329121348"/>
    <n v="0.55531680974343356"/>
    <n v="0.14001208399999995"/>
    <n v="9.9364799999999975E-2"/>
    <n v="-0.12274009000000016"/>
  </r>
  <r>
    <x v="44"/>
    <x v="0"/>
    <x v="0"/>
    <x v="0"/>
    <x v="1"/>
    <x v="94"/>
    <n v="-64.094599999996717"/>
    <n v="-2.3081497402350659"/>
    <n v="0.44165497125767672"/>
    <n v="2.3459222623984255"/>
    <n v="-1.367373880389755"/>
    <n v="0.67939239130816453"/>
    <n v="0.4527290453963051"/>
    <n v="9.8814399999994085E-3"/>
    <n v="2.1313282394584521"/>
    <n v="2.2828682987903637"/>
    <n v="2.7612129584758671"/>
    <n v="1.9604968880237994"/>
    <n v="-0.87876554379219263"/>
    <n v="74.193040113969346"/>
    <n v="3.6646478022027473"/>
    <n v="0.55780291166620533"/>
    <n v="0.13743082600000001"/>
    <n v="9.6817780000000436E-2"/>
    <n v="-0.13893037999999983"/>
  </r>
  <r>
    <x v="45"/>
    <x v="0"/>
    <x v="0"/>
    <x v="0"/>
    <x v="1"/>
    <x v="95"/>
    <n v="-63.363780000003317"/>
    <n v="-2.200677410884877"/>
    <n v="0.41086138058206156"/>
    <n v="2.2025629848703598"/>
    <n v="-1.3068771479695207"/>
    <n v="0.64606390645989276"/>
    <n v="0.42141773693922246"/>
    <n v="9.4228799999998558E-3"/>
    <n v="2.0405450042052742"/>
    <n v="2.1830054124127862"/>
    <n v="2.6354480344245923"/>
    <n v="1.8772257673915105"/>
    <n v="-0.94595185983219476"/>
    <n v="74.058185268013915"/>
    <n v="3.5261685754613969"/>
    <n v="0.55944035060127018"/>
    <n v="0.13562570399999996"/>
    <n v="9.4794709999999893E-2"/>
    <n v="-0.15166967000000003"/>
  </r>
  <r>
    <x v="46"/>
    <x v="0"/>
    <x v="0"/>
    <x v="0"/>
    <x v="1"/>
    <x v="96"/>
    <n v="-63.019049999995332"/>
    <n v="-2.0991824488822863"/>
    <n v="0.38429472306664714"/>
    <n v="2.0614939428061696"/>
    <n v="-1.2499948001865047"/>
    <n v="0.61475787268292503"/>
    <n v="0.39415358398513511"/>
    <n v="8.8029899999994554E-3"/>
    <n v="1.9559328045620994"/>
    <n v="2.0898544675413522"/>
    <n v="2.5185136695366594"/>
    <n v="1.7993665628512678"/>
    <n v="-1.0089764117813371"/>
    <n v="73.931053215342786"/>
    <n v="3.3963511307091743"/>
    <n v="0.56025177239882318"/>
    <n v="0.13469813099999994"/>
    <n v="9.3227469999999923E-2"/>
    <n v="-0.1614594200000003"/>
  </r>
  <r>
    <x v="47"/>
    <x v="0"/>
    <x v="0"/>
    <x v="0"/>
    <x v="1"/>
    <x v="97"/>
    <n v="-63.099229999999807"/>
    <n v="-2.0036468909653493"/>
    <n v="0.36130102501661376"/>
    <n v="1.9230915183568564"/>
    <n v="-1.1966129036820372"/>
    <n v="0.58523480325234356"/>
    <n v="0.37033157837595976"/>
    <n v="8.0654499999999185E-3"/>
    <n v="1.8770387614109874"/>
    <n v="2.0029143806672423"/>
    <n v="2.4097374721609333"/>
    <n v="1.7265316577366407"/>
    <n v="-1.0683353059501632"/>
    <n v="73.814834131126176"/>
    <n v="3.2745115636480193"/>
    <n v="0.5602476348310681"/>
    <n v="0.13471339799999998"/>
    <n v="9.2048290000000532E-2"/>
    <n v="-0.16878119999999969"/>
  </r>
  <r>
    <x v="48"/>
    <x v="0"/>
    <x v="0"/>
    <x v="0"/>
    <x v="1"/>
    <x v="98"/>
    <n v="-63.626100000001315"/>
    <n v="-1.9140117765772846"/>
    <n v="0.34125677836234214"/>
    <n v="1.78767734232117"/>
    <n v="-1.1465656646207245"/>
    <n v="0.55725367968224582"/>
    <n v="0.34937488877615497"/>
    <n v="7.2522200000008086E-3"/>
    <n v="1.8033522371891264"/>
    <n v="1.9216245276701738"/>
    <n v="2.3083703710659709"/>
    <n v="1.6582834926125667"/>
    <n v="-1.1245183834003969"/>
    <n v="73.711668885618977"/>
    <n v="3.1598754071740176"/>
    <n v="0.55942917772981993"/>
    <n v="0.13569884599999998"/>
    <n v="9.1188809999999398E-2"/>
    <n v="-0.17408143000000009"/>
  </r>
  <r>
    <x v="49"/>
    <x v="0"/>
    <x v="0"/>
    <x v="0"/>
    <x v="1"/>
    <x v="99"/>
    <n v="-64.603980000007141"/>
    <n v="-1.8301740603609118"/>
    <n v="0.32358484593191239"/>
    <n v="1.65552563544904"/>
    <n v="-1.0996431857654865"/>
    <n v="0.53058045577742963"/>
    <n v="0.33074917828594952"/>
    <n v="6.4014400000006466E-3"/>
    <n v="1.7343209528698722"/>
    <n v="1.8453822170095391"/>
    <n v="2.2136114268472618"/>
    <n v="1.5941488218381039"/>
    <n v="-1.1780008925753371"/>
    <n v="73.622741977838118"/>
    <n v="3.0516049171769311"/>
    <n v="0.5577887034288187"/>
    <n v="0.13764389600000004"/>
    <n v="9.0579770000000226E-2"/>
    <n v="-0.17776136999999997"/>
  </r>
  <r>
    <x v="50"/>
    <x v="0"/>
    <x v="0"/>
    <x v="0"/>
    <x v="1"/>
    <x v="100"/>
    <n v="-66.020160000000033"/>
    <n v="-1.7519865802791856"/>
    <n v="0.30776507759020522"/>
    <n v="1.526869278638876"/>
    <n v="-1.0556003026965355"/>
    <n v="0.5049958017594669"/>
    <n v="0.31397092473040011"/>
    <n v="5.5459300000004763E-3"/>
    <n v="1.6693678248528965"/>
    <n v="1.7735602469459932"/>
    <n v="2.1246307525234265"/>
    <n v="1.5336325858672506"/>
    <n v="-1.2292364219501306"/>
    <n v="73.548382430226383"/>
    <n v="2.9488257723631506"/>
    <n v="0.5553127716751316"/>
    <n v="0.14050190800000001"/>
    <n v="9.0151570000000097E-2"/>
    <n v="-0.18017186999999996"/>
  </r>
  <r>
    <x v="0"/>
    <x v="0"/>
    <x v="0"/>
    <x v="1"/>
    <x v="0"/>
    <x v="0"/>
    <n v="0"/>
    <n v="0"/>
    <n v="0"/>
    <n v="0"/>
    <n v="0"/>
    <n v="0"/>
    <n v="0"/>
    <n v="0"/>
    <n v="0"/>
    <n v="0"/>
    <n v="0"/>
    <n v="0"/>
    <n v="5.2064544503682697E-3"/>
    <n v="0.21586010219090124"/>
    <n v="0"/>
    <n v="0"/>
    <n v="0"/>
    <n v="0"/>
    <n v="0"/>
  </r>
  <r>
    <x v="1"/>
    <x v="0"/>
    <x v="0"/>
    <x v="1"/>
    <x v="0"/>
    <x v="101"/>
    <n v="21.987400000001799"/>
    <n v="-1.2851876193205602"/>
    <n v="5.2114549560910994E-2"/>
    <n v="-0.24788212195929749"/>
    <n v="-0.12307292249987833"/>
    <n v="-0.16050266504457067"/>
    <n v="7.2852514325938422E-2"/>
    <n v="1.8595369999999112E-2"/>
    <n v="0.44472431019821901"/>
    <n v="6.4077132329809494E-2"/>
    <n v="-0.70843631703724208"/>
    <n v="0.82970863429119301"/>
    <n v="0.21081575877126557"/>
    <n v="0.74463729455909178"/>
    <n v="1.9175774920743294E-2"/>
    <n v="-0.37598295235446999"/>
    <n v="-6.5676010000000062E-2"/>
    <n v="6.846154000000014E-2"/>
    <n v="-2.6906858999999929E-2"/>
  </r>
  <r>
    <x v="2"/>
    <x v="0"/>
    <x v="0"/>
    <x v="1"/>
    <x v="0"/>
    <x v="102"/>
    <n v="40.78070999999909"/>
    <n v="-2.1220244520334997"/>
    <n v="0.12067539754265777"/>
    <n v="-0.47927107634603283"/>
    <n v="-0.28564365986585294"/>
    <n v="-0.26410604257731674"/>
    <n v="0.14446699891876857"/>
    <n v="2.131569999999916E-2"/>
    <n v="0.48810238776342274"/>
    <n v="0.12764293707543395"/>
    <n v="-0.61472774312798517"/>
    <n v="0.86254154540708061"/>
    <n v="0.32580126952586053"/>
    <n v="1.6072273013736815"/>
    <n v="0.17806608580381855"/>
    <n v="-0.27147084211118777"/>
    <n v="-0.11603992000000091"/>
    <n v="8.8669889999999987E-2"/>
    <n v="2.3706059999999834E-3"/>
  </r>
  <r>
    <x v="3"/>
    <x v="0"/>
    <x v="0"/>
    <x v="1"/>
    <x v="0"/>
    <x v="103"/>
    <n v="48.528120000002673"/>
    <n v="-2.6269726636934387"/>
    <n v="0.1716861966683858"/>
    <n v="-0.68074158464700441"/>
    <n v="-0.4560377652881753"/>
    <n v="-0.31863663586977342"/>
    <n v="0.18192077839500609"/>
    <n v="9.1624999999997958E-3"/>
    <n v="0.54486049706838902"/>
    <n v="0.20253877837119738"/>
    <n v="-0.50771919540449906"/>
    <n v="0.90398112563743194"/>
    <n v="0.3924460752287029"/>
    <n v="2.7800737906746864"/>
    <n v="0.35006284500698204"/>
    <n v="-0.17646333153267246"/>
    <n v="-0.13174937000000053"/>
    <n v="8.598125000000012E-2"/>
    <n v="-6.2440349999999881E-3"/>
  </r>
  <r>
    <x v="4"/>
    <x v="0"/>
    <x v="0"/>
    <x v="1"/>
    <x v="0"/>
    <x v="104"/>
    <n v="44.011250000003201"/>
    <n v="-2.9300638839186099"/>
    <n v="0.18605233584403358"/>
    <n v="-0.85729096150721773"/>
    <n v="-0.62009862184426723"/>
    <n v="-0.35330068000560821"/>
    <n v="0.17699133706428061"/>
    <n v="-8.1082999999995686E-3"/>
    <n v="0.6048901870724599"/>
    <n v="0.27974582741889797"/>
    <n v="-0.39847465659154091"/>
    <n v="0.94728269313621993"/>
    <n v="0.42682579952308952"/>
    <n v="4.2144760079538823"/>
    <n v="0.50099007537052209"/>
    <n v="-0.11161761921324453"/>
    <n v="-0.11305781000000015"/>
    <n v="7.3733980000000032E-2"/>
    <n v="-4.5520974000000033E-2"/>
  </r>
  <r>
    <x v="5"/>
    <x v="0"/>
    <x v="0"/>
    <x v="1"/>
    <x v="0"/>
    <x v="105"/>
    <n v="28.965890000003128"/>
    <n v="-3.1124532678734163"/>
    <n v="0.16475581775030612"/>
    <n v="-1.0150047346720315"/>
    <n v="-0.7688787113191542"/>
    <n v="-0.38483194699805434"/>
    <n v="0.14167327194321011"/>
    <n v="-2.0653059999999057E-2"/>
    <n v="0.65751073647626335"/>
    <n v="0.34773983392613061"/>
    <n v="-0.30089535125248368"/>
    <n v="0.98350654367449497"/>
    <n v="0.4356970753287559"/>
    <n v="5.8471420837524324"/>
    <n v="0.62116890893342269"/>
    <n v="-7.0226780668392053E-2"/>
    <n v="-6.7314479999999732E-2"/>
    <n v="5.8409630000000323E-2"/>
    <n v="-0.10211691799999999"/>
  </r>
  <r>
    <x v="6"/>
    <x v="0"/>
    <x v="0"/>
    <x v="1"/>
    <x v="0"/>
    <x v="106"/>
    <n v="6.4150399999998626"/>
    <n v="-3.2190227805129368"/>
    <n v="0.11790223516903175"/>
    <n v="-1.1561334056717887"/>
    <n v="-0.89511801416900516"/>
    <n v="-0.41891917835895631"/>
    <n v="8.9077228550404897E-2"/>
    <n v="-2.5793670000000268E-2"/>
    <n v="0.69494499937623466"/>
    <n v="0.39770599402981777"/>
    <n v="-0.22550097545368519"/>
    <n v="1.0056718996694469"/>
    <n v="0.4229548979666653"/>
    <n v="7.6059262886827517"/>
    <n v="0.70656669012498785"/>
    <n v="-4.368534010976699E-2"/>
    <n v="-4.2312400000008021E-3"/>
    <n v="4.2856750000000096E-2"/>
    <n v="-0.16416271300000002"/>
  </r>
  <r>
    <x v="7"/>
    <x v="0"/>
    <x v="0"/>
    <x v="1"/>
    <x v="0"/>
    <x v="107"/>
    <n v="-20.262960000000021"/>
    <n v="-3.2735725826488205"/>
    <n v="5.7078572443369779E-2"/>
    <n v="-1.2797708376988348"/>
    <n v="-0.99275685439321748"/>
    <n v="-0.45551130770566939"/>
    <n v="2.9374921210512106E-2"/>
    <n v="-2.4796059999999953E-2"/>
    <n v="0.71249055965298957"/>
    <n v="0.42437103322512382"/>
    <n v="-0.17840032848596143"/>
    <n v="1.0093960758363441"/>
    <n v="0.39182194151912153"/>
    <n v="9.4135914687591296"/>
    <n v="0.75484409403805408"/>
    <n v="-2.6489980459099005E-2"/>
    <n v="6.6450299999999685E-2"/>
    <n v="2.8482630000000071E-2"/>
    <n v="-0.22289289800000003"/>
  </r>
  <r>
    <x v="8"/>
    <x v="0"/>
    <x v="0"/>
    <x v="1"/>
    <x v="0"/>
    <x v="108"/>
    <n v="-47.852520000000368"/>
    <n v="-3.2887158843845632"/>
    <n v="-7.9413108125980791E-3"/>
    <n v="-1.3836936049002713"/>
    <n v="-1.0572404067540453"/>
    <n v="-0.49243453632057399"/>
    <n v="-3.0278140784156804E-2"/>
    <n v="-1.9998639999999068E-2"/>
    <n v="0.70799170095356967"/>
    <n v="0.42560456096401023"/>
    <n v="-0.16178071833800045"/>
    <n v="0.99262501172592277"/>
    <n v="0.34547815901588841"/>
    <n v="11.191246376199393"/>
    <n v="0.76517412607612911"/>
    <n v="-1.5905829939333316E-2"/>
    <n v="0.13613980999999942"/>
    <n v="1.6283267000000157E-2"/>
    <n v="-0.27255846699999997"/>
  </r>
  <r>
    <x v="9"/>
    <x v="0"/>
    <x v="0"/>
    <x v="1"/>
    <x v="0"/>
    <x v="109"/>
    <n v="-73.554599999999482"/>
    <n v="-3.2714864504315488"/>
    <n v="-6.9991613611231074E-2"/>
    <n v="-1.4657640541551165"/>
    <n v="-1.085862869569032"/>
    <n v="-0.52719750321537084"/>
    <n v="-8.5031735536422737E-2"/>
    <n v="-1.3470579999999566E-2"/>
    <n v="0.68133763112840917"/>
    <n v="0.40181165296584442"/>
    <n v="-0.17469031058744422"/>
    <n v="0.95524181914157236"/>
    <n v="0.28718989653537808"/>
    <n v="12.86217819533395"/>
    <n v="0.73858280082064187"/>
    <n v="-1.083328131208372E-2"/>
    <n v="0.19789394000000043"/>
    <n v="7.1729329999999959E-3"/>
    <n v="-0.30988616000000008"/>
  </r>
  <r>
    <x v="10"/>
    <x v="0"/>
    <x v="0"/>
    <x v="1"/>
    <x v="0"/>
    <x v="110"/>
    <n v="-95.09175999999934"/>
    <n v="-3.226338734367673"/>
    <n v="-0.12425373420310581"/>
    <n v="-1.5246621618274836"/>
    <n v="-1.0779581703249441"/>
    <n v="-0.55769335459011637"/>
    <n v="-0.13165858139640996"/>
    <n v="-6.6344599999990095E-3"/>
    <n v="0.6340850186320468"/>
    <n v="0.35536671745899362"/>
    <n v="-0.21379073136748028"/>
    <n v="0.89872377404816017"/>
    <n v="0.22029176727933475"/>
    <n v="14.356153120276517"/>
    <n v="0.67807203192351562"/>
    <n v="-1.0933303006543937E-2"/>
    <n v="0.24653958000000026"/>
    <n v="1.9717019100000004E-3"/>
    <n v="-0.33347169000000015"/>
  </r>
  <r>
    <x v="11"/>
    <x v="0"/>
    <x v="0"/>
    <x v="1"/>
    <x v="0"/>
    <x v="111"/>
    <n v="-110.74920000000202"/>
    <n v="-3.1567130701510071"/>
    <n v="-0.16771391746536191"/>
    <n v="-1.5601358251963848"/>
    <n v="-1.0349179106933004"/>
    <n v="-0.58237250752151137"/>
    <n v="-0.1680653317157943"/>
    <n v="-3.1498999999990396E-4"/>
    <n v="0.5691413839939985"/>
    <n v="0.29010652504974921"/>
    <n v="-0.27405132244705532"/>
    <n v="0.82583131899889306"/>
    <n v="0.14811142775552621"/>
    <n v="15.61384694204957"/>
    <n v="0.58847239853694333"/>
    <n v="-1.6078406059127914E-2"/>
    <n v="0.27863893999999989"/>
    <n v="1.2670229999999297E-3"/>
    <n v="-0.34324078000000025"/>
  </r>
  <r>
    <x v="12"/>
    <x v="0"/>
    <x v="0"/>
    <x v="1"/>
    <x v="0"/>
    <x v="112"/>
    <n v="-119.39950999999928"/>
    <n v="-3.0658396801351517"/>
    <n v="-0.19867127029024045"/>
    <n v="-1.5729927027822832"/>
    <n v="-0.96005457959955631"/>
    <n v="-0.60021794008137119"/>
    <n v="-0.19300324190688611"/>
    <n v="5.0820700000009378E-3"/>
    <n v="0.49044672038967008"/>
    <n v="0.2108529684023086"/>
    <n v="-0.34940006048442829"/>
    <n v="0.74029169961187247"/>
    <n v="7.3859915641039109E-2"/>
    <n v="16.590843961078484"/>
    <n v="0.47610015566119657"/>
    <n v="-2.602690412506492E-2"/>
    <n v="0.29241117000000005"/>
    <n v="5.2741749999999851E-3"/>
    <n v="-0.34002409000000006"/>
  </r>
  <r>
    <x v="13"/>
    <x v="0"/>
    <x v="0"/>
    <x v="1"/>
    <x v="0"/>
    <x v="113"/>
    <n v="-120.52543000000151"/>
    <n v="-2.9571282991731174"/>
    <n v="-0.21640654851704522"/>
    <n v="-1.5649793308165405"/>
    <n v="-0.85833179035775808"/>
    <n v="-0.61067873489498714"/>
    <n v="-0.20593426433834772"/>
    <n v="9.3927700000009939E-3"/>
    <n v="0.40262267617179326"/>
    <n v="0.12295507643873549"/>
    <n v="-0.43332845072628912"/>
    <n v="0.64646123670011324"/>
    <n v="5.0281482710801129E-4"/>
    <n v="17.26060825864062"/>
    <n v="0.34828720994388718"/>
    <n v="-4.0247706151541607E-2"/>
    <n v="0.2876426628"/>
    <n v="1.3761880000000108E-2"/>
    <n v="-0.3252489000000004"/>
  </r>
  <r>
    <x v="14"/>
    <x v="0"/>
    <x v="0"/>
    <x v="1"/>
    <x v="0"/>
    <x v="114"/>
    <n v="-114.23067000000083"/>
    <n v="-2.83431116993903"/>
    <n v="-0.22099900660895733"/>
    <n v="-1.538617516214591"/>
    <n v="-0.73598689955186591"/>
    <n v="-0.61361472118007798"/>
    <n v="-0.2069912387083872"/>
    <n v="1.256776000000126E-2"/>
    <n v="0.31059749838076023"/>
    <n v="3.1861355839946093E-2"/>
    <n v="-0.5194276269875564"/>
    <n v="0.54897359498851106"/>
    <n v="-6.9365290164025151E-2"/>
    <n v="17.61595017684272"/>
    <n v="0.21283855869538293"/>
    <n v="-5.7863915143863132E-2"/>
    <n v="0.26556793999999995"/>
    <n v="2.6066749999999889E-2"/>
    <n v="-0.3007266799999998"/>
  </r>
  <r>
    <x v="15"/>
    <x v="0"/>
    <x v="0"/>
    <x v="1"/>
    <x v="0"/>
    <x v="115"/>
    <n v="-101.21788000000015"/>
    <n v="-2.7014236702099903"/>
    <n v="-0.21323779223071382"/>
    <n v="-1.4970203443565366"/>
    <n v="-0.60007805165960271"/>
    <n v="-0.60925651174014162"/>
    <n v="-0.19696637272411666"/>
    <n v="1.4602699999999302E-2"/>
    <n v="0.21923372590175738"/>
    <n v="-5.7254891178903922E-2"/>
    <n v="-0.60182431450659379"/>
    <n v="0.45239823611211705"/>
    <n v="-0.13362217431174273"/>
    <n v="17.668747569844733"/>
    <n v="7.7469118516693136E-2"/>
    <n v="-7.7701814304509398E-2"/>
    <n v="0.22868568999999983"/>
    <n v="4.1187659999999959E-2"/>
    <n v="-0.26850657000000028"/>
  </r>
  <r>
    <x v="16"/>
    <x v="0"/>
    <x v="0"/>
    <x v="1"/>
    <x v="0"/>
    <x v="116"/>
    <n v="-82.71538000000146"/>
    <n v="-2.5626750779505381"/>
    <n v="-0.19455818078777387"/>
    <n v="-1.4436914016169755"/>
    <n v="-0.45799530058922011"/>
    <n v="-0.59816797615726003"/>
    <n v="-0.17727281741887202"/>
    <n v="1.5516140000000622E-2"/>
    <n v="0.13299334966550003"/>
    <n v="-0.1398000453511572"/>
    <n v="-0.67549906173649532"/>
    <n v="0.36093684916562729"/>
    <n v="-0.19068076445851734"/>
    <n v="17.447979089360487"/>
    <n v="-5.0724947421620925E-2"/>
    <n v="-9.8417772062775466E-2"/>
    <n v="0.18048561999999996"/>
    <n v="5.7929709999999732E-2"/>
    <n v="-0.23076562000000009"/>
  </r>
  <r>
    <x v="17"/>
    <x v="0"/>
    <x v="0"/>
    <x v="1"/>
    <x v="0"/>
    <x v="117"/>
    <n v="-60.346239999998943"/>
    <n v="-2.4222534100625914"/>
    <n v="-0.16695133708209964"/>
    <n v="-1.3823105652094214"/>
    <n v="-0.31697828687643481"/>
    <n v="-0.58119716791286136"/>
    <n v="-0.14984653513057111"/>
    <n v="1.5356409999998932E-2"/>
    <n v="5.5669111693701367E-2"/>
    <n v="-0.21197966769453958"/>
    <n v="-0.73648241979364926"/>
    <n v="0.27817896465034408"/>
    <n v="-0.23951105633241987"/>
    <n v="16.996386702475075"/>
    <n v="-0.16570724004396631"/>
    <n v="-0.11866667344795356"/>
    <n v="0.12508943000000028"/>
    <n v="7.5060310000000033E-2"/>
    <n v="-0.18971377999999969"/>
  </r>
  <r>
    <x v="18"/>
    <x v="0"/>
    <x v="0"/>
    <x v="1"/>
    <x v="0"/>
    <x v="118"/>
    <n v="-35.950919999999314"/>
    <n v="-2.284104888574412"/>
    <n v="-0.13282044886600008"/>
    <n v="-1.3165146790124593"/>
    <n v="-0.18368055577253628"/>
    <n v="-0.5594088752207349"/>
    <n v="-0.11698432013395044"/>
    <n v="1.421850999999974E-2"/>
    <n v="-9.7996299702640677E-3"/>
    <n v="-0.27093240802429364"/>
    <n v="-0.78194222068649344"/>
    <n v="0.20693117890837609"/>
    <n v="-0.27962270795977018"/>
    <n v="16.366269289838442"/>
    <n v="-0.26281435497480521"/>
    <n v="-0.13726711725366991"/>
    <n v="6.6839030000000188E-2"/>
    <n v="9.1444609999999718E-2"/>
    <n v="-0.14750052999999985"/>
  </r>
  <r>
    <x v="19"/>
    <x v="0"/>
    <x v="0"/>
    <x v="1"/>
    <x v="0"/>
    <x v="119"/>
    <n v="-11.389049999997951"/>
    <n v="-2.1517242151333216"/>
    <n v="-9.4784067094577651E-2"/>
    <n v="-1.2496879330125776"/>
    <n v="-6.3812022976716953E-2"/>
    <n v="-0.53399940659191181"/>
    <n v="-8.1133438639380273E-2"/>
    <n v="1.2256080000000447E-2"/>
    <n v="-6.1423360248391567E-2"/>
    <n v="-0.31478512826158545"/>
    <n v="-0.81018322016231936"/>
    <n v="0.14912359585166346"/>
    <n v="-0.31101751629458718"/>
    <n v="15.614969252697431"/>
    <n v="-0.33892048900189264"/>
    <n v="-0.15332625220556562"/>
    <n v="9.8851399999998896E-3"/>
    <n v="0.10613988999999997"/>
    <n v="-0.10611974999999996"/>
  </r>
  <r>
    <x v="20"/>
    <x v="0"/>
    <x v="0"/>
    <x v="1"/>
    <x v="0"/>
    <x v="120"/>
    <n v="11.647290000000794"/>
    <n v="-2.0279836690298425"/>
    <n v="-5.5453023977447558E-2"/>
    <n v="-1.1847791915586714"/>
    <n v="3.8119118521029449E-2"/>
    <n v="-0.50620134119470084"/>
    <n v="-4.4671031240306469E-2"/>
    <n v="9.6795199999999415E-3"/>
    <n v="-9.817483148513162E-2"/>
    <n v="-0.34264005617589133"/>
    <n v="-0.82058199135918164"/>
    <n v="0.10578868057995461"/>
    <n v="-0.33412087352063802"/>
    <n v="14.800565569324565"/>
    <n v="-0.39245628094138896"/>
    <n v="-0.16630392265780669"/>
    <n v="-4.2166689999999923E-2"/>
    <n v="0.11844309999999997"/>
    <n v="-6.7317079999999752E-2"/>
  </r>
  <r>
    <x v="21"/>
    <x v="0"/>
    <x v="0"/>
    <x v="1"/>
    <x v="0"/>
    <x v="121"/>
    <n v="31.7795100000003"/>
    <n v="-1.9150196494292393"/>
    <n v="-1.7214399117404522E-2"/>
    <n v="-1.124161742673635"/>
    <n v="0.11895713345722037"/>
    <n v="-0.47718996998222796"/>
    <n v="-9.7062835249017709E-3"/>
    <n v="6.7391400000005319E-3"/>
    <n v="-0.11993387625567342"/>
    <n v="-0.35450931918610262"/>
    <n v="-0.81347819174212299"/>
    <n v="7.7101465457096729E-2"/>
    <n v="-0.34970218534837727"/>
    <n v="13.978158528026196"/>
    <n v="-0.42330319918424397"/>
    <n v="-0.17601335347287028"/>
    <n v="-8.6508279999999993E-2"/>
    <n v="0.12789710000000004"/>
    <n v="-3.2509539999999587E-2"/>
  </r>
  <r>
    <x v="22"/>
    <x v="0"/>
    <x v="0"/>
    <x v="1"/>
    <x v="0"/>
    <x v="122"/>
    <n v="48.029770000001008"/>
    <n v="-1.8141843547608616"/>
    <n v="1.7943535377384912E-2"/>
    <n v="-1.0695461441542209"/>
    <n v="0.17694474789420322"/>
    <n v="-0.44800434638785358"/>
    <n v="2.2064152599310383E-2"/>
    <n v="3.6976399999999465E-3"/>
    <n v="-0.12738064589243869"/>
    <n v="-0.35120993522170796"/>
    <n v="-0.79003945294282563"/>
    <n v="6.2467975764590733E-2"/>
    <n v="-0.35879019961142511"/>
    <n v="13.196969145710202"/>
    <n v="-0.43259772081885028"/>
    <n v="-0.18256996317926877"/>
    <n v="-0.1212577900000001"/>
    <n v="0.13426783000000003"/>
    <n v="-2.727770000000157E-3"/>
  </r>
  <r>
    <x v="23"/>
    <x v="0"/>
    <x v="0"/>
    <x v="1"/>
    <x v="0"/>
    <x v="123"/>
    <n v="59.845699999998033"/>
    <n v="-1.726060968620724"/>
    <n v="4.8542017631270085E-2"/>
    <n v="-1.0219508882119199"/>
    <n v="0.21167601784666257"/>
    <n v="-0.41949342504965514"/>
    <n v="4.9433117272634775E-2"/>
    <n v="7.9931999999865999E-4"/>
    <n v="-0.12185661663201008"/>
    <n v="-0.33423282189565251"/>
    <n v="-0.75211230672954654"/>
    <n v="6.0647533396318565E-2"/>
    <n v="-0.36259070925392933"/>
    <n v="12.498324643476355"/>
    <n v="-0.42248220367732126"/>
    <n v="-0.18630844294466042"/>
    <n v="-0.14546865199999998"/>
    <n v="0.13750605999999985"/>
    <n v="2.1410700000000504E-2"/>
  </r>
  <r>
    <x v="24"/>
    <x v="0"/>
    <x v="0"/>
    <x v="1"/>
    <x v="0"/>
    <x v="124"/>
    <n v="67.071739999999409"/>
    <n v="-1.6505330743858404"/>
    <n v="7.3650550664128289E-2"/>
    <n v="-0.9817279033041082"/>
    <n v="0.22397377917353634"/>
    <n v="-0.39229212714421147"/>
    <n v="7.1691767905401882E-2"/>
    <n v="-1.7565599999991299E-3"/>
    <n v="-0.10520874406966252"/>
    <n v="-0.30559604740423296"/>
    <n v="-0.70206532278387357"/>
    <n v="6.9893718025149099E-2"/>
    <n v="-0.36240824536938332"/>
    <n v="11.914477590905669"/>
    <n v="-0.39583648864309762"/>
    <n v="-0.18769136824291488"/>
    <n v="-0.15904136700000002"/>
    <n v="0.13770535000000012"/>
    <n v="3.9693679999999731E-2"/>
  </r>
  <r>
    <x v="25"/>
    <x v="0"/>
    <x v="0"/>
    <x v="1"/>
    <x v="0"/>
    <x v="125"/>
    <n v="69.88379999999961"/>
    <n v="-1.5868937629760937"/>
    <n v="9.2859720879867602E-2"/>
    <n v="-0.94863480728508698"/>
    <n v="0.21571192590352783"/>
    <n v="-0.366826478862603"/>
    <n v="8.8583794476915223E-2"/>
    <n v="-3.8331200000005228E-3"/>
    <n v="-7.9631782357525438E-2"/>
    <n v="-0.26769258844830945"/>
    <n v="-0.64263255538166142"/>
    <n v="8.8104213622952621E-2"/>
    <n v="-0.35957413454001941"/>
    <n v="11.468137569271143"/>
    <n v="-0.35601647293773686"/>
    <n v="-0.187225000959923"/>
    <n v="-0.1625721705"/>
    <n v="0.13506439000000003"/>
    <n v="5.2274199999999965E-2"/>
  </r>
  <r>
    <x v="26"/>
    <x v="0"/>
    <x v="0"/>
    <x v="1"/>
    <x v="0"/>
    <x v="126"/>
    <n v="68.706200000000536"/>
    <n v="-1.5339778127130277"/>
    <n v="0.10620401380510014"/>
    <n v="-0.92194083295068507"/>
    <n v="0.18960258849756162"/>
    <n v="-0.34334157028197421"/>
    <n v="0.10022080983294046"/>
    <n v="-5.3616100000000722E-3"/>
    <n v="-4.7516171616157621E-2"/>
    <n v="-0.22313797612329989"/>
    <n v="-0.5767589875202872"/>
    <n v="0.1129679433889974"/>
    <n v="-0.35538102772972868"/>
    <n v="11.172560778843966"/>
    <n v="-0.30661639661555551"/>
    <n v="-0.18539485618794815"/>
    <n v="-0.15717324899999999"/>
    <n v="0.12985759000000013"/>
    <n v="5.9604530000000044E-2"/>
  </r>
  <r>
    <x v="27"/>
    <x v="0"/>
    <x v="0"/>
    <x v="1"/>
    <x v="0"/>
    <x v="127"/>
    <n v="64.127349999998842"/>
    <n v="-1.4903010864870447"/>
    <n v="0.11405629370873083"/>
    <n v="-0.90055249793251635"/>
    <n v="0.1489664042427119"/>
    <n v="-0.32194254602957439"/>
    <n v="0.10698268807411981"/>
    <n v="-6.3366699999997667E-3"/>
    <n v="-1.1310162398614487E-2"/>
    <n v="-0.17462464910953379"/>
    <n v="-0.5074517724382166"/>
    <n v="0.14210296252266108"/>
    <n v="-0.35102349927134124"/>
    <n v="11.032051675742327"/>
    <n v="-0.25126355138342937"/>
    <n v="-0.18262588243731503"/>
    <n v="-0.14429408600000002"/>
    <n v="0.12241470000000002"/>
    <n v="6.2354959999999862E-2"/>
  </r>
  <r>
    <x v="28"/>
    <x v="0"/>
    <x v="0"/>
    <x v="1"/>
    <x v="0"/>
    <x v="128"/>
    <n v="56.825220000002446"/>
    <n v="-1.4541932439676386"/>
    <n v="0.11701457833483975"/>
    <n v="-0.88314430422454793"/>
    <n v="9.7501030807101152E-2"/>
    <n v="-0.30263815499320668"/>
    <n v="0.10941790623433256"/>
    <n v="-6.8032800000006333E-3"/>
    <n v="2.6602523212382323E-2"/>
    <n v="-0.12478692226045585"/>
    <n v="-0.4376395977817471"/>
    <n v="0.17318027643660194"/>
    <n v="-0.34754762867229561"/>
    <n v="11.042752020199131"/>
    <n v="-0.19344754178594048"/>
    <n v="-0.17926645890301574"/>
    <n v="-0.12556384999999998"/>
    <n v="0.11310813199999994"/>
    <n v="6.1328530000000214E-2"/>
  </r>
  <r>
    <x v="29"/>
    <x v="0"/>
    <x v="0"/>
    <x v="1"/>
    <x v="0"/>
    <x v="129"/>
    <n v="47.50879999999961"/>
    <n v="-1.4239143599707904"/>
    <n v="0.11579924153384269"/>
    <n v="-0.86828289783993373"/>
    <n v="3.905979581608765E-2"/>
    <n v="-0.28537790715023048"/>
    <n v="0.10816035225962306"/>
    <n v="-6.839529999999594E-3"/>
    <n v="6.4005561251256893E-2"/>
    <n v="-7.6079582725996353E-2"/>
    <n v="-0.37004379546585753"/>
    <n v="0.20403035533755887"/>
    <n v="-0.34580849656858925"/>
    <n v="11.193630206213378"/>
    <n v="-0.1363825353005832"/>
    <n v="-0.17559175212993328"/>
    <n v="-0.10266519999999994"/>
    <n v="0.10234481999999989"/>
    <n v="5.7382589999999817E-2"/>
  </r>
  <r>
    <x v="30"/>
    <x v="0"/>
    <x v="0"/>
    <x v="1"/>
    <x v="0"/>
    <x v="130"/>
    <n v="36.876179999999295"/>
    <n v="-1.397750059147429"/>
    <n v="0.11117234050774805"/>
    <n v="-0.85453512508778529"/>
    <n v="-2.2552099061545761E-2"/>
    <n v="-0.27007723754737256"/>
    <n v="0.10386815270353456"/>
    <n v="-6.5386400000005951E-3"/>
    <n v="9.893516604859709E-2"/>
    <n v="-3.0675755050013631E-2"/>
    <n v="-0.30706535788685985"/>
    <n v="0.23272935534401906"/>
    <n v="-0.34644115963108346"/>
    <n v="11.467610079342494"/>
    <n v="-8.289925252553676E-2"/>
    <n v="-0.17181685406859604"/>
    <n v="-7.7241519999999772E-2"/>
    <n v="9.0559586000000039E-2"/>
    <n v="5.1365119999999959E-2"/>
  </r>
  <r>
    <x v="31"/>
    <x v="0"/>
    <x v="0"/>
    <x v="1"/>
    <x v="0"/>
    <x v="131"/>
    <n v="25.587910000002012"/>
    <n v="-1.3740839054425358"/>
    <n v="0.10388387982003255"/>
    <n v="-0.84055528724200634"/>
    <n v="-8.3755788391903785E-2"/>
    <n v="-0.25662885730312057"/>
    <n v="9.7188117252944295E-2"/>
    <n v="-5.9931700000001586E-3"/>
    <n v="0.12974558302591976"/>
    <n v="9.6161077573375664E-3"/>
    <n v="-0.25069113981314173"/>
    <n v="0.25766702914726825"/>
    <n v="-0.34984335068465322"/>
    <n v="11.842809502860652"/>
    <n v="-3.5362581784026403E-2"/>
    <n v="-0.16811761953312576"/>
    <n v="-5.0834139999999736E-2"/>
    <n v="7.8206897000000081E-2"/>
    <n v="4.4069760000000138E-2"/>
  </r>
  <r>
    <x v="32"/>
    <x v="0"/>
    <x v="0"/>
    <x v="1"/>
    <x v="0"/>
    <x v="132"/>
    <n v="14.251239999997779"/>
    <n v="-1.3514494578855896"/>
    <n v="9.4644596527193592E-2"/>
    <n v="-0.82514931106237865"/>
    <n v="-0.14135024435123489"/>
    <n v="-0.24490260889469262"/>
    <n v="8.8740995857716776E-2"/>
    <n v="-5.2838899999990696E-3"/>
    <n v="0.15515658254137144"/>
    <n v="4.3412405267617693E-2"/>
    <n v="-0.20242321423796783"/>
    <n v="0.2775936901190823"/>
    <n v="-0.35617410581972875"/>
    <n v="12.293864605620918"/>
    <n v="4.3869650228289814E-3"/>
    <n v="-0.16464783030741836"/>
    <n v="-2.4842549999999977E-2"/>
    <n v="6.5748782000000019E-2"/>
    <n v="3.6209270000000029E-2"/>
  </r>
  <r>
    <x v="33"/>
    <x v="0"/>
    <x v="0"/>
    <x v="1"/>
    <x v="0"/>
    <x v="133"/>
    <n v="3.4115700000002107"/>
    <n v="-1.3285663146679894"/>
    <n v="8.4119081831968145E-2"/>
    <n v="-0.80731748425864058"/>
    <n v="-0.19263132890472434"/>
    <n v="-0.23473816874600706"/>
    <n v="7.9120362000484334E-2"/>
    <n v="-4.4738799999999301E-3"/>
    <n v="0.17428360400382203"/>
    <n v="6.9789461565816779E-2"/>
    <n v="-0.16323576303425291"/>
    <n v="0.29164818604971998"/>
    <n v="-0.36536576863935855"/>
    <n v="12.793323474298578"/>
    <n v="3.5069965828249394E-2"/>
    <n v="-0.16155085128533031"/>
    <n v="-5.000000000001531E-4"/>
    <n v="5.3638140999999993E-2"/>
    <n v="2.840409000000009E-2"/>
  </r>
  <r>
    <x v="34"/>
    <x v="0"/>
    <x v="0"/>
    <x v="1"/>
    <x v="0"/>
    <x v="134"/>
    <n v="-6.4531500000011874"/>
    <n v="-1.3043643385667103"/>
    <n v="7.2930184646025076E-2"/>
    <n v="-0.78627916246254426"/>
    <n v="-0.23548051330281039"/>
    <n v="-0.22593644313702033"/>
    <n v="6.8899078937167957E-2"/>
    <n v="-3.6079300000005365E-3"/>
    <n v="0.1866479592938175"/>
    <n v="8.8295027736684517E-2"/>
    <n v="-0.13356074435962872"/>
    <n v="0.29936725623762594"/>
    <n v="-0.37714858863601153"/>
    <n v="13.313079308568888"/>
    <n v="5.5984090237215511E-2"/>
    <n v="-0.15896232140570898"/>
    <n v="2.114300999999999E-2"/>
    <n v="4.2297850000000067E-2"/>
    <n v="2.1180050000000131E-2"/>
  </r>
  <r>
    <x v="35"/>
    <x v="0"/>
    <x v="0"/>
    <x v="1"/>
    <x v="0"/>
    <x v="135"/>
    <n v="-14.937669999999343"/>
    <n v="-1.2780015943202883"/>
    <n v="6.1666164556695158E-2"/>
    <n v="-0.76148363857011514"/>
    <n v="-0.26841956669079181"/>
    <n v="-0.21825510265353065"/>
    <n v="5.8631765255112711E-2"/>
    <n v="-2.7160100000006571E-3"/>
    <n v="0.1921705488032277"/>
    <n v="9.8934526065952433E-2"/>
    <n v="-0.1133031454369493"/>
    <n v="0.30067573390692992"/>
    <n v="-0.39108590167491464"/>
    <n v="13.825801097127766"/>
    <n v="6.6996078427372652E-2"/>
    <n v="-0.15700523701743796"/>
    <n v="3.9232500000000066E-2"/>
    <n v="3.2097570000000006E-2"/>
    <n v="1.4970129999999915E-2"/>
  </r>
  <r>
    <x v="36"/>
    <x v="0"/>
    <x v="0"/>
    <x v="1"/>
    <x v="0"/>
    <x v="136"/>
    <n v="-21.716319999999541"/>
    <n v="-1.2488768806913741"/>
    <n v="5.0883042964522396E-2"/>
    <n v="-0.73261139917741858"/>
    <n v="-0.2906311502809511"/>
    <n v="-0.21141138835014672"/>
    <n v="4.885097890388046E-2"/>
    <n v="-1.8190299999998327E-3"/>
    <n v="0.19114697128603808"/>
    <n v="0.10213451504506033"/>
    <n v="-0.1018848345310075"/>
    <n v="0.29585981761182101"/>
    <n v="-0.40661663713464913"/>
    <n v="14.306301507236174"/>
    <n v="6.8511741240606661E-2"/>
    <n v="-0.15577735348760724"/>
    <n v="5.3125120999999997E-2"/>
    <n v="2.3331130000000047E-2"/>
    <n v="1.0115549999999834E-2"/>
  </r>
  <r>
    <x v="37"/>
    <x v="0"/>
    <x v="0"/>
    <x v="1"/>
    <x v="0"/>
    <x v="137"/>
    <n v="-26.551630000001751"/>
    <n v="-1.2166371595659142"/>
    <n v="4.10972169601731E-2"/>
    <n v="-0.69956874792689305"/>
    <n v="-0.30194783217842858"/>
    <n v="-0.20509387468207185"/>
    <n v="4.0052651573918574E-2"/>
    <n v="-9.352099999998531E-4"/>
    <n v="0.18420578625657491"/>
    <n v="9.8685804569065283E-2"/>
    <n v="-9.83136519056238E-2"/>
    <n v="0.28552430385879735"/>
    <n v="-0.4231012771841014"/>
    <n v="14.732768808407638"/>
    <n v="6.1422230512331311E-2"/>
    <n v="-0.155336275919149"/>
    <n v="6.2402829000000014E-2"/>
    <n v="1.619789E-2"/>
    <n v="6.8643700000002583E-3"/>
  </r>
  <r>
    <x v="38"/>
    <x v="0"/>
    <x v="0"/>
    <x v="1"/>
    <x v="0"/>
    <x v="138"/>
    <n v="-29.303810000001249"/>
    <n v="-1.1811793455434594"/>
    <n v="3.2768254296255961E-2"/>
    <n v="-0.66247731547079969"/>
    <n v="-0.30280949238845611"/>
    <n v="-0.19898134401999945"/>
    <n v="3.2673248575787461E-2"/>
    <n v="-8.5080000000736788E-5"/>
    <n v="0.17225159410825253"/>
    <n v="8.9671005529745607E-2"/>
    <n v="-0.10127180171423111"/>
    <n v="0.27053588990371136"/>
    <n v="-0.43986827650920324"/>
    <n v="15.087783873957793"/>
    <n v="4.7027167239521717E-2"/>
    <n v="-0.15568532958478709"/>
    <n v="6.6885619000000035E-2"/>
    <n v="1.0790870000000098E-2"/>
    <n v="5.3675799999999829E-3"/>
  </r>
  <r>
    <x v="39"/>
    <x v="0"/>
    <x v="0"/>
    <x v="1"/>
    <x v="0"/>
    <x v="139"/>
    <n v="-29.938799999999901"/>
    <n v="-1.1426435908245658"/>
    <n v="2.6273743470417443E-2"/>
    <n v="-0.62165869421306752"/>
    <n v="-0.29419214653684245"/>
    <n v="-0.19276642192795901"/>
    <n v="2.7061832059160906E-2"/>
    <n v="7.057599999998887E-4"/>
    <n v="0.15639595905558856"/>
    <n v="7.6379880817945001E-2"/>
    <n v="-0.10921758595665576"/>
    <n v="0.25195532704622714"/>
    <n v="-0.45625871129800766"/>
    <n v="15.359050694677734"/>
    <n v="2.6938717355506903E-2"/>
    <n v="-0.15676484248753342"/>
    <n v="6.6638567520000011E-2"/>
    <n v="7.0939999999998504E-3"/>
    <n v="5.6745800000000679E-3"/>
  </r>
  <r>
    <x v="40"/>
    <x v="0"/>
    <x v="0"/>
    <x v="1"/>
    <x v="0"/>
    <x v="140"/>
    <n v="-28.53269999999975"/>
    <n v="-1.1013946603480207"/>
    <n v="2.1881886187635757E-2"/>
    <n v="-0.57761345884118631"/>
    <n v="-0.27751316660011849"/>
    <n v="-0.1861805187197918"/>
    <n v="2.3452567595061424E-2"/>
    <n v="1.4067899999997691E-3"/>
    <n v="0.13788052749936774"/>
    <n v="6.0220219583029255E-2"/>
    <n v="-0.12049234834543565"/>
    <n v="0.23096391491286283"/>
    <n v="-0.47166465536249147"/>
    <n v="15.539787220758106"/>
    <n v="2.9708828718666425E-3"/>
    <n v="-0.15845123462013833"/>
    <n v="6.1968533999999999E-2"/>
    <n v="4.9889399999999279E-3"/>
    <n v="7.7307200000001353E-3"/>
  </r>
  <r>
    <x v="41"/>
    <x v="0"/>
    <x v="0"/>
    <x v="1"/>
    <x v="0"/>
    <x v="141"/>
    <n v="-25.269719999996596"/>
    <n v="-1.057991487613219"/>
    <n v="1.9727960702220493E-2"/>
    <n v="-0.53099366604434373"/>
    <n v="-0.25451908969942316"/>
    <n v="-0.17901422252221133"/>
    <n v="2.194415402281269E-2"/>
    <n v="1.9852499999986617E-3"/>
    <n v="0.11799651465795868"/>
    <n v="4.2628316058768156E-2"/>
    <n v="-0.13342550266525199"/>
    <n v="0.20878706947295989"/>
    <n v="-0.48556077097945405"/>
    <n v="15.628751214484126"/>
    <n v="-2.2978175641197307E-2"/>
    <n v="-0.16056375064926742"/>
    <n v="5.3406833999999986E-2"/>
    <n v="4.2705600000001592E-3"/>
    <n v="1.1379379999999772E-2"/>
  </r>
  <r>
    <x v="42"/>
    <x v="0"/>
    <x v="0"/>
    <x v="1"/>
    <x v="0"/>
    <x v="142"/>
    <n v="-20.432400000005146"/>
    <n v="-1.0131461512657758"/>
    <n v="1.9799174733203806E-2"/>
    <n v="-0.48256868824123611"/>
    <n v="-0.22716192311333927"/>
    <n v="-0.17113323644026845"/>
    <n v="2.2489797148139701E-2"/>
    <n v="2.4104800000007698E-3"/>
    <n v="9.800709161198462E-2"/>
    <n v="2.4985586890480249E-2"/>
    <n v="-0.14642961066984039"/>
    <n v="0.18662085853848875"/>
    <n v="-0.49752792496120524"/>
    <n v="15.62991051111764"/>
    <n v="-4.9043955154592922E-2"/>
    <n v="-0.16288168545375292"/>
    <n v="4.1676105000000054E-2"/>
    <n v="4.6690900000000146E-3"/>
    <n v="1.6370489999999877E-2"/>
  </r>
  <r>
    <x v="43"/>
    <x v="0"/>
    <x v="0"/>
    <x v="1"/>
    <x v="0"/>
    <x v="143"/>
    <n v="-14.383420000005572"/>
    <n v="-0.96767187576756175"/>
    <n v="2.1933691370135122E-2"/>
    <n v="-0.43318479440803692"/>
    <n v="-0.19747354061639966"/>
    <n v="-0.16248474373523614"/>
    <n v="2.4901336958293996E-2"/>
    <n v="2.6589499999993271E-3"/>
    <n v="7.9076569226210758E-2"/>
    <n v="8.5459398120990571E-3"/>
    <n v="-0.15808234443589475"/>
    <n v="0.16556593658791918"/>
    <n v="-0.50726745464336753"/>
    <n v="15.551799378456899"/>
    <n v="-7.350407367651135E-2"/>
    <n v="-0.16516412832457972"/>
    <n v="2.7642194000000037E-2"/>
    <n v="5.875699999999956E-3"/>
    <n v="2.2376109999999727E-2"/>
  </r>
  <r>
    <x v="44"/>
    <x v="0"/>
    <x v="0"/>
    <x v="1"/>
    <x v="0"/>
    <x v="144"/>
    <n v="-7.5401999999958207"/>
    <n v="-0.92242715487165228"/>
    <n v="2.5833397942376379E-2"/>
    <n v="-0.38372048627356437"/>
    <n v="-0.16744410206324112"/>
    <n v="-0.15309678334436416"/>
    <n v="2.8867325132808652E-2"/>
    <n v="2.7185900000004093E-3"/>
    <n v="6.221112903153081E-2"/>
    <n v="-5.6231422111974183E-3"/>
    <n v="-0.16718947512277538"/>
    <n v="0.14657248202580853"/>
    <n v="-0.51460695858756011"/>
    <n v="15.406631211647115"/>
    <n v="-9.4869719140533437E-2"/>
    <n v="-0.16717426879155894"/>
    <n v="1.2254595999999958E-2"/>
    <n v="7.5684199999998675E-3"/>
    <n v="2.9012309999999764E-2"/>
  </r>
  <r>
    <x v="45"/>
    <x v="0"/>
    <x v="0"/>
    <x v="1"/>
    <x v="0"/>
    <x v="145"/>
    <n v="-0.34492999999929452"/>
    <n v="-0.87825816874441687"/>
    <n v="3.1090596552907357E-2"/>
    <n v="-0.33504007660760671"/>
    <n v="-0.13891256509285244"/>
    <n v="-0.14306851095117201"/>
    <n v="3.3982558914091854E-2"/>
    <n v="2.5915400000006694E-3"/>
    <n v="4.8214391087686437E-2"/>
    <n v="-1.6683365428160624E-2"/>
    <n v="-0.17282899946430286"/>
    <n v="0.13039830357188809"/>
    <n v="-0.51949871902308153"/>
    <n v="15.209252881596957"/>
    <n v="-0.11195563424816202"/>
    <n v="-0.16870055946160978"/>
    <n v="-3.5189689999999552E-3"/>
    <n v="9.4356500000000038E-3"/>
    <n v="3.5865839999999621E-2"/>
  </r>
  <r>
    <x v="46"/>
    <x v="0"/>
    <x v="0"/>
    <x v="1"/>
    <x v="0"/>
    <x v="146"/>
    <n v="6.7670999999972992"/>
    <n v="-0.8359455721557274"/>
    <n v="3.7224716110273448E-2"/>
    <n v="-0.28794894841597252"/>
    <n v="-0.11347562011819745"/>
    <n v="-0.13255634604600885"/>
    <n v="3.9785575937112405E-2"/>
    <n v="2.2948699999997269E-3"/>
    <n v="3.7658946837249019E-2"/>
    <n v="-2.4050581961465589E-2"/>
    <n v="-0.17437454048879752"/>
    <n v="0.11758255164326936"/>
    <n v="-0.52201134326967935"/>
    <n v="14.976034171510101"/>
    <n v="-0.1239242628026882"/>
    <n v="-0.16957432434376862"/>
    <n v="-1.8757187999999918E-2"/>
    <n v="1.1195450000000065E-2"/>
    <n v="4.2522949999999893E-2"/>
  </r>
  <r>
    <x v="47"/>
    <x v="0"/>
    <x v="0"/>
    <x v="1"/>
    <x v="0"/>
    <x v="147"/>
    <n v="13.396919999999227"/>
    <n v="-0.79615950429061666"/>
    <n v="4.3724081722928965E-2"/>
    <n v="-0.24315385921173105"/>
    <n v="-9.2417860392646212E-2"/>
    <n v="-0.12175457677539026"/>
    <n v="4.579853830548597E-2"/>
    <n v="1.8589900000004489E-3"/>
    <n v="3.0874754172960373E-2"/>
    <n v="-2.7404170822331597E-2"/>
    <n v="-0.17150133267900269"/>
    <n v="0.10843429632827473"/>
    <n v="-0.52231650754059888"/>
    <n v="14.723777849447517"/>
    <n v="-0.13030322654447035"/>
    <n v="-0.16967999490680175"/>
    <n v="-3.26425679999999E-2"/>
    <n v="1.2609099999999832E-2"/>
    <n v="4.8597749999999829E-2"/>
  </r>
  <r>
    <x v="48"/>
    <x v="0"/>
    <x v="0"/>
    <x v="1"/>
    <x v="0"/>
    <x v="148"/>
    <n v="19.206359999996494"/>
    <n v="-0.75942508805475484"/>
    <n v="5.0087772206852677E-2"/>
    <n v="-0.20123104934510749"/>
    <n v="-7.6666767423405613E-2"/>
    <n v="-0.11087698224189202"/>
    <n v="5.156552671232717E-2"/>
    <n v="1.3242100000004919E-3"/>
    <n v="2.7952547983800535E-2"/>
    <n v="-2.6680348641860974E-2"/>
    <n v="-0.16417474735284099"/>
    <n v="0.10303586188553648"/>
    <n v="-0.5206712693572757"/>
    <n v="14.468723430010622"/>
    <n v="-0.13097899478569097"/>
    <n v="-0.16895913665274653"/>
    <n v="-4.4506481000000042E-2"/>
    <n v="1.3489649999999867E-2"/>
    <n v="5.3757159999999471E-2"/>
  </r>
  <r>
    <x v="49"/>
    <x v="0"/>
    <x v="0"/>
    <x v="1"/>
    <x v="0"/>
    <x v="149"/>
    <n v="23.935440000001108"/>
    <n v="-0.72610150891507796"/>
    <n v="5.5862912907267415E-2"/>
    <n v="-0.16260423298428694"/>
    <n v="-6.6772040546370093E-2"/>
    <n v="-0.10013795347982857"/>
    <n v="5.6684445460786215E-2"/>
    <n v="7.361999999996871E-4"/>
    <n v="2.8760960798646096E-2"/>
    <n v="-2.2052550992346376E-2"/>
    <n v="-0.15262527385673241"/>
    <n v="0.10125862814738262"/>
    <n v="-0.51739867022785324"/>
    <n v="14.225697167180652"/>
    <n v="-0.12616900768963601"/>
    <n v="-0.16740796097608479"/>
    <n v="-5.3858738000000031E-2"/>
    <n v="1.3705179999999942E-2"/>
    <n v="5.7740530000000012E-2"/>
  </r>
  <r>
    <x v="50"/>
    <x v="0"/>
    <x v="0"/>
    <x v="1"/>
    <x v="0"/>
    <x v="150"/>
    <n v="27.411579999999958"/>
    <n v="-0.696373674483175"/>
    <n v="6.0672949203621762E-2"/>
    <n v="-0.1275342926627232"/>
    <n v="-6.2908545208206768E-2"/>
    <n v="-8.9738102849734602E-2"/>
    <n v="6.0830404311107422E-2"/>
    <n v="1.4108999999984384E-4"/>
    <n v="3.2974164895605007E-2"/>
    <n v="-1.3901086077405811E-2"/>
    <n v="-0.13731264158437506"/>
    <n v="0.10278878038678663"/>
    <n v="-0.51286638365241055"/>
    <n v="14.00744162699208"/>
    <n v="-0.11637729206099845"/>
    <n v="-0.1650696593455403"/>
    <n v="-6.0400627000000005E-2"/>
    <n v="1.3178499999999885E-2"/>
    <n v="6.0372059999999617E-2"/>
  </r>
  <r>
    <x v="0"/>
    <x v="0"/>
    <x v="0"/>
    <x v="1"/>
    <x v="1"/>
    <x v="0"/>
    <n v="0"/>
    <n v="0"/>
    <n v="0"/>
    <n v="0"/>
    <n v="0"/>
    <n v="0"/>
    <n v="0"/>
    <n v="0"/>
    <n v="0"/>
    <n v="0"/>
    <n v="0"/>
    <n v="0"/>
    <n v="3.5354701563461433E-3"/>
    <n v="0.22054535214603987"/>
    <n v="0"/>
    <n v="0"/>
    <n v="0"/>
    <n v="0"/>
    <n v="0"/>
  </r>
  <r>
    <x v="1"/>
    <x v="0"/>
    <x v="0"/>
    <x v="1"/>
    <x v="1"/>
    <x v="151"/>
    <n v="26.39426999999705"/>
    <n v="-1.2363739824831188"/>
    <n v="6.0646548973819492E-2"/>
    <n v="-0.22728517406183091"/>
    <n v="-3.8118382500129666E-2"/>
    <n v="-0.16203137495491848"/>
    <n v="8.5395807457966377E-2"/>
    <n v="2.219361999999947E-2"/>
    <n v="0.44924339098977306"/>
    <n v="6.9568177040624235E-2"/>
    <n v="-0.70225209477478012"/>
    <n v="0.83454874067441231"/>
    <n v="0.20914817966988242"/>
    <n v="0.77130674326573168"/>
    <n v="2.3235289348977339E-2"/>
    <n v="-0.37801932791603488"/>
    <n v="-7.885852999999915E-2"/>
    <n v="9.1846259999999944E-2"/>
    <n v="-1.4947530000000014E-2"/>
  </r>
  <r>
    <x v="2"/>
    <x v="0"/>
    <x v="0"/>
    <x v="1"/>
    <x v="1"/>
    <x v="152"/>
    <n v="54.616260000002512"/>
    <n v="-2.0002082977134239"/>
    <n v="0.15117841909959573"/>
    <n v="-0.41905884011380623"/>
    <n v="-9.0802896392905286E-2"/>
    <n v="-0.25665911937031716"/>
    <n v="0.18424364459859177"/>
    <n v="2.9625619999999742E-2"/>
    <n v="0.50518454765395848"/>
    <n v="0.14861263879368813"/>
    <n v="-0.59059310690170452"/>
    <n v="0.8804443385400873"/>
    <n v="0.32509026975489075"/>
    <n v="1.6947780787111899"/>
    <n v="0.19562552631227081"/>
    <n v="-0.27810326258173035"/>
    <n v="-0.15627850999999915"/>
    <n v="0.14262062999999997"/>
    <n v="3.8548579999999992E-2"/>
  </r>
  <r>
    <x v="3"/>
    <x v="0"/>
    <x v="0"/>
    <x v="1"/>
    <x v="1"/>
    <x v="153"/>
    <n v="75.91704000000027"/>
    <n v="-2.4234412699258412"/>
    <n v="0.23878456405128645"/>
    <n v="-0.56771972219530342"/>
    <n v="-0.14986604252563707"/>
    <n v="-0.29123521270254527"/>
    <n v="0.26271603448515535"/>
    <n v="2.1424930000001063E-2"/>
    <n v="0.58519908205709736"/>
    <n v="0.25218676983433941"/>
    <n v="-0.44989169497207104"/>
    <n v="0.94568290762719887"/>
    <n v="0.39077139695178342"/>
    <n v="2.9977464162033396"/>
    <n v="0.39568492965675883"/>
    <n v="-0.18920768855962278"/>
    <n v="-0.20956831999999898"/>
    <n v="0.17300909999999997"/>
    <n v="6.4064250000000003E-2"/>
  </r>
  <r>
    <x v="4"/>
    <x v="0"/>
    <x v="0"/>
    <x v="1"/>
    <x v="1"/>
    <x v="154"/>
    <n v="87.846379999999044"/>
    <n v="-2.6436490348383468"/>
    <n v="0.30345982179615927"/>
    <n v="-0.68348648013590863"/>
    <n v="-0.21214850426179988"/>
    <n v="-0.2956240060028259"/>
    <n v="0.31091506491229826"/>
    <n v="6.6711600000005089E-3"/>
    <n v="0.68108161554762958"/>
    <n v="0.37354600462400356"/>
    <n v="-0.28833937274582722"/>
    <n v="1.0252259992904689"/>
    <n v="0.41962293806572237"/>
    <n v="4.6697809894290732"/>
    <n v="0.5934497478923495"/>
    <n v="-0.13119529775833527"/>
    <n v="-0.23515276999999946"/>
    <n v="0.19462586000000004"/>
    <n v="6.6146460000000157E-2"/>
  </r>
  <r>
    <x v="5"/>
    <x v="0"/>
    <x v="0"/>
    <x v="1"/>
    <x v="1"/>
    <x v="155"/>
    <n v="90.973509999999806"/>
    <n v="-2.7461493090821243"/>
    <n v="0.34435140302135903"/>
    <n v="-0.77675102250386319"/>
    <n v="-0.27586633510980896"/>
    <n v="-0.28746336533614913"/>
    <n v="0.33900008722869135"/>
    <n v="-4.7873300000000896E-3"/>
    <n v="0.78344334367537183"/>
    <n v="0.50258985071591766"/>
    <n v="-0.1180340420091408"/>
    <n v="1.1112252990450378"/>
    <n v="0.41654406050248838"/>
    <n v="6.6925896060987311"/>
    <n v="0.78230730200978815"/>
    <n v="-9.6772304353642813E-2"/>
    <n v="-0.23698199000000003"/>
    <n v="0.21284924999999955"/>
    <n v="5.5608359999999996E-2"/>
  </r>
  <r>
    <x v="6"/>
    <x v="0"/>
    <x v="0"/>
    <x v="1"/>
    <x v="1"/>
    <x v="156"/>
    <n v="87.269540000001143"/>
    <n v="-2.7788942584401566"/>
    <n v="0.36930348027797155"/>
    <n v="-0.85349836199211104"/>
    <n v="-0.33953602544063433"/>
    <n v="-0.27373936900012552"/>
    <n v="0.35805210999981796"/>
    <n v="-1.0064209999999241E-2"/>
    <n v="0.88516226432555634"/>
    <n v="0.63100327215384056"/>
    <n v="5.1116945790519175E-2"/>
    <n v="1.1971638073182023"/>
    <n v="0.38420467377695555"/>
    <n v="9.0440493498595398"/>
    <n v="0.96006508236459176"/>
    <n v="-7.6809609290873215E-2"/>
    <n v="-0.22177877000000012"/>
    <n v="0.22937762"/>
    <n v="4.1940520000000037E-2"/>
  </r>
  <r>
    <x v="7"/>
    <x v="0"/>
    <x v="0"/>
    <x v="1"/>
    <x v="1"/>
    <x v="157"/>
    <n v="79.104409999999916"/>
    <n v="-2.7684799043603436"/>
    <n v="0.38731399963800595"/>
    <n v="-0.91616158543438297"/>
    <n v="-0.40177142868710325"/>
    <n v="-0.25616665004376538"/>
    <n v="0.37586502450974724"/>
    <n v="-1.0240009999999689E-2"/>
    <n v="0.98146738998545757"/>
    <n v="0.75299373139052772"/>
    <n v="0.21229132766042991"/>
    <n v="1.2784263767704696"/>
    <n v="0.32494158521045868"/>
    <n v="11.699540151653288"/>
    <n v="1.1249318775058414"/>
    <n v="-6.5192314225559489E-2"/>
    <n v="-0.19648634000000026"/>
    <n v="0.24431442999999983"/>
    <n v="3.1613500000000211E-2"/>
  </r>
  <r>
    <x v="8"/>
    <x v="0"/>
    <x v="0"/>
    <x v="1"/>
    <x v="1"/>
    <x v="158"/>
    <n v="68.649280000001454"/>
    <n v="-2.7301969276381732"/>
    <n v="0.40520006099620254"/>
    <n v="-0.96548075225523222"/>
    <n v="-0.46131088886042226"/>
    <n v="-0.23477870481185548"/>
    <n v="0.39676493273950175"/>
    <n v="-7.5431099999995199E-3"/>
    <n v="1.0693199532697539"/>
    <n v="0.86483643956942746"/>
    <n v="0.36119098104048231"/>
    <n v="1.3519579551581229"/>
    <n v="0.24116675605334592"/>
    <n v="14.632112745672465"/>
    <n v="1.2752537993207191"/>
    <n v="-5.8424395026723808E-2"/>
    <n v="-0.16692699000000061"/>
    <n v="0.25728884000000007"/>
    <n v="2.8132280000000079E-2"/>
  </r>
  <r>
    <x v="9"/>
    <x v="0"/>
    <x v="0"/>
    <x v="1"/>
    <x v="1"/>
    <x v="159"/>
    <n v="57.588529999997263"/>
    <n v="-2.6735253284334792"/>
    <n v="0.42677909347985654"/>
    <n v="-1.0018598377772858"/>
    <n v="-0.51706864008284059"/>
    <n v="-0.20963986733819606"/>
    <n v="0.4223314335110695"/>
    <n v="-3.976270000000115E-3"/>
    <n v="1.1468540657723292"/>
    <n v="0.96428466926938849"/>
    <n v="0.49530026608957112"/>
    <n v="1.4158341498661242"/>
    <n v="0.1353907248239139"/>
    <n v="17.812282538267809"/>
    <n v="1.4097816583271472"/>
    <n v="-5.4544527994282443E-2"/>
    <n v="-0.1372863900000007"/>
    <n v="0.26794839999999959"/>
    <n v="3.2599709999999935E-2"/>
  </r>
  <r>
    <x v="10"/>
    <x v="0"/>
    <x v="0"/>
    <x v="1"/>
    <x v="1"/>
    <x v="160"/>
    <n v="47.046360000000277"/>
    <n v="-2.604913381024665"/>
    <n v="0.4532076642471683"/>
    <n v="-1.0260269083532836"/>
    <n v="-0.56816337512867188"/>
    <n v="-0.18139572063567977"/>
    <n v="0.45222180185602312"/>
    <n v="-8.8110000000113375E-4"/>
    <n v="1.2130039007628213"/>
    <n v="1.0501131159278643"/>
    <n v="0.61330365906586692"/>
    <n v="1.4689385908634556"/>
    <n v="1.0209742890587847E-2"/>
    <n v="21.207826385203422"/>
    <n v="1.5277798441961643"/>
    <n v="-5.2384046949094376E-2"/>
    <n v="-0.1101193200000003"/>
    <n v="0.27612485000000009"/>
    <n v="4.440464000000019E-2"/>
  </r>
  <r>
    <x v="11"/>
    <x v="0"/>
    <x v="0"/>
    <x v="1"/>
    <x v="1"/>
    <x v="161"/>
    <n v="37.640909999998257"/>
    <n v="-2.5290925543197118"/>
    <n v="0.48372629261557165"/>
    <n v="-1.0391945210946107"/>
    <n v="-0.61392380847745676"/>
    <n v="-0.15124369552439454"/>
    <n v="0.48491829798660291"/>
    <n v="1.0647399999993978E-3"/>
    <n v="1.2672766874620489"/>
    <n v="1.121810179765248"/>
    <n v="0.71469305999714017"/>
    <n v="1.5107479968927251"/>
    <n v="-0.13169042754727078"/>
    <n v="24.783745195793028"/>
    <n v="1.628971155162251"/>
    <n v="-5.1195891071686983E-2"/>
    <n v="-8.6631460000000104E-2"/>
    <n v="0.28184885000000004"/>
    <n v="6.1889369999999777E-2"/>
  </r>
  <r>
    <x v="12"/>
    <x v="0"/>
    <x v="0"/>
    <x v="1"/>
    <x v="1"/>
    <x v="162"/>
    <n v="29.599309999997786"/>
    <n v="-2.4496613784844468"/>
    <n v="0.51645336127972286"/>
    <n v="-1.0429530016177746"/>
    <n v="-0.65388117562213965"/>
    <n v="-0.12067882304532818"/>
    <n v="0.51835297793185742"/>
    <n v="1.6959100000005223E-3"/>
    <n v="1.3096113726400738"/>
    <n v="1.1793795870280288"/>
    <n v="0.79951859145304116"/>
    <n v="1.5411893776805963"/>
    <n v="-0.28752603547007594"/>
    <n v="28.502455285067253"/>
    <n v="1.7134231728127114"/>
    <n v="-5.0498306948043581E-2"/>
    <n v="-6.7062889999999764E-2"/>
    <n v="0.28530388999999934"/>
    <n v="8.2923690000000216E-2"/>
  </r>
  <r>
    <x v="13"/>
    <x v="0"/>
    <x v="0"/>
    <x v="1"/>
    <x v="1"/>
    <x v="163"/>
    <n v="22.8878500000028"/>
    <n v="-2.3693387359984275"/>
    <n v="0.54906757432684472"/>
    <n v="-1.0390659887625664"/>
    <n v="-0.68775491019479329"/>
    <n v="-9.1207832205064676E-2"/>
    <n v="0.55038824477560144"/>
    <n v="1.1783600000009331E-3"/>
    <n v="1.3402838136474582"/>
    <n v="1.2232104709153369"/>
    <n v="0.86823353233624889"/>
    <n v="1.5605394404512252"/>
    <n v="-0.45442316113807335"/>
    <n v="32.324222500550825"/>
    <n v="1.7814469653139264"/>
    <n v="-5.0009375850756932E-2"/>
    <n v="-5.1065579999999555E-2"/>
    <n v="0.28676423000000006"/>
    <n v="0.10534693999999997"/>
  </r>
  <r>
    <x v="14"/>
    <x v="0"/>
    <x v="0"/>
    <x v="1"/>
    <x v="1"/>
    <x v="164"/>
    <n v="17.329839999998512"/>
    <n v="-2.2900918624881972"/>
    <n v="0.57931762207852344"/>
    <n v="-1.0292692117090052"/>
    <n v="-0.71543605356875206"/>
    <n v="-6.4122810075029069E-2"/>
    <n v="0.57914822743485583"/>
    <n v="-1.5111999999983805E-4"/>
    <n v="1.3598353567363608"/>
    <n v="1.2539885983065879"/>
    <n v="0.92159761333259205"/>
    <n v="1.5693486905998144"/>
    <n v="-0.62945050323085505"/>
    <n v="36.207825541741776"/>
    <n v="1.8335353381238928"/>
    <n v="-4.9608043207705066E-2"/>
    <n v="-3.8016189999999506E-2"/>
    <n v="0.28653824999999994"/>
    <n v="0.12726597999999992"/>
  </r>
  <r>
    <x v="15"/>
    <x v="0"/>
    <x v="0"/>
    <x v="1"/>
    <x v="1"/>
    <x v="165"/>
    <n v="12.697410000000673"/>
    <n v="-2.2132345157257927"/>
    <n v="0.6053492422300577"/>
    <n v="-1.0151201177562852"/>
    <n v="-0.73696968827191567"/>
    <n v="-4.0366246676359907E-2"/>
    <n v="0.60320881738149534"/>
    <n v="-1.9076499999992613E-3"/>
    <n v="1.3690154087381723"/>
    <n v="1.2726311281711977"/>
    <n v="0.96061397537294813"/>
    <n v="1.5683793452236028"/>
    <n v="-0.80967465189425436"/>
    <n v="40.111407631838802"/>
    <n v="1.8703379349682248"/>
    <n v="-4.9297554249838615E-2"/>
    <n v="-2.7241559999999221E-2"/>
    <n v="0.28492679999999948"/>
    <n v="0.14721891000000001"/>
  </r>
  <r>
    <x v="16"/>
    <x v="0"/>
    <x v="0"/>
    <x v="1"/>
    <x v="1"/>
    <x v="166"/>
    <n v="8.7732799999976123"/>
    <n v="-2.1395309711535471"/>
    <n v="0.62586798326651483"/>
    <n v="-0.99791217672657861"/>
    <n v="-0.75253702901196817"/>
    <n v="-2.0484566686018724E-2"/>
    <n v="0.62166910126240094"/>
    <n v="-3.7402700000008227E-3"/>
    <n v="1.3687326178050574"/>
    <n v="1.280234266613256"/>
    <n v="0.98648355428683221"/>
    <n v="1.5585524902629322"/>
    <n v="-0.99223065823315082"/>
    <n v="43.993465057898248"/>
    <n v="1.8926593142622128"/>
    <n v="-4.9166436820091697E-2"/>
    <n v="-1.8156820000000962E-2"/>
    <n v="0.28219851000000007"/>
    <n v="0.1642287199999995"/>
  </r>
  <r>
    <x v="17"/>
    <x v="0"/>
    <x v="0"/>
    <x v="1"/>
    <x v="1"/>
    <x v="167"/>
    <n v="5.3847399999976915"/>
    <n v="-2.0693104345425373"/>
    <n v="0.6401741872044342"/>
    <n v="-0.97864807217915573"/>
    <n v="-0.76243691362355426"/>
    <n v="-4.6500120471804074E-3"/>
    <n v="0.63413495039148504"/>
    <n v="-5.377200000000748E-3"/>
    <n v="1.3600118370262093"/>
    <n v="1.2780264142861375"/>
    <n v="1.0005655636397881"/>
    <n v="1.5409010534193079"/>
    <n v="-1.1743988616592982"/>
    <n v="47.81390069093603"/>
    <n v="1.9014650451439907"/>
    <n v="-4.9349655875563503E-2"/>
    <n v="-1.0329559999999738E-2"/>
    <n v="0.27858030999999978"/>
    <n v="0.17777763000000057"/>
  </r>
  <r>
    <x v="18"/>
    <x v="0"/>
    <x v="0"/>
    <x v="1"/>
    <x v="1"/>
    <x v="168"/>
    <n v="2.4155500000015309"/>
    <n v="-2.0025843916067765"/>
    <n v="0.64810894236464467"/>
    <n v="-0.95805543849808439"/>
    <n v="-0.76706672165658407"/>
    <n v="7.2740768638057673E-3"/>
    <n v="0.64064638062728552"/>
    <n v="-6.6419300000009063E-3"/>
    <n v="1.3439547852028388"/>
    <n v="1.2673236750418315"/>
    <n v="1.0043375553845824"/>
    <n v="1.5165267619964062"/>
    <n v="-1.3536791886532784"/>
    <n v="51.535069822727777"/>
    <n v="1.8978830094520838"/>
    <n v="-4.9993764979494593E-2"/>
    <n v="-3.4896800000003281E-3"/>
    <n v="0.2742586800000002"/>
    <n v="0.18773328000000061"/>
  </r>
  <r>
    <x v="19"/>
    <x v="0"/>
    <x v="0"/>
    <x v="1"/>
    <x v="1"/>
    <x v="169"/>
    <n v="-0.19762000000264379"/>
    <n v="-1.9391557139654791"/>
    <n v="0.64994937047855306"/>
    <n v="-0.93662850943425635"/>
    <n v="-0.76690238909642439"/>
    <n v="1.5648616836538842E-2"/>
    <n v="0.64157746232473833"/>
    <n v="-7.4490699999998911E-3"/>
    <n v="1.3217036683130123"/>
    <n v="1.2494858427498201"/>
    <n v="0.99935178114440859"/>
    <n v="1.4865604624358264"/>
    <n v="-1.5278555918759373"/>
    <n v="55.122743416089072"/>
    <n v="1.8831937179938141"/>
    <n v="-5.1227999560088389E-2"/>
    <n v="2.4949699999998742E-3"/>
    <n v="0.26938695000000012"/>
    <n v="0.19425279000000045"/>
  </r>
  <r>
    <x v="20"/>
    <x v="0"/>
    <x v="0"/>
    <x v="1"/>
    <x v="1"/>
    <x v="170"/>
    <n v="-2.4771599999985483"/>
    <n v="-1.878711341627759"/>
    <n v="0.64628471761412065"/>
    <n v="-0.91468008305123361"/>
    <n v="-0.76247789015376766"/>
    <n v="2.0973174181704302E-2"/>
    <n v="0.6375296836494071"/>
    <n v="-7.7882000000001339E-3"/>
    <n v="1.2944069611623421"/>
    <n v="1.2258735785531938"/>
    <n v="0.9871883707212481"/>
    <n v="1.4521261159159415"/>
    <n v="-1.6950450163452868"/>
    <n v="58.546926674568908"/>
    <n v="1.8588066270398551"/>
    <n v="-5.3143584500559005E-2"/>
    <n v="7.6596700000000628E-3"/>
    <n v="0.26409438999999979"/>
    <n v="0.19768486999999918"/>
  </r>
  <r>
    <x v="21"/>
    <x v="0"/>
    <x v="0"/>
    <x v="1"/>
    <x v="1"/>
    <x v="171"/>
    <n v="-4.4203099999976985"/>
    <n v="-1.8208938848241818"/>
    <n v="0.63789450915037182"/>
    <n v="-0.89239277808899065"/>
    <n v="-0.75436463877773807"/>
    <n v="2.3810871815110879E-2"/>
    <n v="0.62923448334593068"/>
    <n v="-7.7027399999998747E-3"/>
    <n v="1.2631879972862636"/>
    <n v="1.197808410281298"/>
    <n v="0.96940697544298793"/>
    <n v="1.4143088573387086"/>
    <n v="-1.8537275573308309"/>
    <n v="61.782483649217809"/>
    <n v="1.8262239124677837"/>
    <n v="-5.5781066312066141E-2"/>
    <n v="1.1987019999999682E-2"/>
    <n v="0.25849417999999968"/>
    <n v="0.19848258000000063"/>
  </r>
  <r>
    <x v="22"/>
    <x v="0"/>
    <x v="0"/>
    <x v="1"/>
    <x v="1"/>
    <x v="172"/>
    <n v="-6.0141899999980524"/>
    <n v="-1.7653515535636211"/>
    <n v="0.6256445291406898"/>
    <n v="-0.86986322956228435"/>
    <n v="-0.74315117082115467"/>
    <n v="2.4729816941682081E-2"/>
    <n v="0.61747199179373879"/>
    <n v="-7.268750000000157E-3"/>
    <n v="1.2291170253143191"/>
    <n v="1.1665372357910986"/>
    <n v="0.94750065070927647"/>
    <n v="1.3741281339605838"/>
    <n v="-2.0027570271503592"/>
    <n v="64.809539132357401"/>
    <n v="1.7869954261382714"/>
    <n v="-5.9125621301381326E-2"/>
    <n v="1.5446009999999649E-2"/>
    <n v="0.25268868999999972"/>
    <n v="0.19713390000000025"/>
  </r>
  <r>
    <x v="23"/>
    <x v="0"/>
    <x v="0"/>
    <x v="1"/>
    <x v="1"/>
    <x v="173"/>
    <n v="-7.2482100000015635"/>
    <n v="-1.7117685475276589"/>
    <n v="0.61040442660735827"/>
    <n v="-0.84713631150206137"/>
    <n v="-0.72942436527935195"/>
    <n v="2.42623454332902E-2"/>
    <n v="0.60301034961327549"/>
    <n v="-6.5765600000003421E-3"/>
    <n v="1.1931874932948672"/>
    <n v="1.1332035211888858"/>
    <n v="0.92285516177899041"/>
    <n v="1.3325165895129887"/>
    <n v="-2.1413528946391258"/>
    <n v="67.613650414569165"/>
    <n v="1.7426690256063582"/>
    <n v="-6.3109454689636024E-2"/>
    <n v="1.8020699999999473E-2"/>
    <n v="0.24677170000000012"/>
    <n v="0.19411217000000064"/>
  </r>
  <r>
    <x v="24"/>
    <x v="0"/>
    <x v="0"/>
    <x v="1"/>
    <x v="1"/>
    <x v="174"/>
    <n v="-8.1224000000001979"/>
    <n v="-1.6598798463431708"/>
    <n v="0.59299136673127695"/>
    <n v="-0.82422894436950944"/>
    <n v="-0.71375247152701826"/>
    <n v="2.2880613788278659E-2"/>
    <n v="0.58656451384220265"/>
    <n v="-5.716719999999953E-3"/>
    <n v="1.1562974164804007"/>
    <n v="1.0988259690247748"/>
    <n v="0.89671646736377841"/>
    <n v="1.2903048601021316"/>
    <n v="-2.2690765926365986"/>
    <n v="70.185758854365503"/>
    <n v="1.6947418468676201"/>
    <n v="-6.7619505781935096E-2"/>
    <n v="1.9727609999999757E-2"/>
    <n v="0.24082824999999974"/>
    <n v="0.18984546999999963"/>
  </r>
  <r>
    <x v="25"/>
    <x v="0"/>
    <x v="0"/>
    <x v="1"/>
    <x v="1"/>
    <x v="175"/>
    <n v="-8.6517300000014075"/>
    <n v="-1.6094744161494701"/>
    <n v="0.57413523393050614"/>
    <n v="-0.80114503432521245"/>
    <n v="-0.69667049754301713"/>
    <n v="2.0985236738280122E-2"/>
    <n v="0.56877273557547348"/>
    <n v="-4.7706899999999663E-3"/>
    <n v="1.1192362975433801"/>
    <n v="1.0642851958124089"/>
    <n v="0.87016822539880412"/>
    <n v="1.2482125772639741"/>
    <n v="-2.3857960654091626"/>
    <n v="72.521946767281079"/>
    <n v="1.6446156382285304"/>
    <n v="-7.2509592089220476E-2"/>
    <n v="2.062221000000003E-2"/>
    <n v="0.23493298999999954"/>
    <n v="0.18470189000000109"/>
  </r>
  <r>
    <x v="26"/>
    <x v="0"/>
    <x v="0"/>
    <x v="1"/>
    <x v="1"/>
    <x v="176"/>
    <n v="-8.866730000001553"/>
    <n v="-1.5603911046117358"/>
    <n v="0.55446313427811589"/>
    <n v="-0.77788377305479939"/>
    <n v="-0.67866978828710067"/>
    <n v="1.8903696514582791E-2"/>
    <n v="0.55018642172404153"/>
    <n v="-3.8053900000001306E-3"/>
    <n v="1.0826775668983046"/>
    <n v="1.0303182230512409"/>
    <n v="0.84411938008608356"/>
    <n v="1.2068446595908444"/>
    <n v="-2.4916432081382278"/>
    <n v="74.6230359832945"/>
    <n v="1.5935603644844143"/>
    <n v="-7.7613898340644916E-2"/>
    <n v="2.0796900000000229E-2"/>
    <n v="0.22914793999999974"/>
    <n v="0.17898680999999944"/>
  </r>
  <r>
    <x v="27"/>
    <x v="0"/>
    <x v="0"/>
    <x v="1"/>
    <x v="1"/>
    <x v="177"/>
    <n v="-8.811439999997674"/>
    <n v="-1.5125106216652529"/>
    <n v="0.53449646046761501"/>
    <n v="-0.75444310981309659"/>
    <n v="-0.66018900636062305"/>
    <n v="1.6894995186467199E-2"/>
    <n v="0.53127002306732063"/>
    <n v="-2.8714300000010073E-3"/>
    <n v="1.0471762184656619"/>
    <n v="0.9975194815946109"/>
    <n v="0.81930172511264221"/>
    <n v="1.1666926162086311"/>
    <n v="-2.5869680660376426"/>
    <n v="76.494069547597903"/>
    <n v="1.5426875637501336"/>
    <n v="-8.276113584934075E-2"/>
    <n v="2.0372949999999945E-2"/>
    <n v="0.2235206999999996"/>
    <n v="0.17294782999999897"/>
  </r>
  <r>
    <x v="28"/>
    <x v="0"/>
    <x v="0"/>
    <x v="1"/>
    <x v="1"/>
    <x v="178"/>
    <n v="-8.5394000000014785"/>
    <n v="-1.4657460508637254"/>
    <n v="0.51465774932222264"/>
    <n v="-0.7308205032707682"/>
    <n v="-0.64160948591196476"/>
    <n v="1.5157544601485107E-2"/>
    <n v="0.51240694353205107"/>
    <n v="-2.0036399999992516E-3"/>
    <n v="1.0131711024067069"/>
    <n v="0.96634732983675864"/>
    <n v="0.79627533094321912"/>
    <n v="1.1281395288234686"/>
    <n v="-2.6722936879374215"/>
    <n v="78.143717194163131"/>
    <n v="1.4929339760573868"/>
    <n v="-8.7787113633630565E-2"/>
    <n v="1.9489280000000234E-2"/>
    <n v="0.21808353999999974"/>
    <n v="0.16678375999999995"/>
  </r>
  <r>
    <x v="29"/>
    <x v="0"/>
    <x v="0"/>
    <x v="1"/>
    <x v="1"/>
    <x v="179"/>
    <n v="-8.1090399999993679"/>
    <n v="-1.4200340159989278"/>
    <n v="0.4952814991132426"/>
    <n v="-0.70701242859771973"/>
    <n v="-0.62325354001108169"/>
    <n v="1.3838507627483843E-2"/>
    <n v="0.4939078823026577"/>
    <n v="-1.2231399999992898E-3"/>
    <n v="0.98099101177648862"/>
    <n v="0.9371345941385778"/>
    <n v="0.77544055264202605"/>
    <n v="1.0914679991236298"/>
    <n v="-2.7482737068181717"/>
    <n v="79.583644703594757"/>
    <n v="1.4450554685077277"/>
    <n v="-9.254489829710888E-2"/>
    <n v="1.8290370000000056E-2"/>
    <n v="0.21285343999999998"/>
    <n v="0.16065458000000116"/>
  </r>
  <r>
    <x v="30"/>
    <x v="0"/>
    <x v="0"/>
    <x v="1"/>
    <x v="1"/>
    <x v="180"/>
    <n v="-7.5789000000004307"/>
    <n v="-1.3753272469737232"/>
    <n v="0.47662675861193105"/>
    <n v="-0.68301401553755303"/>
    <n v="-0.60538415555829728"/>
    <n v="1.3042633453963504E-2"/>
    <n v="0.47602015177754531"/>
    <n v="-5.4034000000063864E-4"/>
    <n v="0.95086338885514987"/>
    <n v="0.91010148643602129"/>
    <n v="0.75705417084239723"/>
    <n v="1.0568699132950998"/>
    <n v="-2.8156546889696377"/>
    <n v="80.827877067854772"/>
    <n v="1.3996298741698832"/>
    <n v="-9.6912048094022207E-2"/>
    <n v="1.691523999999972E-2"/>
    <n v="0.20783353000000046"/>
    <n v="0.15469015999999974"/>
  </r>
  <r>
    <x v="31"/>
    <x v="0"/>
    <x v="0"/>
    <x v="1"/>
    <x v="1"/>
    <x v="181"/>
    <n v="-7.0036800000016228"/>
    <n v="-1.3315892568514731"/>
    <n v="0.45888873700319355"/>
    <n v="-0.65881857972286406"/>
    <n v="-0.58820807291195543"/>
    <n v="1.2840075398568018E-2"/>
    <n v="0.45893605095985723"/>
    <n v="4.2119999998924129E-5"/>
    <n v="0.92292517830947496"/>
    <n v="0.88537013334450965"/>
    <n v="0.74124811714670891"/>
    <n v="1.0244572158111032"/>
    <n v="-2.875243610100553"/>
    <n v="81.892182946902508"/>
    <n v="1.3570671785503974"/>
    <n v="-0.10079446187135632"/>
    <n v="1.5488699999999939E-2"/>
    <n v="0.20301510000000009"/>
    <n v="0.14899676000000028"/>
  </r>
  <r>
    <x v="32"/>
    <x v="0"/>
    <x v="0"/>
    <x v="1"/>
    <x v="1"/>
    <x v="182"/>
    <n v="-6.4311100000013539"/>
    <n v="-1.2887909278819221"/>
    <n v="0.44220843288016454"/>
    <n v="-0.63441850011103362"/>
    <n v="-0.57187924167423354"/>
    <n v="1.3272559641785975E-2"/>
    <n v="0.44279927645656247"/>
    <n v="5.2651999999930865E-4"/>
    <n v="0.89723450564185292"/>
    <n v="0.86297914570052647"/>
    <n v="0.72804881521904008"/>
    <n v="0.99427297850289698"/>
    <n v="-2.9278801240353869"/>
    <n v="82.793498418285921"/>
    <n v="1.3176248258997436"/>
    <n v="-0.10412740023278966"/>
    <n v="1.4115420000000017E-2"/>
    <n v="0.19838049999999982"/>
    <n v="0.14366083999999973"/>
  </r>
  <r>
    <x v="33"/>
    <x v="0"/>
    <x v="0"/>
    <x v="1"/>
    <x v="1"/>
    <x v="183"/>
    <n v="-5.9001299999981711"/>
    <n v="-1.2469088653452864"/>
    <n v="0.42668023007041977"/>
    <n v="-0.60980641991000839"/>
    <n v="-0.55650357282506224"/>
    <n v="1.4358041391204779E-2"/>
    <n v="0.42770993298055782"/>
    <n v="9.1793000000089942E-4"/>
    <n v="0.87378268632407607"/>
    <n v="0.84289793999907658"/>
    <n v="0.71739630285660994"/>
    <n v="0.96630296675985772"/>
    <n v="-2.9744132943085755"/>
    <n v="83.549401994273566"/>
    <n v="1.2814266033717159"/>
    <n v="-0.10687402130646895"/>
    <n v="1.287692E-2"/>
    <n v="0.19390609000000045"/>
    <n v="0.13875054000000026"/>
  </r>
  <r>
    <x v="34"/>
    <x v="0"/>
    <x v="0"/>
    <x v="1"/>
    <x v="1"/>
    <x v="184"/>
    <n v="-5.440149999998539"/>
    <n v="-1.2059249824208029"/>
    <n v="0.41235714080454233"/>
    <n v="-0.58497705223451435"/>
    <n v="-0.54214482388482699"/>
    <n v="1.6094172112768312E-2"/>
    <n v="0.41372831597150661"/>
    <n v="1.222639999999553E-3"/>
    <n v="0.85250628849573573"/>
    <n v="0.82504014184916485"/>
    <n v="0.70916212101850284"/>
    <n v="0.94048509877591169"/>
    <n v="-3.0156829412812725"/>
    <n v="84.17764598712121"/>
    <n v="1.2484829291428357"/>
    <n v="-0.10902225138645916"/>
    <n v="1.1831239999999729E-2"/>
    <n v="0.18956519999999977"/>
    <n v="0.13431562999999952"/>
  </r>
  <r>
    <x v="35"/>
    <x v="0"/>
    <x v="0"/>
    <x v="1"/>
    <x v="1"/>
    <x v="185"/>
    <n v="-5.0712299999977404"/>
    <n v="-1.1658266853333044"/>
    <n v="0.39925529574824647"/>
    <n v="-0.55992927642802837"/>
    <n v="-0.52882984348641138"/>
    <n v="1.8460755810245644E-2"/>
    <n v="0.40087787387721452"/>
    <n v="1.4473299999998024E-3"/>
    <n v="0.8332979415468289"/>
    <n v="0.80927561882746524"/>
    <n v="0.70316538738983692"/>
    <n v="0.91671982904120153"/>
    <n v="-3.0525029028664385"/>
    <n v="84.695750437318111"/>
    <n v="1.218711341555867"/>
    <n v="-0.11058055595994931"/>
    <n v="1.101459000000006E-2"/>
    <n v="0.18533073999999969"/>
    <n v="0.13038677000000026"/>
  </r>
  <r>
    <x v="36"/>
    <x v="0"/>
    <x v="0"/>
    <x v="1"/>
    <x v="1"/>
    <x v="186"/>
    <n v="-4.8050100000000384"/>
    <n v="-1.1266073913027808"/>
    <n v="0.38735706987673701"/>
    <n v="-0.53466794396316297"/>
    <n v="-0.51655438954727462"/>
    <n v="2.1421852953440457E-2"/>
    <n v="0.38914899937327885"/>
    <n v="1.5986799999992418E-3"/>
    <n v="0.81601647424418555"/>
    <n v="0.79544141414580327"/>
    <n v="0.69918702112963249"/>
    <n v="0.89487838507502637"/>
    <n v="-3.0856475162142405"/>
    <n v="85.120655874419683"/>
    <n v="1.191956229248059"/>
    <n v="-0.11157336072430413"/>
    <n v="1.0444290000000134E-2"/>
    <n v="0.18117729000000013"/>
    <n v="0.12697486000000091"/>
  </r>
  <r>
    <x v="37"/>
    <x v="0"/>
    <x v="0"/>
    <x v="1"/>
    <x v="1"/>
    <x v="187"/>
    <n v="-4.6460299999998824"/>
    <n v="-1.0882666956106957"/>
    <n v="0.37661492708227495"/>
    <n v="-0.50920540329333353"/>
    <n v="-0.50528871324518887"/>
    <n v="2.4927737491231561E-2"/>
    <n v="0.37850124708591615"/>
    <n v="1.6833599999988014E-3"/>
    <n v="0.80049678234774824"/>
    <n v="0.78335104268989486"/>
    <n v="0.69698196595979756"/>
    <n v="0.87481079568025866"/>
    <n v="-3.1158404442340526"/>
    <n v="85.468436231316375"/>
    <n v="1.1680066043791015"/>
    <n v="-0.11203659910857811"/>
    <n v="1.0122450000000019E-2"/>
    <n v="0.17708255999999978"/>
    <n v="0.12407125000000047"/>
  </r>
  <r>
    <x v="38"/>
    <x v="0"/>
    <x v="0"/>
    <x v="1"/>
    <x v="1"/>
    <x v="188"/>
    <n v="-4.5931999999993423"/>
    <n v="-1.0508101874194042"/>
    <n v="0.36695521738425718"/>
    <n v="-0.48356248048221362"/>
    <n v="-0.49498238320448973"/>
    <n v="2.8917053745614041E-2"/>
    <n v="0.36886897257892848"/>
    <n v="1.7082000000001596E-3"/>
    <n v="0.78655700113967608"/>
    <n v="0.77280280387599376"/>
    <n v="0.69628958097061044"/>
    <n v="0.8563523814302032"/>
    <n v="-3.1437447397403728"/>
    <n v="85.754067073303219"/>
    <n v="1.146612117276935"/>
    <n v="-0.11201359353057994"/>
    <n v="1.0039770000000101E-2"/>
    <n v="0.17302826000000007"/>
    <n v="0.12164892999999982"/>
  </r>
  <r>
    <x v="39"/>
    <x v="0"/>
    <x v="0"/>
    <x v="1"/>
    <x v="1"/>
    <x v="189"/>
    <n v="-4.6412799999998242"/>
    <n v="-1.0142487101756359"/>
    <n v="0.35828329619091992"/>
    <n v="-0.45776865727146232"/>
    <n v="-0.48556884213921681"/>
    <n v="3.3319187429770025E-2"/>
    <n v="0.36016551192288304"/>
    <n v="1.6804500000008882E-3"/>
    <n v="0.7740060736994403"/>
    <n v="0.76358668638540905"/>
    <n v="0.69684234299491887"/>
    <n v="0.83932985685104544"/>
    <n v="-3.1699553572844708"/>
    <n v="85.991247170181111"/>
    <n v="1.1274967727828766"/>
    <n v="-0.11155172029287952"/>
    <n v="1.017889999999997E-2"/>
    <n v="0.16900030000000024"/>
    <n v="0.11966489000000136"/>
  </r>
  <r>
    <x v="40"/>
    <x v="0"/>
    <x v="0"/>
    <x v="1"/>
    <x v="1"/>
    <x v="190"/>
    <n v="-4.7821400000029826"/>
    <n v="-0.97859719306035986"/>
    <n v="0.35048836591780042"/>
    <n v="-0.43186172297964287"/>
    <n v="-0.4769699043348119"/>
    <n v="3.8056946466391572E-2"/>
    <n v="0.35228885938796139"/>
    <n v="1.6077200000005898E-3"/>
    <n v="0.7626493712124649"/>
    <n v="0.75549055557195821"/>
    <n v="0.69837310218638926"/>
    <n v="0.82356665262495188"/>
    <n v="-3.1949932563729244"/>
    <n v="86.192269002938076"/>
    <n v="1.1103706440611205"/>
    <n v="-0.11069967163392924"/>
    <n v="1.0517370000000074E-2"/>
    <n v="0.16498868"/>
    <n v="0.11806341000000012"/>
  </r>
  <r>
    <x v="41"/>
    <x v="0"/>
    <x v="0"/>
    <x v="1"/>
    <x v="1"/>
    <x v="191"/>
    <n v="-5.0058399999979883"/>
    <n v="-0.94387301953412495"/>
    <n v="0.34344954338763056"/>
    <n v="-0.40588676423014558"/>
    <n v="-0.46909926358000842"/>
    <n v="4.3049362327152174E-2"/>
    <n v="0.34512700646887051"/>
    <n v="1.4981300000008191E-3"/>
    <n v="0.7522939924597738"/>
    <n v="0.74830487573238624"/>
    <n v="0.70062109577262444"/>
    <n v="0.80888656676796344"/>
    <n v="-3.2193020897311797"/>
    <n v="86.367933890327393"/>
    <n v="1.0949394881997865"/>
    <n v="-0.10950547228341101"/>
    <n v="1.1029809999999959E-2"/>
    <n v="0.16098694999999996"/>
    <n v="0.11677990999999985"/>
  </r>
  <r>
    <x v="42"/>
    <x v="0"/>
    <x v="0"/>
    <x v="1"/>
    <x v="1"/>
    <x v="192"/>
    <n v="-5.3013700000010431"/>
    <n v="-0.91009423170340664"/>
    <n v="0.33704127369227344"/>
    <n v="-0.37989485894732722"/>
    <n v="-0.46186573074047388"/>
    <n v="4.8214477887476015E-2"/>
    <n v="0.33856389164517164"/>
    <n v="1.3600299999999566E-3"/>
    <n v="0.74275255304721011"/>
    <n v="0.74182723718956289"/>
    <n v="0.70333683069989661"/>
    <n v="0.79511829244764964"/>
    <n v="-3.2432461110050936"/>
    <n v="86.5275110135413"/>
    <n v="1.0809128038894888"/>
    <n v="-0.10801511322312551"/>
    <n v="1.168948999999992E-2"/>
    <n v="0.15699160999999989"/>
    <n v="0.11574498000000016"/>
  </r>
  <r>
    <x v="43"/>
    <x v="0"/>
    <x v="0"/>
    <x v="1"/>
    <x v="1"/>
    <x v="193"/>
    <n v="-5.6572500000002037"/>
    <n v="-0.87727775999609792"/>
    <n v="0.33113836819371745"/>
    <n v="-0.35394149972982625"/>
    <n v="-0.45517636644920589"/>
    <n v="5.3472066241577743E-2"/>
    <n v="0.33248366945308749"/>
    <n v="1.2018099999996923E-3"/>
    <n v="0.73384722899307864"/>
    <n v="0.73586607469968701"/>
    <n v="0.70628611915144468"/>
    <n v="0.78209829124280539"/>
    <n v="-3.2671102261761842"/>
    <n v="86.678731989723602"/>
    <n v="1.0680102871951425"/>
    <n v="-0.10627159118430374"/>
    <n v="1.2469399999999985E-2"/>
    <n v="0.15300134000000021"/>
    <n v="0.11488825000000036"/>
  </r>
  <r>
    <x v="44"/>
    <x v="0"/>
    <x v="0"/>
    <x v="1"/>
    <x v="1"/>
    <x v="194"/>
    <n v="-6.0618499999982305"/>
    <n v="-0.84543841470865466"/>
    <n v="0.32562100144366557"/>
    <n v="-0.32808495881179178"/>
    <n v="-0.44893873400092543"/>
    <n v="5.8745895293066397E-2"/>
    <n v="0.32677560944613937"/>
    <n v="1.0315400000002195E-3"/>
    <n v="0.72541189336512435"/>
    <n v="0.73024296910388919"/>
    <n v="0.70925328231949969"/>
    <n v="0.769673009769134"/>
    <n v="-3.2911023388497718"/>
    <n v="86.827819405473392"/>
    <n v="1.0559670435942525"/>
    <n v="-0.10431452523701479"/>
    <n v="1.3342920000000008E-2"/>
    <n v="0.14901640999999965"/>
    <n v="0.11414177000000011"/>
  </r>
  <r>
    <x v="45"/>
    <x v="0"/>
    <x v="0"/>
    <x v="1"/>
    <x v="1"/>
    <x v="195"/>
    <n v="-6.5036399999989953"/>
    <n v="-0.81458657015238689"/>
    <n v="0.3203781934982608"/>
    <n v="-0.30238484829774315"/>
    <n v="-0.44306320475555605"/>
    <n v="6.3965713937896851E-2"/>
    <n v="0.32133709792749876"/>
    <n v="8.5672000000036608E-4"/>
    <n v="0.71729446918313844"/>
    <n v="0.72479526930220306"/>
    <n v="0.71204345885771403"/>
    <n v="0.75770130415930836"/>
    <n v="-3.3153572428957001"/>
    <n v="86.979544474651789"/>
    <n v="1.0445376215851399"/>
    <n v="-0.10217973140902448"/>
    <n v="1.4284149999999919E-2"/>
    <n v="0.14503811000000019"/>
    <n v="0.11344271999999961"/>
  </r>
  <r>
    <x v="46"/>
    <x v="0"/>
    <x v="0"/>
    <x v="1"/>
    <x v="1"/>
    <x v="196"/>
    <n v="-6.9713799999990442"/>
    <n v="-0.78472822529458419"/>
    <n v="0.31531048955062424"/>
    <n v="-0.27690065107572881"/>
    <n v="-0.4374645444155334"/>
    <n v="6.9068573806396749E-2"/>
    <n v="0.31607590194753232"/>
    <n v="6.8394999999943362E-4"/>
    <n v="0.70935878065947477"/>
    <n v="0.71937825032426517"/>
    <n v="0.71448446306676683"/>
    <n v="0.74605600915254033"/>
    <n v="-3.3399414293733054"/>
    <n v="87.137310521021931"/>
    <n v="1.0334990729333526"/>
    <n v="-9.9899305594564058E-2"/>
    <n v="1.5268210000000081E-2"/>
    <n v="0.14106835000000026"/>
    <n v="0.11273538000000013"/>
  </r>
  <r>
    <x v="47"/>
    <x v="0"/>
    <x v="0"/>
    <x v="1"/>
    <x v="1"/>
    <x v="197"/>
    <n v="-7.4541700000008859"/>
    <n v="-0.75586399708449381"/>
    <n v="0.31033185058841894"/>
    <n v="-0.25169077531729256"/>
    <n v="-0.4320635943206419"/>
    <n v="7.399992398529065E-2"/>
    <n v="0.31091236543030476"/>
    <n v="5.1880999999975863E-4"/>
    <n v="0.70148513792316347"/>
    <n v="0.71386500724863744"/>
    <n v="0.71642792933959143"/>
    <n v="0.73462461342799212"/>
    <n v="-3.364860194483843"/>
    <n v="87.303254693460588"/>
    <n v="1.0226531952802098"/>
    <n v="-9.7501694129376038E-2"/>
    <n v="1.6271380000000037E-2"/>
    <n v="0.13710946999999987"/>
    <n v="0.11197239999999956"/>
  </r>
  <r>
    <x v="48"/>
    <x v="0"/>
    <x v="0"/>
    <x v="1"/>
    <x v="1"/>
    <x v="198"/>
    <n v="-7.9416100000016741"/>
    <n v="-0.72798947967652738"/>
    <n v="0.30537039707401181"/>
    <n v="-0.22681158055058992"/>
    <n v="-0.42678812444463254"/>
    <n v="7.8714018493775129E-2"/>
    <n v="0.30577959489630491"/>
    <n v="3.6570000000041292E-4"/>
    <n v="0.69357098326849886"/>
    <n v="0.70814845647233504"/>
    <n v="0.71774975719827161"/>
    <n v="0.72331020053801875"/>
    <n v="-3.3900644542513736"/>
    <n v="87.478367925651341"/>
    <n v="1.0118278374620315"/>
    <n v="-9.5011781147191776E-2"/>
    <n v="1.7271349999999942E-2"/>
    <n v="0.13316401999999977"/>
    <n v="0.11111532000000063"/>
  </r>
  <r>
    <x v="49"/>
    <x v="0"/>
    <x v="0"/>
    <x v="1"/>
    <x v="1"/>
    <x v="199"/>
    <n v="-8.4238899999982095"/>
    <n v="-0.70109452609712353"/>
    <n v="0.3003686827889096"/>
    <n v="-0.20231689275103104"/>
    <n v="-0.42157393592728853"/>
    <n v="8.3173716821405286E-2"/>
    <n v="0.30062364530747399"/>
    <n v="2.2786999999968582E-4"/>
    <n v="0.6855314548610103"/>
    <n v="0.70214064117000152"/>
    <n v="0.71835022901345358"/>
    <n v="0.7120316896384038"/>
    <n v="-3.4154588928963614"/>
    <n v="87.662625894538166"/>
    <n v="1.0008775527045044"/>
    <n v="-9.245097068174557E-2"/>
    <n v="1.8247381999999916E-2"/>
    <n v="0.12923481000000001"/>
    <n v="0.11013459000000017"/>
  </r>
  <r>
    <x v="50"/>
    <x v="0"/>
    <x v="0"/>
    <x v="1"/>
    <x v="1"/>
    <x v="200"/>
    <n v="-8.8919000000023516"/>
    <n v="-0.67516446456507007"/>
    <n v="0.29528303876984463"/>
    <n v="-0.17825754112661407"/>
    <n v="-0.41636514773308875"/>
    <n v="8.7350899315019603E-2"/>
    <n v="0.29540320782044382"/>
    <n v="1.0745000000034199E-4"/>
    <n v="0.67729863650709543"/>
    <n v="0.69577269783582807"/>
    <n v="0.71815334700449096"/>
    <n v="0.70072333025574807"/>
    <n v="-3.4409104062770646"/>
    <n v="87.855127290543635"/>
    <n v="0.98968363578313401"/>
    <n v="-8.9837929223324231E-2"/>
    <n v="1.918057899999992E-2"/>
    <n v="0.12532491000000062"/>
    <n v="0.10900915000000011"/>
  </r>
  <r>
    <x v="0"/>
    <x v="0"/>
    <x v="1"/>
    <x v="0"/>
    <x v="0"/>
    <x v="0"/>
    <n v="0"/>
    <n v="0"/>
    <n v="0"/>
    <n v="0"/>
    <n v="0"/>
    <n v="0"/>
    <n v="0"/>
    <n v="0"/>
    <n v="0"/>
    <n v="0"/>
    <n v="0"/>
    <n v="0"/>
    <n v="5.5122246639394135E-3"/>
    <n v="0.21461386473387023"/>
    <n v="0"/>
    <n v="0"/>
    <n v="0"/>
    <n v="0"/>
    <n v="0"/>
  </r>
  <r>
    <x v="1"/>
    <x v="0"/>
    <x v="1"/>
    <x v="0"/>
    <x v="0"/>
    <x v="1"/>
    <n v="45.529180000001361"/>
    <n v="-5.3466931905403747"/>
    <n v="0.10467704724699267"/>
    <n v="0.52941366892054198"/>
    <n v="-0.15692302812132519"/>
    <n v="-0.32081816817889353"/>
    <n v="0.15196110760333781"/>
    <n v="4.2364370000000373E-2"/>
    <n v="0.45947044451868368"/>
    <n v="0.12377493421649177"/>
    <n v="-0.5887247928415662"/>
    <n v="0.83368873229541229"/>
    <n v="0.26892141209957643"/>
    <n v="0.7383468991344122"/>
    <n v="4.0137346784407946E-2"/>
    <n v="-0.4176771041384808"/>
    <n v="-0.13597448000000067"/>
    <n v="0.12184155000000002"/>
    <n v="6.9087009999999754E-3"/>
  </r>
  <r>
    <x v="2"/>
    <x v="0"/>
    <x v="1"/>
    <x v="0"/>
    <x v="0"/>
    <x v="2"/>
    <n v="94.551980000000185"/>
    <n v="-8.4566234557495683"/>
    <n v="0.27159876933426919"/>
    <n v="0.98832233115206947"/>
    <n v="-0.4192242007269531"/>
    <n v="-0.46066527416701586"/>
    <n v="0.33031113669703682"/>
    <n v="5.2502449999999867E-2"/>
    <n v="0.59909242957212339"/>
    <n v="0.32237667889809529"/>
    <n v="-0.29773514295744485"/>
    <n v="0.94354665106861635"/>
    <n v="0.51454819614926706"/>
    <n v="1.589078849063652"/>
    <n v="0.2464023439991081"/>
    <n v="-0.42403068869787397"/>
    <n v="-0.27026569000000028"/>
    <n v="0.16531182999999991"/>
    <n v="0.12360578699999997"/>
  </r>
  <r>
    <x v="3"/>
    <x v="0"/>
    <x v="1"/>
    <x v="0"/>
    <x v="0"/>
    <x v="3"/>
    <n v="128.58480000000054"/>
    <n v="-10.167852981777115"/>
    <n v="0.43717935041152067"/>
    <n v="1.3157122433438806"/>
    <n v="-0.76463217609482603"/>
    <n v="-0.4705677449166723"/>
    <n v="0.48188925789760528"/>
    <n v="3.99038200000007E-2"/>
    <n v="0.80587331380124194"/>
    <n v="0.58705210646405881"/>
    <n v="6.1308259907622009E-2"/>
    <n v="1.1174141596386633"/>
    <n v="0.76411320248117587"/>
    <n v="2.7406496804606828"/>
    <n v="0.50974447968994419"/>
    <n v="-0.4638330893796172"/>
    <n v="-0.35344374000000067"/>
    <n v="0.15791261000000015"/>
    <n v="0.21914700999999998"/>
  </r>
  <r>
    <x v="4"/>
    <x v="0"/>
    <x v="1"/>
    <x v="0"/>
    <x v="0"/>
    <x v="4"/>
    <n v="141.17425999999978"/>
    <n v="-11.084222451728209"/>
    <n v="0.56933005215784593"/>
    <n v="1.5199462609099879"/>
    <n v="-1.1703590786987128"/>
    <n v="-0.42037773290229952"/>
    <n v="0.58827495000499663"/>
    <n v="1.6881900000000061E-2"/>
    <n v="1.0457645569045937"/>
    <n v="0.88347230935799104"/>
    <n v="0.45022300213146682"/>
    <n v="1.3254752933809399"/>
    <n v="1.0083796135189171"/>
    <n v="4.1427661076471667"/>
    <n v="0.80110037395944023"/>
    <n v="-0.5208828209402605"/>
    <n v="-0.37365933000000073"/>
    <n v="0.11802693999999996"/>
    <n v="0.27916925999999997"/>
  </r>
  <r>
    <x v="5"/>
    <x v="0"/>
    <x v="1"/>
    <x v="0"/>
    <x v="0"/>
    <x v="5"/>
    <n v="132.21933999999965"/>
    <n v="-11.559413572945221"/>
    <n v="0.65777667661552908"/>
    <n v="1.6311705726700376"/>
    <n v="-1.6096141037150957"/>
    <n v="-0.35275411790357536"/>
    <n v="0.65212862063415145"/>
    <n v="-5.0273000000003454E-3"/>
    <n v="1.2900298676783661"/>
    <n v="1.1793562634859978"/>
    <n v="0.83251564701616321"/>
    <n v="1.5400028027056534"/>
    <n v="1.2331957569775565"/>
    <n v="5.731909906369359"/>
    <n v="1.1032551313861161"/>
    <n v="-0.5709979574177293"/>
    <n v="-0.33579223000000102"/>
    <n v="5.6938569999999758E-2"/>
    <n v="0.30369664300000004"/>
  </r>
  <r>
    <x v="6"/>
    <x v="0"/>
    <x v="1"/>
    <x v="0"/>
    <x v="0"/>
    <x v="6"/>
    <n v="104.73660999999993"/>
    <n v="-11.793893344116469"/>
    <n v="0.70230540170115319"/>
    <n v="1.6820160137399176"/>
    <n v="-2.0547444860829045"/>
    <n v="-0.29078142504833648"/>
    <n v="0.67804019489829948"/>
    <n v="-2.1583990000000053E-2"/>
    <n v="1.5177758410636066"/>
    <n v="1.4506198246722057"/>
    <n v="1.1807082024150262"/>
    <n v="1.7403287057595973"/>
    <n v="1.426978213033081"/>
    <n v="7.4372803381304919"/>
    <n v="1.3971428533869235"/>
    <n v="-0.60266741011774094"/>
    <n v="-0.25154524000000067"/>
    <n v="-1.7391199999999829E-2"/>
    <n v="0.29700030709999997"/>
  </r>
  <r>
    <x v="7"/>
    <x v="0"/>
    <x v="1"/>
    <x v="0"/>
    <x v="0"/>
    <x v="7"/>
    <n v="63.033739999998943"/>
    <n v="-11.89937266436506"/>
    <n v="0.70649691918809321"/>
    <n v="1.7001968954474034"/>
    <n v="-2.4803831368546025"/>
    <n v="-0.24609363951229035"/>
    <n v="0.67003848514204378"/>
    <n v="-3.2421689999999337E-2"/>
    <n v="1.7145417213690672"/>
    <n v="1.6809092998707476"/>
    <n v="1.476141914332918"/>
    <n v="1.9121539575475577"/>
    <n v="1.5816378366821482"/>
    <n v="9.1846422994250396"/>
    <n v="1.6626564152129264"/>
    <n v="-0.61522420464634742"/>
    <n v="-0.13459964999999949"/>
    <n v="-9.8407499999999926E-2"/>
    <n v="0.26491409500000002"/>
  </r>
  <r>
    <x v="8"/>
    <x v="0"/>
    <x v="1"/>
    <x v="0"/>
    <x v="0"/>
    <x v="8"/>
    <n v="11.798240000000078"/>
    <n v="-11.936004647416599"/>
    <n v="0.67556540643665119"/>
    <n v="1.7066423597605684"/>
    <n v="-2.8651938474204885"/>
    <n v="-0.22351620515698167"/>
    <n v="0.63249685241357767"/>
    <n v="-3.8305529999999033E-2"/>
    <n v="1.8705619852154243"/>
    <n v="1.8598849960762109"/>
    <n v="1.7071779749141092"/>
    <n v="2.0459882780642591"/>
    <n v="1.6919075352600288"/>
    <n v="10.899699412115037"/>
    <n v="1.8816535695154624"/>
    <n v="-0.61353028358871464"/>
    <n v="1.507480000000061E-3"/>
    <n v="-0.18034695399999998"/>
    <n v="0.21408111799999988"/>
  </r>
  <r>
    <x v="9"/>
    <x v="0"/>
    <x v="1"/>
    <x v="0"/>
    <x v="0"/>
    <x v="9"/>
    <n v="-44.27722999999969"/>
    <n v="-11.933490940682445"/>
    <n v="0.61593174662037953"/>
    <n v="1.7160487629984233"/>
    <n v="-3.192481953000903"/>
    <n v="-0.22347538857709903"/>
    <n v="0.57093805385319829"/>
    <n v="-4.003732999999926E-2"/>
    <n v="1.9796311110707121"/>
    <n v="1.9818402502078447"/>
    <n v="1.8676685431037177"/>
    <n v="2.1360083078041825"/>
    <n v="1.7547625982789583"/>
    <n v="12.511649855437824"/>
    <n v="2.0401380295693938"/>
    <n v="-0.60404169961308929"/>
    <n v="0.14411999999999967"/>
    <n v="-0.25816433100000002"/>
    <n v="0.15155382999999992"/>
  </r>
  <r>
    <x v="10"/>
    <x v="0"/>
    <x v="1"/>
    <x v="0"/>
    <x v="0"/>
    <x v="10"/>
    <n v="-100.62696000000142"/>
    <n v="-11.903304374168433"/>
    <n v="0.53514217924188756"/>
    <n v="1.738189297598236"/>
    <n v="-3.4502083105878767"/>
    <n v="-0.2433512732770704"/>
    <n v="0.49218529570185243"/>
    <n v="-3.8253979999999799E-2"/>
    <n v="2.0385496341337017"/>
    <n v="2.0448495070024997"/>
    <n v="1.9559697024731149"/>
    <n v="2.1794379307082057"/>
    <n v="1.7692464382224937"/>
    <n v="13.956958560746813"/>
    <n v="2.1293519925872584"/>
    <n v="-0.59266523233917345"/>
    <n v="0.28165710000000005"/>
    <n v="-0.32764447319999995"/>
    <n v="8.439229999999999E-2"/>
  </r>
  <r>
    <x v="11"/>
    <x v="0"/>
    <x v="1"/>
    <x v="0"/>
    <x v="0"/>
    <x v="11"/>
    <n v="-152.89505999999892"/>
    <n v="-11.846151684932082"/>
    <n v="0.44161522784353924"/>
    <n v="1.7791719241139869"/>
    <n v="-3.6307816065905163"/>
    <n v="-0.27842051381434807"/>
    <n v="0.4040112988976885"/>
    <n v="-3.3519129999999564E-2"/>
    <n v="2.0468949072250275"/>
    <n v="2.0502443166747542"/>
    <n v="1.9742969739830363"/>
    <n v="2.1762327336201981"/>
    <n v="1.7365397188709775"/>
    <n v="15.183028335514104"/>
    <n v="2.1460868106190523"/>
    <n v="-0.58380936837849617"/>
    <n v="0.40374188999999994"/>
    <n v="-0.38555525330000001"/>
    <n v="1.9236790000000045E-2"/>
  </r>
  <r>
    <x v="12"/>
    <x v="0"/>
    <x v="1"/>
    <x v="0"/>
    <x v="0"/>
    <x v="12"/>
    <n v="-197.07079000000158"/>
    <n v="-11.756876732577137"/>
    <n v="0.344141122195607"/>
    <n v="1.8423518738706512"/>
    <n v="-3.7307975044105879"/>
    <n v="-0.32266729161553043"/>
    <n v="0.31451203687005158"/>
    <n v="-2.6438609999999974E-2"/>
    <n v="2.0068771036241717"/>
    <n v="2.0021924891073128"/>
    <n v="1.9281839854724092"/>
    <n v="2.1288443136491475"/>
    <n v="1.6600338263727421"/>
    <n v="16.151304444141125"/>
    <n v="2.0924785990244388"/>
    <n v="-0.58007257049256244"/>
    <n v="0.50146614"/>
    <n v="-0.42977223899999994"/>
    <n v="-3.8102669999999852E-2"/>
  </r>
  <r>
    <x v="13"/>
    <x v="0"/>
    <x v="1"/>
    <x v="0"/>
    <x v="0"/>
    <x v="13"/>
    <n v="-229.7031599999973"/>
    <n v="-11.627895730381066"/>
    <n v="0.25121450370106935"/>
    <n v="1.9288793897320966"/>
    <n v="-3.7507597466854392"/>
    <n v="-0.36954824266470787"/>
    <n v="0.23137621444402345"/>
    <n v="-1.7721260000000405E-2"/>
    <n v="1.9231270136210288"/>
    <n v="1.9072452028898956"/>
    <n v="1.8259048901628772"/>
    <n v="2.0419277422270676"/>
    <n v="1.5452447224072019"/>
    <n v="16.839372968858246"/>
    <n v="1.9754316897616864"/>
    <n v="-0.58225966589794398"/>
    <n v="0.56780821100000001"/>
    <n v="-0.45933021799999996"/>
    <n v="-8.2998749999999705E-2"/>
  </r>
  <r>
    <x v="14"/>
    <x v="0"/>
    <x v="1"/>
    <x v="0"/>
    <x v="0"/>
    <x v="14"/>
    <n v="-248.16895999999906"/>
    <n v="-11.451669172197832"/>
    <n v="0.17032287619855868"/>
    <n v="2.0379851989644093"/>
    <n v="-3.6947583585337784"/>
    <n v="-0.41270808548479199"/>
    <n v="0.1611756312614343"/>
    <n v="-8.1793600000004685E-3"/>
    <n v="1.8023492407298836"/>
    <n v="1.7738016562288017"/>
    <n v="1.6778160412536325"/>
    <n v="1.9219402387227857"/>
    <n v="1.3995029490009081"/>
    <n v="17.241749696123733"/>
    <n v="1.8057455528127209"/>
    <n v="-0.58959481870878294"/>
    <n v="0.59811268500000003"/>
    <n v="-0.47437423899999998"/>
    <n v="-0.11227032999999997"/>
  </r>
  <r>
    <x v="15"/>
    <x v="0"/>
    <x v="1"/>
    <x v="0"/>
    <x v="0"/>
    <x v="15"/>
    <n v="-250.93528000000151"/>
    <n v="-11.222434692442462"/>
    <n v="0.10730481054432861"/>
    <n v="2.1671363599663929"/>
    <n v="-3.5700699996249363"/>
    <n v="-0.44660860147446302"/>
    <n v="0.10877706330263415"/>
    <n v="1.3176399999995092E-3"/>
    <n v="1.6528357302889818"/>
    <n v="1.6115082631354305"/>
    <n v="1.495637164550323"/>
    <n v="1.7766388136553957"/>
    <n v="1.2314397990847104"/>
    <n v="17.369260568201806"/>
    <n v="1.5970129668985811"/>
    <n v="-0.60008113190348489"/>
    <n v="0.59049372"/>
    <n v="-0.47600698999999985"/>
    <n v="-0.12433568999999992"/>
  </r>
  <r>
    <x v="16"/>
    <x v="0"/>
    <x v="1"/>
    <x v="0"/>
    <x v="0"/>
    <x v="16"/>
    <n v="-237.74669999999969"/>
    <n v="-10.93731222691947"/>
    <n v="6.5877254338664315E-2"/>
    <n v="2.3121823657510809"/>
    <n v="-3.3866571719417427"/>
    <n v="-0.46702383946317649"/>
    <n v="7.6953688636005602E-2"/>
    <n v="9.9200800000004419E-3"/>
    <n v="1.4838780828465126"/>
    <n v="1.4306290067082061"/>
    <n v="1.2917170000508849"/>
    <n v="1.6145223570040779"/>
    <n v="1.050345516468032"/>
    <n v="17.247136926502151"/>
    <n v="1.3643823016313172"/>
    <n v="-0.61096485565057534"/>
    <n v="0.54602881000000014"/>
    <n v="-0.46605476000000001"/>
    <n v="-0.1192406"/>
  </r>
  <r>
    <x v="17"/>
    <x v="0"/>
    <x v="1"/>
    <x v="0"/>
    <x v="0"/>
    <x v="17"/>
    <n v="-209.67828999999983"/>
    <n v="-10.596859437154471"/>
    <n v="4.7401283815684536E-2"/>
    <n v="2.4675740500923471"/>
    <n v="-3.1565644978424068"/>
    <n v="-0.47136066557026401"/>
    <n v="6.6249424674946766E-2"/>
    <n v="1.6888300000000855E-2"/>
    <n v="1.3051324994515223"/>
    <n v="1.2414361320531642"/>
    <n v="1.07833229583989"/>
    <n v="1.4442684815014095"/>
    <n v="0.86549254608390136"/>
    <n v="16.91211850850376"/>
    <n v="1.1233006522999744"/>
    <n v="-0.61924566197543163"/>
    <n v="0.46865388999999985"/>
    <n v="-0.44679272000000009"/>
    <n v="-9.8555999999999644E-2"/>
  </r>
  <r>
    <x v="18"/>
    <x v="0"/>
    <x v="1"/>
    <x v="0"/>
    <x v="0"/>
    <x v="18"/>
    <n v="-169.02513999999792"/>
    <n v="-10.205151884654462"/>
    <n v="5.0917600057753809E-2"/>
    <n v="2.626696075162549"/>
    <n v="-2.8932274758677878"/>
    <n v="-0.45877859581182623"/>
    <n v="7.5104110019075243E-2"/>
    <n v="2.1676760000000073E-2"/>
    <n v="1.125999219709839"/>
    <n v="1.0536612288730041"/>
    <n v="0.86705655813508198"/>
    <n v="1.2742134778557235"/>
    <n v="0.68551363833864176"/>
    <n v="16.408965365832962"/>
    <n v="0.88836020681817285"/>
    <n v="-0.62215629823860752"/>
    <n v="0.36473918"/>
    <n v="-0.42067518999999998"/>
    <n v="-6.5152010000000399E-2"/>
  </r>
  <r>
    <x v="19"/>
    <x v="0"/>
    <x v="1"/>
    <x v="0"/>
    <x v="0"/>
    <x v="19"/>
    <n v="-119.03699000000051"/>
    <n v="-9.7694752969935461"/>
    <n v="7.3436265338444606E-2"/>
    <n v="2.7823116180383689"/>
    <n v="-2.6107261498644396"/>
    <n v="-0.4301089251760537"/>
    <n v="0.10020785757960393"/>
    <n v="2.399387999999919E-2"/>
    <n v="0.95506974855661397"/>
    <n v="0.87603284538557702"/>
    <n v="0.66822792204690451"/>
    <n v="1.1119124528710334"/>
    <n v="0.51790086910785682"/>
    <n v="15.786794346835453"/>
    <n v="0.67235044554423418"/>
    <n v="-0.61754407794083477"/>
    <n v="0.24239734000000013"/>
    <n v="-0.39010833"/>
    <n v="-2.287026999999997E-2"/>
  </r>
  <r>
    <x v="20"/>
    <x v="0"/>
    <x v="1"/>
    <x v="0"/>
    <x v="0"/>
    <x v="20"/>
    <n v="-63.543149999997695"/>
    <n v="-9.2997248538170041"/>
    <n v="0.11042714533935349"/>
    <n v="2.9270857753158852"/>
    <n v="-2.3230248026021694"/>
    <n v="-0.38759873121478883"/>
    <n v="0.137015195705259"/>
    <n v="2.382484000000018E-2"/>
    <n v="0.79968160628016705"/>
    <n v="0.71591926066711942"/>
    <n v="0.49053160719920719"/>
    <n v="0.96379817607128437"/>
    <n v="0.36866141178015788"/>
    <n v="15.095606318318765"/>
    <n v="0.48558220676493402"/>
    <n v="-0.60410519514468852"/>
    <n v="0.1106311799999999"/>
    <n v="-0.35728674000000021"/>
    <n v="2.3870649999999799E-2"/>
  </r>
  <r>
    <x v="21"/>
    <x v="0"/>
    <x v="1"/>
    <x v="0"/>
    <x v="0"/>
    <x v="21"/>
    <n v="-6.5339199999980337"/>
    <n v="-8.8076123790969856"/>
    <n v="0.15642764156198474"/>
    <n v="3.0541322647027913"/>
    <n v="-2.0432446200401855"/>
    <n v="-0.3345284753290767"/>
    <n v="0.18033347387298448"/>
    <n v="2.1414059999999568E-2"/>
    <n v="0.66560503330270748"/>
    <n v="0.57907838790618449"/>
    <n v="0.34070720859822323"/>
    <n v="0.83494410139812736"/>
    <n v="0.24213476444316928"/>
    <n v="14.383268165923969"/>
    <n v="0.3355037685605966"/>
    <n v="-0.58145953789240368"/>
    <n v="-2.1546190000000173E-2"/>
    <n v="-0.3240982"/>
    <n v="7.0495780000000285E-2"/>
  </r>
  <r>
    <x v="22"/>
    <x v="0"/>
    <x v="1"/>
    <x v="0"/>
    <x v="0"/>
    <x v="22"/>
    <n v="48.231650000001537"/>
    <n v="-8.3057799444430138"/>
    <n v="0.20568133382998788"/>
    <n v="3.1575227695796571"/>
    <n v="-1.7830153460477338"/>
    <n v="-0.27476497609744133"/>
    <n v="0.22490689293392929"/>
    <n v="1.721391999999905E-2"/>
    <n v="0.55686597220825362"/>
    <n v="0.46951626479321273"/>
    <n v="0.22338223992501849"/>
    <n v="0.72893094410497739"/>
    <n v="0.14095541848717641"/>
    <n v="13.693105762896995"/>
    <n v="0.22659057315164155"/>
    <n v="-0.55008255748126844"/>
    <n v="-0.14589422999999985"/>
    <n v="-0.29208719"/>
    <n v="0.11268070000000005"/>
  </r>
  <r>
    <x v="23"/>
    <x v="0"/>
    <x v="1"/>
    <x v="0"/>
    <x v="0"/>
    <x v="23"/>
    <n v="97.537340000002587"/>
    <n v="-7.8069093991974592"/>
    <n v="0.25273142429638185"/>
    <n v="3.2327028054064399"/>
    <n v="-1.5519462760900993"/>
    <n v="-0.212311726686365"/>
    <n v="0.26593123524876194"/>
    <n v="1.1812719999999832E-2"/>
    <n v="0.4757006807149633"/>
    <n v="0.38944441428334642"/>
    <n v="0.14102822548640592"/>
    <n v="0.64780603512992752"/>
    <n v="6.6129814485305083E-2"/>
    <n v="13.062158989878947"/>
    <n v="0.16046123768438392"/>
    <n v="-0.51113426557145569"/>
    <n v="-0.25554188200000005"/>
    <n v="-0.26246121999999994"/>
    <n v="0.14671209000000004"/>
  </r>
  <r>
    <x v="24"/>
    <x v="0"/>
    <x v="1"/>
    <x v="0"/>
    <x v="0"/>
    <x v="24"/>
    <n v="138.91087000000334"/>
    <n v="-7.3229028672896153"/>
    <n v="0.29291097264227961"/>
    <n v="3.2767748863500312"/>
    <n v="-1.3572480327436964"/>
    <n v="-0.15091034231694556"/>
    <n v="0.29945719040840313"/>
    <n v="5.8554699999990856E-3"/>
    <n v="0.42262440577922611"/>
    <n v="0.33932970435504028"/>
    <n v="9.4030823172563949E-2"/>
    <n v="0.59212549300335926"/>
    <n v="1.7196760410209677E-2"/>
    <n v="12.520075525889474"/>
    <n v="0.13616161100966639"/>
    <n v="-0.46623435403823077"/>
    <n v="-0.34535619800000006"/>
    <n v="-0.23612248000000025"/>
    <n v="0.16977476000000005"/>
  </r>
  <r>
    <x v="25"/>
    <x v="0"/>
    <x v="1"/>
    <x v="0"/>
    <x v="0"/>
    <x v="25"/>
    <n v="170.7109100000016"/>
    <n v="-6.8641932350750112"/>
    <n v="0.32269345905773239"/>
    <n v="3.2886266656985574"/>
    <n v="-1.20352341095884"/>
    <n v="-9.3731918214123855E-2"/>
    <n v="0.32265857453261937"/>
    <n v="-3.1120000000550707E-5"/>
    <n v="0.39659129604165955"/>
    <n v="0.31802564107166198"/>
    <n v="8.0860128442261647E-2"/>
    <n v="0.56106709950032307"/>
    <n v="-7.5617489884827194E-3"/>
    <n v="12.088568885217876"/>
    <n v="0.15055724778125779"/>
    <n v="-0.41722892016408109"/>
    <n v="-0.41208523900000005"/>
    <n v="-0.21370895999999995"/>
    <n v="0.18014303000000004"/>
  </r>
  <r>
    <x v="26"/>
    <x v="0"/>
    <x v="1"/>
    <x v="0"/>
    <x v="0"/>
    <x v="26"/>
    <n v="192.11603999999716"/>
    <n v="-6.439225640674195"/>
    <n v="0.33988404976217357"/>
    <n v="3.268902585816158"/>
    <n v="-1.0927317254051383"/>
    <n v="-4.3180844958112807E-2"/>
    <n v="0.33395088739911483"/>
    <n v="-5.3028500000010248E-3"/>
    <n v="0.39522356634873468"/>
    <n v="0.32297288148741554"/>
    <n v="9.8324534833538202E-2"/>
    <n v="0.55260276107071959"/>
    <n v="-1.0878824728410841E-2"/>
    <n v="11.781349491605164"/>
    <n v="0.19878395269261606"/>
    <n v="-0.365984167638711"/>
    <n v="-0.45430959000000004"/>
    <n v="-0.19563344000000008"/>
    <n v="0.17725880999999999"/>
  </r>
  <r>
    <x v="27"/>
    <x v="0"/>
    <x v="1"/>
    <x v="0"/>
    <x v="0"/>
    <x v="27"/>
    <n v="203.04236999999921"/>
    <n v="-6.0541330531458932"/>
    <n v="0.34364803485182893"/>
    <n v="3.2198324305636961"/>
    <n v="-1.0243170113469757"/>
    <n v="-8.1666449368578142E-4"/>
    <n v="0.33296460057274935"/>
    <n v="-9.5461899999996214E-3"/>
    <n v="0.41508499935756227"/>
    <n v="0.35045605459689266"/>
    <n v="0.14189034985891968"/>
    <n v="0.56371596061801643"/>
    <n v="3.7486413005938246E-3"/>
    <n v="11.604429343612965"/>
    <n v="0.27471707379371768"/>
    <n v="-0.31423031231300191"/>
    <n v="-0.47225296800000005"/>
    <n v="-0.18211304000000009"/>
    <n v="0.16168821000000014"/>
  </r>
  <r>
    <x v="28"/>
    <x v="0"/>
    <x v="1"/>
    <x v="0"/>
    <x v="0"/>
    <x v="28"/>
    <n v="204.01887999999963"/>
    <n v="-5.7126097287045869"/>
    <n v="0.33439105461590124"/>
    <n v="3.1449450605710583"/>
    <n v="-0.99547734647337238"/>
    <n v="3.2616035145105471E-2"/>
    <n v="0.32039206695226863"/>
    <n v="-1.2507259999999798E-2"/>
    <n v="0.45197720227159177"/>
    <n v="0.39590079444700166"/>
    <n v="0.20604336769207698"/>
    <n v="0.590651405527165"/>
    <n v="3.2312232153874909E-2"/>
    <n v="11.556715606812308"/>
    <n v="0.37143118989126922"/>
    <n v="-0.26346082812036542"/>
    <n v="-0.46750497300000005"/>
    <n v="-0.17318634000000002"/>
    <n v="0.1349639100000001"/>
  </r>
  <r>
    <x v="29"/>
    <x v="0"/>
    <x v="1"/>
    <x v="0"/>
    <x v="0"/>
    <x v="29"/>
    <n v="196.04543000000194"/>
    <n v="-5.4159678258543948"/>
    <n v="0.31352286450030409"/>
    <n v="3.0487050593152709"/>
    <n v="-1.0015443443949668"/>
    <n v="5.7073657360073859E-2"/>
    <n v="0.29774221533505063"/>
    <n v="-1.4099260000000058E-2"/>
    <n v="0.50123996673709925"/>
    <n v="0.45419245110849271"/>
    <n v="0.28467208617661832"/>
    <n v="0.62918017093662737"/>
    <n v="7.0533966626684652E-2"/>
    <n v="11.63081925395093"/>
    <n v="0.48163153699407601"/>
    <n v="-0.21488647579881448"/>
    <n v="-0.4427031600000001"/>
    <n v="-0.16871978999999995"/>
    <n v="9.9337940000000097E-2"/>
  </r>
  <r>
    <x v="30"/>
    <x v="0"/>
    <x v="1"/>
    <x v="0"/>
    <x v="0"/>
    <x v="30"/>
    <n v="180.45251999999891"/>
    <n v="-5.1633457945162604"/>
    <n v="0.28315080376526414"/>
    <n v="2.9361153924214678"/>
    <n v="-1.0364340481299528"/>
    <n v="7.3047956509886269E-2"/>
    <n v="0.26704870822029658"/>
    <n v="-1.4388290000000303E-2"/>
    <n v="0.55803974065296025"/>
    <n v="0.5199976375338089"/>
    <n v="0.37144826645187923"/>
    <n v="0.67486550909017229"/>
    <n v="0.11409259734593835"/>
    <n v="11.81402100078024"/>
    <n v="0.59804437318540238"/>
    <n v="-0.16943006618351797"/>
    <n v="-0.40121139999999988"/>
    <n v="-0.16840815000000003"/>
    <n v="5.7484780000000013E-2"/>
  </r>
  <r>
    <x v="31"/>
    <x v="0"/>
    <x v="1"/>
    <x v="0"/>
    <x v="0"/>
    <x v="31"/>
    <n v="158.77442000000156"/>
    <n v="-4.9520268593925554"/>
    <n v="0.24575405334270606"/>
    <n v="2.8123295871473442"/>
    <n v="-1.0931324895094074"/>
    <n v="8.1384525588390488E-2"/>
    <n v="0.23058122732395603"/>
    <n v="-1.3560989999999995E-2"/>
    <n v="0.61763293103223038"/>
    <n v="0.58807029177418979"/>
    <n v="0.46018586904799097"/>
    <n v="0.72331508425851343"/>
    <n v="0.15882870662196069"/>
    <n v="12.089349822682482"/>
    <n v="0.71375897529144527"/>
    <n v="-0.12775253768522177"/>
    <n v="-0.34682057000000011"/>
    <n v="-0.17177533300000003"/>
    <n v="1.2200839999999824E-2"/>
  </r>
  <r>
    <x v="32"/>
    <x v="0"/>
    <x v="1"/>
    <x v="0"/>
    <x v="0"/>
    <x v="32"/>
    <n v="132.64162000000215"/>
    <n v="-4.7778226205053791"/>
    <n v="0.20388724842499428"/>
    <n v="2.6823099187704535"/>
    <n v="-1.1641785759722079"/>
    <n v="8.3116485431888876E-2"/>
    <n v="0.1905989074434844"/>
    <n v="-1.1880320000000333E-2"/>
    <n v="0.6755955006318759"/>
    <n v="0.65352581662265763"/>
    <n v="0.54515852874925663"/>
    <n v="0.7704073172120296"/>
    <n v="0.20092468318551049"/>
    <n v="12.436735756165419"/>
    <n v="0.82251505969364036"/>
    <n v="-9.0292325079643909E-2"/>
    <n v="-0.28348739000000001"/>
    <n v="-0.17818285999999986"/>
    <n v="-3.3857340000000014E-2"/>
  </r>
  <r>
    <x v="33"/>
    <x v="0"/>
    <x v="1"/>
    <x v="0"/>
    <x v="0"/>
    <x v="33"/>
    <n v="103.69391999999789"/>
    <n v="-4.6354792321214422"/>
    <n v="0.15994875926674812"/>
    <n v="2.5505580349627799"/>
    <n v="-1.2421157733641941"/>
    <n v="7.9335378215095176E-2"/>
    <n v="0.14917227563355784"/>
    <n v="-9.6381799999989415E-3"/>
    <n v="0.72801217456195388"/>
    <n v="0.7120699284334675"/>
    <n v="0.62136252158868643"/>
    <n v="0.81248190827174493"/>
    <n v="0.23705560708382478"/>
    <n v="12.834201511470145"/>
    <n v="0.91893457215705965"/>
    <n v="-5.7306845895144232E-2"/>
    <n v="-0.21511886999999991"/>
    <n v="-0.18685077000000008"/>
    <n v="-7.836701999999994E-2"/>
  </r>
  <r>
    <x v="34"/>
    <x v="0"/>
    <x v="1"/>
    <x v="0"/>
    <x v="0"/>
    <x v="34"/>
    <n v="73.512640000000829"/>
    <n v="-4.5190750543338654"/>
    <n v="0.11603012607432905"/>
    <n v="2.4209296801629421"/>
    <n v="-1.3198891879785624"/>
    <n v="7.110835067676291E-2"/>
    <n v="0.10808010206053709"/>
    <n v="-7.1130799999999383E-3"/>
    <n v="0.77162271906823232"/>
    <n v="0.76017319792696103"/>
    <n v="0.68471485911965058"/>
    <n v="0.84648878736428568"/>
    <n v="0.26450809862577085"/>
    <n v="13.259055880701464"/>
    <n v="0.99869445442180016"/>
    <n v="-2.8908472251343298E-2"/>
    <n v="-0.14540246999999989"/>
    <n v="-0.19689353000000004"/>
    <n v="-0.11945310000000021"/>
  </r>
  <r>
    <x v="35"/>
    <x v="0"/>
    <x v="1"/>
    <x v="0"/>
    <x v="0"/>
    <x v="35"/>
    <n v="43.568290000002889"/>
    <n v="-4.4223862432519967"/>
    <n v="7.384644404762053E-2"/>
    <n v="2.2965325050425367"/>
    <n v="-1.391172716400646"/>
    <n v="5.9439378303149937E-2"/>
    <n v="6.8775037018498075E-2"/>
    <n v="-4.5394000000004153E-3"/>
    <n v="0.80392173246777165"/>
    <n v="0.79518727033474068"/>
    <n v="0.7321826229304218"/>
    <n v="0.87009123673091882"/>
    <n v="0.28126416144580446"/>
    <n v="13.689048348050425"/>
    <n v="1.05863944143334"/>
    <n v="-5.0890030963146593E-3"/>
    <n v="-7.7678099999999889E-2"/>
    <n v="-0.20736990999999996"/>
    <n v="-0.15572680999999983"/>
  </r>
  <r>
    <x v="36"/>
    <x v="0"/>
    <x v="1"/>
    <x v="0"/>
    <x v="0"/>
    <x v="36"/>
    <n v="15.180130000000645"/>
    <n v="-4.3392113383667885"/>
    <n v="3.4731323031400585E-2"/>
    <n v="2.1796954611995156"/>
    <n v="-1.4506203283919938"/>
    <n v="4.5262771982201855E-2"/>
    <n v="3.2396020716962681E-2"/>
    <n v="-2.0912200000000603E-3"/>
    <n v="0.82321490289649635"/>
    <n v="0.81540152780055219"/>
    <n v="0.76184244622896635"/>
    <n v="0.88172277704390289"/>
    <n v="0.28604811615760006"/>
    <n v="14.103439029964093"/>
    <n v="1.0968375106361394"/>
    <n v="1.4266813057606242E-2"/>
    <n v="-1.4844699999999947E-2"/>
    <n v="-0.21734261000000005"/>
    <n v="-0.18626638999999987"/>
  </r>
  <r>
    <x v="37"/>
    <x v="0"/>
    <x v="1"/>
    <x v="0"/>
    <x v="0"/>
    <x v="37"/>
    <n v="-10.51622000000134"/>
    <n v="-4.2636495276648478"/>
    <n v="-3.2645406166098567E-4"/>
    <n v="2.0719915364037167"/>
    <n v="-1.4940374697833048"/>
    <n v="2.9453536061985197E-2"/>
    <n v="-1.929859026805758E-4"/>
    <n v="1.1959000000005826E-4"/>
    <n v="0.82863078351875785"/>
    <n v="0.82004400505015784"/>
    <n v="0.77287469145541632"/>
    <n v="0.88059829871722783"/>
    <n v="0.27833491058044668"/>
    <n v="14.483936976422251"/>
    <n v="1.1125752241730735"/>
    <n v="2.9377060572199909E-2"/>
    <n v="4.0705926999999933E-2"/>
    <n v="-0.22594094000000006"/>
    <n v="-0.21056162999999983"/>
  </r>
  <r>
    <x v="38"/>
    <x v="0"/>
    <x v="1"/>
    <x v="0"/>
    <x v="0"/>
    <x v="38"/>
    <n v="-32.595369999999093"/>
    <n v="-4.1903325069962083"/>
    <n v="-3.0629629294520733E-2"/>
    <n v="1.9742957398161565"/>
    <n v="-1.5184765887019336"/>
    <n v="1.2840415686055096E-2"/>
    <n v="-2.8359534123723051E-2"/>
    <n v="2.0344099999999865E-3"/>
    <n v="0.82009268248741662"/>
    <n v="0.80923152797556241"/>
    <n v="0.76550006523552483"/>
    <n v="0.8666842160636623"/>
    <n v="0.25832027406575975"/>
    <n v="14.815461336787571"/>
    <n v="1.1062981410081774"/>
    <n v="4.0561410290362865E-2"/>
    <n v="8.713427200000004E-2"/>
    <n v="-0.23241921000000004"/>
    <n v="-0.22844419000000032"/>
  </r>
  <r>
    <x v="39"/>
    <x v="0"/>
    <x v="1"/>
    <x v="0"/>
    <x v="0"/>
    <x v="39"/>
    <n v="-50.363970000002155"/>
    <n v="-4.1146118788286223"/>
    <n v="-5.5720991129970532E-2"/>
    <n v="1.8868618411263416"/>
    <n v="-1.5222613325002188"/>
    <n v="-3.7901198415624116E-3"/>
    <n v="-5.1668585049158278E-2"/>
    <n v="3.6327299999999729E-3"/>
    <n v="0.79825366050487734"/>
    <n v="0.78387821013801151"/>
    <n v="0.74086685119867379"/>
    <n v="0.84063167050847376"/>
    <n v="0.22685511053004426"/>
    <n v="15.086687883540971"/>
    <n v="1.0794985457332817"/>
    <n v="4.8239485088763523E-2"/>
    <n v="0.123180553"/>
    <n v="-0.23620380999999982"/>
    <n v="-0.24001952000000035"/>
  </r>
  <r>
    <x v="40"/>
    <x v="0"/>
    <x v="1"/>
    <x v="0"/>
    <x v="0"/>
    <x v="40"/>
    <n v="-63.37695999999778"/>
    <n v="-4.0327001535379932"/>
    <n v="-7.5346195924697046E-2"/>
    <n v="1.8094070642523219"/>
    <n v="-1.5049472736560099"/>
    <n v="-1.9703987709751569E-2"/>
    <n v="-6.9863943664938422E-2"/>
    <n v="4.9158899999998673E-3"/>
    <n v="0.76440057043356546"/>
    <n v="0.74557083697022186"/>
    <n v="0.70090230340014159"/>
    <n v="0.80367947986896837"/>
    <n v="0.18534768885147823"/>
    <n v="15.290354468682366"/>
    <n v="1.0345586797009476"/>
    <n v="5.2921342867962018E-2"/>
    <n v="0.14817520140000001"/>
    <n v="-0.23692364999999999"/>
    <n v="-0.24560985999999979"/>
  </r>
  <r>
    <x v="41"/>
    <x v="0"/>
    <x v="1"/>
    <x v="0"/>
    <x v="0"/>
    <x v="41"/>
    <n v="-71.446359999998094"/>
    <n v="-3.9417656926515665"/>
    <n v="-8.9434267279431268E-2"/>
    <n v="1.741198439095859"/>
    <n v="-1.4672276177487231"/>
    <n v="-3.4241228252585021E-2"/>
    <n v="-8.2863267275523622E-2"/>
    <n v="5.8934400000001941E-3"/>
    <n v="0.72033287247856848"/>
    <n v="0.69642220063794724"/>
    <n v="0.64813762103483885"/>
    <n v="0.75753570948531301"/>
    <n v="0.13564225568194477"/>
    <n v="15.423317904970135"/>
    <n v="0.97455727562882899"/>
    <n v="5.5190282908212929E-2"/>
    <n v="0.16203039300000002"/>
    <n v="-0.23442182000000011"/>
    <n v="-0.24571056999999966"/>
  </r>
  <r>
    <x v="42"/>
    <x v="0"/>
    <x v="1"/>
    <x v="0"/>
    <x v="0"/>
    <x v="42"/>
    <n v="-74.639920000001439"/>
    <n v="-3.8399779759392016"/>
    <n v="-9.8091855810245043E-2"/>
    <n v="1.6811392166043104"/>
    <n v="-1.4107934617757834"/>
    <n v="-4.6847189475973661E-2"/>
    <n v="-9.0762610353012363E-2"/>
    <n v="6.5746099999999807E-3"/>
    <n v="0.66822518857787561"/>
    <n v="0.63891088407954655"/>
    <n v="0.58552015569843796"/>
    <n v="0.70424429781483777"/>
    <n v="7.9880716410229979E-2"/>
    <n v="15.486370950869999"/>
    <n v="0.90305255197506984"/>
    <n v="5.5675479407235606E-2"/>
    <n v="0.16520976300000001"/>
    <n v="-0.22874818000000013"/>
    <n v="-0.24095749999999971"/>
  </r>
  <r>
    <x v="43"/>
    <x v="0"/>
    <x v="1"/>
    <x v="0"/>
    <x v="0"/>
    <x v="43"/>
    <n v="-73.267509999997856"/>
    <n v="-3.7265043461315206"/>
    <n v="-0.10160417751405859"/>
    <n v="1.6278559470688236"/>
    <n v="-1.3381587518260685"/>
    <n v="-5.7103976852912464E-2"/>
    <n v="-9.3840549921830885E-2"/>
    <n v="6.9651199999992697E-3"/>
    <n v="0.61048097859000006"/>
    <n v="0.57571908480633649"/>
    <n v="0.5162229420366371"/>
    <n v="0.64604708555786594"/>
    <n v="2.0358654704999424E-2"/>
    <n v="15.483846961863312"/>
    <n v="0.82385424890618619"/>
    <n v="5.5017608410645735E-2"/>
    <n v="0.15867402199999997"/>
    <n v="-0.22013607999999996"/>
    <n v="-0.23210031000000034"/>
  </r>
  <r>
    <x v="44"/>
    <x v="0"/>
    <x v="1"/>
    <x v="0"/>
    <x v="0"/>
    <x v="44"/>
    <n v="-67.854070000001229"/>
    <n v="-3.6014571024392095"/>
    <n v="-0.1004336919127824"/>
    <n v="1.5797870455333651"/>
    <n v="-1.2524610556008731"/>
    <n v="-6.4755151268180988E-2"/>
    <n v="-9.2554975791248051E-2"/>
    <n v="7.068770000000224E-3"/>
    <n v="0.54958626088796869"/>
    <n v="0.50957600444165863"/>
    <n v="0.44346185056525211"/>
    <n v="0.58524827666031065"/>
    <n v="-4.0615165779034346E-2"/>
    <n v="15.423054292822957"/>
    <n v="0.7407997360478813"/>
    <n v="5.3831316444075128E-2"/>
    <n v="0.14380230600000007"/>
    <n v="-0.20896723999999992"/>
    <n v="-0.21997667000000012"/>
  </r>
  <r>
    <x v="45"/>
    <x v="0"/>
    <x v="1"/>
    <x v="0"/>
    <x v="0"/>
    <x v="45"/>
    <n v="-59.099620000000868"/>
    <n v="-3.4657971837708246"/>
    <n v="-9.5209069302637506E-2"/>
    <n v="1.5352734841340254"/>
    <n v="-1.1572478997397662"/>
    <n v="-6.9719131508161336E-2"/>
    <n v="-8.7527733029624244E-2"/>
    <n v="6.8917799999998475E-3"/>
    <n v="0.4879721267138093"/>
    <n v="0.44311472731282109"/>
    <n v="0.37032955166818038"/>
    <n v="0.52408890757089654"/>
    <n v="-0.10084649013261116"/>
    <n v="15.313592295931411"/>
    <n v="0.65754771582715588"/>
    <n v="5.2667608936585175E-2"/>
    <n v="0.12229208599999998"/>
    <n v="-0.19573014"/>
    <n v="-0.20548312000000027"/>
  </r>
  <r>
    <x v="46"/>
    <x v="0"/>
    <x v="1"/>
    <x v="0"/>
    <x v="0"/>
    <x v="46"/>
    <n v="-47.828830000005837"/>
    <n v="-3.3211993060256573"/>
    <n v="-8.6701007432321564E-2"/>
    <n v="1.4926498937027466"/>
    <n v="-1.0562620470071726"/>
    <n v="-7.2086974221341471E-2"/>
    <n v="-7.9514037922012726E-2"/>
    <n v="6.448030000000271E-3"/>
    <n v="0.42789238317444411"/>
    <n v="0.37874791958654175"/>
    <n v="0.29965116613772658"/>
    <n v="0.46463692041678328"/>
    <n v="-0.15836410676682844"/>
    <n v="15.166604127337813"/>
    <n v="0.57740092395206499"/>
    <n v="5.1984226731160987E-2"/>
    <n v="9.6043603000000019E-2"/>
    <n v="-0.18097670000000005"/>
    <n v="-0.18954086000000023"/>
  </r>
  <r>
    <x v="47"/>
    <x v="0"/>
    <x v="1"/>
    <x v="0"/>
    <x v="0"/>
    <x v="47"/>
    <n v="-34.934199999996054"/>
    <n v="-3.1698893216087431"/>
    <n v="-7.5783260821882248E-2"/>
    <n v="1.4503331719376344"/>
    <n v="-0.95323374522876536"/>
    <n v="-7.2104938604711233E-2"/>
    <n v="-6.9359076858677149E-2"/>
    <n v="5.763169999999096E-3"/>
    <n v="0.37132258588379319"/>
    <n v="0.31856839746753352"/>
    <n v="0.23386892505978807"/>
    <n v="0.40869746132610185"/>
    <n v="-0.21150371333297224"/>
    <n v="14.994020719548562"/>
    <n v="0.5031661471060378"/>
    <n v="5.2123156192762643E-2"/>
    <n v="6.7037162999999955E-2"/>
    <n v="-0.16528147999999993"/>
    <n v="-0.17305665000000026"/>
  </r>
  <r>
    <x v="48"/>
    <x v="0"/>
    <x v="1"/>
    <x v="0"/>
    <x v="0"/>
    <x v="48"/>
    <n v="-21.317580000002636"/>
    <n v="-3.0144643261381998"/>
    <n v="-6.3382299843606216E-2"/>
    <n v="1.4069040655987575"/>
    <n v="-0.85169212379977433"/>
    <n v="-7.0144252895665282E-2"/>
    <n v="-5.7945709373041776E-2"/>
    <n v="4.8767399999996575E-3"/>
    <n v="0.31988422349777945"/>
    <n v="0.2642746109122518"/>
    <n v="0.17495680480241749"/>
    <n v="0.35774632904963521"/>
    <n v="-0.25896478904007258"/>
    <n v="14.807843330295501"/>
    <n v="0.43705708438723789"/>
    <n v="5.3300977801007399E-2"/>
    <n v="3.7212806000000084E-2"/>
    <n v="-0.14920617999999997"/>
    <n v="-0.15688124000000012"/>
  </r>
  <r>
    <x v="49"/>
    <x v="0"/>
    <x v="1"/>
    <x v="0"/>
    <x v="0"/>
    <x v="49"/>
    <n v="-7.8352900000027148"/>
    <n v="-2.8577072433720208"/>
    <n v="-5.0421110886833542E-2"/>
    <n v="1.3611766205849474"/>
    <n v="-0.75480220433575829"/>
    <n v="-6.6661884466712173E-2"/>
    <n v="-4.6138298674314182E-2"/>
    <n v="3.841340000000637E-3"/>
    <n v="0.27479520881834585"/>
    <n v="0.2171239889091181"/>
    <n v="0.12436770849226786"/>
    <n v="0.31288691103532607"/>
    <n v="-0.29984089999699481"/>
    <n v="14.619503178137293"/>
    <n v="0.38064051993011994"/>
    <n v="5.56093735273544E-2"/>
    <n v="8.3615239999999466E-3"/>
    <n v="-0.13327127999999999"/>
    <n v="-0.14176880000000003"/>
  </r>
  <r>
    <x v="50"/>
    <x v="0"/>
    <x v="1"/>
    <x v="0"/>
    <x v="0"/>
    <x v="50"/>
    <n v="4.7489599999971688"/>
    <n v="-2.7024090687874369"/>
    <n v="-3.7762401293139902E-2"/>
    <n v="1.3122516860108124"/>
    <n v="-0.6652357422223476"/>
    <n v="-6.2157752626590401E-2"/>
    <n v="-3.4729831450541759E-2"/>
    <n v="2.7195399999999093E-3"/>
    <n v="0.23684739017055811"/>
    <n v="0.17791335739418823"/>
    <n v="8.3011862940529646E-2"/>
    <n v="0.2748306873907147"/>
    <n v="-0.33362493849554697"/>
    <n v="14.439324664963227"/>
    <n v="0.33482434788196791"/>
    <n v="5.9026130084771644E-2"/>
    <n v="-1.7964369999999997E-2"/>
    <n v="-0.11793489999999997"/>
    <n v="-0.12834134000000025"/>
  </r>
  <r>
    <x v="0"/>
    <x v="0"/>
    <x v="1"/>
    <x v="0"/>
    <x v="1"/>
    <x v="0"/>
    <n v="0"/>
    <n v="0"/>
    <n v="0"/>
    <n v="0"/>
    <n v="0"/>
    <n v="0"/>
    <n v="0"/>
    <n v="0"/>
    <n v="0"/>
    <n v="0"/>
    <n v="0"/>
    <n v="0"/>
    <n v="3.8736428717323079E-3"/>
    <n v="0.21921084285785319"/>
    <n v="0"/>
    <n v="0"/>
    <n v="0"/>
    <n v="0"/>
    <n v="0"/>
  </r>
  <r>
    <x v="1"/>
    <x v="0"/>
    <x v="1"/>
    <x v="0"/>
    <x v="1"/>
    <x v="51"/>
    <n v="51.239659999999276"/>
    <n v="-5.2875162557840198"/>
    <n v="0.11581858227627251"/>
    <n v="0.55643455974170308"/>
    <n v="-4.8595787731409157E-2"/>
    <n v="-0.32200200693651704"/>
    <n v="0.1683491096716061"/>
    <n v="4.7065620000000252E-2"/>
    <n v="0.46509211674199413"/>
    <n v="0.13073914985179957"/>
    <n v="-0.58046939728294555"/>
    <n v="0.83943067463683185"/>
    <n v="0.26920437914708106"/>
    <n v="0.76437603278298738"/>
    <n v="4.5500461883185572E-2"/>
    <n v="-0.42027025586850453"/>
    <n v="-0.15306476000000041"/>
    <n v="0.15155706999999996"/>
    <n v="2.2378615000000039E-2"/>
  </r>
  <r>
    <x v="2"/>
    <x v="0"/>
    <x v="1"/>
    <x v="0"/>
    <x v="1"/>
    <x v="52"/>
    <n v="114.55407999999807"/>
    <n v="-8.2873479554530718"/>
    <n v="0.31558777052997922"/>
    <n v="1.0770388110559637"/>
    <n v="-0.1327829833824401"/>
    <n v="-0.44843626829569327"/>
    <n v="0.38833952662282734"/>
    <n v="6.504732999999957E-2"/>
    <n v="0.62232882827724101"/>
    <n v="0.35142570106454496"/>
    <n v="-0.26280901319508665"/>
    <n v="0.96689039072768157"/>
    <n v="0.52356838821550067"/>
    <n v="1.6740686216036194"/>
    <n v="0.27140300878083501"/>
    <n v="-0.43335531574381081"/>
    <n v="-0.32863880999999956"/>
    <n v="0.24419021000000007"/>
    <n v="0.17636427300000007"/>
  </r>
  <r>
    <x v="3"/>
    <x v="0"/>
    <x v="1"/>
    <x v="0"/>
    <x v="1"/>
    <x v="53"/>
    <n v="172.63004000000001"/>
    <n v="-9.8379409698376552"/>
    <n v="0.54367770001553239"/>
    <n v="1.5006804174414912"/>
    <n v="-0.24869950064160262"/>
    <n v="-0.42362514992939637"/>
    <n v="0.61259756781426589"/>
    <n v="6.1480250000001124E-2"/>
    <n v="0.86516889396150987"/>
    <n v="0.66160340098910808"/>
    <n v="0.15197941388402914"/>
    <n v="1.1762448724393471"/>
    <n v="0.79079139234814466"/>
    <n v="2.9508091044104123"/>
    <n v="0.5796460569236217"/>
    <n v="-0.48331233295715315"/>
    <n v="-0.47937539000000029"/>
    <n v="0.30270860999999993"/>
    <n v="0.33421299400000004"/>
  </r>
  <r>
    <x v="4"/>
    <x v="0"/>
    <x v="1"/>
    <x v="0"/>
    <x v="1"/>
    <x v="54"/>
    <n v="218.97349000000031"/>
    <n v="-10.541097426246093"/>
    <n v="0.77276073188725647"/>
    <n v="1.8313116218812375"/>
    <n v="-0.39240541937479723"/>
    <n v="-0.31215603673904191"/>
    <n v="0.82560123197055191"/>
    <n v="4.7033550000000202E-2"/>
    <n v="1.165652220626856"/>
    <n v="1.0348060039533813"/>
    <n v="0.63600838878941079"/>
    <n v="1.443220769311071"/>
    <n v="1.0640702822416248"/>
    <n v="4.5799536183135814"/>
    <n v="0.95289075947200264"/>
    <n v="-0.55247094655894724"/>
    <n v="-0.59222995000000056"/>
    <n v="0.34279937999999976"/>
    <n v="0.48199361099999993"/>
  </r>
  <r>
    <x v="5"/>
    <x v="0"/>
    <x v="1"/>
    <x v="0"/>
    <x v="1"/>
    <x v="55"/>
    <n v="252.47559000000183"/>
    <n v="-10.751463448617804"/>
    <n v="0.993919379306063"/>
    <n v="2.0916676853816041"/>
    <n v="-0.55860126585043357"/>
    <n v="-0.15348480629464589"/>
    <n v="1.0299292090298451"/>
    <n v="3.1986879999999773E-2"/>
    <n v="1.5004245878989408"/>
    <n v="1.4455174331589271"/>
    <n v="1.1618041030188042"/>
    <n v="1.744843213073044"/>
    <n v="1.332148548120804"/>
    <n v="6.5392299391013653"/>
    <n v="1.3851398524344249"/>
    <n v="-0.61454815398153118"/>
    <n v="-0.66830516000000029"/>
    <n v="0.37218426000000004"/>
    <n v="0.61742347900000005"/>
  </r>
  <r>
    <x v="6"/>
    <x v="0"/>
    <x v="1"/>
    <x v="0"/>
    <x v="1"/>
    <x v="56"/>
    <n v="274.37218999999823"/>
    <n v="-10.675100253326731"/>
    <n v="1.205041690163644"/>
    <n v="2.3053562764188795"/>
    <n v="-0.74135427982896518"/>
    <n v="2.9804835107816174E-2"/>
    <n v="1.2273003693172635"/>
    <n v="1.973383000000023E-2"/>
    <n v="1.8529329864515942"/>
    <n v="1.8747104450282492"/>
    <n v="1.7087704768317113"/>
    <n v="2.0641050588198873"/>
    <n v="1.5864724475488146"/>
    <n v="8.8028466162796803"/>
    <n v="1.8669524691746098"/>
    <n v="-0.65555192806144857"/>
    <n v="-0.71351686999999997"/>
    <n v="0.39470188000000006"/>
    <n v="0.74018430700000004"/>
  </r>
  <r>
    <x v="7"/>
    <x v="0"/>
    <x v="1"/>
    <x v="0"/>
    <x v="1"/>
    <x v="57"/>
    <n v="286.58554000000004"/>
    <n v="-10.433770459572944"/>
    <n v="1.4050094748342845"/>
    <n v="2.4907996999686821"/>
    <n v="-0.93487369617850646"/>
    <n v="0.22390051501754993"/>
    <n v="1.4165429973332255"/>
    <n v="1.0206610000000615E-2"/>
    <n v="2.211700969806274"/>
    <n v="2.308904658023625"/>
    <n v="2.2623162623881976"/>
    <n v="2.3889982694596412"/>
    <n v="1.8216536603359978"/>
    <n v="11.34288952673459"/>
    <n v="2.3853481871519255"/>
    <n v="-0.67217413821415439"/>
    <n v="-0.7343159900000007"/>
    <n v="0.41256976000000023"/>
    <n v="0.84996478000000009"/>
  </r>
  <r>
    <x v="8"/>
    <x v="0"/>
    <x v="1"/>
    <x v="0"/>
    <x v="1"/>
    <x v="58"/>
    <n v="290.95098999999755"/>
    <n v="-10.101304842400172"/>
    <n v="1.5921420134499042"/>
    <n v="2.6603351462981983"/>
    <n v="-1.133915576921718"/>
    <n v="0.41951647853770702"/>
    <n v="1.595039364629347"/>
    <n v="2.559639999999419E-3"/>
    <n v="2.5683041622599267"/>
    <n v="2.7381219627029107"/>
    <n v="2.8115921348535799"/>
    <n v="2.7107002771862954"/>
    <n v="2.0342975333093483"/>
    <n v="14.129577859954413"/>
    <n v="2.926093258183271"/>
    <n v="-0.66668380803101002"/>
    <n v="-0.73608282000000025"/>
    <n v="0.42722570000000015"/>
    <n v="0.94644468999999998"/>
  </r>
  <r>
    <x v="9"/>
    <x v="0"/>
    <x v="1"/>
    <x v="0"/>
    <x v="1"/>
    <x v="59"/>
    <n v="288.96248999999807"/>
    <n v="-9.7236316531547082"/>
    <n v="1.7643880892080244"/>
    <n v="2.8212890507267163"/>
    <n v="-1.3338867007371413"/>
    <n v="0.61000700369744365"/>
    <n v="1.7600436754427573"/>
    <n v="-3.8317299999993115E-3"/>
    <n v="2.9159919646814858"/>
    <n v="3.1543440102290932"/>
    <n v="3.3477339880104928"/>
    <n v="3.0222352579183376"/>
    <n v="2.2219572376714014"/>
    <n v="17.131181296556996"/>
    <n v="3.4753545880799486"/>
    <n v="-0.64322345666438796"/>
    <n v="-0.7228541399999997"/>
    <n v="0.43958181000000041"/>
    <n v="1.0295080400000001"/>
  </r>
  <r>
    <x v="10"/>
    <x v="0"/>
    <x v="1"/>
    <x v="0"/>
    <x v="1"/>
    <x v="60"/>
    <n v="281.77088999999978"/>
    <n v="-9.329791277576982"/>
    <n v="1.9198255720878077"/>
    <n v="2.9774742045580505"/>
    <n v="-1.5308008952240382"/>
    <n v="0.79054935004252425"/>
    <n v="1.9093103132182376"/>
    <n v="-9.2602499999996923E-3"/>
    <n v="3.2489728281531294"/>
    <n v="3.5506828734867879"/>
    <n v="3.8629050742711835"/>
    <n v="3.317754006441187"/>
    <n v="2.3825909099781661"/>
    <n v="20.313954453640235"/>
    <n v="4.0204778429922206"/>
    <n v="-0.60593394992183303"/>
    <n v="-0.69758311999999911"/>
    <n v="0.4501155"/>
    <n v="1.0993126900000001"/>
  </r>
  <r>
    <x v="11"/>
    <x v="0"/>
    <x v="1"/>
    <x v="0"/>
    <x v="1"/>
    <x v="61"/>
    <n v="270.271090000002"/>
    <n v="-8.9381137215200361"/>
    <n v="2.0569637332134905"/>
    <n v="3.1304626535812119"/>
    <n v="-1.7211984694967319"/>
    <n v="0.9577263391133739"/>
    <n v="2.0412324149149619"/>
    <n v="-1.3834360000000712E-2"/>
    <n v="3.5621420223183042"/>
    <n v="3.9210759270354556"/>
    <n v="4.3499428275834751"/>
    <n v="3.5922525636469693"/>
    <n v="2.5144276133489463"/>
    <n v="23.642231826942517"/>
    <n v="4.5502327466488746"/>
    <n v="-0.55828945376033001"/>
    <n v="-0.66250851999999916"/>
    <n v="0.45895068000000039"/>
    <n v="1.1562302800000004"/>
  </r>
  <r>
    <x v="12"/>
    <x v="0"/>
    <x v="1"/>
    <x v="0"/>
    <x v="1"/>
    <x v="62"/>
    <n v="255.19585000000006"/>
    <n v="-8.5598346187869883"/>
    <n v="2.1748101024585909"/>
    <n v="3.2804710402016157"/>
    <n v="-1.902082141607242"/>
    <n v="1.1092391781908351"/>
    <n v="2.154756315761297"/>
    <n v="-1.761297999999939E-2"/>
    <n v="3.8510426703533884"/>
    <n v="4.2602657998575877"/>
    <n v="4.8023478066871128"/>
    <n v="3.8415241867514771"/>
    <n v="2.6160500512739659"/>
    <n v="27.078719293036691"/>
    <n v="5.0548346139358769"/>
    <n v="-0.50303046676493102"/>
    <n v="-0.61945689999999964"/>
    <n v="0.46595759999999986"/>
    <n v="1.2007400499999998"/>
  </r>
  <r>
    <x v="13"/>
    <x v="0"/>
    <x v="1"/>
    <x v="0"/>
    <x v="1"/>
    <x v="63"/>
    <n v="237.18583000000217"/>
    <n v="-8.2013431770044054"/>
    <n v="2.2728036767459159"/>
    <n v="3.426908349982094"/>
    <n v="-2.0708835713946994"/>
    <n v="1.243672066690138"/>
    <n v="2.2492466368874364"/>
    <n v="-2.0666400000000917E-2"/>
    <n v="4.1119176148025849"/>
    <n v="4.5638934514254936"/>
    <n v="5.2144193164860742"/>
    <n v="4.062202584824659"/>
    <n v="2.6865441110262012"/>
    <n v="30.584980307724873"/>
    <n v="5.5259108814241786"/>
    <n v="-0.4423133735434015"/>
    <n v="-0.57003692999999944"/>
    <n v="0.47085978000000056"/>
    <n v="1.2333383500000004"/>
  </r>
  <r>
    <x v="14"/>
    <x v="0"/>
    <x v="1"/>
    <x v="0"/>
    <x v="1"/>
    <x v="64"/>
    <n v="216.83218999999735"/>
    <n v="-7.8656709748629261"/>
    <n v="2.3507184948306614"/>
    <n v="3.5686954168624885"/>
    <n v="-2.2254541828612973"/>
    <n v="1.3602969981428403"/>
    <n v="2.3243815881739627"/>
    <n v="-2.3082229999998871E-2"/>
    <n v="4.3417769347652513"/>
    <n v="4.8286031933087115"/>
    <n v="5.581420243477675"/>
    <n v="4.2518115774661913"/>
    <n v="2.7256241082753485"/>
    <n v="34.122089429473078"/>
    <n v="5.9564782024412066"/>
    <n v="-0.37788876417637063"/>
    <n v="-0.51574290999999994"/>
    <n v="0.47333069999999988"/>
    <n v="1.25449075"/>
  </r>
  <r>
    <x v="15"/>
    <x v="0"/>
    <x v="1"/>
    <x v="0"/>
    <x v="1"/>
    <x v="65"/>
    <n v="194.69834000000264"/>
    <n v="-7.5535320076225325"/>
    <n v="2.4085886507251297"/>
    <n v="3.7044551738576459"/>
    <n v="-2.3640683089875547"/>
    <n v="1.4589204576251458"/>
    <n v="2.3800987857394595"/>
    <n v="-2.4948519999999641E-2"/>
    <n v="4.5384438382033432"/>
    <n v="5.0521110014496218"/>
    <n v="5.8997127613371836"/>
    <n v="4.40878596708556"/>
    <n v="2.7336982671623211"/>
    <n v="37.651410075996729"/>
    <n v="6.3409385740934132"/>
    <n v="-0.31123912180121005"/>
    <n v="-0.45799895000000063"/>
    <n v="0.47306992999999953"/>
    <n v="1.2646272399999998"/>
  </r>
  <r>
    <x v="16"/>
    <x v="0"/>
    <x v="1"/>
    <x v="0"/>
    <x v="1"/>
    <x v="66"/>
    <n v="171.32812000000195"/>
    <n v="-7.2640760711702885"/>
    <n v="2.4466750473531196"/>
    <n v="3.8326400977084285"/>
    <n v="-2.4854275950239368"/>
    <n v="1.5397682965304416"/>
    <n v="2.4165810312533953"/>
    <n v="-2.6336150000000336E-2"/>
    <n v="4.7005682068461452"/>
    <n v="5.2332194811603561"/>
    <n v="6.1668409355015941"/>
    <n v="4.5324510540565299"/>
    <n v="2.7118688241042133"/>
    <n v="41.13544782744691"/>
    <n v="6.6750817784939853"/>
    <n v="-0.24366312458338202"/>
    <n v="-0.39816957000000031"/>
    <n v="0.46985558999999982"/>
    <n v="1.26416741"/>
  </r>
  <r>
    <x v="17"/>
    <x v="0"/>
    <x v="1"/>
    <x v="0"/>
    <x v="1"/>
    <x v="67"/>
    <n v="147.24658999999883"/>
    <n v="-6.9954475727425862"/>
    <n v="2.4654607661568351"/>
    <n v="3.9516322021417194"/>
    <n v="-2.5886590669387921"/>
    <n v="1.6034000374222979"/>
    <n v="2.434262132278131"/>
    <n v="-2.7290269999999395E-2"/>
    <n v="4.8276083089802579"/>
    <n v="5.3717789855605602"/>
    <n v="6.3815556450973032"/>
    <n v="4.6229628268057432"/>
    <n v="2.6618762861540857"/>
    <n v="44.538717538380567"/>
    <n v="6.9560785968720396"/>
    <n v="-0.17631642142670323"/>
    <n v="-0.33755385999999987"/>
    <n v="0.46357461999999988"/>
    <n v="1.2535585099999995"/>
  </r>
  <r>
    <x v="18"/>
    <x v="0"/>
    <x v="1"/>
    <x v="0"/>
    <x v="1"/>
    <x v="68"/>
    <n v="122.95628000000215"/>
    <n v="-6.74520487537057"/>
    <n v="2.4656606473454357"/>
    <n v="4.0598304492155846"/>
    <n v="-2.6733028222941102"/>
    <n v="1.6506418491911923"/>
    <n v="2.4338341270141228"/>
    <n v="-2.7831909999999349E-2"/>
    <n v="4.9197831522248547"/>
    <n v="5.4686033078682694"/>
    <n v="6.5437844855255722"/>
    <n v="4.681217483068445"/>
    <n v="2.5860041385274091"/>
    <n v="47.828566227612356"/>
    <n v="7.1824508985208757"/>
    <n v="-0.11022262048069331"/>
    <n v="-0.27737150000000033"/>
    <n v="0.45423514999999998"/>
    <n v="1.2333114799999996"/>
  </r>
  <r>
    <x v="19"/>
    <x v="0"/>
    <x v="1"/>
    <x v="0"/>
    <x v="1"/>
    <x v="69"/>
    <n v="98.93090999999913"/>
    <n v="-6.5106368493357047"/>
    <n v="2.4482266990401236"/>
    <n v="4.155727520220398"/>
    <n v="-2.739288871007961"/>
    <n v="1.6825288246817394"/>
    <n v="2.4162437351545218"/>
    <n v="-2.7966399999999891E-2"/>
    <n v="4.978001996382897"/>
    <n v="5.5253501440789998"/>
    <n v="6.6545545179326648"/>
    <n v="4.7087389149918391"/>
    <n v="2.4869595073210737"/>
    <n v="50.975895209285468"/>
    <n v="7.3540113977383914"/>
    <n v="-4.6268261179849279E-2"/>
    <n v="-0.21874424000000031"/>
    <n v="0.44196537000000047"/>
    <n v="1.2040244800000008"/>
  </r>
  <r>
    <x v="20"/>
    <x v="0"/>
    <x v="1"/>
    <x v="0"/>
    <x v="1"/>
    <x v="70"/>
    <n v="75.607100000001083"/>
    <n v="-6.2890009012238064"/>
    <n v="2.4143392852311152"/>
    <n v="4.2379745802249902"/>
    <n v="-2.7869034949188798"/>
    <n v="1.700251103649042"/>
    <n v="2.3826708278715802"/>
    <n v="-2.7694400000000119E-2"/>
    <n v="5.0037767664883326"/>
    <n v="5.5443788411232209"/>
    <n v="6.7158763416908851"/>
    <n v="4.7075544867621666"/>
    <n v="2.3677438336696444"/>
    <n v="53.955738730975611"/>
    <n v="7.4717698544479294"/>
    <n v="1.480916720058012E-2"/>
    <n v="-0.16267503000000003"/>
    <n v="0.42700294"/>
    <n v="1.1663897900000004"/>
  </r>
  <r>
    <x v="21"/>
    <x v="0"/>
    <x v="1"/>
    <x v="0"/>
    <x v="1"/>
    <x v="71"/>
    <n v="53.374909999998636"/>
    <n v="-6.077698842942092"/>
    <n v="2.365381008628753"/>
    <n v="4.3054308494698379"/>
    <n v="-2.8167477941641206"/>
    <n v="1.7051013079210087"/>
    <n v="2.3344903244407522"/>
    <n v="-2.7021929999999916E-2"/>
    <n v="4.9991224495574249"/>
    <n v="5.5285963635474777"/>
    <n v="6.7305999750929324"/>
    <n v="4.6800684698489858"/>
    <n v="2.2315240047287244"/>
    <n v="56.747667874546707"/>
    <n v="7.5378073575314897"/>
    <n v="7.2432171985226113E-2"/>
    <n v="-0.11002615999999993"/>
    <n v="0.40967828999999983"/>
    <n v="1.1211844200000007"/>
  </r>
  <r>
    <x v="22"/>
    <x v="0"/>
    <x v="1"/>
    <x v="0"/>
    <x v="1"/>
    <x v="72"/>
    <n v="32.568030000002182"/>
    <n v="-5.8744016721437253"/>
    <n v="2.3028939769866863"/>
    <n v="4.3571974312426986"/>
    <n v="-2.8296905139167938"/>
    <n v="1.6984240459670064"/>
    <n v="2.2732224772641363"/>
    <n v="-2.5967109999999738E-2"/>
    <n v="4.9664515971139522"/>
    <n v="5.4813018702625449"/>
    <n v="6.7022523515025467"/>
    <n v="4.6289386392729392"/>
    <n v="2.0815122736952629"/>
    <n v="59.336006686431951"/>
    <n v="7.5551232759999865"/>
    <n v="0.12618909895296682"/>
    <n v="-6.1498990000000142E-2"/>
    <n v="0.39039425000000005"/>
    <n v="1.0692492699999994"/>
  </r>
  <r>
    <x v="23"/>
    <x v="0"/>
    <x v="1"/>
    <x v="0"/>
    <x v="1"/>
    <x v="73"/>
    <n v="13.454969999998866"/>
    <n v="-5.6771307743947119"/>
    <n v="2.2285282341781176"/>
    <n v="4.3926357301871999"/>
    <n v="-2.8268180552647237"/>
    <n v="1.6815699307529686"/>
    <n v="2.2004784336479677"/>
    <n v="-2.4562570000000172E-2"/>
    <n v="4.9084676491360835"/>
    <n v="5.4060386442186026"/>
    <n v="6.6348671988848862"/>
    <n v="4.5569642798945376"/>
    <n v="1.9208603585364692"/>
    <n v="61.709863553856351"/>
    <n v="7.5274618067044941"/>
    <n v="0.17583205926592349"/>
    <n v="-1.7617860000000013E-2"/>
    <n v="0.36960373999999974"/>
    <n v="1.0114628399999992"/>
  </r>
  <r>
    <x v="24"/>
    <x v="0"/>
    <x v="1"/>
    <x v="0"/>
    <x v="1"/>
    <x v="74"/>
    <n v="-3.7677000000003318"/>
    <n v="-5.4843016884180695"/>
    <n v="2.143988447051659"/>
    <n v="4.4113732155616203"/>
    <n v="-2.8093840804132131"/>
    <n v="1.6558571363510355"/>
    <n v="2.1179092398556643"/>
    <n v="-2.2853860000000836E-2"/>
    <n v="4.8280617541190285"/>
    <n v="5.3064599244130317"/>
    <n v="6.5328165323127019"/>
    <n v="4.466987194241745"/>
    <n v="1.7525711236823005"/>
    <n v="63.862993181112039"/>
    <n v="7.4591277079945728"/>
    <n v="0.22126577724108643"/>
    <n v="2.1278979999999822E-2"/>
    <n v="0.34778685999999959"/>
    <n v="0.94871671999999929"/>
  </r>
  <r>
    <x v="25"/>
    <x v="0"/>
    <x v="1"/>
    <x v="0"/>
    <x v="1"/>
    <x v="75"/>
    <n v="-18.978540000000066"/>
    <n v="-5.294734902159048"/>
    <n v="2.0509873765525377"/>
    <n v="4.4132992708658225"/>
    <n v="-2.7787607033795791"/>
    <n v="1.6225424110919429"/>
    <n v="2.027163691693068"/>
    <n v="-2.0895059999999355E-2"/>
    <n v="4.7282171466972889"/>
    <n v="5.1862133206932004"/>
    <n v="6.4006519129301997"/>
    <n v="4.3618096141028406"/>
    <n v="1.5794296837540855"/>
    <n v="65.793514646888582"/>
    <n v="7.3547999751420567"/>
    <n v="0.26252879877219915"/>
    <n v="5.5039159999999837E-2"/>
    <n v="0.32542836999999991"/>
    <n v="0.8818974199999996"/>
  </r>
  <r>
    <x v="26"/>
    <x v="0"/>
    <x v="1"/>
    <x v="0"/>
    <x v="1"/>
    <x v="76"/>
    <n v="-32.130510000002687"/>
    <n v="-5.107639619728765"/>
    <n v="1.9512097281239482"/>
    <n v="4.3985539636571591"/>
    <n v="-2.7363931076628045"/>
    <n v="1.5828033891800874"/>
    <n v="1.9298597805535334"/>
    <n v="-1.8743190000000687E-2"/>
    <n v="4.6119242558366746"/>
    <n v="5.0488463625308011"/>
    <n v="6.2429622082856406"/>
    <n v="4.2441296132582185"/>
    <n v="1.4039539340711782"/>
    <n v="67.503517738241797"/>
    <n v="7.2193537421636256"/>
    <n v="0.29976830611788685"/>
    <n v="8.3685730000000041E-2"/>
    <n v="0.30299639000000017"/>
    <n v="0.81187778999999982"/>
  </r>
  <r>
    <x v="27"/>
    <x v="0"/>
    <x v="1"/>
    <x v="0"/>
    <x v="1"/>
    <x v="77"/>
    <n v="-43.245539999999892"/>
    <n v="-4.9225755895385248"/>
    <n v="1.8462898109756098"/>
    <n v="4.3675125551564609"/>
    <n v="-2.6837587479009439"/>
    <n v="1.5377313873037091"/>
    <n v="1.8275679877368445"/>
    <n v="-1.6452730000000859E-2"/>
    <n v="4.4821084540074052"/>
    <n v="4.8977337981640945"/>
    <n v="6.0642520941080358"/>
    <n v="4.1164929416564133"/>
    <n v="1.2283642416703211"/>
    <n v="68.998590812467214"/>
    <n v="7.0576980744609275"/>
    <n v="0.33321163882049643"/>
    <n v="0.10739688999999997"/>
    <n v="0.28092315000000023"/>
    <n v="0.73951715000000062"/>
  </r>
  <r>
    <x v="28"/>
    <x v="0"/>
    <x v="1"/>
    <x v="0"/>
    <x v="1"/>
    <x v="78"/>
    <n v="-52.405490000001009"/>
    <n v="-4.7393996598525163"/>
    <n v="1.7378004551223736"/>
    <n v="4.3207666376925191"/>
    <n v="-2.6223324585395336"/>
    <n v="1.4883330612089019"/>
    <n v="1.7218052370737924"/>
    <n v="-1.4071949999999722E-2"/>
    <n v="4.3415716076858457"/>
    <n v="4.7360258259909527"/>
    <n v="5.8688435436772046"/>
    <n v="3.9812610006721316"/>
    <n v="1.0545690281121844"/>
    <n v="70.287302678773628"/>
    <n v="6.8746361446161863"/>
    <n v="0.36313739395674727"/>
    <n v="0.12647764000000006"/>
    <n v="0.25958889000000029"/>
    <n v="0.66566774000000051"/>
  </r>
  <r>
    <x v="29"/>
    <x v="0"/>
    <x v="1"/>
    <x v="0"/>
    <x v="1"/>
    <x v="79"/>
    <n v="-59.739839999998367"/>
    <n v="-4.5582032070709317"/>
    <n v="1.6272506649727791"/>
    <n v="4.2591027104418977"/>
    <n v="-2.553556538963786"/>
    <n v="1.435538129237357"/>
    <n v="1.6140331160781507"/>
    <n v="-1.1641280000000698E-2"/>
    <n v="4.1929481090579035"/>
    <n v="4.5666150032661834"/>
    <n v="5.6608008699930323"/>
    <n v="3.8405919836118851"/>
    <n v="0.88416601423808583"/>
    <n v="71.380667914300318"/>
    <n v="6.6747520953496453"/>
    <n v="0.38984886819131148"/>
    <n v="0.14132643999999994"/>
    <n v="0.23930954999999976"/>
    <n v="0.5911826300000006"/>
  </r>
  <r>
    <x v="30"/>
    <x v="0"/>
    <x v="1"/>
    <x v="0"/>
    <x v="1"/>
    <x v="80"/>
    <n v="-65.41197000000102"/>
    <n v="-4.379247241592255"/>
    <n v="1.5160850991691177"/>
    <n v="4.1834783751601323"/>
    <n v="-2.4788177535943756"/>
    <n v="1.3802094474001825"/>
    <n v="1.5056581997103136"/>
    <n v="-9.1940900000003767E-3"/>
    <n v="4.0386729466791893"/>
    <n v="4.3921191843779184"/>
    <n v="5.4438779413185978"/>
    <n v="3.6964330692655478"/>
    <n v="0.7184535910972123"/>
    <n v="72.291617655356546"/>
    <n v="6.4623256723559619"/>
    <n v="0.41365169649283384"/>
    <n v="0.15240033999999997"/>
    <n v="0.22032904999999964"/>
    <n v="0.51692055999999975"/>
  </r>
  <r>
    <x v="31"/>
    <x v="0"/>
    <x v="1"/>
    <x v="0"/>
    <x v="1"/>
    <x v="81"/>
    <n v="-69.605400000000373"/>
    <n v="-4.2029004464587345"/>
    <n v="1.4056822257997759"/>
    <n v="4.0949953249412419"/>
    <n v="-2.3994295169144308"/>
    <n v="1.3231526270984117"/>
    <n v="1.3980256232090982"/>
    <n v="-6.7591199999994522E-3"/>
    <n v="3.8809633591086801"/>
    <n v="4.2148770080175701"/>
    <n v="5.2214851712720112"/>
    <n v="3.5505217309183434"/>
    <n v="0.55845189672458773"/>
    <n v="73.034497014602096"/>
    <n v="6.2412743407479043"/>
    <n v="0.434837224859419"/>
    <n v="0.16018218000000001"/>
    <n v="0.20281667000000003"/>
    <n v="0.44374327000000002"/>
  </r>
  <r>
    <x v="32"/>
    <x v="0"/>
    <x v="1"/>
    <x v="0"/>
    <x v="1"/>
    <x v="82"/>
    <n v="-72.511210000000574"/>
    <n v="-4.0295851784084231"/>
    <n v="1.2973451280639869"/>
    <n v="3.9948696913288506"/>
    <n v="-2.3166188041573776"/>
    <n v="1.2651222570199794"/>
    <n v="1.2924076248790772"/>
    <n v="-4.3637200000001819E-3"/>
    <n v="3.7218083794728019"/>
    <n v="4.0369525931674533"/>
    <n v="4.9966729402212362"/>
    <n v="3.4043918933510442"/>
    <n v="0.4049288954359076"/>
    <n v="73.624598863492679"/>
    <n v="6.0151192761648042"/>
    <n v="0.45367177604411779"/>
    <n v="0.16515287000000001"/>
    <n v="0.18686924999999979"/>
    <n v="0.3725036000000001"/>
  </r>
  <r>
    <x v="33"/>
    <x v="0"/>
    <x v="1"/>
    <x v="0"/>
    <x v="1"/>
    <x v="83"/>
    <n v="-74.318150000002788"/>
    <n v="-3.8597341869950896"/>
    <n v="1.1922855236512708"/>
    <n v="3.8843993699896773"/>
    <n v="-2.2315175093969519"/>
    <n v="1.2068232352342223"/>
    <n v="1.1899832447004099"/>
    <n v="-2.0370199999994454E-3"/>
    <n v="3.5629671263218254"/>
    <n v="3.8601463590169915"/>
    <n v="4.7721278999405481"/>
    <n v="3.2593841419688463"/>
    <n v="0.25842923038981169"/>
    <n v="74.077743471152772"/>
    <n v="5.7869720519501122"/>
    <n v="0.47039151388563738"/>
    <n v="0.16777069000000008"/>
    <n v="0.17251797999999971"/>
    <n v="0.30402388999999985"/>
  </r>
  <r>
    <x v="34"/>
    <x v="0"/>
    <x v="1"/>
    <x v="0"/>
    <x v="1"/>
    <x v="84"/>
    <n v="-75.205539999999019"/>
    <n v="-3.6937596899675906"/>
    <n v="1.0916005435184006"/>
    <n v="3.7649298975334089"/>
    <n v="-2.1451579736357695"/>
    <n v="1.1489070703511128"/>
    <n v="1.0918130443454688"/>
    <n v="1.881900000000325E-4"/>
    <n v="3.4059726079359143"/>
    <n v="3.6860092241010056"/>
    <n v="4.5501788586906233"/>
    <n v="3.1166572911856427"/>
    <n v="0.11930363427667956"/>
    <n v="74.409906662152594"/>
    <n v="5.5595365090110205"/>
    <n v="0.48520156876494802"/>
    <n v="0.16845855699999993"/>
    <n v="0.15973867000000017"/>
    <n v="0.23906751999999976"/>
  </r>
  <r>
    <x v="35"/>
    <x v="0"/>
    <x v="1"/>
    <x v="0"/>
    <x v="1"/>
    <x v="85"/>
    <n v="-75.339489999998477"/>
    <n v="-3.5320345231679928"/>
    <n v="0.99624463881484715"/>
    <n v="3.6378196749002001"/>
    <n v="-2.0584698687061587"/>
    <n v="1.0919640608622494"/>
    <n v="0.99881043370657618"/>
    <n v="2.2750199999990728E-3"/>
    <n v="3.2521391413787848"/>
    <n v="3.5158580644501614"/>
    <n v="4.332808784338793"/>
    <n v="2.9772008438669673"/>
    <n v="-1.226193379564311E-2"/>
    <n v="74.636898572057049"/>
    <n v="5.3351216781921229"/>
    <n v="0.49827854222694867"/>
    <n v="0.167598515"/>
    <n v="0.14846416000000029"/>
    <n v="0.17830693000000022"/>
  </r>
  <r>
    <x v="36"/>
    <x v="0"/>
    <x v="1"/>
    <x v="0"/>
    <x v="1"/>
    <x v="86"/>
    <n v="-74.871729999998934"/>
    <n v="-3.3748836760860712"/>
    <n v="0.90700250739668142"/>
    <n v="3.5044070660879223"/>
    <n v="-1.9722806152146055"/>
    <n v="1.036512776051346"/>
    <n v="0.91171634176270278"/>
    <n v="4.1839000000001847E-3"/>
    <n v="3.1025711429508496"/>
    <n v="3.350790703343165"/>
    <n v="4.1216708621831133"/>
    <n v="2.8418451721446747"/>
    <n v="-0.13622036455778197"/>
    <n v="74.774088801850922"/>
    <n v="5.115661208426836"/>
    <n v="0.50977447739617432"/>
    <n v="0.16553246099999999"/>
    <n v="0.13859750000000046"/>
    <n v="0.1222932000000003"/>
  </r>
  <r>
    <x v="37"/>
    <x v="0"/>
    <x v="1"/>
    <x v="0"/>
    <x v="1"/>
    <x v="87"/>
    <n v="-73.940539999999601"/>
    <n v="-3.222584152916641"/>
    <n v="0.82446512250147208"/>
    <n v="3.3659805443197355"/>
    <n v="-1.8873151752368256"/>
    <n v="0.98298934488538769"/>
    <n v="0.83107863772882151"/>
    <n v="5.8753899999999804E-3"/>
    <n v="2.9581738949060465"/>
    <n v="3.1917001689797608"/>
    <n v="3.9181064436933699"/>
    <n v="2.7112715284479005"/>
    <n v="-0.25264080230481545"/>
    <n v="74.836178410941216"/>
    <n v="4.9027359699407524"/>
    <n v="0.51982129940741917"/>
    <n v="0.16256672799999997"/>
    <n v="0.13002454999999982"/>
    <n v="7.1431609999999396E-2"/>
  </r>
  <r>
    <x v="38"/>
    <x v="0"/>
    <x v="1"/>
    <x v="0"/>
    <x v="1"/>
    <x v="88"/>
    <n v="-72.67268999999942"/>
    <n v="-3.0753697234466637"/>
    <n v="0.74901537627172221"/>
    <n v="3.2237540663164532"/>
    <n v="-1.80419872613935"/>
    <n v="0.93173853450223554"/>
    <n v="0.75724119115232469"/>
    <n v="7.3138999999999843E-3"/>
    <n v="2.8196640820717045"/>
    <n v="3.0392875639022598"/>
    <n v="3.7231637743631252"/>
    <n v="2.5860204854823543"/>
    <n v="-0.36168792300850239"/>
    <n v="74.837013059076014"/>
    <n v="4.6975976723911073"/>
    <n v="0.52853499939962134"/>
    <n v="0.15897862899999998"/>
    <n v="0.12262472999999968"/>
    <n v="2.5966280000000452E-2"/>
  </r>
  <r>
    <x v="39"/>
    <x v="0"/>
    <x v="1"/>
    <x v="0"/>
    <x v="1"/>
    <x v="89"/>
    <n v="-71.18579999999929"/>
    <n v="-2.933438208758421"/>
    <n v="0.68082379825755712"/>
    <n v="3.078848708742532"/>
    <n v="-1.7234584112270523"/>
    <n v="0.88300845746742684"/>
    <n v="0.69034397562051097"/>
    <n v="8.4713599999994282E-3"/>
    <n v="2.6875804294672845"/>
    <n v="2.8940727745056405"/>
    <n v="3.5376172617942458"/>
    <n v="2.4664984949372082"/>
    <n v="-0.46360584330756849"/>
    <n v="74.789434924104654"/>
    <n v="4.5011922166833918"/>
    <n v="0.5360183389725437"/>
    <n v="0.155022774"/>
    <n v="0.11627932999999993"/>
    <n v="-1.4023519999999817E-2"/>
  </r>
  <r>
    <x v="40"/>
    <x v="0"/>
    <x v="1"/>
    <x v="0"/>
    <x v="1"/>
    <x v="90"/>
    <n v="-69.590200000002369"/>
    <n v="-2.7969585018693954"/>
    <n v="0.61985596028046874"/>
    <n v="2.9322809305587949"/>
    <n v="-1.6455261302890545"/>
    <n v="0.83694984951416806"/>
    <n v="0.63033425387928332"/>
    <n v="9.3304499999988244E-3"/>
    <n v="2.5622945435124445"/>
    <n v="2.7564061971615761"/>
    <n v="3.3619865339401978"/>
    <n v="2.3529844386808163"/>
    <n v="-0.55870429681117439"/>
    <n v="74.705169789636656"/>
    <n v="4.3141820038475664"/>
    <n v="0.54236286201845285"/>
    <n v="0.15093577799999996"/>
    <n v="0.1108769399999994"/>
    <n v="-4.8616120000000151E-2"/>
  </r>
  <r>
    <x v="41"/>
    <x v="0"/>
    <x v="1"/>
    <x v="0"/>
    <x v="1"/>
    <x v="91"/>
    <n v="-67.989799999999377"/>
    <n v="-2.6660759825237412"/>
    <n v="0.5658919090167247"/>
    <n v="2.7849575186789322"/>
    <n v="-1.5707418427182929"/>
    <n v="0.79362030953813445"/>
    <n v="0.57698771225871415"/>
    <n v="9.8864899999995259E-3"/>
    <n v="2.4440214531919136"/>
    <n v="2.6264779938151461"/>
    <n v="3.1965561554106792"/>
    <n v="2.2456363035521454"/>
    <n v="-0.64734636921963684"/>
    <n v="74.594747548558288"/>
    <n v="4.1369679695112627"/>
    <n v="0.54764935311704122"/>
    <n v="0.14693846199999999"/>
    <n v="0.10631613999999984"/>
    <n v="-7.8029820000000139E-2"/>
  </r>
  <r>
    <x v="42"/>
    <x v="0"/>
    <x v="1"/>
    <x v="0"/>
    <x v="1"/>
    <x v="92"/>
    <n v="-66.482090000001335"/>
    <n v="-2.5409152131114054"/>
    <n v="0.51855349410991902"/>
    <n v="2.6376762902961648"/>
    <n v="-1.499356914118144"/>
    <n v="0.75299306451397374"/>
    <n v="0.52993654735233875"/>
    <n v="1.0148050000000075E-2"/>
    <n v="2.3328312050651334"/>
    <n v="2.5043300310988226"/>
    <n v="3.0413956262624664"/>
    <n v="2.1444974202328826"/>
    <n v="-0.72993879506784154"/>
    <n v="74.467452207848055"/>
    <n v="3.969711134853382"/>
    <n v="0.55194773846427569"/>
    <n v="0.14323538200000002"/>
    <n v="0.10250601000000026"/>
    <n v="-0.10259806999999982"/>
  </r>
  <r>
    <x v="43"/>
    <x v="0"/>
    <x v="1"/>
    <x v="0"/>
    <x v="1"/>
    <x v="93"/>
    <n v="-65.156910000001517"/>
    <n v="-2.4215797714856158"/>
    <n v="0.47733803704659294"/>
    <n v="2.4911314851166821"/>
    <n v="-1.4315383736258847"/>
    <n v="0.71496924902627601"/>
    <n v="0.48870209610707427"/>
    <n v="1.0135990000000039E-2"/>
    <n v="2.2286609801310142"/>
    <n v="2.3898666385995027"/>
    <n v="2.8963800705671838"/>
    <n v="2.0495046715792498"/>
    <n v="-0.80692278032914455"/>
    <n v="74.331299608721764"/>
    <n v="3.8123548329121348"/>
    <n v="0.55531680974343356"/>
    <n v="0.14001208399999995"/>
    <n v="9.9364799999999975E-2"/>
    <n v="-0.12274009000000016"/>
  </r>
  <r>
    <x v="44"/>
    <x v="0"/>
    <x v="1"/>
    <x v="0"/>
    <x v="1"/>
    <x v="94"/>
    <n v="-64.094599999996717"/>
    <n v="-2.3081497402350659"/>
    <n v="0.44165497125767672"/>
    <n v="2.3459222623984255"/>
    <n v="-1.367373880389755"/>
    <n v="0.67939239130816453"/>
    <n v="0.4527290453963051"/>
    <n v="9.8814399999994085E-3"/>
    <n v="2.1313282394584521"/>
    <n v="2.2828682987903637"/>
    <n v="2.7612129584758671"/>
    <n v="1.9604968880237994"/>
    <n v="-0.87876554379219263"/>
    <n v="74.193040113969346"/>
    <n v="3.6646478022027473"/>
    <n v="0.55780291166620533"/>
    <n v="0.13743082600000001"/>
    <n v="9.6817780000000436E-2"/>
    <n v="-0.13893037999999983"/>
  </r>
  <r>
    <x v="45"/>
    <x v="0"/>
    <x v="1"/>
    <x v="0"/>
    <x v="1"/>
    <x v="95"/>
    <n v="-63.363780000003317"/>
    <n v="-2.200677410884877"/>
    <n v="0.41086138058206156"/>
    <n v="2.2025629848703598"/>
    <n v="-1.3068771479695207"/>
    <n v="0.64606390645989276"/>
    <n v="0.42141773693922246"/>
    <n v="9.4228799999998558E-3"/>
    <n v="2.0405450042052742"/>
    <n v="2.1830054124127862"/>
    <n v="2.6354480344245923"/>
    <n v="1.8772257673915105"/>
    <n v="-0.94595185983219476"/>
    <n v="74.058185268013915"/>
    <n v="3.5261685754613969"/>
    <n v="0.55944035060127018"/>
    <n v="0.13562570399999996"/>
    <n v="9.4794709999999893E-2"/>
    <n v="-0.15166967000000003"/>
  </r>
  <r>
    <x v="46"/>
    <x v="0"/>
    <x v="1"/>
    <x v="0"/>
    <x v="1"/>
    <x v="96"/>
    <n v="-63.019049999995332"/>
    <n v="-2.0991824488822863"/>
    <n v="0.38429472306664714"/>
    <n v="2.0614939428061696"/>
    <n v="-1.2499948001865047"/>
    <n v="0.61475787268292503"/>
    <n v="0.39415358398513511"/>
    <n v="8.8029899999994554E-3"/>
    <n v="1.9559328045620994"/>
    <n v="2.0898544675413522"/>
    <n v="2.5185136695366594"/>
    <n v="1.7993665628512678"/>
    <n v="-1.0089764117813371"/>
    <n v="73.931053215342786"/>
    <n v="3.3963511307091743"/>
    <n v="0.56025177239882318"/>
    <n v="0.13469813099999994"/>
    <n v="9.3227469999999923E-2"/>
    <n v="-0.1614594200000003"/>
  </r>
  <r>
    <x v="47"/>
    <x v="0"/>
    <x v="1"/>
    <x v="0"/>
    <x v="1"/>
    <x v="97"/>
    <n v="-63.099229999999807"/>
    <n v="-2.0036468909653493"/>
    <n v="0.36130102501661376"/>
    <n v="1.9230915183568564"/>
    <n v="-1.1966129036820372"/>
    <n v="0.58523480325234356"/>
    <n v="0.37033157837595976"/>
    <n v="8.0654499999999185E-3"/>
    <n v="1.8770387614109874"/>
    <n v="2.0029143806672423"/>
    <n v="2.4097374721609333"/>
    <n v="1.7265316577366407"/>
    <n v="-1.0683353059501632"/>
    <n v="73.814834131126176"/>
    <n v="3.2745115636480193"/>
    <n v="0.5602476348310681"/>
    <n v="0.13471339799999998"/>
    <n v="9.2048290000000532E-2"/>
    <n v="-0.16878119999999969"/>
  </r>
  <r>
    <x v="48"/>
    <x v="0"/>
    <x v="1"/>
    <x v="0"/>
    <x v="1"/>
    <x v="98"/>
    <n v="-63.626100000001315"/>
    <n v="-1.9140117765772846"/>
    <n v="0.34125677836234214"/>
    <n v="1.78767734232117"/>
    <n v="-1.1465656646207245"/>
    <n v="0.55725367968224582"/>
    <n v="0.34937488877615497"/>
    <n v="7.2522200000008086E-3"/>
    <n v="1.8033522371891264"/>
    <n v="1.9216245276701738"/>
    <n v="2.3083703710659709"/>
    <n v="1.6582834926125667"/>
    <n v="-1.1245183834003969"/>
    <n v="73.711668885618977"/>
    <n v="3.1598754071740176"/>
    <n v="0.55942917772981993"/>
    <n v="0.13569884599999998"/>
    <n v="9.1188809999999398E-2"/>
    <n v="-0.17408143000000009"/>
  </r>
  <r>
    <x v="49"/>
    <x v="0"/>
    <x v="1"/>
    <x v="0"/>
    <x v="1"/>
    <x v="99"/>
    <n v="-64.603980000007141"/>
    <n v="-1.8301740603609118"/>
    <n v="0.32358484593191239"/>
    <n v="1.65552563544904"/>
    <n v="-1.0996431857654865"/>
    <n v="0.53058045577742963"/>
    <n v="0.33074917828594952"/>
    <n v="6.4014400000006466E-3"/>
    <n v="1.7343209528698722"/>
    <n v="1.8453822170095391"/>
    <n v="2.2136114268472618"/>
    <n v="1.5941488218381039"/>
    <n v="-1.1780008925753371"/>
    <n v="73.622741977838118"/>
    <n v="3.0516049171769311"/>
    <n v="0.5577887034288187"/>
    <n v="0.13764389600000004"/>
    <n v="9.0579770000000226E-2"/>
    <n v="-0.17776136999999997"/>
  </r>
  <r>
    <x v="50"/>
    <x v="0"/>
    <x v="1"/>
    <x v="0"/>
    <x v="1"/>
    <x v="100"/>
    <n v="-66.020160000000033"/>
    <n v="-1.7519865802791856"/>
    <n v="0.30776507759020522"/>
    <n v="1.526869278638876"/>
    <n v="-1.0556003026965355"/>
    <n v="0.5049958017594669"/>
    <n v="0.31397092473040011"/>
    <n v="5.5459300000004763E-3"/>
    <n v="1.6693678248528965"/>
    <n v="1.7735602469459932"/>
    <n v="2.1246307525234265"/>
    <n v="1.5336325858672506"/>
    <n v="-1.2292364219501306"/>
    <n v="73.548382430226383"/>
    <n v="2.9488257723631506"/>
    <n v="0.5553127716751316"/>
    <n v="0.14050190800000001"/>
    <n v="9.0151570000000097E-2"/>
    <n v="-0.18017186999999996"/>
  </r>
  <r>
    <x v="0"/>
    <x v="0"/>
    <x v="1"/>
    <x v="1"/>
    <x v="0"/>
    <x v="0"/>
    <n v="0"/>
    <n v="0"/>
    <n v="0"/>
    <n v="0"/>
    <n v="0"/>
    <n v="0"/>
    <n v="0"/>
    <n v="0"/>
    <n v="0"/>
    <n v="0"/>
    <n v="0"/>
    <n v="0"/>
    <n v="5.2064544503682697E-3"/>
    <n v="0.21586010219090124"/>
    <n v="0"/>
    <n v="0"/>
    <n v="0"/>
    <n v="0"/>
    <n v="0"/>
  </r>
  <r>
    <x v="1"/>
    <x v="0"/>
    <x v="1"/>
    <x v="1"/>
    <x v="0"/>
    <x v="101"/>
    <n v="21.987400000001799"/>
    <n v="-1.2851876193205602"/>
    <n v="5.2114549560910994E-2"/>
    <n v="-0.24788212195929749"/>
    <n v="-0.12307292249987833"/>
    <n v="-0.16050266504457067"/>
    <n v="7.2852514325938422E-2"/>
    <n v="1.8595369999999112E-2"/>
    <n v="0.44472431019821901"/>
    <n v="6.4077132329809494E-2"/>
    <n v="-0.70843631703724208"/>
    <n v="0.82970863429119301"/>
    <n v="0.21081575877126557"/>
    <n v="0.74463729455909178"/>
    <n v="1.9175774920743294E-2"/>
    <n v="-0.37598295235446999"/>
    <n v="-6.5676010000000062E-2"/>
    <n v="6.846154000000014E-2"/>
    <n v="-2.6906858999999929E-2"/>
  </r>
  <r>
    <x v="2"/>
    <x v="0"/>
    <x v="1"/>
    <x v="1"/>
    <x v="0"/>
    <x v="102"/>
    <n v="40.78070999999909"/>
    <n v="-2.1220244520334997"/>
    <n v="0.12067539754265777"/>
    <n v="-0.47927107634603283"/>
    <n v="-0.28564365986585294"/>
    <n v="-0.26410604257731674"/>
    <n v="0.14446699891876857"/>
    <n v="2.131569999999916E-2"/>
    <n v="0.48810238776342274"/>
    <n v="0.12764293707543395"/>
    <n v="-0.61472774312798517"/>
    <n v="0.86254154540708061"/>
    <n v="0.32580126952586053"/>
    <n v="1.6072273013736815"/>
    <n v="0.17806608580381855"/>
    <n v="-0.27147084211118777"/>
    <n v="-0.11603992000000091"/>
    <n v="8.8669889999999987E-2"/>
    <n v="2.3706059999999834E-3"/>
  </r>
  <r>
    <x v="3"/>
    <x v="0"/>
    <x v="1"/>
    <x v="1"/>
    <x v="0"/>
    <x v="103"/>
    <n v="48.528120000002673"/>
    <n v="-2.6269726636934387"/>
    <n v="0.1716861966683858"/>
    <n v="-0.68074158464700441"/>
    <n v="-0.4560377652881753"/>
    <n v="-0.31863663586977342"/>
    <n v="0.18192077839500609"/>
    <n v="9.1624999999997958E-3"/>
    <n v="0.54486049706838902"/>
    <n v="0.20253877837119738"/>
    <n v="-0.50771919540449906"/>
    <n v="0.90398112563743194"/>
    <n v="0.3924460752287029"/>
    <n v="2.7800737906746864"/>
    <n v="0.35006284500698204"/>
    <n v="-0.17646333153267246"/>
    <n v="-0.13174937000000053"/>
    <n v="8.598125000000012E-2"/>
    <n v="-6.2440349999999881E-3"/>
  </r>
  <r>
    <x v="4"/>
    <x v="0"/>
    <x v="1"/>
    <x v="1"/>
    <x v="0"/>
    <x v="104"/>
    <n v="44.011250000003201"/>
    <n v="-2.9300638839186099"/>
    <n v="0.18605233584403358"/>
    <n v="-0.85729096150721773"/>
    <n v="-0.62009862184426723"/>
    <n v="-0.35330068000560821"/>
    <n v="0.17699133706428061"/>
    <n v="-8.1082999999995686E-3"/>
    <n v="0.6048901870724599"/>
    <n v="0.27974582741889797"/>
    <n v="-0.39847465659154091"/>
    <n v="0.94728269313621993"/>
    <n v="0.42682579952308952"/>
    <n v="4.2144760079538823"/>
    <n v="0.50099007537052209"/>
    <n v="-0.11161761921324453"/>
    <n v="-0.11305781000000015"/>
    <n v="7.3733980000000032E-2"/>
    <n v="-4.5520974000000033E-2"/>
  </r>
  <r>
    <x v="5"/>
    <x v="0"/>
    <x v="1"/>
    <x v="1"/>
    <x v="0"/>
    <x v="105"/>
    <n v="28.965890000003128"/>
    <n v="-3.1124532678734163"/>
    <n v="0.16475581775030612"/>
    <n v="-1.0150047346720315"/>
    <n v="-0.7688787113191542"/>
    <n v="-0.38483194699805434"/>
    <n v="0.14167327194321011"/>
    <n v="-2.0653059999999057E-2"/>
    <n v="0.65751073647626335"/>
    <n v="0.34773983392613061"/>
    <n v="-0.30089535125248368"/>
    <n v="0.98350654367449497"/>
    <n v="0.4356970753287559"/>
    <n v="5.8471420837524324"/>
    <n v="0.62116890893342269"/>
    <n v="-7.0226780668392053E-2"/>
    <n v="-6.7314479999999732E-2"/>
    <n v="5.8409630000000323E-2"/>
    <n v="-0.10211691799999999"/>
  </r>
  <r>
    <x v="6"/>
    <x v="0"/>
    <x v="1"/>
    <x v="1"/>
    <x v="0"/>
    <x v="106"/>
    <n v="6.4150399999998626"/>
    <n v="-3.2190227805129368"/>
    <n v="0.11790223516903175"/>
    <n v="-1.1561334056717887"/>
    <n v="-0.89511801416900516"/>
    <n v="-0.41891917835895631"/>
    <n v="8.9077228550404897E-2"/>
    <n v="-2.5793670000000268E-2"/>
    <n v="0.69494499937623466"/>
    <n v="0.39770599402981777"/>
    <n v="-0.22550097545368519"/>
    <n v="1.0056718996694469"/>
    <n v="0.4229548979666653"/>
    <n v="7.6059262886827517"/>
    <n v="0.70656669012498785"/>
    <n v="-4.368534010976699E-2"/>
    <n v="-4.2312400000008021E-3"/>
    <n v="4.2856750000000096E-2"/>
    <n v="-0.16416271300000002"/>
  </r>
  <r>
    <x v="7"/>
    <x v="0"/>
    <x v="1"/>
    <x v="1"/>
    <x v="0"/>
    <x v="107"/>
    <n v="-20.262960000000021"/>
    <n v="-3.2735725826488205"/>
    <n v="5.7078572443369779E-2"/>
    <n v="-1.2797708376988348"/>
    <n v="-0.99275685439321748"/>
    <n v="-0.45551130770566939"/>
    <n v="2.9374921210512106E-2"/>
    <n v="-2.4796059999999953E-2"/>
    <n v="0.71249055965298957"/>
    <n v="0.42437103322512382"/>
    <n v="-0.17840032848596143"/>
    <n v="1.0093960758363441"/>
    <n v="0.39182194151912153"/>
    <n v="9.4135914687591296"/>
    <n v="0.75484409403805408"/>
    <n v="-2.6489980459099005E-2"/>
    <n v="6.6450299999999685E-2"/>
    <n v="2.8482630000000071E-2"/>
    <n v="-0.22289289800000003"/>
  </r>
  <r>
    <x v="8"/>
    <x v="0"/>
    <x v="1"/>
    <x v="1"/>
    <x v="0"/>
    <x v="108"/>
    <n v="-47.852520000000368"/>
    <n v="-3.2887158843845632"/>
    <n v="-7.9413108125980791E-3"/>
    <n v="-1.3836936049002713"/>
    <n v="-1.0572404067540453"/>
    <n v="-0.49243453632057399"/>
    <n v="-3.0278140784156804E-2"/>
    <n v="-1.9998639999999068E-2"/>
    <n v="0.70799170095356967"/>
    <n v="0.42560456096401023"/>
    <n v="-0.16178071833800045"/>
    <n v="0.99262501172592277"/>
    <n v="0.34547815901588841"/>
    <n v="11.191246376199393"/>
    <n v="0.76517412607612911"/>
    <n v="-1.5905829939333316E-2"/>
    <n v="0.13613980999999942"/>
    <n v="1.6283267000000157E-2"/>
    <n v="-0.27255846699999997"/>
  </r>
  <r>
    <x v="9"/>
    <x v="0"/>
    <x v="1"/>
    <x v="1"/>
    <x v="0"/>
    <x v="109"/>
    <n v="-73.554599999999482"/>
    <n v="-3.2714864504315488"/>
    <n v="-6.9991613611231074E-2"/>
    <n v="-1.4657640541551165"/>
    <n v="-1.085862869569032"/>
    <n v="-0.52719750321537084"/>
    <n v="-8.5031735536422737E-2"/>
    <n v="-1.3470579999999566E-2"/>
    <n v="0.68133763112840917"/>
    <n v="0.40181165296584442"/>
    <n v="-0.17469031058744422"/>
    <n v="0.95524181914157236"/>
    <n v="0.28718989653537808"/>
    <n v="12.86217819533395"/>
    <n v="0.73858280082064187"/>
    <n v="-1.083328131208372E-2"/>
    <n v="0.19789394000000043"/>
    <n v="7.1729329999999959E-3"/>
    <n v="-0.30988616000000008"/>
  </r>
  <r>
    <x v="10"/>
    <x v="0"/>
    <x v="1"/>
    <x v="1"/>
    <x v="0"/>
    <x v="110"/>
    <n v="-95.09175999999934"/>
    <n v="-3.226338734367673"/>
    <n v="-0.12425373420310581"/>
    <n v="-1.5246621618274836"/>
    <n v="-1.0779581703249441"/>
    <n v="-0.55769335459011637"/>
    <n v="-0.13165858139640996"/>
    <n v="-6.6344599999990095E-3"/>
    <n v="0.6340850186320468"/>
    <n v="0.35536671745899362"/>
    <n v="-0.21379073136748028"/>
    <n v="0.89872377404816017"/>
    <n v="0.22029176727933475"/>
    <n v="14.356153120276517"/>
    <n v="0.67807203192351562"/>
    <n v="-1.0933303006543937E-2"/>
    <n v="0.24653958000000026"/>
    <n v="1.9717019000000001E-3"/>
    <n v="-0.33347169000000015"/>
  </r>
  <r>
    <x v="11"/>
    <x v="0"/>
    <x v="1"/>
    <x v="1"/>
    <x v="0"/>
    <x v="111"/>
    <n v="-110.74920000000202"/>
    <n v="-3.1567130701510071"/>
    <n v="-0.16771391746536191"/>
    <n v="-1.5601358251963848"/>
    <n v="-1.0349179106933004"/>
    <n v="-0.58237250752151137"/>
    <n v="-0.1680653317157943"/>
    <n v="-3.1498999999990396E-4"/>
    <n v="0.5691413839939985"/>
    <n v="0.29010652504974921"/>
    <n v="-0.27405132244705532"/>
    <n v="0.82583131899889306"/>
    <n v="0.14811142775552621"/>
    <n v="15.61384694204957"/>
    <n v="0.58847239853694333"/>
    <n v="-1.6078406059127914E-2"/>
    <n v="0.27863893999999989"/>
    <n v="1.2670229999999297E-3"/>
    <n v="-0.34324078000000025"/>
  </r>
  <r>
    <x v="12"/>
    <x v="0"/>
    <x v="1"/>
    <x v="1"/>
    <x v="0"/>
    <x v="112"/>
    <n v="-119.39950999999928"/>
    <n v="-3.0658396801351517"/>
    <n v="-0.19867127029024045"/>
    <n v="-1.5729927027822832"/>
    <n v="-0.96005457959955631"/>
    <n v="-0.60021794008137119"/>
    <n v="-0.19300324190688611"/>
    <n v="5.0820700000009378E-3"/>
    <n v="0.49044672038967008"/>
    <n v="0.2108529684023086"/>
    <n v="-0.34940006048442829"/>
    <n v="0.74029169961187247"/>
    <n v="7.3859915641039109E-2"/>
    <n v="16.590843961078484"/>
    <n v="0.47610015566119657"/>
    <n v="-2.602690412506492E-2"/>
    <n v="0.29241117000000005"/>
    <n v="5.2741749999999851E-3"/>
    <n v="-0.34002409000000006"/>
  </r>
  <r>
    <x v="13"/>
    <x v="0"/>
    <x v="1"/>
    <x v="1"/>
    <x v="0"/>
    <x v="113"/>
    <n v="-120.52543000000151"/>
    <n v="-2.9571282991731174"/>
    <n v="-0.21640654851704522"/>
    <n v="-1.5649793308165405"/>
    <n v="-0.85833179035775808"/>
    <n v="-0.61067873489498714"/>
    <n v="-0.20593426433834772"/>
    <n v="9.3927700000009939E-3"/>
    <n v="0.40262267617179326"/>
    <n v="0.12295507643873549"/>
    <n v="-0.43332845072628912"/>
    <n v="0.64646123670011324"/>
    <n v="5.0281482710801129E-4"/>
    <n v="17.26060825864062"/>
    <n v="0.34828720994388718"/>
    <n v="-4.0247706151541607E-2"/>
    <n v="0.2876426628"/>
    <n v="1.3761880000000108E-2"/>
    <n v="-0.3252489000000004"/>
  </r>
  <r>
    <x v="14"/>
    <x v="0"/>
    <x v="1"/>
    <x v="1"/>
    <x v="0"/>
    <x v="114"/>
    <n v="-114.23067000000083"/>
    <n v="-2.83431116993903"/>
    <n v="-0.22099900660895733"/>
    <n v="-1.538617516214591"/>
    <n v="-0.73598689955186591"/>
    <n v="-0.61361472118007798"/>
    <n v="-0.2069912387083872"/>
    <n v="1.256776000000126E-2"/>
    <n v="0.31059749838076023"/>
    <n v="3.1861355839946093E-2"/>
    <n v="-0.5194276269875564"/>
    <n v="0.54897359498851106"/>
    <n v="-6.9365290164025151E-2"/>
    <n v="17.61595017684272"/>
    <n v="0.21283855869538293"/>
    <n v="-5.7863915143863132E-2"/>
    <n v="0.26556793999999995"/>
    <n v="2.6066749999999889E-2"/>
    <n v="-0.3007266799999998"/>
  </r>
  <r>
    <x v="15"/>
    <x v="0"/>
    <x v="1"/>
    <x v="1"/>
    <x v="0"/>
    <x v="115"/>
    <n v="-101.21788000000015"/>
    <n v="-2.7014236702099903"/>
    <n v="-0.21323779223071382"/>
    <n v="-1.4970203443565366"/>
    <n v="-0.60007805165960271"/>
    <n v="-0.60925651174014162"/>
    <n v="-0.19696637272411666"/>
    <n v="1.4602699999999302E-2"/>
    <n v="0.21923372590175738"/>
    <n v="-5.7254891178903922E-2"/>
    <n v="-0.60182431450659379"/>
    <n v="0.45239823611211705"/>
    <n v="-0.13362217431174273"/>
    <n v="17.668747569844733"/>
    <n v="7.7469118516693136E-2"/>
    <n v="-7.7701814304509398E-2"/>
    <n v="0.22868568999999983"/>
    <n v="4.1187659999999959E-2"/>
    <n v="-0.26850657000000028"/>
  </r>
  <r>
    <x v="16"/>
    <x v="0"/>
    <x v="1"/>
    <x v="1"/>
    <x v="0"/>
    <x v="116"/>
    <n v="-82.71538000000146"/>
    <n v="-2.5626750779505381"/>
    <n v="-0.19455818078777387"/>
    <n v="-1.4436914016169755"/>
    <n v="-0.45799530058922011"/>
    <n v="-0.59816797615726003"/>
    <n v="-0.17727281741887202"/>
    <n v="1.5516140000000622E-2"/>
    <n v="0.13299334966550003"/>
    <n v="-0.1398000453511572"/>
    <n v="-0.67549906173649532"/>
    <n v="0.36093684916562729"/>
    <n v="-0.19068076445851734"/>
    <n v="17.447979089360487"/>
    <n v="-5.0724947421620925E-2"/>
    <n v="-9.8417772062775466E-2"/>
    <n v="0.18048561999999996"/>
    <n v="5.7929709999999732E-2"/>
    <n v="-0.23076562000000009"/>
  </r>
  <r>
    <x v="17"/>
    <x v="0"/>
    <x v="1"/>
    <x v="1"/>
    <x v="0"/>
    <x v="117"/>
    <n v="-60.346239999998943"/>
    <n v="-2.4222534100625914"/>
    <n v="-0.16695133708209964"/>
    <n v="-1.3823105652094214"/>
    <n v="-0.31697828687643481"/>
    <n v="-0.58119716791286136"/>
    <n v="-0.14984653513057111"/>
    <n v="1.5356409999998932E-2"/>
    <n v="5.5669111693701367E-2"/>
    <n v="-0.21197966769453958"/>
    <n v="-0.73648241979364926"/>
    <n v="0.27817896465034408"/>
    <n v="-0.23951105633241987"/>
    <n v="16.996386702475075"/>
    <n v="-0.16570724004396631"/>
    <n v="-0.11866667344795356"/>
    <n v="0.12508943000000028"/>
    <n v="7.5060310000000033E-2"/>
    <n v="-0.18971377999999969"/>
  </r>
  <r>
    <x v="18"/>
    <x v="0"/>
    <x v="1"/>
    <x v="1"/>
    <x v="0"/>
    <x v="118"/>
    <n v="-35.950919999999314"/>
    <n v="-2.284104888574412"/>
    <n v="-0.13282044886600008"/>
    <n v="-1.3165146790124593"/>
    <n v="-0.18368055577253628"/>
    <n v="-0.5594088752207349"/>
    <n v="-0.11698432013395044"/>
    <n v="1.421850999999974E-2"/>
    <n v="-9.7996299702640677E-3"/>
    <n v="-0.27093240802429364"/>
    <n v="-0.78194222068649344"/>
    <n v="0.20693117890837609"/>
    <n v="-0.27962270795977018"/>
    <n v="16.366269289838442"/>
    <n v="-0.26281435497480521"/>
    <n v="-0.13726711725366991"/>
    <n v="6.6839030000000188E-2"/>
    <n v="9.1444609999999718E-2"/>
    <n v="-0.14750052999999985"/>
  </r>
  <r>
    <x v="19"/>
    <x v="0"/>
    <x v="1"/>
    <x v="1"/>
    <x v="0"/>
    <x v="119"/>
    <n v="-11.389049999997951"/>
    <n v="-2.1517242151333216"/>
    <n v="-9.4784067094577651E-2"/>
    <n v="-1.2496879330125776"/>
    <n v="-6.3812022976716953E-2"/>
    <n v="-0.53399940659191181"/>
    <n v="-8.1133438639380273E-2"/>
    <n v="1.2256080000000447E-2"/>
    <n v="-6.1423360248391567E-2"/>
    <n v="-0.31478512826158545"/>
    <n v="-0.81018322016231936"/>
    <n v="0.14912359585166346"/>
    <n v="-0.31101751629458718"/>
    <n v="15.614969252697431"/>
    <n v="-0.33892048900189264"/>
    <n v="-0.15332625220556562"/>
    <n v="9.8851399999998896E-3"/>
    <n v="0.10613988999999997"/>
    <n v="-0.10611974999999996"/>
  </r>
  <r>
    <x v="20"/>
    <x v="0"/>
    <x v="1"/>
    <x v="1"/>
    <x v="0"/>
    <x v="120"/>
    <n v="11.647290000000794"/>
    <n v="-2.0279836690298425"/>
    <n v="-5.5453023977447558E-2"/>
    <n v="-1.1847791915586714"/>
    <n v="3.8119118521029449E-2"/>
    <n v="-0.50620134119470084"/>
    <n v="-4.4671031240306469E-2"/>
    <n v="9.6795199999999415E-3"/>
    <n v="-9.817483148513162E-2"/>
    <n v="-0.34264005617589133"/>
    <n v="-0.82058199135918164"/>
    <n v="0.10578868057995461"/>
    <n v="-0.33412087352063802"/>
    <n v="14.800565569324565"/>
    <n v="-0.39245628094138896"/>
    <n v="-0.16630392265780669"/>
    <n v="-4.2166689999999923E-2"/>
    <n v="0.11844309999999997"/>
    <n v="-6.7317079999999752E-2"/>
  </r>
  <r>
    <x v="21"/>
    <x v="0"/>
    <x v="1"/>
    <x v="1"/>
    <x v="0"/>
    <x v="121"/>
    <n v="31.7795100000003"/>
    <n v="-1.9150196494292393"/>
    <n v="-1.7214399117404522E-2"/>
    <n v="-1.124161742673635"/>
    <n v="0.11895713345722037"/>
    <n v="-0.47718996998222796"/>
    <n v="-9.7062835249017709E-3"/>
    <n v="6.7391400000005319E-3"/>
    <n v="-0.11993387625567342"/>
    <n v="-0.35450931918610262"/>
    <n v="-0.81347819174212299"/>
    <n v="7.7101465457096729E-2"/>
    <n v="-0.34970218534837727"/>
    <n v="13.978158528026196"/>
    <n v="-0.42330319918424397"/>
    <n v="-0.17601335347287028"/>
    <n v="-8.6508279999999993E-2"/>
    <n v="0.12789710000000004"/>
    <n v="-3.2509539999999587E-2"/>
  </r>
  <r>
    <x v="22"/>
    <x v="0"/>
    <x v="1"/>
    <x v="1"/>
    <x v="0"/>
    <x v="122"/>
    <n v="48.029770000001008"/>
    <n v="-1.8141843547608616"/>
    <n v="1.7943535377384912E-2"/>
    <n v="-1.0695461441542209"/>
    <n v="0.17694474789420322"/>
    <n v="-0.44800434638785358"/>
    <n v="2.2064152599310383E-2"/>
    <n v="3.6976399999999465E-3"/>
    <n v="-0.12738064589243869"/>
    <n v="-0.35120993522170796"/>
    <n v="-0.79003945294282563"/>
    <n v="6.2467975764590733E-2"/>
    <n v="-0.35879019961142511"/>
    <n v="13.196969145710202"/>
    <n v="-0.43259772081885028"/>
    <n v="-0.18256996317926877"/>
    <n v="-0.1212577900000001"/>
    <n v="0.13426783000000003"/>
    <n v="-2.727770000000157E-3"/>
  </r>
  <r>
    <x v="23"/>
    <x v="0"/>
    <x v="1"/>
    <x v="1"/>
    <x v="0"/>
    <x v="123"/>
    <n v="59.845699999998033"/>
    <n v="-1.726060968620724"/>
    <n v="4.8542017631270085E-2"/>
    <n v="-1.0219508882119199"/>
    <n v="0.21167601784666257"/>
    <n v="-0.41949342504965514"/>
    <n v="4.9433117272634775E-2"/>
    <n v="7.9931999999865999E-4"/>
    <n v="-0.12185661663201008"/>
    <n v="-0.33423282189565251"/>
    <n v="-0.75211230672954654"/>
    <n v="6.0647533396318565E-2"/>
    <n v="-0.36259070925392933"/>
    <n v="12.498324643476355"/>
    <n v="-0.42248220367732126"/>
    <n v="-0.18630844294466042"/>
    <n v="-0.14546865199999998"/>
    <n v="0.13750605999999985"/>
    <n v="2.1410700000000504E-2"/>
  </r>
  <r>
    <x v="24"/>
    <x v="0"/>
    <x v="1"/>
    <x v="1"/>
    <x v="0"/>
    <x v="124"/>
    <n v="67.071739999999409"/>
    <n v="-1.6505330743858404"/>
    <n v="7.3650550664128289E-2"/>
    <n v="-0.9817279033041082"/>
    <n v="0.22397377917353634"/>
    <n v="-0.39229212714421147"/>
    <n v="7.1691767905401882E-2"/>
    <n v="-1.7565599999991299E-3"/>
    <n v="-0.10520874406966252"/>
    <n v="-0.30559604740423296"/>
    <n v="-0.70206532278387357"/>
    <n v="6.9893718025149099E-2"/>
    <n v="-0.36240824536938332"/>
    <n v="11.914477590905669"/>
    <n v="-0.39583648864309762"/>
    <n v="-0.18769136824291488"/>
    <n v="-0.15904136700000002"/>
    <n v="0.13770535000000012"/>
    <n v="3.9693679999999731E-2"/>
  </r>
  <r>
    <x v="25"/>
    <x v="0"/>
    <x v="1"/>
    <x v="1"/>
    <x v="0"/>
    <x v="125"/>
    <n v="69.88379999999961"/>
    <n v="-1.5868937629760937"/>
    <n v="9.2859720879867602E-2"/>
    <n v="-0.94863480728508698"/>
    <n v="0.21571192590352783"/>
    <n v="-0.366826478862603"/>
    <n v="8.8583794476915223E-2"/>
    <n v="-3.8331200000005228E-3"/>
    <n v="-7.9631782357525438E-2"/>
    <n v="-0.26769258844830945"/>
    <n v="-0.64263255538166142"/>
    <n v="8.8104213622952621E-2"/>
    <n v="-0.35957413454001941"/>
    <n v="11.468137569271143"/>
    <n v="-0.35601647293773686"/>
    <n v="-0.187225000959923"/>
    <n v="-0.1625721705"/>
    <n v="0.13506439000000003"/>
    <n v="5.2274199999999965E-2"/>
  </r>
  <r>
    <x v="26"/>
    <x v="0"/>
    <x v="1"/>
    <x v="1"/>
    <x v="0"/>
    <x v="126"/>
    <n v="68.706200000000536"/>
    <n v="-1.5339778127130277"/>
    <n v="0.10620401380510014"/>
    <n v="-0.92194083295068507"/>
    <n v="0.18960258849756162"/>
    <n v="-0.34334157028197421"/>
    <n v="0.10022080983294046"/>
    <n v="-5.3616100000000722E-3"/>
    <n v="-4.7516171616157621E-2"/>
    <n v="-0.22313797612329989"/>
    <n v="-0.5767589875202872"/>
    <n v="0.1129679433889974"/>
    <n v="-0.35538102772972868"/>
    <n v="11.172560778843966"/>
    <n v="-0.30661639661555551"/>
    <n v="-0.18539485618794815"/>
    <n v="-0.15717324899999999"/>
    <n v="0.12985759000000013"/>
    <n v="5.9604530000000044E-2"/>
  </r>
  <r>
    <x v="27"/>
    <x v="0"/>
    <x v="1"/>
    <x v="1"/>
    <x v="0"/>
    <x v="127"/>
    <n v="64.127349999998842"/>
    <n v="-1.4903010864870447"/>
    <n v="0.11405629370873083"/>
    <n v="-0.90055249793251635"/>
    <n v="0.1489664042427119"/>
    <n v="-0.32194254602957439"/>
    <n v="0.10698268807411981"/>
    <n v="-6.3366699999997667E-3"/>
    <n v="-1.1310162398614487E-2"/>
    <n v="-0.17462464910953379"/>
    <n v="-0.5074517724382166"/>
    <n v="0.14210296252266108"/>
    <n v="-0.35102349927134124"/>
    <n v="11.032051675742327"/>
    <n v="-0.25126355138342937"/>
    <n v="-0.18262588243731503"/>
    <n v="-0.14429408600000002"/>
    <n v="0.12241470000000002"/>
    <n v="6.2354959999999862E-2"/>
  </r>
  <r>
    <x v="28"/>
    <x v="0"/>
    <x v="1"/>
    <x v="1"/>
    <x v="0"/>
    <x v="128"/>
    <n v="56.825220000002446"/>
    <n v="-1.4541932439676386"/>
    <n v="0.11701457833483975"/>
    <n v="-0.88314430422454793"/>
    <n v="9.7501030807101152E-2"/>
    <n v="-0.30263815499320668"/>
    <n v="0.10941790623433256"/>
    <n v="-6.8032800000006333E-3"/>
    <n v="2.6602523212382323E-2"/>
    <n v="-0.12478692226045585"/>
    <n v="-0.4376395977817471"/>
    <n v="0.17318027643660194"/>
    <n v="-0.34754762867229561"/>
    <n v="11.042752020199131"/>
    <n v="-0.19344754178594048"/>
    <n v="-0.17926645890301574"/>
    <n v="-0.12556384999999998"/>
    <n v="0.11310813199999994"/>
    <n v="6.1328530000000214E-2"/>
  </r>
  <r>
    <x v="29"/>
    <x v="0"/>
    <x v="1"/>
    <x v="1"/>
    <x v="0"/>
    <x v="129"/>
    <n v="47.50879999999961"/>
    <n v="-1.4239143599707904"/>
    <n v="0.11579924153384269"/>
    <n v="-0.86828289783993373"/>
    <n v="3.905979581608765E-2"/>
    <n v="-0.28537790715023048"/>
    <n v="0.10816035225962306"/>
    <n v="-6.839529999999594E-3"/>
    <n v="6.4005561251256893E-2"/>
    <n v="-7.6079582725996353E-2"/>
    <n v="-0.37004379546585753"/>
    <n v="0.20403035533755887"/>
    <n v="-0.34580849656858925"/>
    <n v="11.193630206213378"/>
    <n v="-0.1363825353005832"/>
    <n v="-0.17559175212993328"/>
    <n v="-0.10266519999999994"/>
    <n v="0.10234481999999989"/>
    <n v="5.7382589999999817E-2"/>
  </r>
  <r>
    <x v="30"/>
    <x v="0"/>
    <x v="1"/>
    <x v="1"/>
    <x v="0"/>
    <x v="130"/>
    <n v="36.876179999999295"/>
    <n v="-1.397750059147429"/>
    <n v="0.11117234050774805"/>
    <n v="-0.85453512508778529"/>
    <n v="-2.2552099061545761E-2"/>
    <n v="-0.27007723754737256"/>
    <n v="0.10386815270353456"/>
    <n v="-6.5386400000005951E-3"/>
    <n v="9.893516604859709E-2"/>
    <n v="-3.0675755050013631E-2"/>
    <n v="-0.30706535788685985"/>
    <n v="0.23272935534401906"/>
    <n v="-0.34644115963108346"/>
    <n v="11.467610079342494"/>
    <n v="-8.289925252553676E-2"/>
    <n v="-0.17181685406859604"/>
    <n v="-7.7241519999999772E-2"/>
    <n v="9.0559586000000039E-2"/>
    <n v="5.1365119999999959E-2"/>
  </r>
  <r>
    <x v="31"/>
    <x v="0"/>
    <x v="1"/>
    <x v="1"/>
    <x v="0"/>
    <x v="131"/>
    <n v="25.587910000002012"/>
    <n v="-1.3740839054425358"/>
    <n v="0.10388387982003255"/>
    <n v="-0.84055528724200634"/>
    <n v="-8.3755788391903785E-2"/>
    <n v="-0.25662885730312057"/>
    <n v="9.7188117252944295E-2"/>
    <n v="-5.9931700000001586E-3"/>
    <n v="0.12974558302591976"/>
    <n v="9.6161077573375664E-3"/>
    <n v="-0.25069113981314173"/>
    <n v="0.25766702914726825"/>
    <n v="-0.34984335068465322"/>
    <n v="11.842809502860652"/>
    <n v="-3.5362581784026403E-2"/>
    <n v="-0.16811761953312576"/>
    <n v="-5.0834139999999736E-2"/>
    <n v="7.8206897000000081E-2"/>
    <n v="4.4069760000000138E-2"/>
  </r>
  <r>
    <x v="32"/>
    <x v="0"/>
    <x v="1"/>
    <x v="1"/>
    <x v="0"/>
    <x v="132"/>
    <n v="14.251239999997779"/>
    <n v="-1.3514494578855896"/>
    <n v="9.4644596527193592E-2"/>
    <n v="-0.82514931106237865"/>
    <n v="-0.14135024435123489"/>
    <n v="-0.24490260889469262"/>
    <n v="8.8740995857716776E-2"/>
    <n v="-5.2838899999990696E-3"/>
    <n v="0.15515658254137144"/>
    <n v="4.3412405267617693E-2"/>
    <n v="-0.20242321423796783"/>
    <n v="0.2775936901190823"/>
    <n v="-0.35617410581972875"/>
    <n v="12.293864605620918"/>
    <n v="4.3869650228289814E-3"/>
    <n v="-0.16464783030741836"/>
    <n v="-2.4842549999999977E-2"/>
    <n v="6.5748782000000019E-2"/>
    <n v="3.6209270000000029E-2"/>
  </r>
  <r>
    <x v="33"/>
    <x v="0"/>
    <x v="1"/>
    <x v="1"/>
    <x v="0"/>
    <x v="133"/>
    <n v="3.4115700000002107"/>
    <n v="-1.3285663146679894"/>
    <n v="8.4119081831968145E-2"/>
    <n v="-0.80731748425864058"/>
    <n v="-0.19263132890472434"/>
    <n v="-0.23473816874600706"/>
    <n v="7.9120362000484334E-2"/>
    <n v="-4.4738799999999301E-3"/>
    <n v="0.17428360400382203"/>
    <n v="6.9789461565816779E-2"/>
    <n v="-0.16323576303425291"/>
    <n v="0.29164818604971998"/>
    <n v="-0.36536576863935855"/>
    <n v="12.793323474298578"/>
    <n v="3.5069965828249394E-2"/>
    <n v="-0.16155085128533031"/>
    <n v="-5.000000000001531E-4"/>
    <n v="5.3638140999999993E-2"/>
    <n v="2.840409000000009E-2"/>
  </r>
  <r>
    <x v="34"/>
    <x v="0"/>
    <x v="1"/>
    <x v="1"/>
    <x v="0"/>
    <x v="134"/>
    <n v="-6.4531500000011874"/>
    <n v="-1.3043643385667103"/>
    <n v="7.2930184646025076E-2"/>
    <n v="-0.78627916246254426"/>
    <n v="-0.23548051330281039"/>
    <n v="-0.22593644313702033"/>
    <n v="6.8899078937167957E-2"/>
    <n v="-3.6079300000005365E-3"/>
    <n v="0.1866479592938175"/>
    <n v="8.8295027736684517E-2"/>
    <n v="-0.13356074435962872"/>
    <n v="0.29936725623762594"/>
    <n v="-0.37714858863601153"/>
    <n v="13.313079308568888"/>
    <n v="5.5984090237215511E-2"/>
    <n v="-0.15896232140570898"/>
    <n v="2.114300999999999E-2"/>
    <n v="4.2297850000000067E-2"/>
    <n v="2.1180050000000131E-2"/>
  </r>
  <r>
    <x v="35"/>
    <x v="0"/>
    <x v="1"/>
    <x v="1"/>
    <x v="0"/>
    <x v="135"/>
    <n v="-14.937669999999343"/>
    <n v="-1.2780015943202883"/>
    <n v="6.1666164556695158E-2"/>
    <n v="-0.76148363857011514"/>
    <n v="-0.26841956669079181"/>
    <n v="-0.21825510265353065"/>
    <n v="5.8631765255112711E-2"/>
    <n v="-2.7160100000006571E-3"/>
    <n v="0.1921705488032277"/>
    <n v="9.8934526065952433E-2"/>
    <n v="-0.1133031454369493"/>
    <n v="0.30067573390692992"/>
    <n v="-0.39108590167491464"/>
    <n v="13.825801097127766"/>
    <n v="6.6996078427372652E-2"/>
    <n v="-0.15700523701743796"/>
    <n v="3.9232500000000066E-2"/>
    <n v="3.2097570000000006E-2"/>
    <n v="1.4970129999999915E-2"/>
  </r>
  <r>
    <x v="36"/>
    <x v="0"/>
    <x v="1"/>
    <x v="1"/>
    <x v="0"/>
    <x v="136"/>
    <n v="-21.716319999999541"/>
    <n v="-1.2488768806913741"/>
    <n v="5.0883042964522396E-2"/>
    <n v="-0.73261139917741858"/>
    <n v="-0.2906311502809511"/>
    <n v="-0.21141138835014672"/>
    <n v="4.885097890388046E-2"/>
    <n v="-1.8190299999998327E-3"/>
    <n v="0.19114697128603808"/>
    <n v="0.10213451504506033"/>
    <n v="-0.1018848345310075"/>
    <n v="0.29585981761182101"/>
    <n v="-0.40661663713464913"/>
    <n v="14.306301507236174"/>
    <n v="6.8511741240606661E-2"/>
    <n v="-0.15577735348760724"/>
    <n v="5.3125120999999997E-2"/>
    <n v="2.3331130000000047E-2"/>
    <n v="1.0115549999999834E-2"/>
  </r>
  <r>
    <x v="37"/>
    <x v="0"/>
    <x v="1"/>
    <x v="1"/>
    <x v="0"/>
    <x v="137"/>
    <n v="-26.551630000001751"/>
    <n v="-1.2166371595659142"/>
    <n v="4.10972169601731E-2"/>
    <n v="-0.69956874792689305"/>
    <n v="-0.30194783217842858"/>
    <n v="-0.20509387468207185"/>
    <n v="4.0052651573918574E-2"/>
    <n v="-9.352099999998531E-4"/>
    <n v="0.18420578625657491"/>
    <n v="9.8685804569065283E-2"/>
    <n v="-9.83136519056238E-2"/>
    <n v="0.28552430385879735"/>
    <n v="-0.4231012771841014"/>
    <n v="14.732768808407638"/>
    <n v="6.1422230512331311E-2"/>
    <n v="-0.155336275919149"/>
    <n v="6.2402829000000014E-2"/>
    <n v="1.619789E-2"/>
    <n v="6.8643700000002583E-3"/>
  </r>
  <r>
    <x v="38"/>
    <x v="0"/>
    <x v="1"/>
    <x v="1"/>
    <x v="0"/>
    <x v="138"/>
    <n v="-29.303810000001249"/>
    <n v="-1.1811793455434594"/>
    <n v="3.2768254296255961E-2"/>
    <n v="-0.66247731547079969"/>
    <n v="-0.30280949238845611"/>
    <n v="-0.19898134401999945"/>
    <n v="3.2673248575787461E-2"/>
    <n v="-8.5080000000736788E-5"/>
    <n v="0.17225159410825253"/>
    <n v="8.9671005529745607E-2"/>
    <n v="-0.10127180171423111"/>
    <n v="0.27053588990371136"/>
    <n v="-0.43986827650920324"/>
    <n v="15.087783873957793"/>
    <n v="4.7027167239521717E-2"/>
    <n v="-0.15568532958478709"/>
    <n v="6.6885619000000035E-2"/>
    <n v="1.0790870000000098E-2"/>
    <n v="5.3675799999999829E-3"/>
  </r>
  <r>
    <x v="39"/>
    <x v="0"/>
    <x v="1"/>
    <x v="1"/>
    <x v="0"/>
    <x v="139"/>
    <n v="-29.938799999999901"/>
    <n v="-1.1426435908245658"/>
    <n v="2.6273743470417443E-2"/>
    <n v="-0.62165869421306752"/>
    <n v="-0.29419214653684245"/>
    <n v="-0.19276642192795901"/>
    <n v="2.7061832059160906E-2"/>
    <n v="7.057599999998887E-4"/>
    <n v="0.15639595905558856"/>
    <n v="7.6379880817945001E-2"/>
    <n v="-0.10921758595665576"/>
    <n v="0.25195532704622714"/>
    <n v="-0.45625871129800766"/>
    <n v="15.359050694677734"/>
    <n v="2.6938717355506903E-2"/>
    <n v="-0.15676484248753342"/>
    <n v="6.6638567520000011E-2"/>
    <n v="7.0939999999998504E-3"/>
    <n v="5.6745800000000679E-3"/>
  </r>
  <r>
    <x v="40"/>
    <x v="0"/>
    <x v="1"/>
    <x v="1"/>
    <x v="0"/>
    <x v="140"/>
    <n v="-28.53269999999975"/>
    <n v="-1.1013946603480207"/>
    <n v="2.1881886187635757E-2"/>
    <n v="-0.57761345884118631"/>
    <n v="-0.27751316660011849"/>
    <n v="-0.1861805187197918"/>
    <n v="2.3452567595061424E-2"/>
    <n v="1.4067899999997691E-3"/>
    <n v="0.13788052749936774"/>
    <n v="6.0220219583029255E-2"/>
    <n v="-0.12049234834543565"/>
    <n v="0.23096391491286283"/>
    <n v="-0.47166465536249147"/>
    <n v="15.539787220758106"/>
    <n v="2.9708828718666425E-3"/>
    <n v="-0.15845123462013833"/>
    <n v="6.1968533999999999E-2"/>
    <n v="4.9889399999999279E-3"/>
    <n v="7.7307200000001353E-3"/>
  </r>
  <r>
    <x v="41"/>
    <x v="0"/>
    <x v="1"/>
    <x v="1"/>
    <x v="0"/>
    <x v="141"/>
    <n v="-25.269719999996596"/>
    <n v="-1.057991487613219"/>
    <n v="1.9727960702220493E-2"/>
    <n v="-0.53099366604434373"/>
    <n v="-0.25451908969942316"/>
    <n v="-0.17901422252221133"/>
    <n v="2.194415402281269E-2"/>
    <n v="1.9852499999986617E-3"/>
    <n v="0.11799651465795868"/>
    <n v="4.2628316058768156E-2"/>
    <n v="-0.13342550266525199"/>
    <n v="0.20878706947295989"/>
    <n v="-0.48556077097945405"/>
    <n v="15.628751214484126"/>
    <n v="-2.2978175641197307E-2"/>
    <n v="-0.16056375064926742"/>
    <n v="5.3406833999999986E-2"/>
    <n v="4.2705600000001592E-3"/>
    <n v="1.1379379999999772E-2"/>
  </r>
  <r>
    <x v="42"/>
    <x v="0"/>
    <x v="1"/>
    <x v="1"/>
    <x v="0"/>
    <x v="142"/>
    <n v="-20.432400000005146"/>
    <n v="-1.0131461512657758"/>
    <n v="1.9799174733203806E-2"/>
    <n v="-0.48256868824123611"/>
    <n v="-0.22716192311333927"/>
    <n v="-0.17113323644026845"/>
    <n v="2.2489797148139701E-2"/>
    <n v="2.4104800000007698E-3"/>
    <n v="9.800709161198462E-2"/>
    <n v="2.4985586890480249E-2"/>
    <n v="-0.14642961066984039"/>
    <n v="0.18662085853848875"/>
    <n v="-0.49752792496120524"/>
    <n v="15.62991051111764"/>
    <n v="-4.9043955154592922E-2"/>
    <n v="-0.16288168545375292"/>
    <n v="4.1676105000000054E-2"/>
    <n v="4.6690900000000146E-3"/>
    <n v="1.6370489999999877E-2"/>
  </r>
  <r>
    <x v="43"/>
    <x v="0"/>
    <x v="1"/>
    <x v="1"/>
    <x v="0"/>
    <x v="143"/>
    <n v="-14.383420000005572"/>
    <n v="-0.96767187576756175"/>
    <n v="2.1933691370135122E-2"/>
    <n v="-0.43318479440803692"/>
    <n v="-0.19747354061639966"/>
    <n v="-0.16248474373523614"/>
    <n v="2.4901336958293996E-2"/>
    <n v="2.6589499999993271E-3"/>
    <n v="7.9076569226210758E-2"/>
    <n v="8.5459398120990571E-3"/>
    <n v="-0.15808234443589475"/>
    <n v="0.16556593658791918"/>
    <n v="-0.50726745464336753"/>
    <n v="15.551799378456899"/>
    <n v="-7.350407367651135E-2"/>
    <n v="-0.16516412832457972"/>
    <n v="2.7642194000000037E-2"/>
    <n v="5.875699999999956E-3"/>
    <n v="2.2376109999999727E-2"/>
  </r>
  <r>
    <x v="44"/>
    <x v="0"/>
    <x v="1"/>
    <x v="1"/>
    <x v="0"/>
    <x v="144"/>
    <n v="-7.5401999999958207"/>
    <n v="-0.92242715487165228"/>
    <n v="2.5833397942376379E-2"/>
    <n v="-0.38372048627356437"/>
    <n v="-0.16744410206324112"/>
    <n v="-0.15309678334436416"/>
    <n v="2.8867325132808652E-2"/>
    <n v="2.7185900000004093E-3"/>
    <n v="6.221112903153081E-2"/>
    <n v="-5.6231422111974183E-3"/>
    <n v="-0.16718947512277538"/>
    <n v="0.14657248202580853"/>
    <n v="-0.51460695858756011"/>
    <n v="15.406631211647115"/>
    <n v="-9.4869719140533437E-2"/>
    <n v="-0.16717426879155894"/>
    <n v="1.2254595999999958E-2"/>
    <n v="7.5684199999998675E-3"/>
    <n v="2.9012309999999764E-2"/>
  </r>
  <r>
    <x v="45"/>
    <x v="0"/>
    <x v="1"/>
    <x v="1"/>
    <x v="0"/>
    <x v="145"/>
    <n v="-0.34492999999929452"/>
    <n v="-0.87825816874441687"/>
    <n v="3.1090596552907357E-2"/>
    <n v="-0.33504007660760671"/>
    <n v="-0.13891256509285244"/>
    <n v="-0.14306851095117201"/>
    <n v="3.3982558914091854E-2"/>
    <n v="2.5915400000006694E-3"/>
    <n v="4.8214391087686437E-2"/>
    <n v="-1.6683365428160624E-2"/>
    <n v="-0.17282899946430286"/>
    <n v="0.13039830357188809"/>
    <n v="-0.51949871902308153"/>
    <n v="15.209252881596957"/>
    <n v="-0.11195563424816202"/>
    <n v="-0.16870055946160978"/>
    <n v="-3.5189689999999552E-3"/>
    <n v="9.4356500000000038E-3"/>
    <n v="3.5865839999999621E-2"/>
  </r>
  <r>
    <x v="46"/>
    <x v="0"/>
    <x v="1"/>
    <x v="1"/>
    <x v="0"/>
    <x v="146"/>
    <n v="6.7670999999972992"/>
    <n v="-0.8359455721557274"/>
    <n v="3.7224716110273448E-2"/>
    <n v="-0.28794894841597252"/>
    <n v="-0.11347562011819745"/>
    <n v="-0.13255634604600885"/>
    <n v="3.9785575937112405E-2"/>
    <n v="2.2948699999997269E-3"/>
    <n v="3.7658946837249019E-2"/>
    <n v="-2.4050581961465589E-2"/>
    <n v="-0.17437454048879752"/>
    <n v="0.11758255164326936"/>
    <n v="-0.52201134326967935"/>
    <n v="14.976034171510101"/>
    <n v="-0.1239242628026882"/>
    <n v="-0.16957432434376862"/>
    <n v="-1.8757187999999918E-2"/>
    <n v="1.1195450000000065E-2"/>
    <n v="4.2522949999999893E-2"/>
  </r>
  <r>
    <x v="47"/>
    <x v="0"/>
    <x v="1"/>
    <x v="1"/>
    <x v="0"/>
    <x v="147"/>
    <n v="13.396919999999227"/>
    <n v="-0.79615950429061666"/>
    <n v="4.3724081722928965E-2"/>
    <n v="-0.24315385921173105"/>
    <n v="-9.2417860392646212E-2"/>
    <n v="-0.12175457677539026"/>
    <n v="4.579853830548597E-2"/>
    <n v="1.8589900000004489E-3"/>
    <n v="3.0874754172960373E-2"/>
    <n v="-2.7404170822331597E-2"/>
    <n v="-0.17150133267900269"/>
    <n v="0.10843429632827473"/>
    <n v="-0.52231650754059888"/>
    <n v="14.723777849447517"/>
    <n v="-0.13030322654447035"/>
    <n v="-0.16967999490680175"/>
    <n v="-3.26425679999999E-2"/>
    <n v="1.2609099999999832E-2"/>
    <n v="4.8597749999999829E-2"/>
  </r>
  <r>
    <x v="48"/>
    <x v="0"/>
    <x v="1"/>
    <x v="1"/>
    <x v="0"/>
    <x v="148"/>
    <n v="19.206359999996494"/>
    <n v="-0.75942508805475484"/>
    <n v="5.0087772206852677E-2"/>
    <n v="-0.20123104934510749"/>
    <n v="-7.6666767423405613E-2"/>
    <n v="-0.11087698224189202"/>
    <n v="5.156552671232717E-2"/>
    <n v="1.3242100000004919E-3"/>
    <n v="2.7952547983800535E-2"/>
    <n v="-2.6680348641860974E-2"/>
    <n v="-0.16417474735284099"/>
    <n v="0.10303586188553648"/>
    <n v="-0.5206712693572757"/>
    <n v="14.468723430010622"/>
    <n v="-0.13097899478569097"/>
    <n v="-0.16895913665274653"/>
    <n v="-4.4506481000000042E-2"/>
    <n v="1.3489649999999867E-2"/>
    <n v="5.3757159999999471E-2"/>
  </r>
  <r>
    <x v="49"/>
    <x v="0"/>
    <x v="1"/>
    <x v="1"/>
    <x v="0"/>
    <x v="149"/>
    <n v="23.935440000001108"/>
    <n v="-0.72610150891507796"/>
    <n v="5.5862912907267415E-2"/>
    <n v="-0.16260423298428694"/>
    <n v="-6.6772040546370093E-2"/>
    <n v="-0.10013795347982857"/>
    <n v="5.6684445460786215E-2"/>
    <n v="7.361999999996871E-4"/>
    <n v="2.8760960798646096E-2"/>
    <n v="-2.2052550992346376E-2"/>
    <n v="-0.15262527385673241"/>
    <n v="0.10125862814738262"/>
    <n v="-0.51739867022785324"/>
    <n v="14.225697167180652"/>
    <n v="-0.12616900768963601"/>
    <n v="-0.16740796097608479"/>
    <n v="-5.3858738000000031E-2"/>
    <n v="1.3705179999999942E-2"/>
    <n v="5.7740530000000012E-2"/>
  </r>
  <r>
    <x v="50"/>
    <x v="0"/>
    <x v="1"/>
    <x v="1"/>
    <x v="0"/>
    <x v="150"/>
    <n v="27.411579999999958"/>
    <n v="-0.696373674483175"/>
    <n v="6.0672949203621762E-2"/>
    <n v="-0.1275342926627232"/>
    <n v="-6.2908545208206768E-2"/>
    <n v="-8.9738102849734602E-2"/>
    <n v="6.0830404311107422E-2"/>
    <n v="1.4108999999984384E-4"/>
    <n v="3.2974164895605007E-2"/>
    <n v="-1.3901086077405811E-2"/>
    <n v="-0.13731264158437506"/>
    <n v="0.10278878038678663"/>
    <n v="-0.51286638365241055"/>
    <n v="14.00744162699208"/>
    <n v="-0.11637729206099845"/>
    <n v="-0.1650696593455403"/>
    <n v="-6.0400627000000005E-2"/>
    <n v="1.3178499999999885E-2"/>
    <n v="6.0372059999999617E-2"/>
  </r>
  <r>
    <x v="0"/>
    <x v="0"/>
    <x v="1"/>
    <x v="1"/>
    <x v="1"/>
    <x v="0"/>
    <n v="0"/>
    <n v="0"/>
    <n v="0"/>
    <n v="0"/>
    <n v="0"/>
    <n v="0"/>
    <n v="0"/>
    <n v="0"/>
    <n v="0"/>
    <n v="0"/>
    <n v="0"/>
    <n v="0"/>
    <n v="3.5354701563461433E-3"/>
    <n v="0.22054535214603987"/>
    <n v="0"/>
    <n v="0"/>
    <n v="0"/>
    <n v="0"/>
    <n v="0"/>
  </r>
  <r>
    <x v="1"/>
    <x v="0"/>
    <x v="1"/>
    <x v="1"/>
    <x v="1"/>
    <x v="151"/>
    <n v="26.39426999999705"/>
    <n v="-1.2363739824831188"/>
    <n v="6.0646548973819492E-2"/>
    <n v="-0.22728517406183091"/>
    <n v="-3.8118382500129666E-2"/>
    <n v="-0.16203137495491848"/>
    <n v="8.5395807457966377E-2"/>
    <n v="2.219361999999947E-2"/>
    <n v="0.44924339098977306"/>
    <n v="6.9568177040624235E-2"/>
    <n v="-0.70225209477478012"/>
    <n v="0.83454874067441231"/>
    <n v="0.20914817966988242"/>
    <n v="0.77130674326573168"/>
    <n v="2.3235289348977339E-2"/>
    <n v="-0.37801932791603488"/>
    <n v="-7.885852999999915E-2"/>
    <n v="9.1846259999999944E-2"/>
    <n v="-1.4947530000000014E-2"/>
  </r>
  <r>
    <x v="2"/>
    <x v="0"/>
    <x v="1"/>
    <x v="1"/>
    <x v="1"/>
    <x v="152"/>
    <n v="54.616260000002512"/>
    <n v="-2.0002082977134239"/>
    <n v="0.15117841909959573"/>
    <n v="-0.41905884011380623"/>
    <n v="-9.0802896392905286E-2"/>
    <n v="-0.25665911937031716"/>
    <n v="0.18424364459859177"/>
    <n v="2.9625619999999742E-2"/>
    <n v="0.50518454765395848"/>
    <n v="0.14861263879368813"/>
    <n v="-0.59059310690170452"/>
    <n v="0.8804443385400873"/>
    <n v="0.32509026975489075"/>
    <n v="1.6947780787111899"/>
    <n v="0.19562552631227081"/>
    <n v="-0.27810326258173035"/>
    <n v="-0.15627850999999915"/>
    <n v="0.14262062999999997"/>
    <n v="3.8548579999999992E-2"/>
  </r>
  <r>
    <x v="3"/>
    <x v="0"/>
    <x v="1"/>
    <x v="1"/>
    <x v="1"/>
    <x v="153"/>
    <n v="75.91704000000027"/>
    <n v="-2.4234412699258412"/>
    <n v="0.23878456405128645"/>
    <n v="-0.56771972219530342"/>
    <n v="-0.14986604252563707"/>
    <n v="-0.29123521270254527"/>
    <n v="0.26271603448515535"/>
    <n v="2.1424930000001063E-2"/>
    <n v="0.58519908205709736"/>
    <n v="0.25218676983433941"/>
    <n v="-0.44989169497207104"/>
    <n v="0.94568290762719887"/>
    <n v="0.39077139695178342"/>
    <n v="2.9977464162033396"/>
    <n v="0.39568492965675883"/>
    <n v="-0.18920768855962278"/>
    <n v="-0.20956831999999898"/>
    <n v="0.17300909999999997"/>
    <n v="6.4064250000000003E-2"/>
  </r>
  <r>
    <x v="4"/>
    <x v="0"/>
    <x v="1"/>
    <x v="1"/>
    <x v="1"/>
    <x v="154"/>
    <n v="87.846379999999044"/>
    <n v="-2.6436490348383468"/>
    <n v="0.30345982179615927"/>
    <n v="-0.68348648013590863"/>
    <n v="-0.21214850426179988"/>
    <n v="-0.2956240060028259"/>
    <n v="0.31091506491229826"/>
    <n v="6.6711600000005089E-3"/>
    <n v="0.68108161554762958"/>
    <n v="0.37354600462400356"/>
    <n v="-0.28833937274582722"/>
    <n v="1.0252259992904689"/>
    <n v="0.41962293806572237"/>
    <n v="4.6697809894290732"/>
    <n v="0.5934497478923495"/>
    <n v="-0.13119529775833527"/>
    <n v="-0.23515276999999946"/>
    <n v="0.19462586000000004"/>
    <n v="6.6146460000000157E-2"/>
  </r>
  <r>
    <x v="5"/>
    <x v="0"/>
    <x v="1"/>
    <x v="1"/>
    <x v="1"/>
    <x v="155"/>
    <n v="90.973509999999806"/>
    <n v="-2.7461493090821243"/>
    <n v="0.34435140302135903"/>
    <n v="-0.77675102250386319"/>
    <n v="-0.27586633510980896"/>
    <n v="-0.28746336533614913"/>
    <n v="0.33900008722869135"/>
    <n v="-4.7873300000000896E-3"/>
    <n v="0.78344334367537183"/>
    <n v="0.50258985071591766"/>
    <n v="-0.1180340420091408"/>
    <n v="1.1112252990450378"/>
    <n v="0.41654406050248838"/>
    <n v="6.6925896060987311"/>
    <n v="0.78230730200978815"/>
    <n v="-9.6772304353642813E-2"/>
    <n v="-0.23698199000000003"/>
    <n v="0.21284924999999955"/>
    <n v="5.5608359999999996E-2"/>
  </r>
  <r>
    <x v="6"/>
    <x v="0"/>
    <x v="1"/>
    <x v="1"/>
    <x v="1"/>
    <x v="156"/>
    <n v="87.269540000001143"/>
    <n v="-2.7788942584401566"/>
    <n v="0.36930348027797155"/>
    <n v="-0.85349836199211104"/>
    <n v="-0.33953602544063433"/>
    <n v="-0.27373936900012552"/>
    <n v="0.35805210999981796"/>
    <n v="-1.0064209999999241E-2"/>
    <n v="0.88516226432555634"/>
    <n v="0.63100327215384056"/>
    <n v="5.1116945790519175E-2"/>
    <n v="1.1971638073182023"/>
    <n v="0.38420467377695555"/>
    <n v="9.0440493498595398"/>
    <n v="0.96006508236459176"/>
    <n v="-7.6809609290873215E-2"/>
    <n v="-0.22177877000000012"/>
    <n v="0.22937762"/>
    <n v="4.1940520000000037E-2"/>
  </r>
  <r>
    <x v="7"/>
    <x v="0"/>
    <x v="1"/>
    <x v="1"/>
    <x v="1"/>
    <x v="157"/>
    <n v="79.104409999999916"/>
    <n v="-2.7684799043603436"/>
    <n v="0.38731399963800595"/>
    <n v="-0.91616158543438297"/>
    <n v="-0.40177142868710325"/>
    <n v="-0.25616665004376538"/>
    <n v="0.37586502450974724"/>
    <n v="-1.0240009999999689E-2"/>
    <n v="0.98146738998545757"/>
    <n v="0.75299373139052772"/>
    <n v="0.21229132766042991"/>
    <n v="1.2784263767704696"/>
    <n v="0.32494158521045868"/>
    <n v="11.699540151653288"/>
    <n v="1.1249318775058414"/>
    <n v="-6.5192314225559489E-2"/>
    <n v="-0.19648634000000026"/>
    <n v="0.24431442999999983"/>
    <n v="3.1613500000000211E-2"/>
  </r>
  <r>
    <x v="8"/>
    <x v="0"/>
    <x v="1"/>
    <x v="1"/>
    <x v="1"/>
    <x v="158"/>
    <n v="68.649280000001454"/>
    <n v="-2.7301969276381732"/>
    <n v="0.40520006099620254"/>
    <n v="-0.96548075225523222"/>
    <n v="-0.46131088886042226"/>
    <n v="-0.23477870481185548"/>
    <n v="0.39676493273950175"/>
    <n v="-7.5431099999995199E-3"/>
    <n v="1.0693199532697539"/>
    <n v="0.86483643956942746"/>
    <n v="0.36119098104048231"/>
    <n v="1.3519579551581229"/>
    <n v="0.24116675605334592"/>
    <n v="14.632112745672465"/>
    <n v="1.2752537993207191"/>
    <n v="-5.8424395026723808E-2"/>
    <n v="-0.16692699000000061"/>
    <n v="0.25728884000000007"/>
    <n v="2.8132280000000079E-2"/>
  </r>
  <r>
    <x v="9"/>
    <x v="0"/>
    <x v="1"/>
    <x v="1"/>
    <x v="1"/>
    <x v="159"/>
    <n v="57.588529999997263"/>
    <n v="-2.6735253284334792"/>
    <n v="0.42677909347985654"/>
    <n v="-1.0018598377772858"/>
    <n v="-0.51706864008284059"/>
    <n v="-0.20963986733819606"/>
    <n v="0.4223314335110695"/>
    <n v="-3.976270000000115E-3"/>
    <n v="1.1468540657723292"/>
    <n v="0.96428466926938849"/>
    <n v="0.49530026608957112"/>
    <n v="1.4158341498661242"/>
    <n v="0.1353907248239139"/>
    <n v="17.812282538267809"/>
    <n v="1.4097816583271472"/>
    <n v="-5.4544527994282443E-2"/>
    <n v="-0.1372863900000007"/>
    <n v="0.26794839999999959"/>
    <n v="3.2599709999999935E-2"/>
  </r>
  <r>
    <x v="10"/>
    <x v="0"/>
    <x v="1"/>
    <x v="1"/>
    <x v="1"/>
    <x v="160"/>
    <n v="47.046360000000277"/>
    <n v="-2.604913381024665"/>
    <n v="0.4532076642471683"/>
    <n v="-1.0260269083532836"/>
    <n v="-0.56816337512867188"/>
    <n v="-0.18139572063567977"/>
    <n v="0.45222180185602312"/>
    <n v="-8.8110000000113375E-4"/>
    <n v="1.2130039007628213"/>
    <n v="1.0501131159278643"/>
    <n v="0.61330365906586692"/>
    <n v="1.4689385908634556"/>
    <n v="1.0209742890587847E-2"/>
    <n v="21.207826385203422"/>
    <n v="1.5277798441961643"/>
    <n v="-5.2384046949094376E-2"/>
    <n v="-0.1101193200000003"/>
    <n v="0.27612485000000009"/>
    <n v="4.440464000000019E-2"/>
  </r>
  <r>
    <x v="11"/>
    <x v="0"/>
    <x v="1"/>
    <x v="1"/>
    <x v="1"/>
    <x v="161"/>
    <n v="37.640909999998257"/>
    <n v="-2.5290925543197118"/>
    <n v="0.48372629261557165"/>
    <n v="-1.0391945210946107"/>
    <n v="-0.61392380847745676"/>
    <n v="-0.15124369552439454"/>
    <n v="0.48491829798660291"/>
    <n v="1.0647399999993978E-3"/>
    <n v="1.2672766874620489"/>
    <n v="1.121810179765248"/>
    <n v="0.71469305999714017"/>
    <n v="1.5107479968927251"/>
    <n v="-0.13169042754727078"/>
    <n v="24.783745195793028"/>
    <n v="1.628971155162251"/>
    <n v="-5.1195891071686983E-2"/>
    <n v="-8.6631460000000104E-2"/>
    <n v="0.28184885000000004"/>
    <n v="6.1889369999999777E-2"/>
  </r>
  <r>
    <x v="12"/>
    <x v="0"/>
    <x v="1"/>
    <x v="1"/>
    <x v="1"/>
    <x v="162"/>
    <n v="29.599309999997786"/>
    <n v="-2.4496613784844468"/>
    <n v="0.51645336127972286"/>
    <n v="-1.0429530016177746"/>
    <n v="-0.65388117562213965"/>
    <n v="-0.12067882304532818"/>
    <n v="0.51835297793185742"/>
    <n v="1.6959100000005223E-3"/>
    <n v="1.3096113726400738"/>
    <n v="1.1793795870280288"/>
    <n v="0.79951859145304116"/>
    <n v="1.5411893776805963"/>
    <n v="-0.28752603547007594"/>
    <n v="28.502455285067253"/>
    <n v="1.7134231728127114"/>
    <n v="-5.0498306948043581E-2"/>
    <n v="-6.7062889999999764E-2"/>
    <n v="0.28530388999999934"/>
    <n v="8.2923690000000216E-2"/>
  </r>
  <r>
    <x v="13"/>
    <x v="0"/>
    <x v="1"/>
    <x v="1"/>
    <x v="1"/>
    <x v="163"/>
    <n v="22.8878500000028"/>
    <n v="-2.3693387359984275"/>
    <n v="0.54906757432684472"/>
    <n v="-1.0390659887625664"/>
    <n v="-0.68775491019479329"/>
    <n v="-9.1207832205064676E-2"/>
    <n v="0.55038824477560144"/>
    <n v="1.1783600000009331E-3"/>
    <n v="1.3402838136474582"/>
    <n v="1.2232104709153369"/>
    <n v="0.86823353233624889"/>
    <n v="1.5605394404512252"/>
    <n v="-0.45442316113807335"/>
    <n v="32.324222500550825"/>
    <n v="1.7814469653139264"/>
    <n v="-5.0009375850756932E-2"/>
    <n v="-5.1065579999999555E-2"/>
    <n v="0.28676423000000006"/>
    <n v="0.10534693999999997"/>
  </r>
  <r>
    <x v="14"/>
    <x v="0"/>
    <x v="1"/>
    <x v="1"/>
    <x v="1"/>
    <x v="164"/>
    <n v="17.329839999998512"/>
    <n v="-2.2900918624881972"/>
    <n v="0.57931762207852344"/>
    <n v="-1.0292692117090052"/>
    <n v="-0.71543605356875206"/>
    <n v="-6.4122810075029069E-2"/>
    <n v="0.57914822743485583"/>
    <n v="-1.5111999999983805E-4"/>
    <n v="1.3598353567363608"/>
    <n v="1.2539885983065879"/>
    <n v="0.92159761333259205"/>
    <n v="1.5693486905998144"/>
    <n v="-0.62945050323085505"/>
    <n v="36.207825541741776"/>
    <n v="1.8335353381238928"/>
    <n v="-4.9608043207705066E-2"/>
    <n v="-3.8016189999999506E-2"/>
    <n v="0.28653824999999994"/>
    <n v="0.12726597999999992"/>
  </r>
  <r>
    <x v="15"/>
    <x v="0"/>
    <x v="1"/>
    <x v="1"/>
    <x v="1"/>
    <x v="165"/>
    <n v="12.697410000000673"/>
    <n v="-2.2132345157257927"/>
    <n v="0.6053492422300577"/>
    <n v="-1.0151201177562852"/>
    <n v="-0.73696968827191567"/>
    <n v="-4.0366246676359907E-2"/>
    <n v="0.60320881738149534"/>
    <n v="-1.9076499999992613E-3"/>
    <n v="1.3690154087381723"/>
    <n v="1.2726311281711977"/>
    <n v="0.96061397537294813"/>
    <n v="1.5683793452236028"/>
    <n v="-0.80967465189425436"/>
    <n v="40.111407631838802"/>
    <n v="1.8703379349682248"/>
    <n v="-4.9297554249838615E-2"/>
    <n v="-2.7241559999999221E-2"/>
    <n v="0.28492679999999948"/>
    <n v="0.14721891000000001"/>
  </r>
  <r>
    <x v="16"/>
    <x v="0"/>
    <x v="1"/>
    <x v="1"/>
    <x v="1"/>
    <x v="166"/>
    <n v="8.7732799999976123"/>
    <n v="-2.1395309711535471"/>
    <n v="0.62586798326651483"/>
    <n v="-0.99791217672657861"/>
    <n v="-0.75253702901196817"/>
    <n v="-2.0484566686018724E-2"/>
    <n v="0.62166910126240094"/>
    <n v="-3.7402700000008227E-3"/>
    <n v="1.3687326178050574"/>
    <n v="1.280234266613256"/>
    <n v="0.98648355428683221"/>
    <n v="1.5585524902629322"/>
    <n v="-0.99223065823315082"/>
    <n v="43.993465057898248"/>
    <n v="1.8926593142622128"/>
    <n v="-4.9166436820091697E-2"/>
    <n v="-1.8156820000000962E-2"/>
    <n v="0.28219851000000007"/>
    <n v="0.1642287199999995"/>
  </r>
  <r>
    <x v="17"/>
    <x v="0"/>
    <x v="1"/>
    <x v="1"/>
    <x v="1"/>
    <x v="167"/>
    <n v="5.3847399999976915"/>
    <n v="-2.0693104345425373"/>
    <n v="0.6401741872044342"/>
    <n v="-0.97864807217915573"/>
    <n v="-0.76243691362355426"/>
    <n v="-4.6500120471804074E-3"/>
    <n v="0.63413495039148504"/>
    <n v="-5.377200000000748E-3"/>
    <n v="1.3600118370262093"/>
    <n v="1.2780264142861375"/>
    <n v="1.0005655636397881"/>
    <n v="1.5409010534193079"/>
    <n v="-1.1743988616592982"/>
    <n v="47.81390069093603"/>
    <n v="1.9014650451439907"/>
    <n v="-4.9349655875563503E-2"/>
    <n v="-1.0329559999999738E-2"/>
    <n v="0.27858030999999978"/>
    <n v="0.17777763000000057"/>
  </r>
  <r>
    <x v="18"/>
    <x v="0"/>
    <x v="1"/>
    <x v="1"/>
    <x v="1"/>
    <x v="168"/>
    <n v="2.4155500000015309"/>
    <n v="-2.0025843916067765"/>
    <n v="0.64810894236464467"/>
    <n v="-0.95805543849808439"/>
    <n v="-0.76706672165658407"/>
    <n v="7.2740768638057673E-3"/>
    <n v="0.64064638062728552"/>
    <n v="-6.6419300000009063E-3"/>
    <n v="1.3439547852028388"/>
    <n v="1.2673236750418315"/>
    <n v="1.0043375553845824"/>
    <n v="1.5165267619964062"/>
    <n v="-1.3536791886532784"/>
    <n v="51.535069822727777"/>
    <n v="1.8978830094520838"/>
    <n v="-4.9993764979494593E-2"/>
    <n v="-3.4896800000003281E-3"/>
    <n v="0.2742586800000002"/>
    <n v="0.18773328000000061"/>
  </r>
  <r>
    <x v="19"/>
    <x v="0"/>
    <x v="1"/>
    <x v="1"/>
    <x v="1"/>
    <x v="169"/>
    <n v="-0.19762000000264379"/>
    <n v="-1.9391557139654791"/>
    <n v="0.64994937047855306"/>
    <n v="-0.93662850943425635"/>
    <n v="-0.76690238909642439"/>
    <n v="1.5648616836538842E-2"/>
    <n v="0.64157746232473833"/>
    <n v="-7.4490699999998911E-3"/>
    <n v="1.3217036683130123"/>
    <n v="1.2494858427498201"/>
    <n v="0.99935178114440859"/>
    <n v="1.4865604624358264"/>
    <n v="-1.5278555918759373"/>
    <n v="55.122743416089072"/>
    <n v="1.8831937179938141"/>
    <n v="-5.1227999560088389E-2"/>
    <n v="2.4949699999998742E-3"/>
    <n v="0.26938695000000012"/>
    <n v="0.19425279000000045"/>
  </r>
  <r>
    <x v="20"/>
    <x v="0"/>
    <x v="1"/>
    <x v="1"/>
    <x v="1"/>
    <x v="170"/>
    <n v="-2.4771599999985483"/>
    <n v="-1.878711341627759"/>
    <n v="0.64628471761412065"/>
    <n v="-0.91468008305123361"/>
    <n v="-0.76247789015376766"/>
    <n v="2.0973174181704302E-2"/>
    <n v="0.6375296836494071"/>
    <n v="-7.7882000000001339E-3"/>
    <n v="1.2944069611623421"/>
    <n v="1.2258735785531938"/>
    <n v="0.9871883707212481"/>
    <n v="1.4521261159159415"/>
    <n v="-1.6950450163452868"/>
    <n v="58.546926674568908"/>
    <n v="1.8588066270398551"/>
    <n v="-5.3143584500559005E-2"/>
    <n v="7.6596700000000628E-3"/>
    <n v="0.26409438999999979"/>
    <n v="0.19768486999999918"/>
  </r>
  <r>
    <x v="21"/>
    <x v="0"/>
    <x v="1"/>
    <x v="1"/>
    <x v="1"/>
    <x v="171"/>
    <n v="-4.4203099999976985"/>
    <n v="-1.8208938848241818"/>
    <n v="0.63789450915037182"/>
    <n v="-0.89239277808899065"/>
    <n v="-0.75436463877773807"/>
    <n v="2.3810871815110879E-2"/>
    <n v="0.62923448334593068"/>
    <n v="-7.7027399999998747E-3"/>
    <n v="1.2631879972862636"/>
    <n v="1.197808410281298"/>
    <n v="0.96940697544298793"/>
    <n v="1.4143088573387086"/>
    <n v="-1.8537275573308309"/>
    <n v="61.782483649217809"/>
    <n v="1.8262239124677837"/>
    <n v="-5.5781066312066141E-2"/>
    <n v="1.1987019999999682E-2"/>
    <n v="0.25849417999999968"/>
    <n v="0.19848258000000063"/>
  </r>
  <r>
    <x v="22"/>
    <x v="0"/>
    <x v="1"/>
    <x v="1"/>
    <x v="1"/>
    <x v="172"/>
    <n v="-6.0141899999980524"/>
    <n v="-1.7653515535636211"/>
    <n v="0.6256445291406898"/>
    <n v="-0.86986322956228435"/>
    <n v="-0.74315117082115467"/>
    <n v="2.4729816941682081E-2"/>
    <n v="0.61747199179373879"/>
    <n v="-7.268750000000157E-3"/>
    <n v="1.2291170253143191"/>
    <n v="1.1665372357910986"/>
    <n v="0.94750065070927647"/>
    <n v="1.3741281339605838"/>
    <n v="-2.0027570271503592"/>
    <n v="64.809539132357401"/>
    <n v="1.7869954261382714"/>
    <n v="-5.9125621301381326E-2"/>
    <n v="1.5446009999999649E-2"/>
    <n v="0.25268868999999972"/>
    <n v="0.19713390000000025"/>
  </r>
  <r>
    <x v="23"/>
    <x v="0"/>
    <x v="1"/>
    <x v="1"/>
    <x v="1"/>
    <x v="173"/>
    <n v="-7.2482100000015635"/>
    <n v="-1.7117685475276589"/>
    <n v="0.61040442660735827"/>
    <n v="-0.84713631150206137"/>
    <n v="-0.72942436527935195"/>
    <n v="2.42623454332902E-2"/>
    <n v="0.60301034961327549"/>
    <n v="-6.5765600000003421E-3"/>
    <n v="1.1931874932948672"/>
    <n v="1.1332035211888858"/>
    <n v="0.92285516177899041"/>
    <n v="1.3325165895129887"/>
    <n v="-2.1413528946391258"/>
    <n v="67.613650414569165"/>
    <n v="1.7426690256063582"/>
    <n v="-6.3109454689636024E-2"/>
    <n v="1.8020699999999473E-2"/>
    <n v="0.24677170000000012"/>
    <n v="0.19411217000000064"/>
  </r>
  <r>
    <x v="24"/>
    <x v="0"/>
    <x v="1"/>
    <x v="1"/>
    <x v="1"/>
    <x v="174"/>
    <n v="-8.1224000000001979"/>
    <n v="-1.6598798463431708"/>
    <n v="0.59299136673127695"/>
    <n v="-0.82422894436950944"/>
    <n v="-0.71375247152701826"/>
    <n v="2.2880613788278659E-2"/>
    <n v="0.58656451384220265"/>
    <n v="-5.716719999999953E-3"/>
    <n v="1.1562974164804007"/>
    <n v="1.0988259690247748"/>
    <n v="0.89671646736377841"/>
    <n v="1.2903048601021316"/>
    <n v="-2.2690765926365986"/>
    <n v="70.185758854365503"/>
    <n v="1.6947418468676201"/>
    <n v="-6.7619505781935096E-2"/>
    <n v="1.9727609999999757E-2"/>
    <n v="0.24082824999999974"/>
    <n v="0.18984546999999963"/>
  </r>
  <r>
    <x v="25"/>
    <x v="0"/>
    <x v="1"/>
    <x v="1"/>
    <x v="1"/>
    <x v="175"/>
    <n v="-8.6517300000014075"/>
    <n v="-1.6094744161494701"/>
    <n v="0.57413523393050614"/>
    <n v="-0.80114503432521245"/>
    <n v="-0.69667049754301713"/>
    <n v="2.0985236738280122E-2"/>
    <n v="0.56877273557547348"/>
    <n v="-4.7706899999999663E-3"/>
    <n v="1.1192362975433801"/>
    <n v="1.0642851958124089"/>
    <n v="0.87016822539880412"/>
    <n v="1.2482125772639741"/>
    <n v="-2.3857960654091626"/>
    <n v="72.521946767281079"/>
    <n v="1.6446156382285304"/>
    <n v="-7.2509592089220476E-2"/>
    <n v="2.062221000000003E-2"/>
    <n v="0.23493298999999954"/>
    <n v="0.18470189000000109"/>
  </r>
  <r>
    <x v="26"/>
    <x v="0"/>
    <x v="1"/>
    <x v="1"/>
    <x v="1"/>
    <x v="176"/>
    <n v="-8.866730000001553"/>
    <n v="-1.5603911046117358"/>
    <n v="0.55446313427811589"/>
    <n v="-0.77788377305479939"/>
    <n v="-0.67866978828710067"/>
    <n v="1.8903696514582791E-2"/>
    <n v="0.55018642172404153"/>
    <n v="-3.8053900000001306E-3"/>
    <n v="1.0826775668983046"/>
    <n v="1.0303182230512409"/>
    <n v="0.84411938008608356"/>
    <n v="1.2068446595908444"/>
    <n v="-2.4916432081382278"/>
    <n v="74.6230359832945"/>
    <n v="1.5935603644844143"/>
    <n v="-7.7613898340644916E-2"/>
    <n v="2.0796900000000229E-2"/>
    <n v="0.22914793999999974"/>
    <n v="0.17898680999999944"/>
  </r>
  <r>
    <x v="27"/>
    <x v="0"/>
    <x v="1"/>
    <x v="1"/>
    <x v="1"/>
    <x v="177"/>
    <n v="-8.811439999997674"/>
    <n v="-1.5125106216652529"/>
    <n v="0.53449646046761501"/>
    <n v="-0.75444310981309659"/>
    <n v="-0.66018900636062305"/>
    <n v="1.6894995186467199E-2"/>
    <n v="0.53127002306732063"/>
    <n v="-2.8714300000010073E-3"/>
    <n v="1.0471762184656619"/>
    <n v="0.9975194815946109"/>
    <n v="0.81930172511264221"/>
    <n v="1.1666926162086311"/>
    <n v="-2.5869680660376426"/>
    <n v="76.494069547597903"/>
    <n v="1.5426875637501336"/>
    <n v="-8.276113584934075E-2"/>
    <n v="2.0372949999999945E-2"/>
    <n v="0.2235206999999996"/>
    <n v="0.17294782999999897"/>
  </r>
  <r>
    <x v="28"/>
    <x v="0"/>
    <x v="1"/>
    <x v="1"/>
    <x v="1"/>
    <x v="178"/>
    <n v="-8.5394000000014785"/>
    <n v="-1.4657460508637254"/>
    <n v="0.51465774932222264"/>
    <n v="-0.7308205032707682"/>
    <n v="-0.64160948591196476"/>
    <n v="1.5157544601485107E-2"/>
    <n v="0.51240694353205107"/>
    <n v="-2.0036399999992516E-3"/>
    <n v="1.0131711024067069"/>
    <n v="0.96634732983675864"/>
    <n v="0.79627533094321912"/>
    <n v="1.1281395288234686"/>
    <n v="-2.6722936879374215"/>
    <n v="78.143717194163131"/>
    <n v="1.4929339760573868"/>
    <n v="-8.7787113633630565E-2"/>
    <n v="1.9489280000000234E-2"/>
    <n v="0.21808353999999974"/>
    <n v="0.16678375999999995"/>
  </r>
  <r>
    <x v="29"/>
    <x v="0"/>
    <x v="1"/>
    <x v="1"/>
    <x v="1"/>
    <x v="179"/>
    <n v="-8.1090399999993679"/>
    <n v="-1.4200340159989278"/>
    <n v="0.4952814991132426"/>
    <n v="-0.70701242859771973"/>
    <n v="-0.62325354001108169"/>
    <n v="1.3838507627483843E-2"/>
    <n v="0.4939078823026577"/>
    <n v="-1.2231399999992898E-3"/>
    <n v="0.98099101177648862"/>
    <n v="0.9371345941385778"/>
    <n v="0.77544055264202605"/>
    <n v="1.0914679991236298"/>
    <n v="-2.7482737068181717"/>
    <n v="79.583644703594757"/>
    <n v="1.4450554685077277"/>
    <n v="-9.254489829710888E-2"/>
    <n v="1.8290370000000056E-2"/>
    <n v="0.21285343999999998"/>
    <n v="0.16065458000000116"/>
  </r>
  <r>
    <x v="30"/>
    <x v="0"/>
    <x v="1"/>
    <x v="1"/>
    <x v="1"/>
    <x v="180"/>
    <n v="-7.5789000000004307"/>
    <n v="-1.3753272469737232"/>
    <n v="0.47662675861193105"/>
    <n v="-0.68301401553755303"/>
    <n v="-0.60538415555829728"/>
    <n v="1.3042633453963504E-2"/>
    <n v="0.47602015177754531"/>
    <n v="-5.4034000000063864E-4"/>
    <n v="0.95086338885514987"/>
    <n v="0.91010148643602129"/>
    <n v="0.75705417084239723"/>
    <n v="1.0568699132950998"/>
    <n v="-2.8156546889696377"/>
    <n v="80.827877067854772"/>
    <n v="1.3996298741698832"/>
    <n v="-9.6912048094022207E-2"/>
    <n v="1.691523999999972E-2"/>
    <n v="0.20783353000000046"/>
    <n v="0.15469015999999974"/>
  </r>
  <r>
    <x v="31"/>
    <x v="0"/>
    <x v="1"/>
    <x v="1"/>
    <x v="1"/>
    <x v="181"/>
    <n v="-7.0036800000016228"/>
    <n v="-1.3315892568514731"/>
    <n v="0.45888873700319355"/>
    <n v="-0.65881857972286406"/>
    <n v="-0.58820807291195543"/>
    <n v="1.2840075398568018E-2"/>
    <n v="0.45893605095985723"/>
    <n v="4.2119999998924129E-5"/>
    <n v="0.92292517830947496"/>
    <n v="0.88537013334450965"/>
    <n v="0.74124811714670891"/>
    <n v="1.0244572158111032"/>
    <n v="-2.875243610100553"/>
    <n v="81.892182946902508"/>
    <n v="1.3570671785503974"/>
    <n v="-0.10079446187135632"/>
    <n v="1.5488699999999939E-2"/>
    <n v="0.20301510000000009"/>
    <n v="0.14899676000000028"/>
  </r>
  <r>
    <x v="32"/>
    <x v="0"/>
    <x v="1"/>
    <x v="1"/>
    <x v="1"/>
    <x v="182"/>
    <n v="-6.4311100000013539"/>
    <n v="-1.2887909278819221"/>
    <n v="0.44220843288016454"/>
    <n v="-0.63441850011103362"/>
    <n v="-0.57187924167423354"/>
    <n v="1.3272559641785975E-2"/>
    <n v="0.44279927645656247"/>
    <n v="5.2651999999930865E-4"/>
    <n v="0.89723450564185292"/>
    <n v="0.86297914570052647"/>
    <n v="0.72804881521904008"/>
    <n v="0.99427297850289698"/>
    <n v="-2.9278801240353869"/>
    <n v="82.793498418285921"/>
    <n v="1.3176248258997436"/>
    <n v="-0.10412740023278966"/>
    <n v="1.4115420000000017E-2"/>
    <n v="0.19838049999999982"/>
    <n v="0.14366083999999973"/>
  </r>
  <r>
    <x v="33"/>
    <x v="0"/>
    <x v="1"/>
    <x v="1"/>
    <x v="1"/>
    <x v="183"/>
    <n v="-5.9001299999981711"/>
    <n v="-1.2469088653452864"/>
    <n v="0.42668023007041977"/>
    <n v="-0.60980641991000839"/>
    <n v="-0.55650357282506224"/>
    <n v="1.4358041391204779E-2"/>
    <n v="0.42770993298055782"/>
    <n v="9.1793000000089942E-4"/>
    <n v="0.87378268632407607"/>
    <n v="0.84289793999907658"/>
    <n v="0.71739630285660994"/>
    <n v="0.96630296675985772"/>
    <n v="-2.9744132943085755"/>
    <n v="83.549401994273566"/>
    <n v="1.2814266033717159"/>
    <n v="-0.10687402130646895"/>
    <n v="1.287692E-2"/>
    <n v="0.19390609000000045"/>
    <n v="0.13875054000000026"/>
  </r>
  <r>
    <x v="34"/>
    <x v="0"/>
    <x v="1"/>
    <x v="1"/>
    <x v="1"/>
    <x v="184"/>
    <n v="-5.440149999998539"/>
    <n v="-1.2059249824208029"/>
    <n v="0.41235714080454233"/>
    <n v="-0.58497705223451435"/>
    <n v="-0.54214482388482699"/>
    <n v="1.6094172112768312E-2"/>
    <n v="0.41372831597150661"/>
    <n v="1.222639999999553E-3"/>
    <n v="0.85250628849573573"/>
    <n v="0.82504014184916485"/>
    <n v="0.70916212101850284"/>
    <n v="0.94048509877591169"/>
    <n v="-3.0156829412812725"/>
    <n v="84.17764598712121"/>
    <n v="1.2484829291428357"/>
    <n v="-0.10902225138645916"/>
    <n v="1.1831239999999729E-2"/>
    <n v="0.18956519999999977"/>
    <n v="0.13431562999999952"/>
  </r>
  <r>
    <x v="35"/>
    <x v="0"/>
    <x v="1"/>
    <x v="1"/>
    <x v="1"/>
    <x v="185"/>
    <n v="-5.0712299999977404"/>
    <n v="-1.1658266853333044"/>
    <n v="0.39925529574824647"/>
    <n v="-0.55992927642802837"/>
    <n v="-0.52882984348641138"/>
    <n v="1.8460755810245644E-2"/>
    <n v="0.40087787387721452"/>
    <n v="1.4473299999998024E-3"/>
    <n v="0.8332979415468289"/>
    <n v="0.80927561882746524"/>
    <n v="0.70316538738983692"/>
    <n v="0.91671982904120153"/>
    <n v="-3.0525029028664385"/>
    <n v="84.695750437318111"/>
    <n v="1.218711341555867"/>
    <n v="-0.11058055595994931"/>
    <n v="1.101459000000006E-2"/>
    <n v="0.18533073999999969"/>
    <n v="0.13038677000000026"/>
  </r>
  <r>
    <x v="36"/>
    <x v="0"/>
    <x v="1"/>
    <x v="1"/>
    <x v="1"/>
    <x v="186"/>
    <n v="-4.8050100000000384"/>
    <n v="-1.1266073913027808"/>
    <n v="0.38735706987673701"/>
    <n v="-0.53466794396316297"/>
    <n v="-0.51655438954727462"/>
    <n v="2.1421852953440457E-2"/>
    <n v="0.38914899937327885"/>
    <n v="1.5986799999992418E-3"/>
    <n v="0.81601647424418555"/>
    <n v="0.79544141414580327"/>
    <n v="0.69918702112963249"/>
    <n v="0.89487838507502637"/>
    <n v="-3.0856475162142405"/>
    <n v="85.120655874419683"/>
    <n v="1.191956229248059"/>
    <n v="-0.11157336072430413"/>
    <n v="1.0444290000000134E-2"/>
    <n v="0.18117729000000013"/>
    <n v="0.12697486000000091"/>
  </r>
  <r>
    <x v="37"/>
    <x v="0"/>
    <x v="1"/>
    <x v="1"/>
    <x v="1"/>
    <x v="187"/>
    <n v="-4.6460299999998824"/>
    <n v="-1.0882666956106957"/>
    <n v="0.37661492708227495"/>
    <n v="-0.50920540329333353"/>
    <n v="-0.50528871324518887"/>
    <n v="2.4927737491231561E-2"/>
    <n v="0.37850124708591615"/>
    <n v="1.6833599999988014E-3"/>
    <n v="0.80049678234774824"/>
    <n v="0.78335104268989486"/>
    <n v="0.69698196595979756"/>
    <n v="0.87481079568025866"/>
    <n v="-3.1158404442340526"/>
    <n v="85.468436231316375"/>
    <n v="1.1680066043791015"/>
    <n v="-0.11203659910857811"/>
    <n v="1.0122450000000019E-2"/>
    <n v="0.17708255999999978"/>
    <n v="0.12407125000000047"/>
  </r>
  <r>
    <x v="38"/>
    <x v="0"/>
    <x v="1"/>
    <x v="1"/>
    <x v="1"/>
    <x v="188"/>
    <n v="-4.5931999999993423"/>
    <n v="-1.0508101874194042"/>
    <n v="0.36695521738425718"/>
    <n v="-0.48356248048221362"/>
    <n v="-0.49498238320448973"/>
    <n v="2.8917053745614041E-2"/>
    <n v="0.36886897257892848"/>
    <n v="1.7082000000001596E-3"/>
    <n v="0.78655700113967608"/>
    <n v="0.77280280387599376"/>
    <n v="0.69628958097061044"/>
    <n v="0.8563523814302032"/>
    <n v="-3.1437447397403728"/>
    <n v="85.754067073303219"/>
    <n v="1.146612117276935"/>
    <n v="-0.11201359353057994"/>
    <n v="1.0039770000000101E-2"/>
    <n v="0.17302826000000007"/>
    <n v="0.12164892999999982"/>
  </r>
  <r>
    <x v="39"/>
    <x v="0"/>
    <x v="1"/>
    <x v="1"/>
    <x v="1"/>
    <x v="189"/>
    <n v="-4.6412799999998242"/>
    <n v="-1.0142487101756359"/>
    <n v="0.35828329619091992"/>
    <n v="-0.45776865727146232"/>
    <n v="-0.48556884213921681"/>
    <n v="3.3319187429770025E-2"/>
    <n v="0.36016551192288304"/>
    <n v="1.6804500000008882E-3"/>
    <n v="0.7740060736994403"/>
    <n v="0.76358668638540905"/>
    <n v="0.69684234299491887"/>
    <n v="0.83932985685104544"/>
    <n v="-3.1699553572844708"/>
    <n v="85.991247170181111"/>
    <n v="1.1274967727828766"/>
    <n v="-0.11155172029287952"/>
    <n v="1.017889999999997E-2"/>
    <n v="0.16900030000000024"/>
    <n v="0.11966489000000136"/>
  </r>
  <r>
    <x v="40"/>
    <x v="0"/>
    <x v="1"/>
    <x v="1"/>
    <x v="1"/>
    <x v="190"/>
    <n v="-4.7821400000029826"/>
    <n v="-0.97859719306035986"/>
    <n v="0.35048836591780042"/>
    <n v="-0.43186172297964287"/>
    <n v="-0.4769699043348119"/>
    <n v="3.8056946466391572E-2"/>
    <n v="0.35228885938796139"/>
    <n v="1.6077200000005898E-3"/>
    <n v="0.7626493712124649"/>
    <n v="0.75549055557195821"/>
    <n v="0.69837310218638926"/>
    <n v="0.82356665262495188"/>
    <n v="-3.1949932563729244"/>
    <n v="86.192269002938076"/>
    <n v="1.1103706440611205"/>
    <n v="-0.11069967163392924"/>
    <n v="1.0517370000000074E-2"/>
    <n v="0.16498868"/>
    <n v="0.11806341000000012"/>
  </r>
  <r>
    <x v="41"/>
    <x v="0"/>
    <x v="1"/>
    <x v="1"/>
    <x v="1"/>
    <x v="191"/>
    <n v="-5.0058399999979883"/>
    <n v="-0.94387301953412495"/>
    <n v="0.34344954338763056"/>
    <n v="-0.40588676423014558"/>
    <n v="-0.46909926358000842"/>
    <n v="4.3049362327152174E-2"/>
    <n v="0.34512700646887051"/>
    <n v="1.4981300000008191E-3"/>
    <n v="0.7522939924597738"/>
    <n v="0.74830487573238624"/>
    <n v="0.70062109577262444"/>
    <n v="0.80888656676796344"/>
    <n v="-3.2193020897311797"/>
    <n v="86.367933890327393"/>
    <n v="1.0949394881997865"/>
    <n v="-0.10950547228341101"/>
    <n v="1.1029809999999959E-2"/>
    <n v="0.16098694999999996"/>
    <n v="0.11677990999999985"/>
  </r>
  <r>
    <x v="42"/>
    <x v="0"/>
    <x v="1"/>
    <x v="1"/>
    <x v="1"/>
    <x v="192"/>
    <n v="-5.3013700000010431"/>
    <n v="-0.91009423170340664"/>
    <n v="0.33704127369227344"/>
    <n v="-0.37989485894732722"/>
    <n v="-0.46186573074047388"/>
    <n v="4.8214477887476015E-2"/>
    <n v="0.33856389164517164"/>
    <n v="1.3600299999999566E-3"/>
    <n v="0.74275255304721011"/>
    <n v="0.74182723718956289"/>
    <n v="0.70333683069989661"/>
    <n v="0.79511829244764964"/>
    <n v="-3.2432461110050936"/>
    <n v="86.5275110135413"/>
    <n v="1.0809128038894888"/>
    <n v="-0.10801511322312551"/>
    <n v="1.168948999999992E-2"/>
    <n v="0.15699160999999989"/>
    <n v="0.11574498000000016"/>
  </r>
  <r>
    <x v="43"/>
    <x v="0"/>
    <x v="1"/>
    <x v="1"/>
    <x v="1"/>
    <x v="193"/>
    <n v="-5.6572500000002037"/>
    <n v="-0.87727775999609792"/>
    <n v="0.33113836819371745"/>
    <n v="-0.35394149972982625"/>
    <n v="-0.45517636644920589"/>
    <n v="5.3472066241577743E-2"/>
    <n v="0.33248366945308749"/>
    <n v="1.2018099999996923E-3"/>
    <n v="0.73384722899307864"/>
    <n v="0.73586607469968701"/>
    <n v="0.70628611915144468"/>
    <n v="0.78209829124280539"/>
    <n v="-3.2671102261761842"/>
    <n v="86.678731989723602"/>
    <n v="1.0680102871951425"/>
    <n v="-0.10627159118430374"/>
    <n v="1.2469399999999985E-2"/>
    <n v="0.15300134000000021"/>
    <n v="0.11488825000000036"/>
  </r>
  <r>
    <x v="44"/>
    <x v="0"/>
    <x v="1"/>
    <x v="1"/>
    <x v="1"/>
    <x v="194"/>
    <n v="-6.0618499999982305"/>
    <n v="-0.84543841470865466"/>
    <n v="0.32562100144366557"/>
    <n v="-0.32808495881179178"/>
    <n v="-0.44893873400092543"/>
    <n v="5.8745895293066397E-2"/>
    <n v="0.32677560944613937"/>
    <n v="1.0315400000002195E-3"/>
    <n v="0.72541189336512435"/>
    <n v="0.73024296910388919"/>
    <n v="0.70925328231949969"/>
    <n v="0.769673009769134"/>
    <n v="-3.2911023388497718"/>
    <n v="86.827819405473392"/>
    <n v="1.0559670435942525"/>
    <n v="-0.10431452523701479"/>
    <n v="1.3342920000000008E-2"/>
    <n v="0.14901640999999965"/>
    <n v="0.11414177000000011"/>
  </r>
  <r>
    <x v="45"/>
    <x v="0"/>
    <x v="1"/>
    <x v="1"/>
    <x v="1"/>
    <x v="195"/>
    <n v="-6.5036399999989953"/>
    <n v="-0.81458657015238689"/>
    <n v="0.3203781934982608"/>
    <n v="-0.30238484829774315"/>
    <n v="-0.44306320475555605"/>
    <n v="6.3965713937896851E-2"/>
    <n v="0.32133709792749876"/>
    <n v="8.5672000000036608E-4"/>
    <n v="0.71729446918313844"/>
    <n v="0.72479526930220306"/>
    <n v="0.71204345885771403"/>
    <n v="0.75770130415930836"/>
    <n v="-3.3153572428957001"/>
    <n v="86.979544474651789"/>
    <n v="1.0445376215851399"/>
    <n v="-0.10217973140902448"/>
    <n v="1.4284149999999919E-2"/>
    <n v="0.14503811000000019"/>
    <n v="0.11344271999999961"/>
  </r>
  <r>
    <x v="46"/>
    <x v="0"/>
    <x v="1"/>
    <x v="1"/>
    <x v="1"/>
    <x v="196"/>
    <n v="-6.9713799999990442"/>
    <n v="-0.78472822529458419"/>
    <n v="0.31531048955062424"/>
    <n v="-0.27690065107572881"/>
    <n v="-0.4374645444155334"/>
    <n v="6.9068573806396749E-2"/>
    <n v="0.31607590194753232"/>
    <n v="6.8394999999943362E-4"/>
    <n v="0.70935878065947477"/>
    <n v="0.71937825032426517"/>
    <n v="0.71448446306676683"/>
    <n v="0.74605600915254033"/>
    <n v="-3.3399414293733054"/>
    <n v="87.137310521021931"/>
    <n v="1.0334990729333526"/>
    <n v="-9.9899305594564058E-2"/>
    <n v="1.5268210000000081E-2"/>
    <n v="0.14106835000000026"/>
    <n v="0.11273538000000013"/>
  </r>
  <r>
    <x v="47"/>
    <x v="0"/>
    <x v="1"/>
    <x v="1"/>
    <x v="1"/>
    <x v="197"/>
    <n v="-7.4541700000008859"/>
    <n v="-0.75586399708449381"/>
    <n v="0.31033185058841894"/>
    <n v="-0.25169077531729256"/>
    <n v="-0.4320635943206419"/>
    <n v="7.399992398529065E-2"/>
    <n v="0.31091236543030476"/>
    <n v="5.1880999999975863E-4"/>
    <n v="0.70148513792316347"/>
    <n v="0.71386500724863744"/>
    <n v="0.71642792933959143"/>
    <n v="0.73462461342799212"/>
    <n v="-3.364860194483843"/>
    <n v="87.303254693460588"/>
    <n v="1.0226531952802098"/>
    <n v="-9.7501694129376038E-2"/>
    <n v="1.6271380000000037E-2"/>
    <n v="0.13710946999999987"/>
    <n v="0.11197239999999956"/>
  </r>
  <r>
    <x v="48"/>
    <x v="0"/>
    <x v="1"/>
    <x v="1"/>
    <x v="1"/>
    <x v="198"/>
    <n v="-7.9416100000016741"/>
    <n v="-0.72798947967652738"/>
    <n v="0.30537039707401181"/>
    <n v="-0.22681158055058992"/>
    <n v="-0.42678812444463254"/>
    <n v="7.8714018493775129E-2"/>
    <n v="0.30577959489630491"/>
    <n v="3.6570000000041292E-4"/>
    <n v="0.69357098326849886"/>
    <n v="0.70814845647233504"/>
    <n v="0.71774975719827161"/>
    <n v="0.72331020053801875"/>
    <n v="-3.3900644542513736"/>
    <n v="87.478367925651341"/>
    <n v="1.0118278374620315"/>
    <n v="-9.5011781147191776E-2"/>
    <n v="1.7271349999999942E-2"/>
    <n v="0.13316401999999977"/>
    <n v="0.11111532000000063"/>
  </r>
  <r>
    <x v="49"/>
    <x v="0"/>
    <x v="1"/>
    <x v="1"/>
    <x v="1"/>
    <x v="199"/>
    <n v="-8.4238899999982095"/>
    <n v="-0.70109452609712353"/>
    <n v="0.3003686827889096"/>
    <n v="-0.20231689275103104"/>
    <n v="-0.42157393592728853"/>
    <n v="8.3173716821405286E-2"/>
    <n v="0.30062364530747399"/>
    <n v="2.2786999999968582E-4"/>
    <n v="0.6855314548610103"/>
    <n v="0.70214064117000152"/>
    <n v="0.71835022901345358"/>
    <n v="0.7120316896384038"/>
    <n v="-3.4154588928963614"/>
    <n v="87.662625894538166"/>
    <n v="1.0008775527045044"/>
    <n v="-9.245097068174557E-2"/>
    <n v="1.8247381999999916E-2"/>
    <n v="0.12923481000000001"/>
    <n v="0.11013459000000017"/>
  </r>
  <r>
    <x v="50"/>
    <x v="0"/>
    <x v="1"/>
    <x v="1"/>
    <x v="1"/>
    <x v="200"/>
    <n v="-8.8919000000023516"/>
    <n v="-0.67516446456507007"/>
    <n v="0.29528303876984463"/>
    <n v="-0.17825754112661407"/>
    <n v="-0.41636514773308875"/>
    <n v="8.7350899315019603E-2"/>
    <n v="0.29540320782044382"/>
    <n v="1.0745000000034199E-4"/>
    <n v="0.67729863650709543"/>
    <n v="0.69577269783582807"/>
    <n v="0.71815334700449096"/>
    <n v="0.70072333025574807"/>
    <n v="-3.4409104062770646"/>
    <n v="87.855127290543635"/>
    <n v="0.98968363578313401"/>
    <n v="-8.9837929223324231E-2"/>
    <n v="1.918057899999992E-2"/>
    <n v="0.12532491000000062"/>
    <n v="0.10900915000000011"/>
  </r>
  <r>
    <x v="0"/>
    <x v="0"/>
    <x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2"/>
    <x v="0"/>
    <x v="0"/>
    <x v="201"/>
    <n v="45.244790000000648"/>
    <n v="-5.3528116045175604"/>
    <n v="0.10025266040705194"/>
    <n v="0.52967158170886819"/>
    <n v="-0.15463884121831306"/>
    <n v="-0.32404517441534386"/>
    <n v="0.14591599957676227"/>
    <n v="4.0864929999999411E-2"/>
    <n v="0.4570747054342128"/>
    <n v="0.12074166654827412"/>
    <n v="-0.59125127393014898"/>
    <n v="0.83131872467516743"/>
    <n v="0.2584030389623404"/>
    <n v="-9.8039221185786118E-8"/>
    <n v="2.9061733759183639E-2"/>
    <n v="-0.41186346267928498"/>
    <n v="-0.13512188999999925"/>
    <n v="0.12159973000000004"/>
    <n v="6.0991590000000068E-3"/>
  </r>
  <r>
    <x v="2"/>
    <x v="0"/>
    <x v="2"/>
    <x v="0"/>
    <x v="0"/>
    <x v="202"/>
    <n v="93.725740000001679"/>
    <n v="-8.4840878006876235"/>
    <n v="0.25695606030293749"/>
    <n v="0.98698699538166679"/>
    <n v="-0.40741494904512621"/>
    <n v="-0.47321961308079974"/>
    <n v="0.3126893845740053"/>
    <n v="4.9793880000000013E-2"/>
    <n v="0.58648298674885968"/>
    <n v="0.30635303699888539"/>
    <n v="-0.31852335609523497"/>
    <n v="0.9328159352817833"/>
    <n v="0.50138004565418726"/>
    <n v="-9.6116881120877906E-8"/>
    <n v="0.2051128970871563"/>
    <n v="-0.42084568769783504"/>
    <n v="-0.26795462000000075"/>
    <n v="0.16557077999999997"/>
    <n v="0.12098935500000005"/>
  </r>
  <r>
    <x v="3"/>
    <x v="0"/>
    <x v="2"/>
    <x v="0"/>
    <x v="0"/>
    <x v="203"/>
    <n v="127.4437399999988"/>
    <n v="-10.221356699899575"/>
    <n v="0.40742734929990476"/>
    <n v="1.3155142265483422"/>
    <n v="-0.72983976355317504"/>
    <n v="-0.49642161414972241"/>
    <n v="0.44829625228681724"/>
    <n v="3.6464270000000076E-2"/>
    <n v="0.76957156300219154"/>
    <n v="0.54288452302868606"/>
    <n v="1.8376227811200962E-3"/>
    <n v="1.0869986834937118"/>
    <n v="0.74755241126380767"/>
    <n v="-9.4232244229885964E-8"/>
    <n v="0.41643512181315234"/>
    <n v="-0.46354000762618419"/>
    <n v="-0.35073365999999939"/>
    <n v="0.16066806000000003"/>
    <n v="0.21503165199999999"/>
  </r>
  <r>
    <x v="4"/>
    <x v="0"/>
    <x v="2"/>
    <x v="0"/>
    <x v="0"/>
    <x v="204"/>
    <n v="140.98293999999805"/>
    <n v="-11.155550599667485"/>
    <n v="0.52273562855047473"/>
    <n v="1.5281815715047387"/>
    <n v="-1.0939199747264983"/>
    <n v="-0.45921809762626831"/>
    <n v="0.53826611489500298"/>
    <n v="1.3844269999999104E-2"/>
    <n v="0.9701669415103753"/>
    <n v="0.79449958176687208"/>
    <n v="0.3310016204683075"/>
    <n v="1.2616061753715657"/>
    <n v="0.98343714956983241"/>
    <n v="-1.8476907781561636E-7"/>
    <n v="0.63598984352379873"/>
    <n v="-0.52103949146167228"/>
    <n v="-0.37466904000000023"/>
    <n v="0.12669773000000029"/>
    <n v="0.27614666599999999"/>
  </r>
  <r>
    <x v="5"/>
    <x v="0"/>
    <x v="2"/>
    <x v="0"/>
    <x v="0"/>
    <x v="205"/>
    <n v="135.68411999999807"/>
    <n v="-11.628422885367229"/>
    <n v="0.59699163107651554"/>
    <n v="1.6578348998594894"/>
    <n v="-1.4706581803436758"/>
    <n v="-0.3993318627572795"/>
    <n v="0.58995719845560401"/>
    <n v="-6.2673799999996005E-3"/>
    <n v="1.1613542180909597"/>
    <n v="1.0318503807048129"/>
    <n v="0.63722690963978756"/>
    <n v="1.4301103622574196"/>
    <n v="1.1928211178347636"/>
    <n v="-1.8114615363273856E-7"/>
    <n v="0.85249232231667804"/>
    <n v="-0.56806189879023972"/>
    <n v="-0.34838590000000058"/>
    <n v="7.6187900000000003E-2"/>
    <n v="0.30665740899999994"/>
  </r>
  <r>
    <x v="6"/>
    <x v="0"/>
    <x v="2"/>
    <x v="0"/>
    <x v="0"/>
    <x v="206"/>
    <n v="116.03720999999859"/>
    <n v="-11.831541924531397"/>
    <n v="0.63458337576423052"/>
    <n v="1.7373563754478072"/>
    <n v="-1.8341851967402456"/>
    <n v="-0.33528940851105249"/>
    <n v="0.61237639275069089"/>
    <n v="-1.9781269999999407E-2"/>
    <n v="1.3274729033712962"/>
    <n v="1.2374587117949476"/>
    <n v="0.90192949014780144"/>
    <n v="1.5764001402632566"/>
    <n v="1.3655949354701491"/>
    <n v="-2.6639142003404004E-7"/>
    <n v="1.0558068864376269"/>
    <n v="-0.5932396453677935"/>
    <n v="-0.28690848000000047"/>
    <n v="1.768590999999993E-2"/>
    <n v="0.31253367399999998"/>
  </r>
  <r>
    <x v="7"/>
    <x v="0"/>
    <x v="2"/>
    <x v="0"/>
    <x v="0"/>
    <x v="207"/>
    <n v="87.40882000000056"/>
    <n v="-11.871910597783675"/>
    <n v="0.64300573553683904"/>
    <n v="1.7924718869753997"/>
    <n v="-2.164816469872255"/>
    <n v="-0.27527698254377064"/>
    <n v="0.6128923191114577"/>
    <n v="-2.6823959999999758E-2"/>
    <n v="1.4615076550924311"/>
    <n v="1.4037130789629426"/>
    <n v="1.1175237337839317"/>
    <n v="1.6929888226079992"/>
    <n v="1.4983454089750881"/>
    <n v="-1.7411204700223948E-7"/>
    <n v="1.2366609499513626"/>
    <n v="-0.59643016999145759"/>
    <n v="-0.20574652999999915"/>
    <n v="-4.2655800000000049E-2"/>
    <n v="0.30030905299999994"/>
  </r>
  <r>
    <x v="8"/>
    <x v="0"/>
    <x v="2"/>
    <x v="0"/>
    <x v="0"/>
    <x v="208"/>
    <n v="54.761210000000574"/>
    <n v="-11.809649343805816"/>
    <n v="0.62993792474332899"/>
    <n v="1.8404224649049006"/>
    <n v="-2.4499098699652277"/>
    <n v="-0.222278386717778"/>
    <n v="0.59753139936200572"/>
    <n v="-2.8871010000000585E-2"/>
    <n v="1.5619879164472161"/>
    <n v="1.5294841013282046"/>
    <n v="1.2836188735858567"/>
    <n v="1.7780886053143208"/>
    <n v="1.5924226148646747"/>
    <n v="-2.5604711684223957E-7"/>
    <n v="1.3883393606065608"/>
    <n v="-0.58272252478847042"/>
    <n v="-0.11805676999999959"/>
    <n v="-0.10051131000000033"/>
    <n v="0.27609861500000005"/>
  </r>
  <r>
    <x v="9"/>
    <x v="0"/>
    <x v="2"/>
    <x v="0"/>
    <x v="0"/>
    <x v="209"/>
    <n v="22.069350000001577"/>
    <n v="-11.679001568301416"/>
    <n v="0.60228433029327899"/>
    <n v="1.8911319088694034"/>
    <n v="-2.6831723244140071"/>
    <n v="-0.17674584052679299"/>
    <n v="0.57142553662850037"/>
    <n v="-2.7499190000000728E-2"/>
    <n v="1.630607157376418"/>
    <n v="1.6173122026567066"/>
    <n v="1.4038370230922581"/>
    <n v="1.8331988275743338"/>
    <n v="1.6518337975677921"/>
    <n v="-1.6735104413356794E-7"/>
    <n v="1.5074504923707766"/>
    <n v="-0.55825375175030389"/>
    <n v="-3.3665369999999473E-2"/>
    <n v="-0.15308532000000014"/>
    <n v="0.24516679699999999"/>
  </r>
  <r>
    <x v="10"/>
    <x v="0"/>
    <x v="2"/>
    <x v="0"/>
    <x v="0"/>
    <x v="210"/>
    <n v="-7.8294399999977031"/>
    <n v="-11.49992311213145"/>
    <n v="0.5658829907172036"/>
    <n v="1.9491112746374162"/>
    <n v="-2.863272296476238"/>
    <n v="-0.1379697518533396"/>
    <n v="0.53892321966282353"/>
    <n v="-2.4032499999999957E-2"/>
    <n v="1.6706693333247591"/>
    <n v="1.6715221674151959"/>
    <n v="1.4836815201051401"/>
    <n v="1.8614830036839169"/>
    <n v="1.6816894821839456"/>
    <n v="-2.4610449234074849E-7"/>
    <n v="1.5936857001414007"/>
    <n v="-0.52820773424976375"/>
    <n v="4.0902950000000493E-2"/>
    <n v="-0.1988272900000001"/>
    <n v="0.21170435800000001"/>
  </r>
  <r>
    <x v="11"/>
    <x v="0"/>
    <x v="2"/>
    <x v="0"/>
    <x v="0"/>
    <x v="211"/>
    <n v="-33.155770000001212"/>
    <n v="-11.284477972507522"/>
    <n v="0.52540332147323898"/>
    <n v="2.0152758587707931"/>
    <n v="-2.9923509109223922"/>
    <n v="-0.10480278689236622"/>
    <n v="0.50352928870562863"/>
    <n v="-1.9505860000000597E-2"/>
    <n v="1.6861575645019"/>
    <n v="1.6970945753300937"/>
    <n v="1.5292723036976597"/>
    <n v="1.8667870804996989"/>
    <n v="1.6872582788949098"/>
    <n v="-2.4127890796421525E-7"/>
    <n v="1.6490633488188688"/>
    <n v="-0.49624242310882805"/>
    <n v="0.10194337999999969"/>
    <n v="-0.23712611999999988"/>
    <n v="0.17876027000000008"/>
  </r>
  <r>
    <x v="12"/>
    <x v="0"/>
    <x v="2"/>
    <x v="0"/>
    <x v="0"/>
    <x v="212"/>
    <n v="-53.008910000000469"/>
    <n v="-11.040397957108606"/>
    <n v="0.48432727318388213"/>
    <n v="2.0883823829394688"/>
    <n v="-3.0747287966441772"/>
    <n v="-7.6051912487939966E-2"/>
    <n v="0.46785309540857689"/>
    <n v="-1.4695800000000259E-2"/>
    <n v="1.6811963644175698"/>
    <n v="1.699035864768117"/>
    <n v="1.546651751698036"/>
    <n v="1.8530797547487987"/>
    <n v="1.6734703140575791"/>
    <n v="-2.3654795899830106E-7"/>
    <n v="1.6770661372323081"/>
    <n v="-0.46461071914297714"/>
    <n v="0.14795150999999951"/>
    <n v="-0.26802058999999995"/>
    <n v="0.14830578100000005"/>
  </r>
  <r>
    <x v="13"/>
    <x v="0"/>
    <x v="2"/>
    <x v="0"/>
    <x v="0"/>
    <x v="213"/>
    <n v="-67.161770000002434"/>
    <n v="-10.773083657556636"/>
    <n v="0.44501298009058665"/>
    <n v="2.1660569485400405"/>
    <n v="-3.115904632773836"/>
    <n v="-5.0681280313080723E-2"/>
    <n v="0.43363861230560907"/>
    <n v="-1.0149980000000169E-2"/>
    <n v="1.6597474406581991"/>
    <n v="1.6820440950212401"/>
    <n v="1.5414254581339604"/>
    <n v="1.8241461042353802"/>
    <n v="1.6446994362311784"/>
    <n v="-2.3190975806386405E-7"/>
    <n v="1.6818910498253903"/>
    <n v="-0.43451243804584205"/>
    <n v="0.17901936999999979"/>
    <n v="-0.29195693999999989"/>
    <n v="0.121392746"/>
  </r>
  <r>
    <x v="14"/>
    <x v="0"/>
    <x v="2"/>
    <x v="0"/>
    <x v="0"/>
    <x v="214"/>
    <n v="-75.866720000001806"/>
    <n v="-10.486729914971093"/>
    <n v="0.40883649024234803"/>
    <n v="2.2454835738985102"/>
    <n v="-3.1218359420615349"/>
    <n v="-2.7897587755143505E-2"/>
    <n v="0.40187595975784696"/>
    <n v="-6.213189999999813E-3"/>
    <n v="1.6254397230671236"/>
    <n v="1.6503404635688224"/>
    <n v="1.5185910149625004"/>
    <n v="1.7834251377411015"/>
    <n v="1.6046962289653077"/>
    <n v="-2.2736250659960433E-7"/>
    <n v="1.6678890644530542"/>
    <n v="-0.40645262563960838"/>
    <n v="0.19631053999999981"/>
    <n v="-0.30960561999999991"/>
    <n v="9.8360745999999999E-2"/>
  </r>
  <r>
    <x v="15"/>
    <x v="0"/>
    <x v="2"/>
    <x v="0"/>
    <x v="0"/>
    <x v="215"/>
    <n v="-79.687880000001314"/>
    <n v="-10.184942703509947"/>
    <n v="0.37638734991065625"/>
    <n v="2.3238419341449656"/>
    <n v="-3.0984528733102756"/>
    <n v="-7.1603430448652361E-3"/>
    <n v="0.37296322577027308"/>
    <n v="-3.0574099999999826E-3"/>
    <n v="1.5814808441206862"/>
    <n v="1.6075972162216123"/>
    <n v="1.4824700427625848"/>
    <n v="1.7339332005284147"/>
    <n v="1.5565989154952442"/>
    <n v="-2.2290441714645226E-7"/>
    <n v="1.639194005517508"/>
    <n v="-0.38052181670092944"/>
    <n v="0.20163194000000079"/>
    <n v="-0.32173384999999999"/>
    <n v="7.9052634000000011E-2"/>
  </r>
  <r>
    <x v="16"/>
    <x v="0"/>
    <x v="2"/>
    <x v="0"/>
    <x v="0"/>
    <x v="216"/>
    <n v="-79.364859999997861"/>
    <n v="-9.8710520117541662"/>
    <n v="0.34768478844668937"/>
    <n v="2.3985687806651557"/>
    <n v="-3.0513490834318535"/>
    <n v="1.1850911515831619E-2"/>
    <n v="0.34688048785587178"/>
    <n v="-7.1834999999936811E-4"/>
    <n v="1.5306214857533806"/>
    <n v="1.5569207823098008"/>
    <n v="1.4367028922525726"/>
    <n v="1.6782375330498311"/>
    <n v="1.5029767486477885"/>
    <n v="-2.1853374665425918E-7"/>
    <n v="1.5995070259743782"/>
    <n v="-0.35659026692663742"/>
    <n v="0.19710129999999937"/>
    <n v="-0.32912359999999996"/>
    <n v="6.3009866999999983E-2"/>
  </r>
  <r>
    <x v="17"/>
    <x v="0"/>
    <x v="2"/>
    <x v="0"/>
    <x v="0"/>
    <x v="217"/>
    <n v="-75.707580000002054"/>
    <n v="-9.5482426385712582"/>
    <n v="0.32238357898850545"/>
    <n v="2.4674990733354107"/>
    <n v="-2.9856012984551428"/>
    <n v="2.9289884974992297E-2"/>
    <n v="0.32335131489147351"/>
    <n v="8.6455000000013049E-4"/>
    <n v="1.4751548322643471"/>
    <n v="1.5008718250152819"/>
    <n v="1.3842802153809064"/>
    <n v="1.6184645478942272"/>
    <n v="1.4458908786659341"/>
    <n v="-2.1424875207287641E-7"/>
    <n v="1.5519965008599979"/>
    <n v="-0.33442908340372002"/>
    <n v="0.18490117"/>
    <n v="-0.33252253999999992"/>
    <n v="4.9631641000000018E-2"/>
  </r>
  <r>
    <x v="18"/>
    <x v="0"/>
    <x v="2"/>
    <x v="0"/>
    <x v="0"/>
    <x v="218"/>
    <n v="-69.519520000001648"/>
    <n v="-9.2195788980513615"/>
    <n v="0.29994887272215554"/>
    <n v="2.5289253864578587"/>
    <n v="-2.9056793939671866"/>
    <n v="4.5200427729485959E-2"/>
    <n v="0.3019741971859391"/>
    <n v="1.8096900000000304E-3"/>
    <n v="1.4169410902238111"/>
    <n v="1.4415076521702819"/>
    <n v="1.327599002864388"/>
    <n v="1.5563283281462503"/>
    <n v="1.3869589355568479"/>
    <n v="-2.1004781247668802E-7"/>
    <n v="1.4992761066701776"/>
    <n v="-0.31378148536922446"/>
    <n v="0.16710794999999917"/>
    <n v="-0.33261742000000005"/>
    <n v="3.8292311000000072E-2"/>
  </r>
  <r>
    <x v="19"/>
    <x v="0"/>
    <x v="2"/>
    <x v="0"/>
    <x v="0"/>
    <x v="219"/>
    <n v="-61.545760000000882"/>
    <n v="-8.8879744607462392"/>
    <n v="0.27978996658659661"/>
    <n v="2.5816023933866505"/>
    <n v="-2.8154195133067494"/>
    <n v="5.9567135267024618E-2"/>
    <n v="0.28231957441793298"/>
    <n v="2.2606899999999541E-3"/>
    <n v="1.3574475076651993"/>
    <n v="1.3804384076196996"/>
    <n v="1.268532551902557"/>
    <n v="1.4931736767510806"/>
    <n v="1.3274206924398291"/>
    <n v="-2.0592922922446633E-7"/>
    <n v="1.4434322796113008"/>
    <n v="-0.29440158196925026"/>
    <n v="0.14558325999999983"/>
    <n v="-0.33002188999999987"/>
    <n v="2.8418780999999935E-2"/>
  </r>
  <r>
    <x v="20"/>
    <x v="0"/>
    <x v="2"/>
    <x v="0"/>
    <x v="0"/>
    <x v="220"/>
    <n v="-52.441439999998693"/>
    <n v="-8.5561401732541462"/>
    <n v="0.26135070334960542"/>
    <n v="2.6247159794905883"/>
    <n v="-2.7180390180063907"/>
    <n v="7.2354550455977495E-2"/>
    <n v="0.26399278755622202"/>
    <n v="2.3617399999995015E-3"/>
    <n v="1.2977974195437891"/>
    <n v="1.3188896188384591"/>
    <n v="1.208505899193657"/>
    <n v="1.4300248457179698"/>
    <n v="1.2682010825337375"/>
    <n v="-2.0189140359505586E-7"/>
    <n v="1.3860793815595684"/>
    <n v="-0.27607168289923711"/>
    <n v="0.12191548000000108"/>
    <n v="-0.3252730199999998"/>
    <n v="1.9533740000000042E-2"/>
  </r>
  <r>
    <x v="21"/>
    <x v="0"/>
    <x v="2"/>
    <x v="0"/>
    <x v="0"/>
    <x v="221"/>
    <n v="-42.756570000001375"/>
    <n v="-8.2265312700986133"/>
    <n v="0.24416233654285247"/>
    <n v="2.6578313348297078"/>
    <n v="-2.6161782490668917"/>
    <n v="8.353367204096962E-2"/>
    <n v="0.24666940298530005"/>
    <n v="2.2413700000001313E-3"/>
    <n v="1.2388221878228522"/>
    <n v="1.2577658021605709"/>
    <n v="1.1485717164259723"/>
    <n v="1.3676370159586337"/>
    <n v="1.209967948176649"/>
    <n v="-1.9793274796953142E-7"/>
    <n v="1.3284272594475732"/>
    <n v="-0.25861063887053781"/>
    <n v="9.7399420000000847E-2"/>
    <n v="-0.31883304999999995"/>
    <n v="1.1272422000000067E-2"/>
  </r>
  <r>
    <x v="22"/>
    <x v="0"/>
    <x v="2"/>
    <x v="0"/>
    <x v="0"/>
    <x v="222"/>
    <n v="-32.932930000002671"/>
    <n v="-7.901305945730341"/>
    <n v="0.2278661601233134"/>
    <n v="2.6808304410046446"/>
    <n v="-2.5119579010987714"/>
    <n v="9.3096967753236726E-2"/>
    <n v="0.2301070979092934"/>
    <n v="2.0038E-3"/>
    <n v="1.1811129413335397"/>
    <n v="1.197710053982437"/>
    <n v="1.0894809460612942"/>
    <n v="1.3065450561674075"/>
    <n v="1.1531837901770592"/>
    <n v="-1.9405170803565852E-7"/>
    <n v="1.2713512008359684"/>
    <n v="-0.24187269553516133"/>
    <n v="7.3043429999999909E-2"/>
    <n v="-0.31109393000000007"/>
    <n v="3.3807579999999698E-3"/>
  </r>
  <r>
    <x v="23"/>
    <x v="0"/>
    <x v="2"/>
    <x v="0"/>
    <x v="0"/>
    <x v="223"/>
    <n v="-23.309559999997873"/>
    <n v="-7.5823006568837332"/>
    <n v="0.21221391496482056"/>
    <n v="2.6938472564770333"/>
    <n v="-2.4070437448208137"/>
    <n v="0.1010640884129943"/>
    <n v="0.21414410667663919"/>
    <n v="1.7261399999995986E-3"/>
    <n v="1.1250675525077414"/>
    <n v="1.1391589401516855"/>
    <n v="1.0317465623734812"/>
    <n v="1.2471088926905294"/>
    <n v="1.0981509948928547"/>
    <n v="-2.5366236888757498E-7"/>
    <n v="1.2154581992005475"/>
    <n v="-0.22574493475661095"/>
    <n v="4.9594310000000696E-2"/>
    <n v="-0.30238341999999985"/>
    <n v="-4.2980680000000507E-3"/>
  </r>
  <r>
    <x v="24"/>
    <x v="0"/>
    <x v="2"/>
    <x v="0"/>
    <x v="0"/>
    <x v="224"/>
    <n v="-14.133480000000418"/>
    <n v="-7.2710231495614508"/>
    <n v="0.19705497938526939"/>
    <n v="2.697206001360053"/>
    <n v="-2.3027127161747041"/>
    <n v="0.10748107421683084"/>
    <n v="0.19868695267257763"/>
    <n v="1.4597599999999211E-3"/>
    <n v="1.0709336014116833"/>
    <n v="1.082389378678239"/>
    <n v="0.97569805419610578"/>
    <n v="1.1895525899013881"/>
    <n v="1.0450492220724472"/>
    <n v="-2.4868859194171478E-7"/>
    <n v="1.1611458078495396"/>
    <n v="-0.21014303338363627"/>
    <n v="2.7572369999999402E-2"/>
    <n v="-0.29297172999999987"/>
    <n v="-1.184290300000005E-2"/>
  </r>
  <r>
    <x v="25"/>
    <x v="0"/>
    <x v="2"/>
    <x v="0"/>
    <x v="0"/>
    <x v="225"/>
    <n v="-5.5732799999968847"/>
    <n v="-6.9686612405061137"/>
    <n v="0.18231578235501367"/>
    <n v="2.6913660382654747"/>
    <n v="-2.1999163919752873"/>
    <n v="0.1124156673647736"/>
    <n v="0.18369525492689665"/>
    <n v="1.2340700000001981E-3"/>
    <n v="1.0188436480408347"/>
    <n v="1.0275577445331585"/>
    <n v="0.92152710644726188"/>
    <n v="1.1339971951022987"/>
    <n v="0.99396637705086999"/>
    <n v="-2.4381235919079813E-7"/>
    <n v="1.1086522957309164"/>
    <n v="-0.19500563154125627"/>
    <n v="7.3106000000003335E-3"/>
    <n v="-0.28307832000000027"/>
    <n v="-1.927548799999998E-2"/>
  </r>
  <r>
    <x v="26"/>
    <x v="0"/>
    <x v="2"/>
    <x v="0"/>
    <x v="0"/>
    <x v="226"/>
    <n v="2.2665500000002794"/>
    <n v="-6.6761040841454511"/>
    <n v="0.16797840505469175"/>
    <n v="2.6768753059220218"/>
    <n v="-2.0993394960993284"/>
    <n v="0.11595088703504342"/>
    <n v="0.16916476027462046"/>
    <n v="1.0614600000000141E-3"/>
    <n v="0.96884573111810646"/>
    <n v="0.97473224502597766"/>
    <n v="0.86932457741044633"/>
    <n v="1.0804885405214737"/>
    <n v="0.94492349699777378"/>
    <n v="-2.3903171664230172E-7"/>
    <n v="1.0580978825529108"/>
    <n v="-0.18029107795165533"/>
    <n v="-1.1006410000000133E-2"/>
    <n v="-0.27287861999999996"/>
    <n v="-2.658001399999995E-2"/>
  </r>
  <r>
    <x v="27"/>
    <x v="0"/>
    <x v="2"/>
    <x v="0"/>
    <x v="0"/>
    <x v="227"/>
    <n v="9.3316799999993236"/>
    <n v="-6.393971630175721"/>
    <n v="0.1540593345051855"/>
    <n v="2.65433312133454"/>
    <n v="-2.0014518405447324"/>
    <n v="0.11817835986824843"/>
    <n v="0.15511252940656473"/>
    <n v="9.4238000000052002E-4"/>
    <n v="0.920927265812721"/>
    <n v="0.92391838447045682"/>
    <n v="0.81910942218124116"/>
    <n v="1.0290183439562783"/>
    <n v="0.89789427537214639"/>
    <n v="-2.343448102237744E-7"/>
    <n v="1.0095173928428292"/>
    <n v="-0.16597217731528779"/>
    <n v="-2.7306850000000105E-2"/>
    <n v="-0.2625102800000001"/>
    <n v="-3.3719651999999933E-2"/>
  </r>
  <r>
    <x v="28"/>
    <x v="0"/>
    <x v="2"/>
    <x v="0"/>
    <x v="0"/>
    <x v="228"/>
    <n v="15.605579999999463"/>
    <n v="-6.122649214368991"/>
    <n v="0.14059245116264663"/>
    <n v="2.6243615828793976"/>
    <n v="-1.9065533186874206"/>
    <n v="0.11919257459975796"/>
    <n v="0.1415644373739422"/>
    <n v="8.6989000000065042E-4"/>
    <n v="0.87503429949431499"/>
    <n v="0.87507835351980923"/>
    <n v="0.77085137056094322"/>
    <n v="0.97954192147622354"/>
    <n v="0.85282001908519867"/>
    <n v="-2.297498191694558E-7"/>
    <n v="0.96288636047021647"/>
    <n v="-0.15203347053612815"/>
    <n v="-4.1600719999999869E-2"/>
    <n v="-0.25207905000000019"/>
    <n v="-4.0649329999999963E-2"/>
  </r>
  <r>
    <x v="29"/>
    <x v="0"/>
    <x v="2"/>
    <x v="0"/>
    <x v="0"/>
    <x v="229"/>
    <n v="21.098840000002383"/>
    <n v="-5.8623233396429715"/>
    <n v="0.12761577798612311"/>
    <n v="2.5875849563053999"/>
    <n v="-1.8148122063457728"/>
    <n v="0.11908653346739406"/>
    <n v="0.12854693048161003"/>
    <n v="8.3342000000014016E-4"/>
    <n v="0.83108579492081613"/>
    <n v="0.82814679917717626"/>
    <n v="0.72448807201324072"/>
    <n v="0.93199022676924148"/>
    <n v="0.80962108006861211"/>
    <n v="-2.8155615616753948E-7"/>
    <n v="0.91813993234526325"/>
    <n v="-0.13846842387104097"/>
    <n v="-5.3954389999999464E-2"/>
    <n v="-0.24166416000000018"/>
    <n v="-4.7324661000000025E-2"/>
  </r>
  <r>
    <x v="30"/>
    <x v="0"/>
    <x v="2"/>
    <x v="0"/>
    <x v="0"/>
    <x v="230"/>
    <n v="25.840570000000298"/>
    <n v="-5.6130169149877336"/>
    <n v="0.11516285230050993"/>
    <n v="2.5446158031617649"/>
    <n v="-1.7262968352460106"/>
    <n v="0.1179488795576944"/>
    <n v="0.11608065336807805"/>
    <n v="8.215300000002923E-4"/>
    <n v="0.78898531838085262"/>
    <n v="0.7830414471706959"/>
    <n v="0.67993795761120968"/>
    <n v="0.8862807462824529"/>
    <n v="0.76820597787790046"/>
    <n v="-2.2082835560155445E-7"/>
    <n v="0.87518813314841903"/>
    <n v="-0.12527747467823147"/>
    <n v="-6.4470560000000343E-2"/>
    <n v="-0.23132322000000011"/>
    <n v="-5.3707411999999975E-2"/>
  </r>
  <r>
    <x v="31"/>
    <x v="0"/>
    <x v="2"/>
    <x v="0"/>
    <x v="0"/>
    <x v="231"/>
    <n v="29.871699999999691"/>
    <n v="-5.3746216505647926"/>
    <n v="0.10325795462182707"/>
    <n v="2.4960462124202332"/>
    <n v="-1.6410018235556767"/>
    <n v="0.11586257507574249"/>
    <n v="0.10417797818682573"/>
    <n v="8.237199999996947E-4"/>
    <n v="0.74862912409268123"/>
    <n v="0.73967182766365713"/>
    <n v="0.63710966746690634"/>
    <n v="0.84232367242838002"/>
    <n v="0.72847729182514698"/>
    <n v="-2.1649838588544412E-7"/>
    <n v="0.83392671635373894"/>
    <n v="-0.11246594273037758"/>
    <n v="-7.3273170000000276E-2"/>
    <n v="-0.22109653000000029"/>
    <n v="-5.9768158999999946E-2"/>
  </r>
  <r>
    <x v="32"/>
    <x v="0"/>
    <x v="2"/>
    <x v="0"/>
    <x v="0"/>
    <x v="232"/>
    <n v="33.239979999998468"/>
    <n v="-5.1469271941001811"/>
    <n v="9.1913948463107076E-2"/>
    <n v="2.4424429759536403"/>
    <n v="-1.5588692319878583"/>
    <n v="0.11290471306448779"/>
    <n v="9.2842593850073207E-2"/>
    <n v="8.3151999999975246E-4"/>
    <n v="0.70991184914230843"/>
    <n v="0.69794543104875206"/>
    <n v="0.59590910410520781"/>
    <n v="0.80002797626119726"/>
    <n v="0.69033705194305739"/>
    <n v="-2.6531664643059116E-7"/>
    <n v="0.79424474395397571"/>
    <n v="-0.10004338443289074"/>
    <n v="-8.0496520000000737E-2"/>
    <n v="-0.21101092000000016"/>
    <n v="-6.5486815000000143E-2"/>
  </r>
  <r>
    <x v="33"/>
    <x v="0"/>
    <x v="2"/>
    <x v="0"/>
    <x v="0"/>
    <x v="233"/>
    <n v="35.996339999997872"/>
    <n v="-4.9296460394949619"/>
    <n v="8.1132957046969878E-2"/>
    <n v="2.3843455544225955"/>
    <n v="-1.4798055105314845"/>
    <n v="0.10914706440747768"/>
    <n v="8.2069748789725949E-2"/>
    <n v="8.3886000000060745E-4"/>
    <n v="0.67273149005131483"/>
    <n v="0.65777210455633117"/>
    <n v="0.55624442191575252"/>
    <n v="0.75930514565847318"/>
    <n v="0.65369007816478142"/>
    <n v="-2.601143633818026E-7"/>
    <n v="0.75603159581032475"/>
    <n v="-8.8022043378288561E-2"/>
    <n v="-8.6277760000000314E-2"/>
    <n v="-0.20108305000000015"/>
    <n v="-7.0851778000000087E-2"/>
  </r>
  <r>
    <x v="34"/>
    <x v="0"/>
    <x v="2"/>
    <x v="0"/>
    <x v="0"/>
    <x v="234"/>
    <n v="38.192540000000008"/>
    <n v="-4.7224346245202442"/>
    <n v="7.0908220222198892E-2"/>
    <n v="2.3222658596492085"/>
    <n v="-1.4036950145862592"/>
    <n v="0.10465742193221939"/>
    <n v="7.1848414493458357E-2"/>
    <n v="8.4201999999977684E-4"/>
    <n v="0.63699192341379884"/>
    <n v="0.61906698326263943"/>
    <n v="0.51802948564518836"/>
    <n v="0.72007132915246075"/>
    <n v="0.61844653431646357"/>
    <n v="-2.5501407652228636E-7"/>
    <n v="0.71918004559363702"/>
    <n v="-7.6415935847151673E-2"/>
    <n v="-9.075206999999974E-2"/>
    <n v="-0.19132224000000009"/>
    <n v="-7.5858282000000082E-2"/>
  </r>
  <r>
    <x v="35"/>
    <x v="0"/>
    <x v="2"/>
    <x v="0"/>
    <x v="0"/>
    <x v="235"/>
    <n v="39.879460000000108"/>
    <n v="-4.5249105457604415"/>
    <n v="6.1226183497886666E-2"/>
    <n v="2.2566888494069959"/>
    <n v="-1.3304104806107331"/>
    <n v="9.9500553191034236E-2"/>
    <n v="6.2163248485735956E-2"/>
    <n v="8.3933000000063762E-4"/>
    <n v="0.60260497644939459"/>
    <n v="0.58175262467081712"/>
    <n v="0.48118637111140838"/>
    <n v="0.6822496745092721"/>
    <n v="0.58452377798754451"/>
    <n v="-2.5001380965505859E-7"/>
    <n v="0.68359037885308283"/>
    <n v="-6.5240270100852538E-2"/>
    <n v="-9.4049610000000727E-2"/>
    <n v="-0.18173284999999997"/>
    <n v="-8.0506463999999861E-2"/>
  </r>
  <r>
    <x v="36"/>
    <x v="0"/>
    <x v="2"/>
    <x v="0"/>
    <x v="0"/>
    <x v="236"/>
    <n v="41.106239999997342"/>
    <n v="-4.3366664739546312"/>
    <n v="5.206958717820509E-2"/>
    <n v="2.1880739141824757"/>
    <n v="-1.259821159148089"/>
    <n v="9.3740072277248565E-2"/>
    <n v="5.2996866424814826E-2"/>
    <n v="8.3064000000049321E-4"/>
    <n v="0.56949159499886104"/>
    <n v="0.54576043132970042"/>
    <n v="0.44564686356547423"/>
    <n v="0.64577100330849291"/>
    <n v="0.55184753243942009"/>
    <n v="-2.4511157548090523E-7"/>
    <n v="0.6491718578257144"/>
    <n v="-5.4510846056810003E-2"/>
    <n v="-9.629388000000072E-2"/>
    <n v="-0.17231615000000006"/>
    <n v="-8.4799491999999921E-2"/>
  </r>
  <r>
    <x v="37"/>
    <x v="0"/>
    <x v="2"/>
    <x v="0"/>
    <x v="0"/>
    <x v="237"/>
    <n v="41.91961000000083"/>
    <n v="-4.1572813038960099"/>
    <n v="4.3419436330816019E-2"/>
    <n v="2.1168561358868798"/>
    <n v="-1.1917988996822948"/>
    <n v="8.7438709168807804E-2"/>
    <n v="4.4331301836120218E-2"/>
    <n v="8.1685000000025765E-4"/>
    <n v="0.53758250210489411"/>
    <n v="0.51103134324992361"/>
    <n v="0.41135311673194952"/>
    <n v="0.61057471043661771"/>
    <n v="0.5203524080032107"/>
    <n v="-2.4030546441622391E-7"/>
    <n v="0.61584462601063095"/>
    <n v="-4.4242881733558281E-2"/>
    <n v="-9.7600850000000017E-2"/>
    <n v="-0.16307188"/>
    <n v="-8.8741982999999969E-2"/>
  </r>
  <r>
    <x v="38"/>
    <x v="0"/>
    <x v="2"/>
    <x v="0"/>
    <x v="0"/>
    <x v="238"/>
    <n v="42.363639999999577"/>
    <n v="-3.9863289125778745"/>
    <n v="3.5257336536065331E-2"/>
    <n v="2.0434475967020083"/>
    <n v="-1.1262225487931876"/>
    <n v="8.0659680227679331E-2"/>
    <n v="3.6149635102944444E-2"/>
    <n v="7.9942999999943476E-4"/>
    <n v="0.506818267537823"/>
    <n v="0.47751565447686772"/>
    <n v="0.37825800024011702"/>
    <n v="0.57660862888542219"/>
    <n v="0.48998218393185855"/>
    <n v="-2.8271230911869338E-7"/>
    <n v="0.58354024118123515"/>
    <n v="-3.4451042235628115E-2"/>
    <n v="-9.8078629999999445E-2"/>
    <n v="-0.15399938999999979"/>
    <n v="-9.233882300000007E-2"/>
  </r>
  <r>
    <x v="39"/>
    <x v="0"/>
    <x v="2"/>
    <x v="0"/>
    <x v="0"/>
    <x v="239"/>
    <n v="42.47957999999926"/>
    <n v="-3.8233843309214532"/>
    <n v="2.7566279720359077E-2"/>
    <n v="1.9682384660732133"/>
    <n v="-1.0629810438431253"/>
    <n v="7.3466629706642195E-2"/>
    <n v="2.8436865750491869E-2"/>
    <n v="7.8000999999966458E-4"/>
    <n v="0.47714890568435475"/>
    <n v="0.44517326528712431"/>
    <n v="0.3463249840405247"/>
    <n v="0.54382886802157859"/>
    <n v="0.46068969052517339"/>
    <n v="-2.7716893225004924E-7"/>
    <n v="0.55220183147417501"/>
    <n v="-2.5148853984446884E-2"/>
    <n v="-9.7827470000000361E-2"/>
    <n v="-0.14509849999999985"/>
    <n v="-9.559441599999996E-2"/>
  </r>
  <r>
    <x v="40"/>
    <x v="0"/>
    <x v="2"/>
    <x v="0"/>
    <x v="0"/>
    <x v="240"/>
    <n v="42.305819999997766"/>
    <n v="-3.6680300169197211"/>
    <n v="2.0331888407620902E-2"/>
    <n v="1.8915978658955446"/>
    <n v="-1.0019751514688147"/>
    <n v="6.5924099057834695E-2"/>
    <n v="2.1180259390929379E-2"/>
    <n v="7.6013000000069164E-4"/>
    <n v="0.44853351751603654"/>
    <n v="0.41397281579911294"/>
    <n v="0.31552716594487329"/>
    <n v="0.51219949322740543"/>
    <n v="0.43243616180139721"/>
    <n v="-2.7173423511328565E-7"/>
    <n v="0.521784052097507"/>
    <n v="-1.6347707944386336E-2"/>
    <n v="-9.6939780000000753E-2"/>
    <n v="-0.13636999999999988"/>
    <n v="-9.8512329999999981E-2"/>
  </r>
  <r>
    <x v="41"/>
    <x v="0"/>
    <x v="2"/>
    <x v="0"/>
    <x v="0"/>
    <x v="241"/>
    <n v="41.877880000000005"/>
    <n v="-3.5198584948822331"/>
    <n v="1.3542463834870233E-2"/>
    <n v="1.813874563398743"/>
    <n v="-0.94311864655094446"/>
    <n v="5.8096888489056475E-2"/>
    <n v="1.4369401380243119E-2"/>
    <n v="7.4099999999993615E-4"/>
    <n v="0.42093943926162503"/>
    <n v="0.38389100518363417"/>
    <n v="0.28584666849988949"/>
    <n v="0.48169166902440885"/>
    <n v="0.40519084113161963"/>
    <n v="-2.6640613048911632E-7"/>
    <n v="0.49225260100107526"/>
    <n v="-8.0573669860140029E-3"/>
    <n v="-9.5500380000000662E-2"/>
    <n v="-0.12781602999999975"/>
    <n v="-0.10109526599999999"/>
  </r>
  <r>
    <x v="42"/>
    <x v="0"/>
    <x v="2"/>
    <x v="0"/>
    <x v="0"/>
    <x v="242"/>
    <n v="41.22845000000234"/>
    <n v="-3.3784765359039293"/>
    <n v="7.1887495622258157E-3"/>
    <n v="1.7353974772142289"/>
    <n v="-0.88633830842453909"/>
    <n v="5.0049650088879183E-2"/>
    <n v="7.9961047627419291E-3"/>
    <n v="7.2348000000055368E-4"/>
    <n v="0.3943411816405229"/>
    <n v="0.35491155130753516"/>
    <n v="0.25727348849104992"/>
    <n v="0.45228286003684559"/>
    <n v="0.37892976155129432"/>
    <n v="-2.6118247564710373E-7"/>
    <n v="0.46358318003079102"/>
    <n v="-2.8521287286364938E-4"/>
    <n v="-9.3586660000000155E-2"/>
    <n v="-0.11944022999999977"/>
    <n v="-0.10334527300000004"/>
  </r>
  <r>
    <x v="43"/>
    <x v="0"/>
    <x v="2"/>
    <x v="0"/>
    <x v="0"/>
    <x v="243"/>
    <n v="40.3874599999981"/>
    <n v="-3.2435060610133459"/>
    <n v="1.2636715949199129E-3"/>
    <n v="1.6564761111613979"/>
    <n v="-0.83157337787953534"/>
    <n v="4.1846435285219918E-2"/>
    <n v="2.0536405536120128E-3"/>
    <n v="7.0798000000038552E-4"/>
    <n v="0.36871975180980954"/>
    <n v="0.32702418852692539"/>
    <n v="0.2298039620882264"/>
    <n v="0.42395596195097252"/>
    <n v="0.35363501278988796"/>
    <n v="-2.987381342300921E-7"/>
    <n v="0.43576024108125111"/>
    <n v="6.9640738470599928E-3"/>
    <n v="-9.1268819999999751E-2"/>
    <n v="-0.11124763999999995"/>
    <n v="-0.10526409900000008"/>
  </r>
  <r>
    <x v="44"/>
    <x v="0"/>
    <x v="2"/>
    <x v="0"/>
    <x v="0"/>
    <x v="244"/>
    <n v="39.382050000000163"/>
    <n v="-3.1145867956585471"/>
    <n v="-4.2384507538018035E-3"/>
    <n v="1.5774009925033861"/>
    <n v="-0.77877517631280702"/>
    <n v="3.3550205535237687E-2"/>
    <n v="-3.4634636966401899E-3"/>
    <n v="6.945800000004998E-4"/>
    <n v="0.34406117719349982"/>
    <n v="0.30022332335988278"/>
    <n v="0.20343978525878548"/>
    <n v="0.39669833300430835"/>
    <n v="0.32929368132641468"/>
    <n v="-2.928805087343278E-7"/>
    <n v="0.40877631691216276"/>
    <n v="1.3687974441478623E-2"/>
    <n v="-8.8610149999999999E-2"/>
    <n v="-0.10324466999999983"/>
    <n v="-0.10685361500000004"/>
  </r>
  <r>
    <x v="45"/>
    <x v="0"/>
    <x v="2"/>
    <x v="0"/>
    <x v="0"/>
    <x v="245"/>
    <n v="38.236800000002404"/>
    <n v="-2.9913759844428456"/>
    <n v="-9.3223632794403599E-3"/>
    <n v="1.4984439932530513"/>
    <n v="-0.72790506840656466"/>
    <n v="2.5221512341921937E-2"/>
    <n v="-8.5602637720616492E-3"/>
    <n v="6.8304000000046772E-4"/>
    <n v="0.32035570304234096"/>
    <n v="0.27450718593298173"/>
    <n v="0.17818637280571092"/>
    <n v="0.37050066224386669"/>
    <n v="0.30589679904944322"/>
    <n v="-2.8713776911715172E-7"/>
    <n v="0.38263001612552916"/>
    <n v="1.9886675022373623E-2"/>
    <n v="-8.5667369999999077E-2"/>
    <n v="-9.5438819999999966E-2"/>
    <n v="-0.10811624299999992"/>
  </r>
  <r>
    <x v="46"/>
    <x v="0"/>
    <x v="2"/>
    <x v="0"/>
    <x v="0"/>
    <x v="246"/>
    <n v="36.973750000001019"/>
    <n v="-2.8735497365080298"/>
    <n v="-1.3992674597929078E-2"/>
    <n v="1.419858742890967"/>
    <n v="-0.67893381481899384"/>
    <n v="1.6918588143410851E-2"/>
    <n v="-1.3241960237431183E-2"/>
    <n v="6.7291999999996577E-4"/>
    <n v="0.29759673371256845"/>
    <n v="0.24987636809168379"/>
    <n v="0.15405158015651121"/>
    <n v="0.34535626900595862"/>
    <n v="0.28343814767122222"/>
    <n v="-3.2172299269106475E-7"/>
    <n v="0.35732511615025331"/>
    <n v="2.5562943565704543E-2"/>
    <n v="-8.2490939999999013E-2"/>
    <n v="-8.7838489999999755E-2"/>
    <n v="-0.10905533300000006"/>
  </r>
  <r>
    <x v="47"/>
    <x v="0"/>
    <x v="2"/>
    <x v="0"/>
    <x v="0"/>
    <x v="247"/>
    <n v="35.612550000001647"/>
    <n v="-2.7608026050476742"/>
    <n v="-1.8254531223038661E-2"/>
    <n v="1.3418810490340105"/>
    <n v="-0.63183915915518973"/>
    <n v="8.6963517152094383E-3"/>
    <n v="-1.7514180738820162E-2"/>
    <n v="6.6363999999957679E-4"/>
    <n v="0.27577975682593348"/>
    <n v="0.22633286641500217"/>
    <n v="0.13104474870726524"/>
    <n v="0.3212599920361825"/>
    <n v="0.26191369346304505"/>
    <n v="-3.1541469436291436E-7"/>
    <n v="0.33286907067100469"/>
    <n v="3.0721681733369977E-2"/>
    <n v="-7.9125499999999072E-2"/>
    <n v="-8.0452660000000092E-2"/>
    <n v="-0.10967545700000005"/>
  </r>
  <r>
    <x v="48"/>
    <x v="0"/>
    <x v="2"/>
    <x v="0"/>
    <x v="0"/>
    <x v="248"/>
    <n v="34.170650000000023"/>
    <n v="-2.652847371155731"/>
    <n v="-2.2113810323798333E-2"/>
    <n v="1.2647293748614397"/>
    <n v="-0.58660506352471442"/>
    <n v="6.058372040929072E-4"/>
    <n v="-2.1383644424133319E-2"/>
    <n v="6.5458000000073735E-4"/>
    <n v="0.25490156811516229"/>
    <n v="0.20387918358131252"/>
    <n v="0.10917518921660374"/>
    <n v="0.29820742492647767"/>
    <n v="0.24132033735504432"/>
    <n v="-3.0923007487970722E-7"/>
    <n v="0.30927164511391769"/>
    <n v="3.5370163868075899E-2"/>
    <n v="-7.5610289999999969E-2"/>
    <n v="-7.3290640000000032E-2"/>
    <n v="-0.10998262200000009"/>
  </r>
  <r>
    <x v="49"/>
    <x v="0"/>
    <x v="2"/>
    <x v="0"/>
    <x v="0"/>
    <x v="249"/>
    <n v="32.663440000000264"/>
    <n v="-2.5494147797241462"/>
    <n v="-2.5577716005531492E-2"/>
    <n v="1.1886053153440157"/>
    <n v="-0.5432194446729377"/>
    <n v="-7.3053353704999324E-3"/>
    <n v="-2.4858078280021179E-2"/>
    <n v="6.4513999999959992E-4"/>
    <n v="0.23495927211065748"/>
    <n v="0.1825174495022619"/>
    <n v="8.8451362676833512E-2"/>
    <n v="0.2761941945703672"/>
    <n v="0.22165529189248634"/>
    <n v="-3.0316675836417062E-7"/>
    <n v="0.2865439218634469"/>
    <n v="3.9517638149844103E-2"/>
    <n v="-7.1979669999999718E-2"/>
    <n v="-6.6361740000000016E-2"/>
    <n v="-0.10998437900000008"/>
  </r>
  <r>
    <x v="50"/>
    <x v="0"/>
    <x v="2"/>
    <x v="0"/>
    <x v="0"/>
    <x v="250"/>
    <n v="31.104459999998653"/>
    <n v="-2.4502522970872964"/>
    <n v="-2.8654880760092816E-2"/>
    <n v="1.1136941134834766"/>
    <n v="-0.50167309736085519"/>
    <n v="-1.4994420662761687E-2"/>
    <n v="-2.7946789527522053E-2"/>
    <n v="6.3480000000032399E-4"/>
    <n v="0.21594991210016623"/>
    <n v="0.16224867761049921"/>
    <n v="6.8880265915849392E-2"/>
    <n v="0.25521543065174512"/>
    <n v="0.20291556229710128"/>
    <n v="-2.9722229122342014E-7"/>
    <n v="0.26469714177479453"/>
    <n v="4.3175043345122788E-2"/>
    <n v="-6.8263609999999475E-2"/>
    <n v="-5.96750699999999E-2"/>
    <n v="-0.10968984299999998"/>
  </r>
  <r>
    <x v="0"/>
    <x v="0"/>
    <x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2"/>
    <x v="0"/>
    <x v="1"/>
    <x v="251"/>
    <n v="50.85396000000037"/>
    <n v="-5.2924871377277523"/>
    <n v="0.11062499142562299"/>
    <n v="0.55604839577043652"/>
    <n v="-4.7776923790276982E-2"/>
    <n v="-0.32656041168975802"/>
    <n v="0.16117439477967288"/>
    <n v="4.5230640000000488E-2"/>
    <n v="0.46210450935086911"/>
    <n v="0.12691882340496452"/>
    <n v="-0.58414980334888789"/>
    <n v="0.83650156780734619"/>
    <n v="0.2661334311116148"/>
    <n v="-9.8039221185786118E-8"/>
    <n v="3.2975535792090227E-2"/>
    <n v="-0.41555704875536614"/>
    <n v="-0.15186893000000007"/>
    <n v="0.15023608000000016"/>
    <n v="2.0685905999999997E-2"/>
  </r>
  <r>
    <x v="2"/>
    <x v="0"/>
    <x v="2"/>
    <x v="0"/>
    <x v="1"/>
    <x v="252"/>
    <n v="113.12977000000319"/>
    <n v="-8.3153034319340406"/>
    <n v="0.2967002279952391"/>
    <n v="1.0717759388107373"/>
    <n v="-0.12847674834118861"/>
    <n v="-0.46756171068427221"/>
    <n v="0.36499779007608257"/>
    <n v="6.0987370000001317E-2"/>
    <n v="0.60677979564898177"/>
    <n v="0.33124999968159319"/>
    <n v="-0.28963350578694591"/>
    <n v="0.95349096409698131"/>
    <n v="0.53041772344248894"/>
    <n v="-9.6116881120877906E-8"/>
    <n v="0.22242689624420997"/>
    <n v="-0.43358090297577201"/>
    <n v="-0.32430927999999998"/>
    <n v="0.23941409000000011"/>
    <n v="0.16908795399999998"/>
  </r>
  <r>
    <x v="3"/>
    <x v="0"/>
    <x v="2"/>
    <x v="0"/>
    <x v="1"/>
    <x v="253"/>
    <n v="169.38344000000143"/>
    <n v="-9.9029435584080954"/>
    <n v="0.50019230290461181"/>
    <n v="1.4882689211749511"/>
    <n v="-0.2356590824163618"/>
    <n v="-0.46820155661501106"/>
    <n v="0.56145886759926267"/>
    <n v="5.4602019999999696E-2"/>
    <n v="0.81953735588207177"/>
    <n v="0.60399337245102824"/>
    <n v="7.3064940948297519E-2"/>
    <n v="1.1375500351720635"/>
    <n v="0.81491780911013834"/>
    <n v="-1.8846447735754168E-7"/>
    <n v="0.46237646353601836"/>
    <n v="-0.49054908431621636"/>
    <n v="-0.46976004000000016"/>
    <n v="0.29092881999999987"/>
    <n v="0.31594754399999991"/>
  </r>
  <r>
    <x v="4"/>
    <x v="0"/>
    <x v="2"/>
    <x v="0"/>
    <x v="1"/>
    <x v="254"/>
    <n v="213.19642000000022"/>
    <n v="-10.652320449462604"/>
    <n v="0.6925444274178405"/>
    <n v="1.8116971489454459"/>
    <n v="-0.36267435777594947"/>
    <n v="-0.39227065051518073"/>
    <n v="0.73437688352262498"/>
    <n v="3.721803999999912E-2"/>
    <n v="1.0668102265793511"/>
    <n v="0.91235583508801898"/>
    <n v="0.46870031891319552"/>
    <n v="1.3589485342731411"/>
    <n v="1.107892708753444"/>
    <n v="-1.8476907781561636E-7"/>
    <n v="0.7304724353349501"/>
    <n v="-0.56629608335716508"/>
    <n v="-0.57562308999999923"/>
    <n v="0.31949131999999997"/>
    <n v="0.44661675399999995"/>
  </r>
  <r>
    <x v="5"/>
    <x v="0"/>
    <x v="2"/>
    <x v="0"/>
    <x v="1"/>
    <x v="255"/>
    <n v="243.7586999999985"/>
    <n v="-10.91344728946444"/>
    <n v="0.86445727242114856"/>
    <n v="2.0657466103126243"/>
    <n v="-0.50195804680236433"/>
    <n v="-0.27790863608978533"/>
    <n v="0.88642121020288123"/>
    <n v="1.9511600000000906E-2"/>
    <n v="1.3224506685247217"/>
    <n v="1.2278099507147866"/>
    <n v="0.8664999825506392"/>
    <n v="1.591849700174941"/>
    <n v="1.393070227868809"/>
    <n v="-2.7171924710245321E-7"/>
    <n v="1.0182106383574308"/>
    <n v="-0.63366654634057218"/>
    <n v="-0.64402761999999969"/>
    <n v="0.33260243000000012"/>
    <n v="0.55863744700000006"/>
  </r>
  <r>
    <x v="6"/>
    <x v="0"/>
    <x v="2"/>
    <x v="0"/>
    <x v="1"/>
    <x v="256"/>
    <n v="262.77330000000075"/>
    <n v="-10.888357166593787"/>
    <n v="1.014169728622627"/>
    <n v="2.2735501084934384"/>
    <n v="-0.64612618520155651"/>
    <n v="-0.1462862779568308"/>
    <n v="1.0200174014704411"/>
    <n v="5.1879400000010012E-3"/>
    <n v="1.5697603342690991"/>
    <n v="1.5315097225544694"/>
    <n v="1.2462794631889373"/>
    <n v="1.8190234019369589"/>
    <n v="1.6585139616743572"/>
    <n v="-2.6639142003404004E-7"/>
    <n v="1.3159234937733189"/>
    <n v="-0.67926236151318875"/>
    <n v="-0.68225598000000032"/>
    <n v="0.33456814999999995"/>
    <n v="0.65197668200000003"/>
  </r>
  <r>
    <x v="7"/>
    <x v="0"/>
    <x v="2"/>
    <x v="0"/>
    <x v="1"/>
    <x v="257"/>
    <n v="272.70660000000134"/>
    <n v="-10.695445254238567"/>
    <n v="1.1416077484788234"/>
    <n v="2.452050252434157"/>
    <n v="-0.78888219795220094"/>
    <n v="-9.7931128290262848E-3"/>
    <n v="1.1352768550268344"/>
    <n v="-5.6102399999993779E-3"/>
    <n v="1.799176617395104"/>
    <n v="1.8126547155190798"/>
    <n v="1.5967057348304836"/>
    <n v="2.0303601401849614"/>
    <n v="1.8975366847768571"/>
    <n v="-2.6116805385001385E-7"/>
    <n v="1.6125212489737084"/>
    <n v="-0.7011131455946007"/>
    <n v="-0.69819745000000011"/>
    <n v="0.32850757999999985"/>
    <n v="0.72698663550000009"/>
  </r>
  <r>
    <x v="8"/>
    <x v="0"/>
    <x v="2"/>
    <x v="0"/>
    <x v="1"/>
    <x v="258"/>
    <n v="275.92697000000044"/>
    <n v="-10.405809464197846"/>
    <n v="1.2467458943156595"/>
    <n v="2.6116471068378555"/>
    <n v="-0.92537414410712726"/>
    <n v="0.1237321805833913"/>
    <n v="1.2313535532028963"/>
    <n v="-1.3627149999999311E-2"/>
    <n v="2.0056172724635335"/>
    <n v="2.0656551989296723"/>
    <n v="1.9121401038304953"/>
    <n v="2.2204057197049432"/>
    <n v="2.1072633664774409"/>
    <n v="-3.4139615578965277E-7"/>
    <n v="1.8975522259871314"/>
    <n v="-0.70291476360486715"/>
    <n v="-0.69853038000000089"/>
    <n v="0.31694960999999988"/>
    <n v="0.78427751979999993"/>
  </r>
  <r>
    <x v="9"/>
    <x v="0"/>
    <x v="2"/>
    <x v="0"/>
    <x v="1"/>
    <x v="259"/>
    <n v="274.38545999999769"/>
    <n v="-10.063249006039198"/>
    <n v="1.3296607088309598"/>
    <n v="2.7577250872237391"/>
    <n v="-1.0521499684296831"/>
    <n v="0.24912922654811709"/>
    <n v="1.3076367221722451"/>
    <n v="-1.9483659999999792E-2"/>
    <n v="2.1865735416966681"/>
    <n v="2.2879110451237805"/>
    <n v="2.1901515890433432"/>
    <n v="2.3864349628085257"/>
    <n v="2.2870432481551406"/>
    <n v="-3.3470209936936612E-7"/>
    <n v="2.1625363414528254"/>
    <n v="-0.68993824328753561"/>
    <n v="-0.68831701999999972"/>
    <n v="0.30192320999999978"/>
    <n v="0.82482953221999999"/>
  </r>
  <r>
    <x v="10"/>
    <x v="0"/>
    <x v="2"/>
    <x v="0"/>
    <x v="1"/>
    <x v="260"/>
    <n v="269.57612999999765"/>
    <n v="-9.6952534557216641"/>
    <n v="1.3908728061237996"/>
    <n v="2.8924518392703824"/>
    <n v="-1.1669252040403366"/>
    <n v="0.36308995238645281"/>
    <n v="1.364247320743428"/>
    <n v="-2.3541180000000161E-2"/>
    <n v="2.3409879846997717"/>
    <n v="2.4784585048450714"/>
    <n v="2.4300152132114894"/>
    <n v="2.5272648827145083"/>
    <n v="2.437344783129225"/>
    <n v="-3.2813930461728091E-7"/>
    <n v="2.4013567228454935"/>
    <n v="-0.66701081473333756"/>
    <n v="-0.67120077000000089"/>
    <n v="0.28496089999999996"/>
    <n v="0.84999464920000012"/>
  </r>
  <r>
    <x v="11"/>
    <x v="0"/>
    <x v="2"/>
    <x v="0"/>
    <x v="1"/>
    <x v="261"/>
    <n v="262.6073400000023"/>
    <n v="-9.3191550594266648"/>
    <n v="1.4315013671508225"/>
    <n v="3.0162191439824904"/>
    <n v="-1.2683117953289136"/>
    <n v="0.46371179863406997"/>
    <n v="1.4020587880521518"/>
    <n v="-2.6022330000000093E-2"/>
    <n v="2.4686693845186403"/>
    <n v="2.6372640668850034"/>
    <n v="2.6319483686616074"/>
    <n v="2.6426175654796769"/>
    <n v="2.5591492173604236"/>
    <n v="-4.021315169744355E-7"/>
    <n v="2.610093571113703"/>
    <n v="-0.63785457486189578"/>
    <n v="-0.64976304000000096"/>
    <n v="0.26713984000000002"/>
    <n v="0.86139717609999988"/>
  </r>
  <r>
    <x v="12"/>
    <x v="0"/>
    <x v="2"/>
    <x v="0"/>
    <x v="1"/>
    <x v="262"/>
    <n v="254.29494999999952"/>
    <n v="-8.945718005917092"/>
    <n v="1.4532030646705385"/>
    <n v="3.128597975354408"/>
    <n v="-1.3555815627124601"/>
    <n v="0.55016721639451482"/>
    <n v="1.4225067230426047"/>
    <n v="-2.7125010000000893E-2"/>
    <n v="2.5700084163761128"/>
    <n v="2.7648960137058198"/>
    <n v="2.7967728191946373"/>
    <n v="2.732806080617145"/>
    <n v="2.6536816580668532"/>
    <n v="-3.1539726386142775E-7"/>
    <n v="2.7866430647562224"/>
    <n v="-0.60508974850145281"/>
    <n v="-0.62584460000000008"/>
    <n v="0.24916421"/>
    <n v="0.86079884640000004"/>
  </r>
  <r>
    <x v="13"/>
    <x v="0"/>
    <x v="2"/>
    <x v="0"/>
    <x v="1"/>
    <x v="263"/>
    <n v="245.24127999999837"/>
    <n v="-8.5813593586090757"/>
    <n v="1.4579947061923226"/>
    <n v="3.2288883887197972"/>
    <n v="-1.4284856192970707"/>
    <n v="0.62241621577205919"/>
    <n v="1.427357897683712"/>
    <n v="-2.7071050000000707E-2"/>
    <n v="2.6458332886907021"/>
    <n v="2.862373842319732"/>
    <n v="2.925773561158862"/>
    <n v="2.7985786399444379"/>
    <n v="2.7223197547047828"/>
    <n v="-4.6381951612772809E-7"/>
    <n v="2.9303120408890049"/>
    <n v="-0.57046967973251039"/>
    <n v="-0.60077605000000012"/>
    <n v="0.23146284999999989"/>
    <n v="0.84997478500000012"/>
  </r>
  <r>
    <x v="14"/>
    <x v="0"/>
    <x v="2"/>
    <x v="0"/>
    <x v="1"/>
    <x v="264"/>
    <n v="235.89148999999816"/>
    <n v="-8.2296084080972101"/>
    <n v="1.448055128234893"/>
    <n v="3.3163953019158088"/>
    <n v="-1.4871259329757525"/>
    <n v="0.68095694056993228"/>
    <n v="1.4185131116693839"/>
    <n v="-2.6106039999999886E-2"/>
    <n v="2.6973216118492793"/>
    <n v="2.9310867199477508"/>
    <n v="3.0206278324427904"/>
    <n v="2.8410286629182213"/>
    <n v="2.7665759302312631"/>
    <n v="-3.7893750359785372E-7"/>
    <n v="3.0414660576142838"/>
    <n v="-0.53513939859762827"/>
    <n v="-0.57552525999999959"/>
    <n v="0.21427930000000006"/>
    <n v="0.83062049650000014"/>
  </r>
  <r>
    <x v="15"/>
    <x v="0"/>
    <x v="2"/>
    <x v="0"/>
    <x v="1"/>
    <x v="265"/>
    <n v="226.57099999999991"/>
    <n v="-7.8921099652356608"/>
    <n v="1.425559956330047"/>
    <n v="3.3905451814576049"/>
    <n v="-1.5318659997219597"/>
    <n v="0.72662169417681"/>
    <n v="1.3978654437378779"/>
    <n v="-2.4478310000000669E-2"/>
    <n v="2.7259302266492647"/>
    <n v="2.9727291044949977"/>
    <n v="3.0833459396926832"/>
    <n v="2.8615252874987007"/>
    <n v="2.7880924733303614"/>
    <n v="-4.4580884539513477E-7"/>
    <n v="3.1212471955628596"/>
    <n v="-0.49984203790202075"/>
    <n v="-0.55078700999999919"/>
    <n v="0.19774314000000001"/>
    <n v="0.80429278059999998"/>
  </r>
  <r>
    <x v="16"/>
    <x v="0"/>
    <x v="2"/>
    <x v="0"/>
    <x v="1"/>
    <x v="266"/>
    <n v="217.51035999999658"/>
    <n v="-7.5693278253362468"/>
    <n v="1.3925667472552528"/>
    <n v="3.4509218091748783"/>
    <n v="-1.5632675645582461"/>
    <n v="0.76042199200228033"/>
    <n v="1.3672124315883716"/>
    <n v="-2.2416690000000294E-2"/>
    <n v="2.7333282025981287"/>
    <n v="2.9892352201287942"/>
    <n v="3.1162057264213505"/>
    <n v="2.861650925211312"/>
    <n v="2.7886315900035097"/>
    <n v="-4.3706747110405786E-7"/>
    <n v="3.1713537237096689"/>
    <n v="-0.46506155466338184"/>
    <n v="-0.52703932999999958"/>
    <n v="0.18192043999999996"/>
    <n v="0.77237965770000006"/>
  </r>
  <r>
    <x v="17"/>
    <x v="0"/>
    <x v="2"/>
    <x v="0"/>
    <x v="1"/>
    <x v="267"/>
    <n v="208.86287000000084"/>
    <n v="-7.2610361714812939"/>
    <n v="1.3509499909601486"/>
    <n v="3.4972679125938599"/>
    <n v="-1.5820435217213324"/>
    <n v="0.78343961722240341"/>
    <n v="1.3282073769197655"/>
    <n v="-2.0115329999999265E-2"/>
    <n v="2.721334215633564"/>
    <n v="2.9827132824736147"/>
    <n v="3.1216810991254285"/>
    <n v="2.8431392107971742"/>
    <n v="2.7700506003812908"/>
    <n v="-4.2849752635021332E-7"/>
    <n v="3.1938680725200674"/>
    <n v="-0.43111486809981336"/>
    <n v="-0.50458316999999897"/>
    <n v="0.16684587000000001"/>
    <n v="0.73609191149999997"/>
  </r>
  <r>
    <x v="18"/>
    <x v="0"/>
    <x v="2"/>
    <x v="0"/>
    <x v="1"/>
    <x v="268"/>
    <n v="200.71853000000192"/>
    <n v="-6.9666535458126617"/>
    <n v="1.3023741463952243"/>
    <n v="3.5294753159265335"/>
    <n v="-1.5890202388238017"/>
    <n v="0.79675555474776338"/>
    <n v="1.282340687384953"/>
    <n v="-1.7727169999999515E-2"/>
    <n v="2.691856596320541"/>
    <n v="2.9553794278984524"/>
    <n v="3.1023694138078595"/>
    <n v="2.8078174115764298"/>
    <n v="2.7342691003480191"/>
    <n v="-4.2009562495337605E-7"/>
    <n v="3.1911213969910923"/>
    <n v="-0.39820892377361305"/>
    <n v="-0.48357467999999987"/>
    <n v="0.15254116999999998"/>
    <n v="0.69646915900000006"/>
  </r>
  <r>
    <x v="19"/>
    <x v="0"/>
    <x v="2"/>
    <x v="0"/>
    <x v="1"/>
    <x v="269"/>
    <n v="193.11620000000039"/>
    <n v="-6.6854600878744179"/>
    <n v="1.2482924593576472"/>
    <n v="3.5475742664982546"/>
    <n v="-1.5851059689330538"/>
    <n v="0.80140846097263019"/>
    <n v="1.2309380692142824"/>
    <n v="-1.5364299999999498E-2"/>
    <n v="2.6468414408014285"/>
    <n v="2.9094984018450454"/>
    <n v="3.0609230318222602"/>
    <n v="2.7575551711221502"/>
    <n v="2.6832322927966779"/>
    <n v="-4.1185845844893265E-7"/>
    <n v="3.1655861275690533"/>
    <n v="-0.36647594881985546"/>
    <n v="-0.4640541600000006"/>
    <n v="0.13902416999999995"/>
    <n v="0.65439463199999992"/>
  </r>
  <r>
    <x v="20"/>
    <x v="0"/>
    <x v="2"/>
    <x v="0"/>
    <x v="1"/>
    <x v="270"/>
    <n v="186.05473999999958"/>
    <n v="-6.4167287763667646"/>
    <n v="1.1899616849753603"/>
    <n v="3.5517239871575956"/>
    <n v="-1.5712633298360479"/>
    <n v="0.79837333458780968"/>
    <n v="1.1751702183013357"/>
    <n v="-1.3102550000000657E-2"/>
    <n v="2.5882270073862124"/>
    <n v="2.8473307928737368"/>
    <n v="2.9999901645240135"/>
    <n v="2.69421945528594"/>
    <n v="2.6188742581078062"/>
    <n v="-4.0378280719011173E-7"/>
    <n v="3.1197906172290457"/>
    <n v="-0.33599697091565295"/>
    <n v="-0.44597314999999943"/>
    <n v="0.1263120900000001"/>
    <n v="0.61061424199999992"/>
  </r>
  <r>
    <x v="21"/>
    <x v="0"/>
    <x v="2"/>
    <x v="0"/>
    <x v="1"/>
    <x v="271"/>
    <n v="179.50310000000172"/>
    <n v="-6.1597960318998668"/>
    <n v="1.1284639239627303"/>
    <n v="3.5422046082919323"/>
    <n v="-1.5484852424928808"/>
    <n v="0.788554048681811"/>
    <n v="1.116066668053417"/>
    <n v="-1.0988100000000611E-2"/>
    <n v="2.5179076499799002"/>
    <n v="2.7710901508487096"/>
    <n v="2.922164229108537"/>
    <n v="2.6196378888931449"/>
    <n v="2.5430848269851314"/>
    <n v="-4.6184306379259965E-7"/>
    <n v="3.0562522727096475"/>
    <n v="-0.30681572648065814"/>
    <n v="-0.42921920999999946"/>
    <n v="0.11442156000000016"/>
    <n v="0.56575683500000007"/>
  </r>
  <r>
    <x v="22"/>
    <x v="0"/>
    <x v="2"/>
    <x v="0"/>
    <x v="1"/>
    <x v="272"/>
    <n v="173.4095699999998"/>
    <n v="-5.9140912733408051"/>
    <n v="1.0647309872413357"/>
    <n v="3.5194092960872503"/>
    <n v="-1.5177737184061679"/>
    <n v="0.77278368620912197"/>
    <n v="1.0545328043134683"/>
    <n v="-9.0445200000011106E-3"/>
    <n v="2.4377042296412466"/>
    <n v="2.6829087447532984"/>
    <n v="2.8299448911062397"/>
    <n v="2.5355707812868111"/>
    <n v="2.4576827587510008"/>
    <n v="-4.5278731874986988E-7"/>
    <n v="2.9774258439226209"/>
    <n v="-0.27895063901669515"/>
    <n v="-0.41363809000000001"/>
    <n v="0.10336727999999996"/>
    <n v="0.52035357199999999"/>
  </r>
  <r>
    <x v="23"/>
    <x v="0"/>
    <x v="2"/>
    <x v="0"/>
    <x v="1"/>
    <x v="273"/>
    <n v="167.70967000000019"/>
    <n v="-5.6791404314271654"/>
    <n v="0.99956783228138946"/>
    <n v="3.4838358643496159"/>
    <n v="-1.4801220440850194"/>
    <n v="0.75182910776885326"/>
    <n v="0.99136507351147429"/>
    <n v="-7.2793100000009825E-3"/>
    <n v="2.3493430228112455"/>
    <n v="2.5848115791477166"/>
    <n v="2.7257080213482165"/>
    <n v="2.4436885544098841"/>
    <n v="2.3643934451409887"/>
    <n v="-4.4390915387992891E-7"/>
    <n v="2.8856648057366874"/>
    <n v="-0.25240251728055885"/>
    <n v="-0.39905249000000004"/>
    <n v="9.3160110000000199E-2"/>
    <n v="0.47485519399999998"/>
  </r>
  <r>
    <x v="24"/>
    <x v="0"/>
    <x v="2"/>
    <x v="0"/>
    <x v="1"/>
    <x v="274"/>
    <n v="162.33276999999725"/>
    <n v="-5.4545547379158732"/>
    <n v="0.93367276648286257"/>
    <n v="3.4360769012309555"/>
    <n v="-1.4364996295387344"/>
    <n v="0.72639729957508781"/>
    <n v="0.92726574533945616"/>
    <n v="-5.689350000000204E-3"/>
    <n v="2.2544396955609614"/>
    <n v="2.4786983639992322"/>
    <n v="2.6116839024233895"/>
    <n v="2.3455566473489009"/>
    <n v="2.2648332001426574"/>
    <n v="-4.9737718388342955E-7"/>
    <n v="2.7831934079170173"/>
    <n v="-0.22715899725883615"/>
    <n v="-0.38527743999999947"/>
    <n v="8.3805460000000234E-2"/>
    <n v="0.42964658599999994"/>
  </r>
  <r>
    <x v="25"/>
    <x v="0"/>
    <x v="2"/>
    <x v="0"/>
    <x v="1"/>
    <x v="275"/>
    <n v="157.20736000000034"/>
    <n v="-5.2400123699658181"/>
    <n v="0.86765450317378701"/>
    <n v="3.3768087606948827"/>
    <n v="-1.3878397904049766"/>
    <n v="0.69714149640620615"/>
    <n v="0.86285437518602848"/>
    <n v="-4.2652300000001198E-3"/>
    <n v="2.1544899846099641"/>
    <n v="2.3663310343257304"/>
    <n v="2.4899435864249586"/>
    <n v="2.2426256490069907"/>
    <n v="2.1604988618102006"/>
    <n v="-4.8762469617713577E-7"/>
    <n v="2.6720879647781581"/>
    <n v="-0.20320015098850286"/>
    <n v="-0.37213211000000079"/>
    <n v="7.5302090000000169E-2"/>
    <n v="0.38505848600000009"/>
  </r>
  <r>
    <x v="26"/>
    <x v="0"/>
    <x v="2"/>
    <x v="0"/>
    <x v="1"/>
    <x v="276"/>
    <n v="152.26499999999942"/>
    <n v="-5.0352378945500149"/>
    <n v="0.80204588810641742"/>
    <n v="3.3067793534944157"/>
    <n v="-1.3350303220534876"/>
    <n v="0.66466678162460102"/>
    <n v="0.79867805388778024"/>
    <n v="-2.9944300000001034E-3"/>
    <n v="2.0508635318818413"/>
    <n v="2.2493271396224701"/>
    <n v="2.3623905710953075"/>
    <n v="2.1362254017708082"/>
    <n v="2.0527613241659415"/>
    <n v="-4.7806342218237319E-7"/>
    <n v="2.5542648856092809"/>
    <n v="-0.18050046647726248"/>
    <n v="-0.35944831000000038"/>
    <n v="6.7641360000000178E-2"/>
    <n v="0.34137651700000005"/>
  </r>
  <r>
    <x v="27"/>
    <x v="0"/>
    <x v="2"/>
    <x v="0"/>
    <x v="1"/>
    <x v="277"/>
    <n v="147.44314999999915"/>
    <n v="-4.8399832053154572"/>
    <n v="0.73731352526487104"/>
    <n v="3.2267949995640866"/>
    <n v="-1.2789062075087454"/>
    <n v="0.62953445438624911"/>
    <n v="0.73521887596021962"/>
    <n v="-1.8635500000002692E-3"/>
    <n v="1.9448023234801104"/>
    <n v="2.1291571699748157"/>
    <n v="2.2307575981178829"/>
    <n v="2.0275629530381867"/>
    <n v="1.9428632372954002"/>
    <n v="-4.1010342899383545E-7"/>
    <n v="2.4314755681715816"/>
    <n v="-0.15903167162671927"/>
    <n v="-0.34707615000000025"/>
    <n v="6.080714000000001E-2"/>
    <n v="0.29884786299999994"/>
  </r>
  <r>
    <x v="28"/>
    <x v="0"/>
    <x v="2"/>
    <x v="0"/>
    <x v="1"/>
    <x v="278"/>
    <n v="142.68693999999959"/>
    <n v="-4.6540109973598582"/>
    <n v="0.67386561955660174"/>
    <n v="3.137707325209238"/>
    <n v="-1.220244690488681"/>
    <n v="0.59226533190637198"/>
    <n v="0.67289995131118996"/>
    <n v="-8.596599999993737E-4"/>
    <n v="1.8374213145779805"/>
    <n v="2.0071451435802468"/>
    <n v="2.0966072524193802"/>
    <n v="1.9177230696459491"/>
    <n v="1.8319193233230946"/>
    <n v="-4.5949963833891161E-7"/>
    <n v="2.3053042593651485"/>
    <n v="-0.13876351729964487"/>
    <n v="-0.33488727999999995"/>
    <n v="5.4776050000000104E-2"/>
    <n v="0.25768605699999991"/>
  </r>
  <r>
    <x v="29"/>
    <x v="0"/>
    <x v="2"/>
    <x v="0"/>
    <x v="1"/>
    <x v="279"/>
    <n v="137.95006999999896"/>
    <n v="-4.4770819404240436"/>
    <n v="0.61205734012155233"/>
    <n v="3.0403998328478732"/>
    <n v="-1.1597621651424417"/>
    <n v="0.55334203040562358"/>
    <n v="0.61208984768412744"/>
    <n v="2.8990000000561622E-5"/>
    <n v="1.7297118399257627"/>
    <n v="1.8844721050213398"/>
    <n v="1.961335580795609"/>
    <n v="1.8076712471621903"/>
    <n v="1.7209196296510854"/>
    <n v="-4.5048984542717108E-7"/>
    <n v="2.1771712452701486"/>
    <n v="-0.11966511708344507"/>
    <n v="-0.32277616000000037"/>
    <n v="4.9518080000000159E-2"/>
    <n v="0.21807431300000002"/>
  </r>
  <r>
    <x v="30"/>
    <x v="0"/>
    <x v="2"/>
    <x v="0"/>
    <x v="1"/>
    <x v="280"/>
    <n v="133.1951799999988"/>
    <n v="-4.308945566463029"/>
    <n v="0.55219461646647261"/>
    <n v="2.9357754006900771"/>
    <n v="-1.0981125175075102"/>
    <n v="0.51321045434300494"/>
    <n v="0.55310625892899257"/>
    <n v="8.1257000000001245E-4"/>
    <n v="1.6225461625002824"/>
    <n v="1.7621806769962944"/>
    <n v="1.8261780570509645"/>
    <n v="1.6982581576125311"/>
    <n v="1.6107336673615524"/>
    <n v="-4.416567112031089E-7"/>
    <n v="2.0483369813253605"/>
    <n v="-0.10170594702247904"/>
    <n v="-0.31066002000000037"/>
    <n v="4.4997400000000229E-2"/>
    <n v="0.18016784200000011"/>
  </r>
  <r>
    <x v="31"/>
    <x v="0"/>
    <x v="2"/>
    <x v="0"/>
    <x v="1"/>
    <x v="281"/>
    <n v="128.39358999999968"/>
    <n v="-4.1493343361566843"/>
    <n v="0.49453740370726251"/>
    <n v="2.8247442111415166"/>
    <n v="-1.0358868946265476"/>
    <n v="0.47228097328244623"/>
    <n v="0.49621913164432652"/>
    <n v="1.499790000000778E-3"/>
    <n v="1.5166833462075591"/>
    <n v="1.6411822572908408"/>
    <n v="1.6922165000231359"/>
    <n v="1.5902249254999834"/>
    <n v="1.5021165228698008"/>
    <n v="-4.3299677177088824E-7"/>
    <n v="1.9199094048260923"/>
    <n v="-8.485516303982088E-2"/>
    <n v="-0.29847756000000031"/>
    <n v="4.11733600000002E-2"/>
    <n v="0.14409551700000001"/>
  </r>
  <r>
    <x v="32"/>
    <x v="0"/>
    <x v="2"/>
    <x v="0"/>
    <x v="1"/>
    <x v="282"/>
    <n v="123.52484000000186"/>
    <n v="-3.9979607065020462"/>
    <n v="0.43930172791075695"/>
    <n v="2.7082131444240432"/>
    <n v="-0.97361452588421438"/>
    <n v="0.43092905377397628"/>
    <n v="0.44165300002847463"/>
    <n v="2.0979800000001103E-3"/>
    <n v="1.4127763013368932"/>
    <n v="1.5222642573768264"/>
    <n v="1.5603881889084681"/>
    <n v="1.4842099440658396"/>
    <n v="1.3957157508860618"/>
    <n v="-4.7756997245684829E-7"/>
    <n v="1.7928518024753703"/>
    <n v="-6.9082694662847555E-2"/>
    <n v="-0.28618723000000124"/>
    <n v="3.8001539999999931E-2"/>
    <n v="0.10996116999999993"/>
  </r>
  <r>
    <x v="33"/>
    <x v="0"/>
    <x v="2"/>
    <x v="0"/>
    <x v="1"/>
    <x v="283"/>
    <n v="118.57589999999982"/>
    <n v="-3.8545164360645146"/>
    <n v="0.38666243424581026"/>
    <n v="2.5870760083366084"/>
    <n v="-0.91176430994995838"/>
    <n v="0.38949605091580519"/>
    <n v="0.38958980505758856"/>
    <n v="2.6134100000005378E-3"/>
    <n v="1.3113788917151536"/>
    <n v="1.4060981317413734"/>
    <n v="1.4314948122770677"/>
    <n v="1.3807556062449988"/>
    <n v="1.292078457985335"/>
    <n v="-4.6820586296902889E-7"/>
    <n v="1.6679919479629435"/>
    <n v="-5.4358869222326245E-2"/>
    <n v="-0.27376500000000081"/>
    <n v="3.5434720000000058E-2"/>
    <n v="7.7844755000000015E-2"/>
  </r>
  <r>
    <x v="34"/>
    <x v="0"/>
    <x v="2"/>
    <x v="0"/>
    <x v="1"/>
    <x v="284"/>
    <n v="113.54032000000007"/>
    <n v="-3.7186735732672394"/>
    <n v="0.33675497577025926"/>
    <n v="2.4622052491241053"/>
    <n v="-0.85074720130655646"/>
    <n v="0.34828988915445169"/>
    <n v="0.34017144785951636"/>
    <n v="3.0515600000002863E-3"/>
    <n v="1.2129533641809909"/>
    <n v="1.2932481166650245"/>
    <n v="1.3062123171908357"/>
    <n v="1.2803152828448239"/>
    <n v="1.1916590253269632"/>
    <n v="-4.590253399605615E-7"/>
    <n v="1.5460316077797298"/>
    <n v="-4.0654538140150187E-2"/>
    <n v="-0.26120204000000119"/>
    <n v="3.342391000000014E-2"/>
    <n v="4.7803512000000034E-2"/>
  </r>
  <r>
    <x v="35"/>
    <x v="0"/>
    <x v="2"/>
    <x v="0"/>
    <x v="1"/>
    <x v="285"/>
    <n v="108.41741000000184"/>
    <n v="-3.5900867508139811"/>
    <n v="0.28967802212729321"/>
    <n v="2.3344448432668585"/>
    <n v="-0.79091895289109537"/>
    <n v="0.30758607927101611"/>
    <n v="0.29350235964002991"/>
    <n v="3.4174200000000599E-3"/>
    <n v="1.1178782281178856"/>
    <n v="1.1841797880395299"/>
    <n v="1.1851010877267587"/>
    <n v="1.1832609884885326"/>
    <n v="1.0948268052413779"/>
    <n v="-4.5002483961553708E-7"/>
    <n v="1.4275565635059273"/>
    <n v="-2.7940994559272347E-2"/>
    <n v="-0.24850231000000111"/>
    <n v="3.1919199999999939E-2"/>
    <n v="1.9873232999999962E-2"/>
  </r>
  <r>
    <x v="36"/>
    <x v="0"/>
    <x v="2"/>
    <x v="0"/>
    <x v="1"/>
    <x v="286"/>
    <n v="103.21130999999878"/>
    <n v="-3.46839629074297"/>
    <n v="0.24549595579348438"/>
    <n v="2.2046045087910526"/>
    <n v="-0.73258336089867537"/>
    <n v="0.26762831604436599"/>
    <n v="0.24965217160968223"/>
    <n v="3.7156499999996262E-3"/>
    <n v="1.0264557976304989"/>
    <n v="1.0792687618773167"/>
    <n v="1.0686157216081904"/>
    <n v="1.0898904769081064"/>
    <n v="1.0018741461357505"/>
    <n v="-4.4120084252696756E-7"/>
    <n v="1.3130462233948981"/>
    <n v="-1.6190177743913292E-2"/>
    <n v="-0.23568044000000093"/>
    <n v="3.08705900000001E-2"/>
    <n v="-5.9303390000001177E-3"/>
  </r>
  <r>
    <x v="37"/>
    <x v="0"/>
    <x v="2"/>
    <x v="0"/>
    <x v="1"/>
    <x v="287"/>
    <n v="97.930140000000392"/>
    <n v="-3.3532314232507909"/>
    <n v="0.20424168154089539"/>
    <n v="2.0734548948910581"/>
    <n v="-0.67599566448801607"/>
    <n v="0.22863061566307241"/>
    <n v="0.2086591266518889"/>
    <n v="3.950819999999633E-3"/>
    <n v="0.93891934920857789"/>
    <n v="0.9788089019536983"/>
    <n v="0.95711470042803004"/>
    <n v="1.0004342319748449"/>
    <n v="0.91302364783598655"/>
    <n v="-4.3254985149232539E-7"/>
    <n v="1.202883697227386"/>
    <n v="-5.3741041034949255E-3"/>
    <n v="-0.22275955000000125"/>
    <n v="3.0228659999999991E-2"/>
    <n v="-2.9609966000000015E-2"/>
  </r>
  <r>
    <x v="38"/>
    <x v="0"/>
    <x v="2"/>
    <x v="0"/>
    <x v="1"/>
    <x v="288"/>
    <n v="92.585319999998319"/>
    <n v="-3.2442142066738011"/>
    <n v="0.16591940419357076"/>
    <n v="1.9417240443825756"/>
    <n v="-0.6213661663235559"/>
    <n v="0.19077791202994909"/>
    <n v="0.17053263660391504"/>
    <n v="4.1274699999996334E-3"/>
    <n v="0.85544057106081706"/>
    <n v="0.88302094712953139"/>
    <n v="0.85087010087547821"/>
    <n v="0.9150625247348998"/>
    <n v="0.82843551451998731"/>
    <n v="-4.7118717816374556E-7"/>
    <n v="1.0973652361646824"/>
    <n v="4.5350399379584516E-3"/>
    <n v="-0.20976951000000049"/>
    <n v="2.994515000000024E-2"/>
    <n v="-5.1185247999999996E-2"/>
  </r>
  <r>
    <x v="39"/>
    <x v="0"/>
    <x v="2"/>
    <x v="0"/>
    <x v="1"/>
    <x v="289"/>
    <n v="87.190760000001319"/>
    <n v="-3.1409631267936056"/>
    <n v="0.13050773027298845"/>
    <n v="1.8100946515485994"/>
    <n v="-0.5688638200260554"/>
    <n v="0.15422805578406695"/>
    <n v="0.13525647880725522"/>
    <n v="4.2501700000002751E-3"/>
    <n v="0.77613639090339248"/>
    <n v="0.79206002252512064"/>
    <n v="0.75007692026851647"/>
    <n v="0.83389202198134171"/>
    <n v="0.74821485491531892"/>
    <n v="-4.6194823521972239E-7"/>
    <n v="0.99670925020061141"/>
    <n v="1.3564530428578081E-2"/>
    <n v="-0.19674521999999972"/>
    <n v="2.9973449999999915E-2"/>
    <n v="-7.0690860000000022E-2"/>
  </r>
  <r>
    <x v="40"/>
    <x v="0"/>
    <x v="2"/>
    <x v="0"/>
    <x v="1"/>
    <x v="290"/>
    <n v="81.762399999999616"/>
    <n v="-3.0430965168461666"/>
    <n v="9.7962835279452598E-2"/>
    <n v="1.6792023339504913"/>
    <n v="-0.51861998479109106"/>
    <n v="0.1191135348597383"/>
    <n v="0.10279200752669748"/>
    <n v="4.323579999999938E-3"/>
    <n v="0.70107535576826585"/>
    <n v="0.70602359049276586"/>
    <n v="0.65486146546736013"/>
    <n v="0.7569917876393939"/>
    <n v="0.67241789967944499"/>
    <n v="-4.5289041405993657E-7"/>
    <n v="0.90106538596896879"/>
    <n v="2.1741851609369256E-2"/>
    <n v="-0.18372524999999973"/>
    <n v="3.0268950000000155E-2"/>
    <n v="-8.8174742000000056E-2"/>
  </r>
  <r>
    <x v="41"/>
    <x v="0"/>
    <x v="2"/>
    <x v="0"/>
    <x v="1"/>
    <x v="291"/>
    <n v="76.317530000000261"/>
    <n v="-2.9502352610516813"/>
    <n v="6.8221322330330736E-2"/>
    <n v="1.5496344736049439"/>
    <n v="-0.47073193431463878"/>
    <n v="8.554355353960208E-2"/>
    <n v="7.3081190896573389E-2"/>
    <n v="4.3523700000006049E-3"/>
    <n v="0.63028359161145797"/>
    <n v="0.62495791060730443"/>
    <n v="0.56528982025716434"/>
    <n v="0.68438952122624741"/>
    <n v="0.60105861766475144"/>
    <n v="-4.8841123367893147E-7"/>
    <n v="0.81052269406616251"/>
    <n v="2.9094381106498091E-2"/>
    <n v="-0.17075057999999949"/>
    <n v="3.0789340000000193E-2"/>
    <n v="-0.10369627100000003"/>
  </r>
  <r>
    <x v="42"/>
    <x v="0"/>
    <x v="2"/>
    <x v="0"/>
    <x v="1"/>
    <x v="292"/>
    <n v="70.874410000000353"/>
    <n v="-2.8620066616051321"/>
    <n v="4.1203288798730142E-2"/>
    <n v="1.4219298529449365"/>
    <n v="-0.42526650320688919"/>
    <n v="5.3605221271713077E-2"/>
    <n v="4.6049404733139454E-2"/>
    <n v="4.3412399999998019E-3"/>
    <n v="0.56375075137462538"/>
    <n v="0.54886530864526328"/>
    <n v="0.48137540808772528"/>
    <n v="0.61607674506121146"/>
    <n v="0.53411441937705195"/>
    <n v="-4.7883453868635684E-7"/>
    <n v="0.72511719526151541"/>
    <n v="3.5649510094426518E-2"/>
    <n v="-0.15786354999999946"/>
    <n v="3.1494850000000213E-2"/>
    <n v="-0.11732447100000001"/>
  </r>
  <r>
    <x v="43"/>
    <x v="0"/>
    <x v="2"/>
    <x v="0"/>
    <x v="1"/>
    <x v="293"/>
    <n v="65.451870000000781"/>
    <n v="-2.778046118348021"/>
    <n v="1.6815220490062899E-2"/>
    <n v="1.2965787665746964"/>
    <n v="-0.38226335504909503"/>
    <n v="2.3366049305151293E-2"/>
    <n v="2.1608388857718985E-2"/>
    <n v="4.2948400000006326E-3"/>
    <n v="0.50143505964448387"/>
    <n v="0.47770970405081048"/>
    <n v="0.40308645612960881"/>
    <n v="0.55201398496276255"/>
    <n v="0.47153128789356735"/>
    <n v="-5.1212251106491635E-7"/>
    <n v="0.64483947248801243"/>
    <n v="4.1434752042146528E-2"/>
    <n v="-0.14510699000000044"/>
    <n v="3.2348349999999915E-2"/>
    <n v="-0.12913627699999985"/>
  </r>
  <r>
    <x v="44"/>
    <x v="0"/>
    <x v="2"/>
    <x v="0"/>
    <x v="1"/>
    <x v="294"/>
    <n v="60.068909999998141"/>
    <n v="-2.6979995325175588"/>
    <n v="-5.0474283265322661E-3"/>
    <n v="1.1740236012140581"/>
    <n v="-0.34173831658180776"/>
    <n v="-5.124392638655717E-3"/>
    <n v="-3.4132825723620641E-4"/>
    <n v="4.2177399999995813E-3"/>
    <n v="0.44326825860909747"/>
    <n v="0.41142269037826029"/>
    <n v="0.33035235933009943"/>
    <n v="0.4921355820189488"/>
    <n v="0.41322909423462395"/>
    <n v="-5.0208086577185895E-7"/>
    <n v="0.56964123299669822"/>
    <n v="4.6477616848328296E-2"/>
    <n v="-0.13252343999999999"/>
    <n v="3.3315440000000057E-2"/>
    <n v="-0.13921489400000009"/>
  </r>
  <r>
    <x v="45"/>
    <x v="0"/>
    <x v="2"/>
    <x v="0"/>
    <x v="1"/>
    <x v="295"/>
    <n v="54.744469999997818"/>
    <n v="-2.6215255738153087"/>
    <n v="-2.4497587283511812E-2"/>
    <n v="1.0546598824287434"/>
    <n v="-0.30368620529221957"/>
    <n v="-3.1832757025240799E-2"/>
    <n v="-1.990778163690754E-2"/>
    <n v="4.1143199999996161E-3"/>
    <n v="0.3891599395054568"/>
    <n v="0.34990865860715648"/>
    <n v="0.26306970857790102"/>
    <n v="0.43635377890194338"/>
    <n v="0.35910576354205581"/>
    <n v="-4.9223616294113981E-7"/>
    <n v="0.49944115948619139"/>
    <n v="5.0806113125378971E-2"/>
    <n v="-0.12015452999999954"/>
    <n v="3.4364519999999926E-2"/>
    <n v="-0.14764826899999994"/>
  </r>
  <r>
    <x v="46"/>
    <x v="0"/>
    <x v="2"/>
    <x v="0"/>
    <x v="1"/>
    <x v="296"/>
    <n v="49.49706999999762"/>
    <n v="-2.5482965830598503"/>
    <n v="-4.1654546517033708E-2"/>
    <n v="0.93883748333796202"/>
    <n v="-0.26808414875970632"/>
    <n v="-5.6740232297303184E-2"/>
    <n v="-3.7205561047704006E-2"/>
    <n v="3.9888000000001811E-3"/>
    <n v="0.33900155578074909"/>
    <n v="0.29304921864337086"/>
    <n v="0.20110823054340088"/>
    <n v="0.38456259698926853"/>
    <n v="0.30904154556923302"/>
    <n v="-5.2279984785741362E-7"/>
    <n v="0.43413080100331847"/>
    <n v="5.4447944814550731E-2"/>
    <n v="-0.10804041999999958"/>
    <n v="3.5466749999999922E-2"/>
    <n v="-0.154527682"/>
  </r>
  <r>
    <x v="47"/>
    <x v="0"/>
    <x v="2"/>
    <x v="0"/>
    <x v="1"/>
    <x v="297"/>
    <n v="44.344740000000456"/>
    <n v="-2.4780003995884314"/>
    <n v="-5.6641700165271924E-2"/>
    <n v="0.82686229063775318"/>
    <n v="-0.23489360459684194"/>
    <n v="-7.9840586665380631E-2"/>
    <n v="-5.2353597465071289E-2"/>
    <n v="3.845130000000585E-3"/>
    <n v="0.29266989735625693"/>
    <n v="0.24070765357218082"/>
    <n v="0.1443151115348984"/>
    <n v="0.33664158288260193"/>
    <n v="0.26290263627095634"/>
    <n v="-5.1254887001306315E-7"/>
    <n v="0.37357964539848076"/>
    <n v="5.7431405771835031E-2"/>
    <n v="-9.6219380000001076E-2"/>
    <n v="3.6596020000000118E-2"/>
    <n v="-0.15994648499999992"/>
  </r>
  <r>
    <x v="48"/>
    <x v="0"/>
    <x v="2"/>
    <x v="0"/>
    <x v="1"/>
    <x v="298"/>
    <n v="39.304720000000088"/>
    <n v="-2.4103412731546148"/>
    <n v="-6.9584809455069951E-2"/>
    <n v="0.71899789339722187"/>
    <n v="-0.20406340910624765"/>
    <n v="-0.10113934892286292"/>
    <n v="-6.5473595958343012E-2"/>
    <n v="3.6869900000000011E-3"/>
    <n v="0.25003045926004219"/>
    <n v="0.19273271404385284"/>
    <n v="9.2520172445786919E-2"/>
    <n v="0.29245864368145913"/>
    <n v="0.22054424967350439"/>
    <n v="-5.4115264491727544E-7"/>
    <n v="0.31763917722806845"/>
    <n v="5.9784732677470309E-2"/>
    <n v="-8.472746000000031E-2"/>
    <n v="3.772888000000002E-2"/>
    <n v="-0.16399896699999997"/>
  </r>
  <r>
    <x v="49"/>
    <x v="0"/>
    <x v="2"/>
    <x v="0"/>
    <x v="1"/>
    <x v="299"/>
    <n v="34.393350000002101"/>
    <n v="-2.3450402392671821"/>
    <n v="-8.0610499100997046E-2"/>
    <n v="0.61546759248507499"/>
    <n v="-0.17553157640649575"/>
    <n v="-0.12065153754879931"/>
    <n v="-7.6688431127336365E-2"/>
    <n v="3.5177699999999756E-3"/>
    <n v="0.21094016576832519"/>
    <n v="0.14896189205702015"/>
    <n v="4.553932167805641E-2"/>
    <n v="0.25187298246767131"/>
    <n v="0.18181376130244065"/>
    <n v="-5.3054182158618346E-7"/>
    <n v="0.26614730342615633"/>
    <n v="6.1536269179573999E-2"/>
    <n v="-7.3598100000001054E-2"/>
    <n v="3.8844480000000195E-2"/>
    <n v="-0.16677937399999995"/>
  </r>
  <r>
    <x v="50"/>
    <x v="0"/>
    <x v="2"/>
    <x v="0"/>
    <x v="1"/>
    <x v="300"/>
    <n v="29.625930000001972"/>
    <n v="-2.2818359810997668"/>
    <n v="-8.9844870517197251E-2"/>
    <n v="0.51645641389119756"/>
    <n v="-0.14922752016637286"/>
    <n v="-0.1384010458406193"/>
    <n v="-8.6120709291048758E-2"/>
    <n v="3.3405299999997307E-3"/>
    <n v="0.17524984963859236"/>
    <n v="0.10922447825434389"/>
    <n v="3.1781980913470065E-3"/>
    <n v="0.21473743038173954"/>
    <n v="0.14655288762552843"/>
    <n v="-5.201390207432155E-7"/>
    <n v="0.21893168561328835"/>
    <n v="6.271470261178802E-2"/>
    <n v="-6.2861990000000201E-2"/>
    <n v="3.9924399999999999E-2"/>
    <n v="-0.16838105200000006"/>
  </r>
  <r>
    <x v="0"/>
    <x v="0"/>
    <x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2"/>
    <x v="1"/>
    <x v="0"/>
    <x v="301"/>
    <n v="21.646510000002309"/>
    <n v="-1.2805375402027419"/>
    <n v="4.8632123244107817E-2"/>
    <n v="-0.24605596805665764"/>
    <n v="-0.12135939460202749"/>
    <n v="-0.16099843354769883"/>
    <n v="6.8217858506058882E-2"/>
    <n v="1.7541189999999152E-2"/>
    <n v="0.44182284270408712"/>
    <n v="6.2381372487840814E-2"/>
    <n v="-0.70394990127065071"/>
    <n v="0.82423852860367131"/>
    <n v="0.20274196058553962"/>
    <n v="-9.8039221185786118E-8"/>
    <n v="1.3694291990296037E-2"/>
    <n v="-0.36637949859186225"/>
    <n v="-6.4654659999999198E-2"/>
    <n v="6.7815019999999809E-2"/>
    <n v="-2.7863493000000045E-2"/>
  </r>
  <r>
    <x v="2"/>
    <x v="0"/>
    <x v="2"/>
    <x v="1"/>
    <x v="0"/>
    <x v="302"/>
    <n v="39.83694000000105"/>
    <n v="-2.1123640308416847"/>
    <n v="0.11105516999918574"/>
    <n v="-0.47391913069999569"/>
    <n v="-0.27855278420134688"/>
    <n v="-0.26560375177152595"/>
    <n v="0.13309847161162569"/>
    <n v="1.9729549999999985E-2"/>
    <n v="0.47939600107707037"/>
    <n v="0.12020463271797954"/>
    <n v="-0.61110140213167519"/>
    <n v="0.84843146785040791"/>
    <n v="0.32403623575159024"/>
    <n v="-9.6116881120877906E-8"/>
    <n v="0.15836851914914352"/>
    <n v="-0.2596746145031692"/>
    <n v="-0.11333890999999929"/>
    <n v="8.7104309999999976E-2"/>
    <n v="1.3957200000001141E-4"/>
  </r>
  <r>
    <x v="3"/>
    <x v="0"/>
    <x v="2"/>
    <x v="1"/>
    <x v="0"/>
    <x v="303"/>
    <n v="47.016090000000986"/>
    <n v="-2.6096229839520313"/>
    <n v="0.15477205676215355"/>
    <n v="-0.6690656240615378"/>
    <n v="-0.43814265717131429"/>
    <n v="-0.32068167117395019"/>
    <n v="0.16337465087052916"/>
    <n v="7.6972999999994074E-3"/>
    <n v="0.52581972570333591"/>
    <n v="0.18451067051037384"/>
    <n v="-0.50953083559580614"/>
    <n v="0.87638087832320188"/>
    <n v="0.40743567669350167"/>
    <n v="-9.4232244229885964E-8"/>
    <n v="0.30802090990209585"/>
    <n v="-0.1635181599996427"/>
    <n v="-0.12767558000000012"/>
    <n v="8.3834709999999757E-2"/>
    <n v="-8.6041449999999312E-3"/>
  </r>
  <r>
    <x v="4"/>
    <x v="0"/>
    <x v="2"/>
    <x v="1"/>
    <x v="0"/>
    <x v="304"/>
    <n v="42.461719999999332"/>
    <n v="-2.900248040093456"/>
    <n v="0.16297033952621387"/>
    <n v="-0.83536671794436357"/>
    <n v="-0.58522308114663524"/>
    <n v="-0.35419402602318018"/>
    <n v="0.15328889268340085"/>
    <n v="-8.6634500000001835E-3"/>
    <n v="0.57158381071829023"/>
    <n v="0.24725327775323436"/>
    <n v="-0.40950446148189101"/>
    <n v="0.90238227788357328"/>
    <n v="0.46699277584845156"/>
    <n v="-1.8476907781561636E-7"/>
    <n v="0.43154105592948522"/>
    <n v="-9.7317685468645276E-2"/>
    <n v="-0.10930428999999936"/>
    <n v="7.1889760000000066E-2"/>
    <n v="-4.5771380999999958E-2"/>
  </r>
  <r>
    <x v="5"/>
    <x v="0"/>
    <x v="2"/>
    <x v="1"/>
    <x v="0"/>
    <x v="305"/>
    <n v="28.480309999999008"/>
    <n v="-3.0647363444485931"/>
    <n v="0.13868787706625696"/>
    <n v="-0.97844453702849998"/>
    <n v="-0.71170599354881681"/>
    <n v="-0.38182583331074493"/>
    <n v="0.11660426765243148"/>
    <n v="-1.9768720000000461E-2"/>
    <n v="0.6082092877251144"/>
    <n v="0.29960633153149896"/>
    <n v="-0.32203494351843442"/>
    <n v="0.91992732361649843"/>
    <n v="0.5066161801445368"/>
    <n v="-1.8114615363273856E-7"/>
    <n v="0.5239123257186673"/>
    <n v="-5.3699420700437095E-2"/>
    <n v="-6.6936890000000859E-2"/>
    <n v="5.8087559999999913E-2"/>
    <n v="-9.7763366000000115E-2"/>
  </r>
  <r>
    <x v="6"/>
    <x v="0"/>
    <x v="2"/>
    <x v="1"/>
    <x v="0"/>
    <x v="306"/>
    <n v="8.5471299999990151"/>
    <n v="-3.1488137718440945"/>
    <n v="9.3434453505292225E-2"/>
    <n v="-1.1010558833944861"/>
    <n v="-0.81293466320648822"/>
    <n v="-0.40858489340187543"/>
    <n v="6.7424279389571851E-2"/>
    <n v="-2.3295239999999995E-2"/>
    <n v="0.63123363567534341"/>
    <n v="0.33654417213364596"/>
    <n v="-0.25345580190789807"/>
    <n v="0.92538756367772645"/>
    <n v="0.52798227714261348"/>
    <n v="-2.6639142003404004E-7"/>
    <n v="0.58650960179620348"/>
    <n v="-2.3952014539874167E-2"/>
    <n v="-1.1119120000001315E-2"/>
    <n v="4.5287989999999792E-2"/>
    <n v="-0.15310991200000007"/>
  </r>
  <r>
    <x v="7"/>
    <x v="0"/>
    <x v="2"/>
    <x v="1"/>
    <x v="0"/>
    <x v="307"/>
    <n v="-13.809150000000955"/>
    <n v="-3.1782826712011492"/>
    <n v="3.9468219000049487E-2"/>
    <n v="-1.2037105316944241"/>
    <n v="-0.88686798287942459"/>
    <n v="-0.43415976660028388"/>
    <n v="1.6229408625334507E-2"/>
    <n v="-2.0823740000000535E-2"/>
    <n v="0.63965575543392106"/>
    <n v="0.35681780520790962"/>
    <n v="-0.20543766319862655"/>
    <n v="0.91799177750688798"/>
    <n v="0.53312609009912304"/>
    <n v="-1.7411204700223948E-7"/>
    <n v="0.62234535825356208"/>
    <n v="-2.700998280591449E-3"/>
    <n v="4.8471249999999799E-2"/>
    <n v="3.4515430000000083E-2"/>
    <n v="-0.20378979700000008"/>
  </r>
  <r>
    <x v="8"/>
    <x v="0"/>
    <x v="2"/>
    <x v="1"/>
    <x v="0"/>
    <x v="308"/>
    <n v="-35.637010000002192"/>
    <n v="-3.1684657924030746"/>
    <n v="-1.3486549540797643E-2"/>
    <n v="-1.2862462162666621"/>
    <n v="-0.9337373473536581"/>
    <n v="-0.45655480974375884"/>
    <n v="-3.0155074028370699E-2"/>
    <n v="-1.494328000000017E-2"/>
    <n v="0.63469154103577008"/>
    <n v="0.36176273223105238"/>
    <n v="-0.17644436825809962"/>
    <n v="0.8989069813142736"/>
    <n v="0.52483589377370077"/>
    <n v="-2.5604711684223957E-7"/>
    <n v="0.63516183157830142"/>
    <n v="1.2733139184284425E-2"/>
    <n v="0.10433916999999931"/>
    <n v="2.6012699999999889E-2"/>
    <n v="-0.24494817099999996"/>
  </r>
  <r>
    <x v="9"/>
    <x v="0"/>
    <x v="2"/>
    <x v="1"/>
    <x v="0"/>
    <x v="309"/>
    <n v="-54.830239999999321"/>
    <n v="-3.1293751810289372"/>
    <n v="-5.9015982491894547E-2"/>
    <n v="-1.348900483158022"/>
    <n v="-0.95561252628043603"/>
    <n v="-0.47389229738497018"/>
    <n v="-6.7844661742266776E-2"/>
    <n v="-7.9179200000001337E-3"/>
    <n v="0.61870671554973278"/>
    <n v="0.3541089702296274"/>
    <n v="-0.1632009974845583"/>
    <n v="0.87033969114149734"/>
    <n v="0.50633274289986208"/>
    <n v="-2.5102657730258215E-7"/>
    <n v="0.62917332557446137"/>
    <n v="2.3613226078200711E-2"/>
    <n v="0.15156006999999944"/>
    <n v="1.9698599999999969E-2"/>
    <n v="-0.27427744700000006"/>
  </r>
  <r>
    <x v="10"/>
    <x v="0"/>
    <x v="2"/>
    <x v="1"/>
    <x v="0"/>
    <x v="310"/>
    <n v="-70.15143999999782"/>
    <n v="-3.0683174016043813"/>
    <n v="-9.3715981964126449E-2"/>
    <n v="-1.3927207647838169"/>
    <n v="-0.95585080824879265"/>
    <n v="-0.48507374541192361"/>
    <n v="-9.5172038998581066E-2"/>
    <n v="-1.3061400000000112E-3"/>
    <n v="0.59448188303974359"/>
    <n v="0.33710424913315773"/>
    <n v="-0.16178671215970608"/>
    <n v="0.83487863504358995"/>
    <n v="0.48084895955262663"/>
    <n v="-2.4610449234074849E-7"/>
    <n v="0.6087782211668058"/>
    <n v="3.063632231417035E-2"/>
    <n v="0.18760017000000045"/>
    <n v="1.5355749999999835E-2"/>
    <n v="-0.29137805399999989"/>
  </r>
  <r>
    <x v="11"/>
    <x v="0"/>
    <x v="2"/>
    <x v="1"/>
    <x v="0"/>
    <x v="311"/>
    <n v="-81.11612999999852"/>
    <n v="-2.991116607412958"/>
    <n v="-0.1165368642738307"/>
    <n v="-1.4195309154516833"/>
    <n v="-0.93852931324769351"/>
    <n v="-0.48985896356388281"/>
    <n v="-0.11206585347811604"/>
    <n v="4.0115199999996021E-3"/>
    <n v="0.56476154704407922"/>
    <n v="0.31395356670358421"/>
    <n v="-0.16833370113219503"/>
    <n v="0.79507505540292733"/>
    <n v="0.45131268563636251"/>
    <n v="-3.217052180204405E-7"/>
    <n v="0.57823161205330376"/>
    <n v="3.4336992270866951E-2"/>
    <n v="0.21185452000000021"/>
    <n v="1.2709710000000096E-2"/>
    <n v="-0.29717193299999989"/>
  </r>
  <r>
    <x v="12"/>
    <x v="0"/>
    <x v="2"/>
    <x v="1"/>
    <x v="0"/>
    <x v="312"/>
    <n v="-87.815660000000207"/>
    <n v="-2.9026417898411427"/>
    <n v="-0.12808054927335721"/>
    <n v="-1.4316883589216123"/>
    <n v="-0.90794653330534825"/>
    <n v="-0.48869649898177769"/>
    <n v="-0.11952257837745117"/>
    <n v="7.678980000000446E-3"/>
    <n v="0.5320025732190814"/>
    <n v="0.28750077514791972"/>
    <n v="-0.17942012333879154"/>
    <n v="0.75320297872725206"/>
    <n v="0.42017176916919752"/>
    <n v="-2.3654795899830106E-7"/>
    <n v="0.54136577618186799"/>
    <n v="3.5224125649979676E-2"/>
    <n v="0.22509684999999918"/>
    <n v="1.1466450000000017E-2"/>
    <n v="-0.29339145499999997"/>
  </r>
  <r>
    <x v="13"/>
    <x v="0"/>
    <x v="2"/>
    <x v="1"/>
    <x v="0"/>
    <x v="313"/>
    <n v="-90.72961000000214"/>
    <n v="-2.8070084972374398"/>
    <n v="-0.12997026716353721"/>
    <n v="-1.4317888633578413"/>
    <n v="-0.86823669791246116"/>
    <n v="-0.48248032755237036"/>
    <n v="-0.11916118667453235"/>
    <n v="9.6989300000002721E-3"/>
    <n v="0.498250614258966"/>
    <n v="0.26007852090219608"/>
    <n v="-0.19225388404102706"/>
    <n v="0.71114044704256862"/>
    <n v="0.38932816728272091"/>
    <n v="-3.0921302185404898E-7"/>
    <n v="0.50140970619714231"/>
    <n v="3.3801021951251897E-2"/>
    <n v="0.22895547000000016"/>
    <n v="1.1333059999999937E-2"/>
    <n v="-0.28215743800000004"/>
  </r>
  <r>
    <x v="14"/>
    <x v="0"/>
    <x v="2"/>
    <x v="1"/>
    <x v="0"/>
    <x v="314"/>
    <n v="-90.556440000000293"/>
    <n v="-2.7076455864345261"/>
    <n v="-0.12433482521420069"/>
    <n v="-1.422402869411632"/>
    <n v="-0.82310619459502465"/>
    <n v="-0.47231741562390184"/>
    <n v="-0.11286467021677238"/>
    <n v="1.0291530000000604E-2"/>
    <n v="0.46509964071674847"/>
    <n v="0.23346484059032502"/>
    <n v="-0.20471955028834588"/>
    <n v="0.67033181798090702"/>
    <n v="0.36014994120792121"/>
    <n v="-2.2736250659960433E-7"/>
    <n v="0.46091254425744133"/>
    <n v="3.054779560476284E-2"/>
    <n v="0.22547227000000031"/>
    <n v="1.2030279999999949E-2"/>
    <n v="-0.26565434300000001"/>
  </r>
  <r>
    <x v="15"/>
    <x v="0"/>
    <x v="2"/>
    <x v="1"/>
    <x v="0"/>
    <x v="315"/>
    <n v="-88.076100000002043"/>
    <n v="-2.6073209696268029"/>
    <n v="-0.11341609698169997"/>
    <n v="-1.4058785601150592"/>
    <n v="-0.77568092050238624"/>
    <n v="-0.45934207953451933"/>
    <n v="-0.10250953691193221"/>
    <n v="9.7847299999995196E-3"/>
    <n v="0.43370326932024028"/>
    <n v="0.20890758124392228"/>
    <n v="-0.21534268303983195"/>
    <n v="0.631800952191508"/>
    <n v="0.33352623432165718"/>
    <n v="-2.9720588212711618E-7"/>
    <n v="0.4217516799462917"/>
    <n v="2.5902098224017678E-2"/>
    <n v="0.2167659200000005"/>
    <n v="1.3300490000000068E-2"/>
    <n v="-0.24590223999999999"/>
  </r>
  <r>
    <x v="16"/>
    <x v="0"/>
    <x v="2"/>
    <x v="1"/>
    <x v="0"/>
    <x v="316"/>
    <n v="-84.048759999997856"/>
    <n v="-2.5081694836830537"/>
    <n v="-9.929858075852227E-2"/>
    <n v="-1.3842188014614121"/>
    <n v="-0.72844455538920716"/>
    <n v="-0.4445864571330449"/>
    <n v="-8.9783915953733917E-2"/>
    <n v="8.534929999999552E-3"/>
    <n v="0.40481933688663041"/>
    <n v="0.1871876275483686"/>
    <n v="-0.22320847148096234"/>
    <n v="0.59619625643712038"/>
    <n v="0.30994669999870883"/>
    <n v="-2.1853374665425918E-7"/>
    <n v="0.38519790368387596"/>
    <n v="2.0248182089899203E-2"/>
    <n v="0.20479898999999913"/>
    <n v="1.491269999999989E-2"/>
    <n v="-0.22461764699999998"/>
  </r>
  <r>
    <x v="17"/>
    <x v="0"/>
    <x v="2"/>
    <x v="1"/>
    <x v="0"/>
    <x v="317"/>
    <n v="-79.148130000001402"/>
    <n v="-2.4117389956775703"/>
    <n v="-8.3744783193739902E-2"/>
    <n v="-1.359024594855196"/>
    <n v="-0.68324492637736878"/>
    <n v="-0.42890523252476775"/>
    <n v="-7.6080786505006159E-2"/>
    <n v="6.8739200000000888E-3"/>
    <n v="0.37886980865298181"/>
    <n v="0.16870112262061809"/>
    <n v="-0.22785792116374326"/>
    <n v="0.56385140990351523"/>
    <n v="0.28958649103583145"/>
    <n v="-2.1424875207287641E-7"/>
    <n v="0.35201175479686597"/>
    <n v="1.391294749701899E-2"/>
    <n v="0.19123753999999993"/>
    <n v="1.6665719999999981E-2"/>
    <n v="-0.20314877499999998"/>
  </r>
  <r>
    <x v="18"/>
    <x v="0"/>
    <x v="2"/>
    <x v="1"/>
    <x v="0"/>
    <x v="318"/>
    <n v="-73.924699999999575"/>
    <n v="-2.3190565510376127"/>
    <n v="-6.8120112035163771E-2"/>
    <n v="-1.331491499507842"/>
    <n v="-0.64134714861819875"/>
    <n v="-0.41294475520917695"/>
    <n v="-6.2457725743414461E-2"/>
    <n v="5.0779599999994929E-3"/>
    <n v="0.35601038661505768"/>
    <n v="0.15354698091656349"/>
    <n v="-0.22918050689202385"/>
    <n v="0.53485356566846942"/>
    <n v="0.27239035266335421"/>
    <n v="-2.1004781247668802E-7"/>
    <n v="0.32255111277532666"/>
    <n v="7.1679277822367382E-3"/>
    <n v="0.17738608999999933"/>
    <n v="1.8389820000000098E-2"/>
    <n v="-0.18246773399999988"/>
  </r>
  <r>
    <x v="19"/>
    <x v="0"/>
    <x v="2"/>
    <x v="1"/>
    <x v="0"/>
    <x v="319"/>
    <n v="-68.792639999999665"/>
    <n v="-2.2307099038034184"/>
    <n v="-5.3383001846873945E-2"/>
    <n v="-1.3024438783270309"/>
    <n v="-0.60351479201105063"/>
    <n v="-0.39714536190962324"/>
    <n v="-4.9642366649071956E-2"/>
    <n v="3.3541299999995111E-3"/>
    <n v="0.33619765421128989"/>
    <n v="0.14161059666277787"/>
    <n v="-0.22731278097546381"/>
    <n v="0.50910928761298546"/>
    <n v="0.25814704485764839"/>
    <n v="-2.0592922922446633E-7"/>
    <n v="0.29687564072280459"/>
    <n v="2.3344941437741795E-4"/>
    <n v="0.16417925000000028"/>
    <n v="1.9947320000000129E-2"/>
    <n v="-0.16320199799999996"/>
  </r>
  <r>
    <x v="20"/>
    <x v="0"/>
    <x v="2"/>
    <x v="1"/>
    <x v="0"/>
    <x v="320"/>
    <n v="-64.034090000001015"/>
    <n v="-2.1469363036946021"/>
    <n v="-4.0121598635678435E-2"/>
    <n v="-1.2723922216107186"/>
    <n v="-0.57010397812436997"/>
    <n v="-0.38176558492312163"/>
    <n v="-3.8069908514959394E-2"/>
    <n v="1.8394500000004643E-3"/>
    <n v="0.31925147573812485"/>
    <n v="0.13263733292310231"/>
    <n v="-0.22255020586694485"/>
    <n v="0.48640402781847669"/>
    <n v="0.24655240168429682"/>
    <n v="-2.0189140359505586E-7"/>
    <n v="0.27483992612957753"/>
    <n v="-6.7159425307772302E-3"/>
    <n v="0.1522119200000005"/>
    <n v="2.1232070000000089E-2"/>
    <n v="-0.14568895100000001"/>
  </r>
  <r>
    <x v="21"/>
    <x v="0"/>
    <x v="2"/>
    <x v="1"/>
    <x v="0"/>
    <x v="321"/>
    <n v="-59.814590000001772"/>
    <n v="-2.0677111226513167"/>
    <n v="-2.8616109861023808E-2"/>
    <n v="-1.2416008520252042"/>
    <n v="-0.54115886539983782"/>
    <n v="-0.36691812774911625"/>
    <n v="-2.7937601555383385E-2"/>
    <n v="6.082099999998869E-4"/>
    <n v="0.3049078056755139"/>
    <n v="0.12629323086348343"/>
    <n v="-0.21527574338195965"/>
    <n v="0.46645200073178739"/>
    <n v="0.2372587480824917"/>
    <n v="-1.9793274796953142E-7"/>
    <n v="0.25617070339565284"/>
    <n v="-1.354609580711541E-2"/>
    <n v="0.1417924600000009"/>
    <n v="2.2167860000000053E-2"/>
    <n v="-0.13004037499999999"/>
  </r>
  <r>
    <x v="22"/>
    <x v="0"/>
    <x v="2"/>
    <x v="1"/>
    <x v="0"/>
    <x v="322"/>
    <n v="-56.204720000001544"/>
    <n v="-1.9928297574373643"/>
    <n v="-1.891230729881288E-2"/>
    <n v="-1.2101568430363585"/>
    <n v="-0.5165005318704341"/>
    <n v="-0.35260958644541818"/>
    <n v="-1.9264776822047747E-2"/>
    <n v="-3.1590999999969727E-4"/>
    <n v="0.29286103020265131"/>
    <n v="0.12221215004006858"/>
    <n v="-0.20590568229436057"/>
    <n v="0.44893604467919346"/>
    <n v="0.22991201370736736"/>
    <n v="-1.9405170803565852E-7"/>
    <n v="0.24052718842633158"/>
    <n v="-2.0156567244289381E-2"/>
    <n v="0.13300581000000034"/>
    <n v="2.2705959999999928E-2"/>
    <n v="-0.11620706500000011"/>
  </r>
  <r>
    <x v="23"/>
    <x v="0"/>
    <x v="2"/>
    <x v="1"/>
    <x v="0"/>
    <x v="323"/>
    <n v="-53.203539999998611"/>
    <n v="-1.9219782430003884"/>
    <n v="-1.0894701703367815E-2"/>
    <n v="-1.1780329318298199"/>
    <n v="-0.49580429665050385"/>
    <n v="-0.33877838837060859"/>
    <n v="-1.1950454787090781E-2"/>
    <n v="-9.4625999999958799E-4"/>
    <n v="0.28279567950182383"/>
    <n v="0.12002941712316861"/>
    <n v="-0.1948506832620045"/>
    <n v="0.43353637982663784"/>
    <n v="0.22417639932597044"/>
    <n v="-2.5366236888757498E-7"/>
    <n v="0.22754519209933211"/>
    <n v="-2.6476170037736946E-2"/>
    <n v="0.12577708999999965"/>
    <n v="2.2821950000000146E-2"/>
    <n v="-0.10403708499999997"/>
  </r>
  <r>
    <x v="24"/>
    <x v="0"/>
    <x v="2"/>
    <x v="1"/>
    <x v="0"/>
    <x v="324"/>
    <n v="-50.761309999998048"/>
    <n v="-1.854790216061486"/>
    <n v="-4.3509700997534928E-3"/>
    <n v="-1.1451405582963536"/>
    <n v="-0.47866294336286197"/>
    <n v="-0.32532740035661201"/>
    <n v="-5.8237014928019804E-3"/>
    <n v="-1.3199800000002204E-3"/>
    <n v="0.27440846646444861"/>
    <n v="0.11940335224291942"/>
    <n v="-0.18249148301404672"/>
    <n v="0.41994986048734528"/>
    <n v="0.21974969762779129"/>
    <n v="-2.4868859194171478E-7"/>
    <n v="0.21686713290771653"/>
    <n v="-3.2457284178522006E-2"/>
    <n v="0.11992953999999945"/>
    <n v="2.2511999999999879E-2"/>
    <n v="-9.3324049000000076E-2"/>
  </r>
  <r>
    <x v="25"/>
    <x v="0"/>
    <x v="2"/>
    <x v="1"/>
    <x v="0"/>
    <x v="325"/>
    <n v="-48.799159999998665"/>
    <n v="-1.7908897802721091"/>
    <n v="9.750891069915113E-4"/>
    <n v="-1.1113710407994803"/>
    <n v="-0.46463546299344571"/>
    <n v="-0.31214935952951217"/>
    <n v="-6.8367589399764839E-4"/>
    <n v="-1.4866099999996663E-3"/>
    <n v="0.26742185542101282"/>
    <n v="0.12002863583335799"/>
    <n v="-0.169165113378833"/>
    <n v="0.40790195867612677"/>
    <n v="0.21636998793903572"/>
    <n v="-2.4381235919079813E-7"/>
    <n v="0.20816046229341634"/>
    <n v="-3.8071573522813207E-2"/>
    <n v="0.11523264999999949"/>
    <n v="2.1788979999999916E-2"/>
    <n v="-8.38440250000001E-2"/>
  </r>
  <r>
    <x v="26"/>
    <x v="0"/>
    <x v="2"/>
    <x v="1"/>
    <x v="0"/>
    <x v="326"/>
    <n v="-47.225210000000516"/>
    <n v="-1.7299208664010579"/>
    <n v="5.3439938568988765E-3"/>
    <n v="-1.076625144153065"/>
    <n v="-0.45328221151164083"/>
    <n v="-0.29914484958275533"/>
    <n v="3.6712266289429252E-3"/>
    <n v="-1.4991399999997324E-3"/>
    <n v="0.26159122773403709"/>
    <n v="0.12164108759717962"/>
    <n v="-0.15515990707689609"/>
    <n v="0.39715184917101798"/>
    <n v="0.21381769215431667"/>
    <n v="-2.3903171664230172E-7"/>
    <n v="0.20112715148310478"/>
    <n v="-4.3305247894798171E-2"/>
    <n v="0.11143948999999959"/>
    <n v="2.06785000000001E-2"/>
    <n v="-7.538135200000004E-2"/>
  </r>
  <r>
    <x v="27"/>
    <x v="0"/>
    <x v="2"/>
    <x v="1"/>
    <x v="0"/>
    <x v="327"/>
    <n v="-45.946429999999964"/>
    <n v="-1.6715652084800192"/>
    <n v="8.9944534044095192E-3"/>
    <n v="-1.0408316483470959"/>
    <n v="-0.4441881126870717"/>
    <n v="-0.2862334075621642"/>
    <n v="7.4237160768486632E-3"/>
    <n v="-1.407609999999615E-3"/>
    <n v="0.25670693679833434"/>
    <n v="0.12401803069879147"/>
    <n v="-0.14071574327459979"/>
    <n v="0.38749378341786933"/>
    <n v="0.21191303829415364"/>
    <n v="-1.7575861877006105E-7"/>
    <n v="0.19550698044177306"/>
    <n v="-4.8155883327283266E-2"/>
    <n v="0.10831299999999877"/>
    <n v="1.9215280000000126E-2"/>
    <n v="-6.7744622000000088E-2"/>
  </r>
  <r>
    <x v="28"/>
    <x v="0"/>
    <x v="2"/>
    <x v="1"/>
    <x v="0"/>
    <x v="328"/>
    <n v="-44.876759999999194"/>
    <n v="-1.615550678070532"/>
    <n v="1.2128046489734423E-2"/>
    <n v="-1.003957074940065"/>
    <n v="-0.43697636101680537"/>
    <n v="-0.27335879660167484"/>
    <n v="1.0727338803095954E-2"/>
    <n v="-1.2552200000001679E-3"/>
    <n v="0.25259309863359114"/>
    <n v="0.12697531637024806"/>
    <n v="-0.12602857472494566"/>
    <n v="0.37875469864949718"/>
    <n v="0.21051143223334012"/>
    <n v="-2.297498191694558E-7"/>
    <n v="0.19107667494404623"/>
    <n v="-5.2629148860761088E-2"/>
    <n v="0.10564266999999877"/>
    <n v="1.7439810000000056E-2"/>
    <n v="-6.0774690000000089E-2"/>
  </r>
  <r>
    <x v="29"/>
    <x v="0"/>
    <x v="2"/>
    <x v="1"/>
    <x v="0"/>
    <x v="329"/>
    <n v="-43.941939999996976"/>
    <n v="-1.5616530213302671"/>
    <n v="1.4903088123263686E-2"/>
    <n v="-0.96600845558175719"/>
    <n v="-0.43131460402514588"/>
    <n v="-0.26048983475973619"/>
    <n v="1.3701948048461254E-2"/>
    <n v="-1.076340000000231E-3"/>
    <n v="0.24910444111168051"/>
    <n v="0.13036246956268371"/>
    <n v="-0.1112557874261344"/>
    <n v="0.37079109576685365"/>
    <n v="0.20949816234325791"/>
    <n v="-2.2524491161135529E-7"/>
    <n v="0.18764650801632587"/>
    <n v="-5.6736343202756778E-2"/>
    <n v="0.1032531199999992"/>
    <n v="1.539556999999997E-2"/>
    <n v="-5.4346708000000028E-2"/>
  </r>
  <r>
    <x v="30"/>
    <x v="0"/>
    <x v="2"/>
    <x v="1"/>
    <x v="0"/>
    <x v="330"/>
    <n v="-43.081569999998464"/>
    <n v="-1.5096926658837329"/>
    <n v="1.7434920847758661E-2"/>
    <n v="-0.92703128688811365"/>
    <n v="-0.42691604287704576"/>
    <n v="-0.2476183557020617"/>
    <n v="1.6434825835620614E-2"/>
    <n v="-8.9612999999988396E-4"/>
    <n v="0.24612197970490524"/>
    <n v="0.13405733094629113"/>
    <n v="-9.6523466637055133E-2"/>
    <n v="0.36348407980040243"/>
    <n v="0.20878244438073956"/>
    <n v="-2.2082835560155445E-7"/>
    <n v="0.18505564599251567"/>
    <n v="-6.0491979255905548E-2"/>
    <n v="0.1010066599999998"/>
    <n v="1.3126689999999955E-2"/>
    <n v="-4.8368088999999927E-2"/>
  </r>
  <r>
    <x v="31"/>
    <x v="0"/>
    <x v="2"/>
    <x v="1"/>
    <x v="0"/>
    <x v="331"/>
    <n v="-42.249360000001616"/>
    <n v="-1.4595288464376743"/>
    <n v="1.9800018643434392E-2"/>
    <n v="-0.88710430627915171"/>
    <n v="-0.42353682610930532"/>
    <n v="-0.23475516815715247"/>
    <n v="1.8984027041479834E-2"/>
    <n v="-7.311900000001037E-4"/>
    <n v="0.24354867009857006"/>
    <n v="0.13796062040580814"/>
    <n v="-8.1932082613567214E-2"/>
    <n v="0.35673548836476776"/>
    <n v="0.20829228659222654"/>
    <n v="-2.1649838588544412E-7"/>
    <n v="0.18316747048452431"/>
    <n v="-6.3912629267126597E-2"/>
    <n v="9.8801659999998848E-2"/>
    <n v="1.0676269999999877E-2"/>
    <n v="-4.2774049000000001E-2"/>
  </r>
  <r>
    <x v="32"/>
    <x v="0"/>
    <x v="2"/>
    <x v="1"/>
    <x v="0"/>
    <x v="332"/>
    <n v="-41.412019999999757"/>
    <n v="-1.4110524431500737"/>
    <n v="2.2043435744500961E-2"/>
    <n v="-0.84633295451602697"/>
    <n v="-0.42097182688434209"/>
    <n v="-0.22192536662112294"/>
    <n v="2.1383963383114768E-2"/>
    <n v="-5.9089999999983878E-4"/>
    <n v="0.24130512270412741"/>
    <n v="0.14199110405261894"/>
    <n v="-6.7562407588950268E-2"/>
    <n v="0.35046334443622484"/>
    <n v="0.20796999588752474"/>
    <n v="-2.1225331492402688E-7"/>
    <n v="0.18186534768449558"/>
    <n v="-6.7015510736090356E-2"/>
    <n v="9.6568239999998695E-2"/>
    <n v="8.0850300000000902E-3"/>
    <n v="-3.7522052999999951E-2"/>
  </r>
  <r>
    <x v="33"/>
    <x v="0"/>
    <x v="2"/>
    <x v="1"/>
    <x v="0"/>
    <x v="333"/>
    <n v="-40.547429999998712"/>
    <n v="-1.3641787789757776"/>
    <n v="2.4185587702207911E-2"/>
    <n v="-0.80484213895919421"/>
    <n v="-0.41904930630580761"/>
    <n v="-0.20916349502749787"/>
    <n v="2.3651010884639945E-2"/>
    <n v="-4.7895999999991723E-4"/>
    <n v="0.23932581586452173"/>
    <n v="0.14608147525072557"/>
    <n v="-5.3480085418022849E-2"/>
    <n v="0.34459857291022633"/>
    <n v="0.20776842909644433"/>
    <n v="-2.0809149958722628E-7"/>
    <n v="0.18104896567665563"/>
    <n v="-6.9817559233054105E-2"/>
    <n v="9.4262809999999531E-2"/>
    <n v="5.3905899999998064E-3"/>
    <n v="-3.2586119000000031E-2"/>
  </r>
  <r>
    <x v="34"/>
    <x v="0"/>
    <x v="2"/>
    <x v="1"/>
    <x v="0"/>
    <x v="334"/>
    <n v="-39.642459999999119"/>
    <n v="-1.3188409059247563"/>
    <n v="2.6230226391188438E-2"/>
    <n v="-0.76276968326081107"/>
    <n v="-0.41762561817242361"/>
    <n v="-0.19650928425769543"/>
    <n v="2.5789390241737209E-2"/>
    <n v="-3.9500999999969588E-4"/>
    <n v="0.2375558181006987"/>
    <n v="0.15017519176721006"/>
    <n v="-3.9739150400253109E-2"/>
    <n v="0.33908202449255409"/>
    <n v="0.20764837857811802"/>
    <n v="-2.5501407652228636E-7"/>
    <n v="0.18063068842921748"/>
    <n v="-7.2334926190587012E-2"/>
    <n v="9.1862229999999101E-2"/>
    <n v="2.6269100000000239E-3"/>
    <n v="-2.7951610000000009E-2"/>
  </r>
  <r>
    <x v="35"/>
    <x v="0"/>
    <x v="2"/>
    <x v="1"/>
    <x v="0"/>
    <x v="335"/>
    <n v="-38.690890000001673"/>
    <n v="-1.2749840292282766"/>
    <n v="2.8170351640199875E-2"/>
    <n v="-0.72026036860290965"/>
    <n v="-0.41658022102847303"/>
    <n v="-0.18400430113381105"/>
    <n v="2.7795221215631827E-2"/>
    <n v="-3.3611000000016711E-4"/>
    <n v="0.23594892945379975"/>
    <n v="0.15422426641822362"/>
    <n v="-2.6384606971197044E-2"/>
    <n v="0.3338624363845355"/>
    <n v="0.20757651268641375"/>
    <n v="-2.0001104106270873E-7"/>
    <n v="0.18053383022909042"/>
    <n v="-7.4582712479498436E-2"/>
    <n v="8.9358349999998921E-2"/>
    <n v="-1.7580999999988745E-4"/>
    <n v="-2.3610881999999896E-2"/>
  </r>
  <r>
    <x v="36"/>
    <x v="0"/>
    <x v="2"/>
    <x v="1"/>
    <x v="0"/>
    <x v="336"/>
    <n v="-37.691450000002078"/>
    <n v="-1.2325610187807978"/>
    <n v="2.9993649979553894E-2"/>
    <n v="-0.67746123480364462"/>
    <n v="-0.4158113924216944"/>
    <n v="-0.17168856385234577"/>
    <n v="2.9661154248272759E-2"/>
    <n v="-2.9789000000057797E-4"/>
    <n v="0.23446500623403033"/>
    <n v="0.15818692144935476"/>
    <n v="-1.3454811603452743E-2"/>
    <n v="0.32889458364344648"/>
    <n v="0.20752366566469949"/>
    <n v="-1.9608927814829258E-7"/>
    <n v="0.18069054661036255"/>
    <n v="-7.6574363149006786E-2"/>
    <n v="8.6753349999998952E-2"/>
    <n v="-2.9911100000001856E-3"/>
    <n v="-1.9559911999999895E-2"/>
  </r>
  <r>
    <x v="37"/>
    <x v="0"/>
    <x v="2"/>
    <x v="1"/>
    <x v="0"/>
    <x v="337"/>
    <n v="-36.646179999999731"/>
    <n v="-1.1915293403984784"/>
    <n v="3.1686059359481433E-2"/>
    <n v="-0.63451796304937469"/>
    <n v="-0.41523270651049327"/>
    <n v="-0.15959983876278061"/>
    <n v="3.1378530570269625E-2"/>
    <n v="-2.7556999999955867E-4"/>
    <n v="0.23306929094282225"/>
    <n v="0.16202687301700713"/>
    <n v="-9.821284354782911E-4"/>
    <n v="0.32413814162493004"/>
    <n v="0.20746440729415561"/>
    <n v="-1.9224438707610148E-7"/>
    <n v="0.18104085733638975"/>
    <n v="-7.8322237891970126E-2"/>
    <n v="8.4055859999999927E-2"/>
    <n v="-5.7960999999998736E-3"/>
    <n v="-1.5795904999999985E-2"/>
  </r>
  <r>
    <x v="38"/>
    <x v="0"/>
    <x v="2"/>
    <x v="1"/>
    <x v="0"/>
    <x v="338"/>
    <n v="-35.559150000000955"/>
    <n v="-1.1518484037254639"/>
    <n v="3.3234701098816544E-2"/>
    <n v="-0.59157218912814225"/>
    <n v="-0.41477006864945043"/>
    <n v="-0.14777119060397359"/>
    <n v="3.2939434500378617E-2"/>
    <n v="-2.6454999999953044E-4"/>
    <n v="0.23173108351353111"/>
    <n v="0.16571229288329103"/>
    <n v="1.1005707584632596E-2"/>
    <n v="0.31955693560146159"/>
    <n v="0.20737598335451857"/>
    <n v="-2.3559358908187278E-7"/>
    <n v="0.18153110049052845"/>
    <n v="-7.9837172925578681E-2"/>
    <n v="8.1278199999999801E-2"/>
    <n v="-8.5710999999998733E-3"/>
    <n v="-1.2315755000000088E-2"/>
  </r>
  <r>
    <x v="39"/>
    <x v="0"/>
    <x v="2"/>
    <x v="1"/>
    <x v="0"/>
    <x v="339"/>
    <n v="-34.43550999999934"/>
    <n v="-1.1134790204238465"/>
    <n v="3.4629031791544307E-2"/>
    <n v="-0.54875989345843923"/>
    <n v="-0.4143595624188201"/>
    <n v="-0.13623174344218336"/>
    <n v="3.4337932490036138E-2"/>
    <n v="-2.6077999999984947E-4"/>
    <n v="0.23042305309661781"/>
    <n v="0.16921500595838967"/>
    <n v="2.2485144918538147E-2"/>
    <n v="0.31511834952009377"/>
    <n v="0.20723824147559355"/>
    <n v="-2.3097410650763095E-7"/>
    <n v="0.1821140903966123"/>
    <n v="-8.1128663906926413E-2"/>
    <n v="7.8434279999999024E-2"/>
    <n v="-1.1299379999999901E-2"/>
    <n v="-9.1152060000000354E-3"/>
  </r>
  <r>
    <x v="40"/>
    <x v="0"/>
    <x v="2"/>
    <x v="1"/>
    <x v="0"/>
    <x v="340"/>
    <n v="-33.280920000001061"/>
    <n v="-1.0763819382964446"/>
    <n v="3.5861579598028825E-2"/>
    <n v="-0.50621033207932653"/>
    <n v="-0.41394582323570628"/>
    <n v="-0.12500577994913886"/>
    <n v="3.5570190882205921E-2"/>
    <n v="-2.6104000000054528E-4"/>
    <n v="0.22912097418481547"/>
    <n v="0.17251062341647749"/>
    <n v="3.3436536928976857E-2"/>
    <n v="0.3107929217190275"/>
    <n v="0.20703319166679446"/>
    <n v="-2.2644520702996829E-7"/>
    <n v="0.18274769542461211"/>
    <n v="-8.2205247289746097E-2"/>
    <n v="7.5538339999998982E-2"/>
    <n v="-1.3966740000000144E-2"/>
    <n v="-6.1885339999999747E-3"/>
  </r>
  <r>
    <x v="41"/>
    <x v="0"/>
    <x v="2"/>
    <x v="1"/>
    <x v="0"/>
    <x v="341"/>
    <n v="-32.101020000001881"/>
    <n v="-1.0405179180786428"/>
    <n v="3.6928196257779433E-2"/>
    <n v="-0.46404553056300646"/>
    <n v="-0.41348025953231726"/>
    <n v="-0.11411352650825268"/>
    <n v="3.6634710905092405E-2"/>
    <n v="-2.6291999999927818E-4"/>
    <n v="0.22780321230571055"/>
    <n v="0.17557766570799327"/>
    <n v="4.3843521717779055E-2"/>
    <n v="0.30655410637245861"/>
    <n v="0.20674500687498654"/>
    <n v="-2.2200510318981515E-7"/>
    <n v="0.18339495221468827"/>
    <n v="-8.3074121730930539E-2"/>
    <n v="7.2604159999999085E-2"/>
    <n v="-1.6561199999999901E-2"/>
    <n v="-3.5285750000000823E-3"/>
  </r>
  <r>
    <x v="42"/>
    <x v="0"/>
    <x v="2"/>
    <x v="1"/>
    <x v="0"/>
    <x v="342"/>
    <n v="-30.901319999997213"/>
    <n v="-1.0058479004052767"/>
    <n v="3.7827657266586989E-2"/>
    <n v="-0.42238016886897434"/>
    <n v="-0.41292097053798882"/>
    <n v="-0.10357127313482817"/>
    <n v="3.7532125021733087E-2"/>
    <n v="-2.6476000000025257E-4"/>
    <n v="0.22645043065316894"/>
    <n v="0.17839764327076679"/>
    <n v="5.3693240487029392E-2"/>
    <n v="0.30237770009531317"/>
    <n v="0.2063596216153929"/>
    <n v="-2.6118247564710373E-7"/>
    <n v="0.18402335971965389"/>
    <n v="-8.3742157842403575E-2"/>
    <n v="6.9644749999998867E-2"/>
    <n v="-1.9072679999999897E-2"/>
    <n v="-1.1269639999998693E-3"/>
  </r>
  <r>
    <x v="43"/>
    <x v="0"/>
    <x v="2"/>
    <x v="1"/>
    <x v="0"/>
    <x v="343"/>
    <n v="-29.687040000000707"/>
    <n v="-0.97233314858442554"/>
    <n v="3.856099388130918E-2"/>
    <n v="-0.38132163848693112"/>
    <n v="-0.4122309993337514"/>
    <n v="-9.3392250040957858E-2"/>
    <n v="3.8264542163912729E-2"/>
    <n v="-2.6558000000009852E-4"/>
    <n v="0.22504561892298103"/>
    <n v="0.18095490141611936"/>
    <n v="6.297553337648587E-2"/>
    <n v="0.29824234935145189"/>
    <n v="0.2058649241195587"/>
    <n v="-2.5606124998134305E-7"/>
    <n v="0.18460456668634162"/>
    <n v="-8.4215092484551946E-2"/>
    <n v="6.6672159999998926E-2"/>
    <n v="-2.1492689999999884E-2"/>
    <n v="1.0255359999999242E-3"/>
  </r>
  <r>
    <x v="44"/>
    <x v="0"/>
    <x v="2"/>
    <x v="1"/>
    <x v="0"/>
    <x v="344"/>
    <n v="-28.463089999997464"/>
    <n v="-0.93993555142354301"/>
    <n v="3.9131179447293718E-2"/>
    <n v="-0.3409701949211863"/>
    <n v="-0.4113782558603285"/>
    <n v="-8.3586601994056764E-2"/>
    <n v="3.8835513865076443E-2"/>
    <n v="-2.6488999999990659E-4"/>
    <n v="0.22357356381266236"/>
    <n v="0.18323592510904874"/>
    <n v="7.1683259398769295E-2"/>
    <n v="0.29412848019227944"/>
    <n v="0.20525024743092146"/>
    <n v="-2.5104042178369923E-7"/>
    <n v="0.18511368087046343"/>
    <n v="-8.4498591590376204E-2"/>
    <n v="6.3697579999999476E-2"/>
    <n v="-2.3814100000000074E-2"/>
    <n v="2.938700000000051E-3"/>
  </r>
  <r>
    <x v="45"/>
    <x v="0"/>
    <x v="2"/>
    <x v="1"/>
    <x v="0"/>
    <x v="345"/>
    <n v="-27.234099999997852"/>
    <n v="-0.90861747891133327"/>
    <n v="3.9542411151960444E-2"/>
    <n v="-0.30141916035504313"/>
    <n v="-0.41033483288070993"/>
    <n v="-7.4162663500243475E-2"/>
    <n v="3.9249330399093729E-2"/>
    <n v="-2.6256000000002278E-4"/>
    <n v="0.22202090565373034"/>
    <n v="0.18522986222557769"/>
    <n v="7.9811540363095013E-2"/>
    <n v="0.29001886036081892"/>
    <n v="0.20450644577121313"/>
    <n v="-2.461180814705699E-7"/>
    <n v="0.18552933626243551"/>
    <n v="-8.4597606005909487E-2"/>
    <n v="6.0731449999999743E-2"/>
    <n v="-2.6030930000000077E-2"/>
    <n v="4.6225340000000809E-3"/>
  </r>
  <r>
    <x v="46"/>
    <x v="0"/>
    <x v="2"/>
    <x v="1"/>
    <x v="0"/>
    <x v="346"/>
    <n v="-26.004499999999098"/>
    <n v="-0.8783426959009355"/>
    <n v="3.9799570302134768E-2"/>
    <n v="-0.26275514830569335"/>
    <n v="-0.40907638325197171"/>
    <n v="-6.5126684343908003E-2"/>
    <n v="3.9510784175078584E-2"/>
    <n v="-2.5869000000039444E-4"/>
    <n v="0.22037597950330667"/>
    <n v="0.18692768771733093"/>
    <n v="8.7357803036902659E-2"/>
    <n v="0.28589796127107547"/>
    <n v="0.20362575397872007"/>
    <n v="-2.8150761721690287E-7"/>
    <n v="0.18583270537071428"/>
    <n v="-8.4517224009827974E-2"/>
    <n v="5.7783499999999877E-2"/>
    <n v="-2.8138169999999962E-2"/>
    <n v="6.0870499999999064E-3"/>
  </r>
  <r>
    <x v="47"/>
    <x v="0"/>
    <x v="2"/>
    <x v="1"/>
    <x v="0"/>
    <x v="347"/>
    <n v="-24.778470000001107"/>
    <n v="-0.84907607315115596"/>
    <n v="3.9908082314887849E-2"/>
    <n v="-0.22505822334646375"/>
    <n v="-0.40758214345882893"/>
    <n v="-5.6483212081581691E-2"/>
    <n v="3.9625129099096768E-2"/>
    <n v="-2.5352999999950221E-4"/>
    <n v="0.21862842915012504"/>
    <n v="0.18832220307247738"/>
    <n v="9.4321568721378313E-2"/>
    <n v="0.28175209462024675"/>
    <n v="0.20260149918287507"/>
    <n v="-2.759878547919925E-7"/>
    <n v="0.18600768722394356"/>
    <n v="-8.4262233985299417E-2"/>
    <n v="5.4862940000000027E-2"/>
    <n v="-3.0131660000000046E-2"/>
    <n v="7.3421080000000277E-3"/>
  </r>
  <r>
    <x v="48"/>
    <x v="0"/>
    <x v="2"/>
    <x v="1"/>
    <x v="0"/>
    <x v="348"/>
    <n v="-23.560020000000804"/>
    <n v="-0.8207832523506764"/>
    <n v="3.9873553117431015E-2"/>
    <n v="-0.18840198331975255"/>
    <n v="-0.40583385785669668"/>
    <n v="-4.823604444678109E-2"/>
    <n v="3.9597462284457485E-2"/>
    <n v="-2.4732999999999006E-4"/>
    <n v="0.21676947860951312"/>
    <n v="0.18940806609897276"/>
    <n v="0.10070406298317014"/>
    <n v="0.27756909986698108"/>
    <n v="0.20142814884798188"/>
    <n v="-2.7057632800975284E-7"/>
    <n v="0.18604022473194259"/>
    <n v="-8.3837519587681708E-2"/>
    <n v="5.1978459999998949E-2"/>
    <n v="-3.2007960000000196E-2"/>
    <n v="8.3973390000000384E-3"/>
  </r>
  <r>
    <x v="49"/>
    <x v="0"/>
    <x v="2"/>
    <x v="1"/>
    <x v="0"/>
    <x v="349"/>
    <n v="-22.352979999999661"/>
    <n v="-0.79343162320389959"/>
    <n v="3.9701576776685066E-2"/>
    <n v="-0.15285371589119912"/>
    <n v="-0.40381636187215575"/>
    <n v="-4.0387003007225086E-2"/>
    <n v="3.9433250089171423E-2"/>
    <n v="-2.4037000000004527E-4"/>
    <n v="0.21479129356627435"/>
    <n v="0.19018131562462681"/>
    <n v="0.10650827758178494"/>
    <n v="0.27333821229691413"/>
    <n v="0.20010104547811824"/>
    <n v="-2.6527091634420685E-7"/>
    <n v="0.18591834586181299"/>
    <n v="-8.3248027558180393E-2"/>
    <n v="4.9138259999999268E-2"/>
    <n v="-3.3764249999999885E-2"/>
    <n v="9.2621129999999677E-3"/>
  </r>
  <r>
    <x v="50"/>
    <x v="0"/>
    <x v="2"/>
    <x v="1"/>
    <x v="0"/>
    <x v="350"/>
    <n v="-21.1610299999993"/>
    <n v="-0.76698941865145365"/>
    <n v="3.9397726071133121E-2"/>
    <n v="-0.11847439270816773"/>
    <n v="-0.40151656770972544"/>
    <n v="-3.2937614962869066E-2"/>
    <n v="3.9137780142373124E-2"/>
    <n v="-2.3286000000038998E-4"/>
    <n v="0.21268734009189938"/>
    <n v="0.19063950089923676"/>
    <n v="0.11173868201306281"/>
    <n v="0.26904997730492486"/>
    <n v="0.19861642749552377"/>
    <n v="-2.6006952147383799E-7"/>
    <n v="0.18563154606734411"/>
    <n v="-8.2499046757977812E-2"/>
    <n v="4.6350059999999971E-2"/>
    <n v="-3.5398320000000136E-2"/>
    <n v="9.9455709999999795E-3"/>
  </r>
  <r>
    <x v="0"/>
    <x v="0"/>
    <x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2"/>
    <x v="1"/>
    <x v="1"/>
    <x v="351"/>
    <n v="25.97642000000269"/>
    <n v="-1.2319328389871931"/>
    <n v="5.6696538190470491E-2"/>
    <n v="-0.22577238327313731"/>
    <n v="-3.7477469295144061E-2"/>
    <n v="-0.16289956129038607"/>
    <n v="8.0078550027939954E-2"/>
    <n v="2.0938789999999652E-2"/>
    <n v="0.44567754858266806"/>
    <n v="6.7159215620415935E-2"/>
    <n v="-0.69848019539364703"/>
    <n v="0.82827156781541955"/>
    <n v="0.20877303901101207"/>
    <n v="-9.8039221185786118E-8"/>
    <n v="1.6639952938590774E-2"/>
    <n v="-0.3693270701455531"/>
    <n v="-7.7585619999999411E-2"/>
    <n v="9.0328610000000101E-2"/>
    <n v="-1.6297927000000038E-2"/>
  </r>
  <r>
    <x v="2"/>
    <x v="0"/>
    <x v="2"/>
    <x v="1"/>
    <x v="1"/>
    <x v="352"/>
    <n v="53.29008000000249"/>
    <n v="-1.9922069404502474"/>
    <n v="0.13919342557924264"/>
    <n v="-0.41530783140996119"/>
    <n v="-8.8009387446008613E-2"/>
    <n v="-0.26018434362844456"/>
    <n v="0.16968226171116818"/>
    <n v="2.7278480000000882E-2"/>
    <n v="0.49359813485811976"/>
    <n v="0.1378081505787998"/>
    <n v="-0.59068425491985987"/>
    <n v="0.86306660816697356"/>
    <n v="0.34465253715429967"/>
    <n v="-9.6116881120877906E-8"/>
    <n v="0.1704048001873737"/>
    <n v="-0.26894776438318724"/>
    <n v="-0.15232955000000076"/>
    <n v="0.13765335000000023"/>
    <n v="3.4464390999999935E-2"/>
  </r>
  <r>
    <x v="3"/>
    <x v="0"/>
    <x v="2"/>
    <x v="1"/>
    <x v="1"/>
    <x v="353"/>
    <n v="73.201539999998204"/>
    <n v="-2.4119714444958307"/>
    <n v="0.21457178095412033"/>
    <n v="-0.5608365651417424"/>
    <n v="-0.14237087508551793"/>
    <n v="-0.29939097195299524"/>
    <n v="0.2348341062113235"/>
    <n v="1.8116940000000026E-2"/>
    <n v="0.55787526939510279"/>
    <n v="0.22410978766818079"/>
    <n v="-0.46326073594760153"/>
    <n v="0.90905401974155087"/>
    <n v="0.45093968298213216"/>
    <n v="-1.8846447735754168E-7"/>
    <n v="0.33757924969952668"/>
    <n v="-0.18146981191378142"/>
    <n v="-0.20166553000000031"/>
    <n v="0.16219875000000017"/>
    <n v="5.6364764999999956E-2"/>
  </r>
  <r>
    <x v="4"/>
    <x v="0"/>
    <x v="2"/>
    <x v="1"/>
    <x v="1"/>
    <x v="354"/>
    <n v="83.341449999999895"/>
    <n v="-2.6280814148050613"/>
    <n v="0.26303605531938778"/>
    <n v="-0.67233762414330434"/>
    <n v="-0.19644785490938732"/>
    <n v="-0.31045416613743049"/>
    <n v="0.26596667724070322"/>
    <n v="2.6195199999995422E-3"/>
    <n v="0.62884689119206971"/>
    <n v="0.31771034874541471"/>
    <n v="-0.32681318247193003"/>
    <n v="0.96027597524399599"/>
    <n v="0.54063240223640729"/>
    <n v="-1.8476907781561636E-7"/>
    <n v="0.48801608817063968"/>
    <n v="-0.12496626425562152"/>
    <n v="-0.2223465299999991"/>
    <n v="0.17544713000000012"/>
    <n v="5.3950941999999974E-2"/>
  </r>
  <r>
    <x v="5"/>
    <x v="0"/>
    <x v="2"/>
    <x v="1"/>
    <x v="1"/>
    <x v="355"/>
    <n v="84.401010000001406"/>
    <n v="-2.7258743468444924"/>
    <n v="0.28362580538743298"/>
    <n v="-0.76031388137736133"/>
    <n v="-0.24780847395592387"/>
    <n v="-0.3112812901195916"/>
    <n v="0.27297321997237223"/>
    <n v="-9.5210800000009033E-3"/>
    <n v="0.69708013744782527"/>
    <n v="0.40852508036444135"/>
    <n v="-0.19386334645341563"/>
    <n v="1.0092208776247835"/>
    <n v="0.61625842628767469"/>
    <n v="-2.7171924710245321E-7"/>
    <n v="0.61636909392503991"/>
    <n v="-9.0905975083444002E-2"/>
    <n v="-0.21872061000000054"/>
    <n v="0.18301120000000018"/>
    <n v="3.7359321999999931E-2"/>
  </r>
  <r>
    <x v="6"/>
    <x v="0"/>
    <x v="2"/>
    <x v="1"/>
    <x v="1"/>
    <x v="356"/>
    <n v="78.479660000000877"/>
    <n v="-2.7538407931500197"/>
    <n v="0.28382931106678555"/>
    <n v="-0.8313047287028863"/>
    <n v="-0.29475262220207687"/>
    <n v="-0.30921220815838257"/>
    <n v="0.26649527520017369"/>
    <n v="-1.5493810000000163E-2"/>
    <n v="0.75662105514651135"/>
    <n v="0.48964233643231658"/>
    <n v="-7.3015577724522274E-2"/>
    <n v="1.0507586444755468"/>
    <n v="0.67784360860159154"/>
    <n v="-2.6639142003404004E-7"/>
    <n v="0.72263885173571296"/>
    <n v="-6.9722932728066844E-2"/>
    <n v="-0.19786408999999949"/>
    <n v="0.1871454900000003"/>
    <n v="1.518338900000013E-2"/>
  </r>
  <r>
    <x v="7"/>
    <x v="0"/>
    <x v="2"/>
    <x v="1"/>
    <x v="1"/>
    <x v="357"/>
    <n v="68.062440000001516"/>
    <n v="-2.7392348285441459"/>
    <n v="0.27242618668068541"/>
    <n v="-0.88856039367520845"/>
    <n v="-0.33612191565416394"/>
    <n v="-0.3061473124929992"/>
    <n v="0.25420851547715007"/>
    <n v="-1.6285690000000796E-2"/>
    <n v="0.80465833546556897"/>
    <n v="0.55757228945396697"/>
    <n v="3.1364454912985451E-2"/>
    <n v="1.0823260282490255"/>
    <n v="0.72555418861841581"/>
    <n v="-2.6116805385001385E-7"/>
    <n v="0.80774868538737721"/>
    <n v="-5.5479287102344621E-2"/>
    <n v="-0.16699225999999984"/>
    <n v="0.18868634000000009"/>
    <n v="-6.7287699999999881E-3"/>
  </r>
  <r>
    <x v="8"/>
    <x v="0"/>
    <x v="2"/>
    <x v="1"/>
    <x v="1"/>
    <x v="358"/>
    <n v="55.421760000001086"/>
    <n v="-2.697809952941177"/>
    <n v="0.25648818195354028"/>
    <n v="-0.93363016182933523"/>
    <n v="-0.37125726615984123"/>
    <n v="-0.30194488873844794"/>
    <n v="0.24090943342292004"/>
    <n v="-1.3928500000000288E-2"/>
    <n v="0.84048001715104625"/>
    <n v="0.61129711293073097"/>
    <n v="0.11799470181685923"/>
    <n v="1.1031979230038624"/>
    <n v="0.76021778291819331"/>
    <n v="-3.4139615578965277E-7"/>
    <n v="0.87297130336654316"/>
    <n v="-4.5180006779721449E-2"/>
    <n v="-0.13214527999999975"/>
    <n v="0.18801335000000025"/>
    <n v="-2.4952630000000045E-2"/>
  </r>
  <r>
    <x v="9"/>
    <x v="0"/>
    <x v="2"/>
    <x v="1"/>
    <x v="1"/>
    <x v="359"/>
    <n v="42.338369999997667"/>
    <n v="-2.6391685708101686"/>
    <n v="0.24069383231053454"/>
    <n v="-0.96750259297962993"/>
    <n v="-0.39993818527381819"/>
    <n v="-0.29608010582888866"/>
    <n v="0.22924859305728518"/>
    <n v="-1.0233989999999804E-2"/>
    <n v="0.86457854675330292"/>
    <n v="0.65129230733551591"/>
    <n v="0.18746171190962002"/>
    <n v="1.1137538882521447"/>
    <n v="0.78316225968211306"/>
    <n v="-3.3470209936936612E-7"/>
    <n v="0.91996829055254192"/>
    <n v="-3.7447716793215235E-2"/>
    <n v="-9.7717629999999334E-2"/>
    <n v="0.18542489000000009"/>
    <n v="-3.7897869000000015E-2"/>
  </r>
  <r>
    <x v="10"/>
    <x v="0"/>
    <x v="2"/>
    <x v="1"/>
    <x v="1"/>
    <x v="360"/>
    <n v="30.034739999999147"/>
    <n v="-2.5695529956003216"/>
    <n v="0.22759102416511912"/>
    <n v="-0.99116377827068725"/>
    <n v="-0.42229033470413402"/>
    <n v="-0.28827505227971839"/>
    <n v="0.22038873904937084"/>
    <n v="-6.4407000000002435E-3"/>
    <n v="0.87805381062344701"/>
    <n v="0.67881179958735327"/>
    <n v="0.24132317054472718"/>
    <n v="1.1149530893055593"/>
    <n v="0.79594211433740014"/>
    <n v="-4.1017415020050407E-7"/>
    <n v="0.95074014367129145"/>
    <n v="-3.1630498990387057E-2"/>
    <n v="-6.648932000000024E-2"/>
    <n v="0.18124473000000024"/>
    <n v="-4.5258286000000002E-2"/>
  </r>
  <r>
    <x v="11"/>
    <x v="0"/>
    <x v="2"/>
    <x v="1"/>
    <x v="1"/>
    <x v="361"/>
    <n v="19.227170000001934"/>
    <n v="-2.4932723213205499"/>
    <n v="0.21813102273309237"/>
    <n v="-1.0057665781893377"/>
    <n v="-0.43868326590739137"/>
    <n v="-0.27863042911319136"/>
    <n v="0.2145047983884929"/>
    <n v="-3.2429700000002892E-3"/>
    <n v="0.8822577301528689"/>
    <n v="0.69543643420042489"/>
    <n v="0.28153500960688138"/>
    <n v="1.1080059194467307"/>
    <n v="0.80012904303894405"/>
    <n v="-4.8255782703066075E-7"/>
    <n v="0.96746856449532181"/>
    <n v="-2.7357616158818487E-2"/>
    <n v="-3.9898730000000049E-2"/>
    <n v="0.17582697000000022"/>
    <n v="-4.7554607999999998E-2"/>
  </r>
  <r>
    <x v="12"/>
    <x v="0"/>
    <x v="2"/>
    <x v="1"/>
    <x v="1"/>
    <x v="362"/>
    <n v="10.23008999999729"/>
    <n v="-2.4134329164979929"/>
    <n v="0.21220388396692158"/>
    <n v="-1.0126055004774925"/>
    <n v="-0.44963776033668523"/>
    <n v="-0.26755334482793103"/>
    <n v="0.21116440279340676"/>
    <n v="-9.2959000000114589E-4"/>
    <n v="0.87859499663234253"/>
    <n v="0.70281195533625773"/>
    <n v="0.31012090863096198"/>
    <n v="1.0941836170358155"/>
    <n v="0.79719072498636301"/>
    <n v="-3.9424657982678468E-7"/>
    <n v="0.97234075485490568"/>
    <n v="-2.436482709022858E-2"/>
    <n v="-1.8391510000000111E-2"/>
    <n v="0.16953161"/>
    <n v="-4.5770009999999972E-2"/>
  </r>
  <r>
    <x v="13"/>
    <x v="0"/>
    <x v="2"/>
    <x v="1"/>
    <x v="1"/>
    <x v="363"/>
    <n v="3.0717199999999139"/>
    <n v="-2.3323211691139489"/>
    <n v="0.20908869109188544"/>
    <n v="-1.0130218863719676"/>
    <n v="-0.45575148826090262"/>
    <n v="-0.25562513898755856"/>
    <n v="0.20961997740467364"/>
    <n v="4.751499999997022E-4"/>
    <n v="0.86841522665164206"/>
    <n v="0.70250837774574748"/>
    <n v="0.32899622433057996"/>
    <n v="1.0747124058507085"/>
    <n v="0.78843705003999176"/>
    <n v="-4.6381951612772809E-7"/>
    <n v="0.96741323173183957"/>
    <n v="-2.2439874809376814E-2"/>
    <n v="-1.7547800000003444E-3"/>
    <n v="0.16269809000000018"/>
    <n v="-4.1071607999999989E-2"/>
  </r>
  <r>
    <x v="14"/>
    <x v="0"/>
    <x v="2"/>
    <x v="1"/>
    <x v="1"/>
    <x v="364"/>
    <n v="-2.400710000001709"/>
    <n v="-2.251615192745815"/>
    <n v="0.20779863509925445"/>
    <n v="-1.0083036182492955"/>
    <n v="-0.45764512662777035"/>
    <n v="-0.2434729579721906"/>
    <n v="0.20902675261482706"/>
    <n v="1.0983199999994864E-3"/>
    <n v="0.85295877921018892"/>
    <n v="0.69595208417032595"/>
    <n v="0.33988731726257715"/>
    <n v="1.0507197482614306"/>
    <n v="0.77500701339439093"/>
    <n v="-4.5472501319920866E-7"/>
    <n v="0.95453235251221624"/>
    <n v="-2.1411049864705767E-2"/>
    <n v="1.0603470000000725E-2"/>
    <n v="0.15562481000000011"/>
    <n v="-3.4611032999999972E-2"/>
  </r>
  <r>
    <x v="15"/>
    <x v="0"/>
    <x v="2"/>
    <x v="1"/>
    <x v="1"/>
    <x v="365"/>
    <n v="-6.4355700000014622"/>
    <n v="-2.1725139102571789"/>
    <n v="0.20732520720385672"/>
    <n v="-0.99960685140688676"/>
    <n v="-0.45592624450183639"/>
    <n v="-0.23167033554857275"/>
    <n v="0.20859591736475114"/>
    <n v="1.1364400000005159E-3"/>
    <n v="0.83333202996167532"/>
    <n v="0.68440015157322787"/>
    <n v="0.34430433038485919"/>
    <n v="1.0232104834890121"/>
    <n v="0.75787650685847918"/>
    <n v="-5.2011029927356844E-7"/>
    <n v="0.93530462622843924"/>
    <n v="-2.1142596834244909E-2"/>
    <n v="1.9442370000000153E-2"/>
    <n v="0.14855686000000007"/>
    <n v="-2.73956819999999E-2"/>
  </r>
  <r>
    <x v="16"/>
    <x v="0"/>
    <x v="2"/>
    <x v="1"/>
    <x v="1"/>
    <x v="366"/>
    <n v="-9.3135500000025786"/>
    <n v="-2.0958272004829914"/>
    <n v="0.20679409806274585"/>
    <n v="-0.98790766355968396"/>
    <n v="-0.45116745562656657"/>
    <n v="-0.22067322408736434"/>
    <n v="0.20768831715827218"/>
    <n v="7.9979999999951756E-4"/>
    <n v="0.81050180685446893"/>
    <n v="0.66893979978359663"/>
    <n v="0.34354495038109167"/>
    <n v="0.99306132638421474"/>
    <n v="0.73787692510598468"/>
    <n v="-5.0991205702288767E-7"/>
    <n v="0.91110111758465617"/>
    <n v="-2.152904904477726E-2"/>
    <n v="2.5540810000000691E-2"/>
    <n v="0.14168103000000015"/>
    <n v="-2.0219674000000049E-2"/>
  </r>
  <r>
    <x v="17"/>
    <x v="0"/>
    <x v="2"/>
    <x v="1"/>
    <x v="1"/>
    <x v="367"/>
    <n v="-11.305219999998371"/>
    <n v="-2.0220484851178"/>
    <n v="0.20554797362430932"/>
    <n v="-0.97398204139684808"/>
    <n v="-0.44389493468669494"/>
    <n v="-0.21078920597441542"/>
    <n v="0.20585898670042457"/>
    <n v="2.7815000000069867E-4"/>
    <n v="0.78530057715917589"/>
    <n v="0.65050010836451566"/>
    <n v="0.33871358908350579"/>
    <n v="0.9610262737648867"/>
    <n v="0.71571557689367182"/>
    <n v="-4.9991378814340237E-7"/>
    <n v="0.88308152994078792"/>
    <n v="-2.2487327714504346E-2"/>
    <n v="2.9605670000000528E-2"/>
    <n v="0.13512710000000011"/>
    <n v="-1.3641642000000037E-2"/>
  </r>
  <r>
    <x v="18"/>
    <x v="0"/>
    <x v="2"/>
    <x v="1"/>
    <x v="1"/>
    <x v="368"/>
    <n v="-12.646029999999882"/>
    <n v="-1.9514186296248237"/>
    <n v="0.20317354415801958"/>
    <n v="-0.95840878661648254"/>
    <n v="-0.43458409142751453"/>
    <n v="-0.2021735697872562"/>
    <n v="0.20286317510502805"/>
    <n v="-2.7759999999960039E-4"/>
    <n v="0.75843867694931344"/>
    <n v="0.62987086170944728"/>
    <n v="0.33074709445519712"/>
    <n v="0.92774827545409888"/>
    <n v="0.69199649327980062"/>
    <n v="-4.9011155134337514E-7"/>
    <n v="0.8522258746349376"/>
    <n v="-2.3948797265138655E-2"/>
    <n v="3.2224029999999848E-2"/>
    <n v="0.12897350000000002"/>
    <n v="-7.9959190000001082E-3"/>
  </r>
  <r>
    <x v="19"/>
    <x v="0"/>
    <x v="2"/>
    <x v="1"/>
    <x v="1"/>
    <x v="369"/>
    <n v="-13.524910000000091"/>
    <n v="-1.8839845931338139"/>
    <n v="0.19948803759872735"/>
    <n v="-0.94158886721802393"/>
    <n v="-0.4236597452002111"/>
    <n v="-0.19484444989277261"/>
    <n v="0.19863639593373783"/>
    <n v="-7.6177999999982315E-4"/>
    <n v="0.73051855628949447"/>
    <n v="0.6077233011022587"/>
    <n v="0.32044145833551863"/>
    <n v="0.8937734813375009"/>
    <n v="0.66723870144929087"/>
    <n v="-4.8050153855783151E-7"/>
    <n v="0.81936636963051424"/>
    <n v="-2.5852840671314326E-2"/>
    <n v="3.3847470000000768E-2"/>
    <n v="0.12325589000000033"/>
    <n v="-3.4246389999999238E-3"/>
  </r>
  <r>
    <x v="20"/>
    <x v="0"/>
    <x v="2"/>
    <x v="1"/>
    <x v="1"/>
    <x v="370"/>
    <n v="-14.082459999997809"/>
    <n v="-1.8196527423499198"/>
    <n v="0.19450266070752953"/>
    <n v="-0.9237742503737767"/>
    <n v="-0.4114989359583654"/>
    <n v="-0.18870922891498498"/>
    <n v="0.19325929636015982"/>
    <n v="-1.1121399999994286E-3"/>
    <n v="0.70205035379706793"/>
    <n v="0.58462863293602396"/>
    <n v="0.30847626110395154"/>
    <n v="0.85956508112017271"/>
    <n v="0.64189082202661396"/>
    <n v="-4.7107993061956677E-7"/>
    <n v="0.78521550799364181"/>
    <n v="-2.8142732192826259E-2"/>
    <n v="3.47979499999998E-2"/>
    <n v="0.11797679000000033"/>
    <n v="7.9839999999990752E-5"/>
  </r>
  <r>
    <x v="21"/>
    <x v="0"/>
    <x v="2"/>
    <x v="1"/>
    <x v="1"/>
    <x v="371"/>
    <n v="-14.415389999998297"/>
    <n v="-1.7582359458892971"/>
    <n v="0.18837364911226118"/>
    <n v="-0.90510095136637769"/>
    <n v="-0.39843506723624689"/>
    <n v="-0.18359613073175574"/>
    <n v="0.18691671473998195"/>
    <n v="-1.3033299999992698E-3"/>
    <n v="0.67346536963961423"/>
    <n v="0.56107486869836354"/>
    <n v="0.29543434709282668"/>
    <n v="0.82551591857566997"/>
    <n v="0.61634316773191422"/>
    <n v="-4.6184306379259965E-7"/>
    <n v="0.75038847990880342"/>
    <n v="-3.0762717632515368E-2"/>
    <n v="3.5286169999999839E-2"/>
    <n v="0.11311528000000001"/>
    <n v="2.6302420000000673E-3"/>
  </r>
  <r>
    <x v="22"/>
    <x v="0"/>
    <x v="2"/>
    <x v="1"/>
    <x v="1"/>
    <x v="372"/>
    <n v="-14.584230000000389"/>
    <n v="-1.6994932631868909"/>
    <n v="0.18135145113540307"/>
    <n v="-0.88562168587743573"/>
    <n v="-0.38476208524739208"/>
    <n v="-0.17928533949514991"/>
    <n v="0.17985592508762416"/>
    <n v="-1.337949999999366E-3"/>
    <n v="0.64512885489227401"/>
    <n v="0.53748022095605474"/>
    <n v="0.28181858084730393"/>
    <n v="0.79195963402567404"/>
    <n v="0.5909360342833736"/>
    <n v="-4.5278731874986988E-7"/>
    <n v="0.7154197359233061"/>
    <n v="-3.3657521757834985E-2"/>
    <n v="3.5435729999999666E-2"/>
    <n v="0.10863563000000007"/>
    <n v="4.4029509999999814E-3"/>
  </r>
  <r>
    <x v="23"/>
    <x v="0"/>
    <x v="2"/>
    <x v="1"/>
    <x v="1"/>
    <x v="373"/>
    <n v="-14.622299999999086"/>
    <n v="-1.6431617326153281"/>
    <n v="0.1737347682862378"/>
    <n v="-0.86533547100529074"/>
    <n v="-0.37073863831531551"/>
    <n v="-0.17553698157908304"/>
    <n v="0.17235176105097061"/>
    <n v="-1.2373299999993148E-3"/>
    <n v="0.61734875352266183"/>
    <n v="0.51420246896505262"/>
    <n v="0.2680625875739695"/>
    <n v="0.75917848480053784"/>
    <n v="0.56596544614297972"/>
    <n v="-5.0732472667291972E-7"/>
    <n v="0.68077434835829287"/>
    <n v="-3.6772630412773566E-2"/>
    <n v="3.5307889999999786E-2"/>
    <n v="0.10449455000000017"/>
    <n v="5.6031200000000725E-3"/>
  </r>
  <r>
    <x v="24"/>
    <x v="0"/>
    <x v="2"/>
    <x v="1"/>
    <x v="1"/>
    <x v="374"/>
    <n v="-14.544420000001992"/>
    <n v="-1.5889801307405804"/>
    <n v="0.16583207864973026"/>
    <n v="-0.84421219754698962"/>
    <n v="-0.35659143183380815"/>
    <n v="-0.17211358368859342"/>
    <n v="0.16467744753958513"/>
    <n v="-1.0331700000004718E-3"/>
    <n v="0.59038330234948422"/>
    <n v="0.49154662115420411"/>
    <n v="0.25453861952033918"/>
    <n v="0.72740990977928632"/>
    <n v="0.54168690522939933"/>
    <n v="-4.9737718388342955E-7"/>
    <n v="0.64685546766718449"/>
    <n v="-4.0054081939278063E-2"/>
    <n v="3.4924070000000307E-2"/>
    <n v="0.10064659000000031"/>
    <n v="6.4377280000001494E-3"/>
  </r>
  <r>
    <x v="25"/>
    <x v="0"/>
    <x v="2"/>
    <x v="1"/>
    <x v="1"/>
    <x v="375"/>
    <n v="-14.354279999999562"/>
    <n v="-1.5367054407836034"/>
    <n v="0.15793341000247541"/>
    <n v="-0.82221159190563053"/>
    <n v="-0.34251807381641131"/>
    <n v="-0.16879669444861412"/>
    <n v="0.15708327412595757"/>
    <n v="-7.6073000000037583E-4"/>
    <n v="0.56444691675310299"/>
    <n v="0.46976934018341243"/>
    <n v="0.24156354331912322"/>
    <n v="0.69685049220002959"/>
    <n v="0.51831743816819209"/>
    <n v="-4.8762469617713577E-7"/>
    <n v="0.6140088504792196"/>
    <n v="-4.3450356865282203E-2"/>
    <n v="3.4284190000000159E-2"/>
    <n v="9.7048090000000087E-2"/>
    <n v="7.0966610000000596E-3"/>
  </r>
  <r>
    <x v="26"/>
    <x v="0"/>
    <x v="2"/>
    <x v="1"/>
    <x v="1"/>
    <x v="376"/>
    <n v="-14.050489999997808"/>
    <n v="-1.4861228571088292"/>
    <n v="0.15029099399728185"/>
    <n v="-0.7992968337198203"/>
    <n v="-0.32868928184136559"/>
    <n v="-0.1653975238441685"/>
    <n v="0.14978383656276684"/>
    <n v="-4.5390999999922466E-4"/>
    <n v="0.53971352860744393"/>
    <n v="0.44908250318436149"/>
    <n v="0.22940178191903637"/>
    <n v="0.66765961515762307"/>
    <n v="0.49603717599990826"/>
    <n v="-5.3782135411850618E-7"/>
    <n v="0.58252592910603695"/>
    <n v="-4.6912315289293627E-2"/>
    <n v="3.3380350000000725E-2"/>
    <n v="9.3659470000000133E-2"/>
    <n v="7.7410689999999824E-3"/>
  </r>
  <r>
    <x v="27"/>
    <x v="0"/>
    <x v="2"/>
    <x v="1"/>
    <x v="1"/>
    <x v="377"/>
    <n v="-13.630659999998898"/>
    <n v="-1.4370506133850602"/>
    <n v="0.14310928778062948"/>
    <n v="-0.77544326087682913"/>
    <n v="-0.31525053499734668"/>
    <n v="-0.16176271006108633"/>
    <n v="0.14295052627473215"/>
    <n v="-1.4205000000017121E-4"/>
    <n v="0.51632021680692031"/>
    <n v="0.42965563649692839"/>
    <n v="0.2182681756525362"/>
    <n v="0.6399617722674833"/>
    <n v="0.47499063770488625"/>
    <n v="-4.6868963154977905E-7"/>
    <n v="0.55264524578011454"/>
    <n v="-5.0394192172786845E-2"/>
    <n v="3.2206059999999315E-2"/>
    <n v="9.0446450000000039E-2"/>
    <n v="8.4976950000001036E-3"/>
  </r>
  <r>
    <x v="28"/>
    <x v="0"/>
    <x v="2"/>
    <x v="1"/>
    <x v="1"/>
    <x v="378"/>
    <n v="-13.094139999997424"/>
    <n v="-1.3893408877254987"/>
    <n v="0.13654068850079693"/>
    <n v="-0.75064297346539854"/>
    <n v="-0.30232355819271861"/>
    <n v="-0.1577760160523245"/>
    <n v="0.13671024199584103"/>
    <n v="1.5171000000008261E-4"/>
    <n v="0.49436917222889232"/>
    <n v="0.41161828388951438"/>
    <n v="0.20833030135369857"/>
    <n v="0.61384832605559936"/>
    <n v="0.45528734934914272"/>
    <n v="-5.1693708202904531E-7"/>
    <n v="0.52455506345792102"/>
    <n v="-5.3854358961491489E-2"/>
    <n v="3.0761439999998919E-2"/>
    <n v="8.7380440000000073E-2"/>
    <n v="9.4577880000000156E-3"/>
  </r>
  <r>
    <x v="29"/>
    <x v="0"/>
    <x v="2"/>
    <x v="1"/>
    <x v="1"/>
    <x v="379"/>
    <n v="-12.443380000000616"/>
    <n v="-1.3428780353293757"/>
    <n v="0.13068757454588464"/>
    <n v="-0.72490673821595797"/>
    <n v="-0.29000741169721289"/>
    <n v="-0.15335690059675722"/>
    <n v="0.13114667765070642"/>
    <n v="4.1094000000074793E-4"/>
    <n v="0.4739305190785581"/>
    <n v="0.39506191031508653"/>
    <n v="0.19971053741403288"/>
    <n v="0.58937985995586306"/>
    <n v="0.43700403556516942"/>
    <n v="-5.0680107888112502E-7"/>
    <n v="0.498394961514248"/>
    <n v="-5.7254836842179913E-2"/>
    <n v="2.9055620000000004E-2"/>
    <n v="8.4438200000000116E-2"/>
    <n v="1.0679214999999992E-2"/>
  </r>
  <r>
    <x v="30"/>
    <x v="0"/>
    <x v="2"/>
    <x v="1"/>
    <x v="1"/>
    <x v="380"/>
    <n v="-11.684320000000298"/>
    <n v="-1.2975750721342716"/>
    <n v="0.12560634437432938"/>
    <n v="-0.69826337913102554"/>
    <n v="-0.27837981670565393"/>
    <n v="-0.14845728664145685"/>
    <n v="0.12630519674290408"/>
    <n v="6.2554000000020205E-4"/>
    <n v="0.45504420717834559"/>
    <n v="0.38004245088347766"/>
    <n v="0.19248912010580987"/>
    <n v="0.56658803187950024"/>
    <n v="0.42018578893430192"/>
    <n v="-4.9686380565461263E-7"/>
    <n v="0.47425845896131857"/>
    <n v="-6.0562320544121917E-2"/>
    <n v="2.7106670000000277E-2"/>
    <n v="8.1601310000000218E-2"/>
    <n v="1.2190528999999999E-2"/>
  </r>
  <r>
    <x v="31"/>
    <x v="0"/>
    <x v="2"/>
    <x v="1"/>
    <x v="1"/>
    <x v="381"/>
    <n v="-10.82615000000078"/>
    <n v="-1.2533693304333182"/>
    <n v="0.12131454253028195"/>
    <n v="-0.67075820024273813"/>
    <n v="-0.26749828515081342"/>
    <n v="-0.14305722081617844"/>
    <n v="0.12219812796936402"/>
    <n v="7.9087999999977177E-4"/>
    <n v="0.43772266267088078"/>
    <n v="0.36658302437331258"/>
    <n v="0.1867072883166454"/>
    <n v="0.54547780673006585"/>
    <n v="0.40484884400617815"/>
    <n v="-4.8712137656892196E-7"/>
    <n v="0.45219651714487608"/>
    <n v="-6.3747688731896623E-2"/>
    <n v="2.4940329999999233E-2"/>
    <n v="7.8855360000000194E-2"/>
    <n v="1.3996047999999955E-2"/>
  </r>
  <r>
    <x v="32"/>
    <x v="0"/>
    <x v="2"/>
    <x v="1"/>
    <x v="1"/>
    <x v="382"/>
    <n v="-9.8806399999994028"/>
    <n v="-1.2102178852302248"/>
    <n v="0.1177982740838468"/>
    <n v="-0.64245053110004724"/>
    <n v="-0.25740150967881181"/>
    <n v="-0.137159873319459"/>
    <n v="0.11881114948157911"/>
    <n v="9.0667999999988202E-4"/>
    <n v="0.4219533925552188"/>
    <n v="0.35467688991999147"/>
    <n v="0.1823704403546067"/>
    <n v="0.52603026937916297"/>
    <n v="0.39098345751160668"/>
    <n v="-4.7756997245684829E-7"/>
    <n v="0.43222093831385422"/>
    <n v="-6.6785637372990259E-2"/>
    <n v="2.2587989999998948E-2"/>
    <n v="7.6189200000000012E-2"/>
    <n v="1.6081172000000088E-2"/>
  </r>
  <r>
    <x v="33"/>
    <x v="0"/>
    <x v="2"/>
    <x v="1"/>
    <x v="1"/>
    <x v="383"/>
    <n v="-8.8613000000004831"/>
    <n v="-1.1680932227704277"/>
    <n v="0.11501923355048405"/>
    <n v="-0.61341110466308635"/>
    <n v="-0.24811085088248808"/>
    <n v="-0.13078694064265761"/>
    <n v="0.11610932257248852"/>
    <n v="9.7587999999954045E-4"/>
    <n v="0.4077017963081131"/>
    <n v="0.34429101243254046"/>
    <n v="0.1794528988285693"/>
    <n v="0.50820499206980507"/>
    <n v="0.37855645011248829"/>
    <n v="-4.6820586296902889E-7"/>
    <n v="0.41430875750612106"/>
    <n v="-6.9655337959140251E-2"/>
    <n v="2.0084339999999756E-2"/>
    <n v="7.3594220000000252E-2"/>
    <n v="1.8417453000000097E-2"/>
  </r>
  <r>
    <x v="34"/>
    <x v="0"/>
    <x v="2"/>
    <x v="1"/>
    <x v="1"/>
    <x v="384"/>
    <n v="-7.7825100000009115"/>
    <n v="-1.1269792719605709"/>
    <n v="0.11292188453360108"/>
    <n v="-0.58371949521864863"/>
    <n v="-0.23963193518518056"/>
    <n v="-0.12397409055628916"/>
    <n v="0.11404278814022284"/>
    <n v="1.0034600000000116E-3"/>
    <n v="0.3949140415925978"/>
    <n v="0.33536952845809598"/>
    <n v="0.17790134218729214"/>
    <n v="0.49194338066582688"/>
    <n v="0.36751486983668258"/>
    <n v="-4.590253399605615E-7"/>
    <n v="0.39840649265951988"/>
    <n v="-7.2339309917157646E-2"/>
    <n v="1.7465220000000004E-2"/>
    <n v="7.1063720000000274E-2"/>
    <n v="2.0967103999999966E-2"/>
  </r>
  <r>
    <x v="35"/>
    <x v="0"/>
    <x v="2"/>
    <x v="1"/>
    <x v="1"/>
    <x v="385"/>
    <n v="-6.6587599999984377"/>
    <n v="-1.0868681450243778"/>
    <n v="0.11143919716936068"/>
    <n v="-0.55346177152173492"/>
    <n v="-0.23195641640454401"/>
    <n v="-0.11676682623157353"/>
    <n v="0.11255129554175181"/>
    <n v="9.956000000005405E-4"/>
    <n v="0.38352037761173463"/>
    <n v="0.32783725251741558"/>
    <n v="0.17763975873457127"/>
    <n v="0.47717124891921703"/>
    <n v="0.3577892567649954"/>
    <n v="-4.5002483961553708E-7"/>
    <n v="0.38443511984929124"/>
    <n v="-7.48237919728445E-2"/>
    <n v="1.476584999999947E-2"/>
    <n v="6.8592409999999882E-2"/>
    <n v="2.3686776999999951E-2"/>
  </r>
  <r>
    <x v="36"/>
    <x v="0"/>
    <x v="2"/>
    <x v="1"/>
    <x v="1"/>
    <x v="386"/>
    <n v="-5.5040100000005623"/>
    <n v="-1.047757479275313"/>
    <n v="0.11049764457915501"/>
    <n v="-0.5227286527901609"/>
    <n v="-0.22506372188680901"/>
    <n v="-0.10921805646844085"/>
    <n v="0.11156879016016585"/>
    <n v="9.5890000000042885E-4"/>
    <n v="0.37343772856193169"/>
    <n v="0.32160373875156356"/>
    <n v="0.17857338972664394"/>
    <n v="0.46380213035224216"/>
    <n v="0.34929678786039808"/>
    <n v="-4.4120084252696756E-7"/>
    <n v="0.3722942134093854"/>
    <n v="-7.7097951872284742E-2"/>
    <n v="1.2019299999999067E-2"/>
    <n v="6.6176119999999949E-2"/>
    <n v="2.653061199999994E-2"/>
  </r>
  <r>
    <x v="37"/>
    <x v="0"/>
    <x v="2"/>
    <x v="1"/>
    <x v="1"/>
    <x v="387"/>
    <n v="-4.3312200000000303"/>
    <n v="-1.0096480660512275"/>
    <n v="0.11002080680206916"/>
    <n v="-0.49161378360778052"/>
    <n v="-0.21892293082707015"/>
    <n v="-0.1013839183326315"/>
    <n v="0.111026004821424"/>
    <n v="8.998199999998846E-4"/>
    <n v="0.36457313970070793"/>
    <n v="0.31656630759113735"/>
    <n v="0.1805929686798935"/>
    <n v="0.45173976590691112"/>
    <n v="0.34194463160233113"/>
    <n v="-4.3254985149232539E-7"/>
    <n v="0.36186657576782189"/>
    <n v="-7.9154053290475535E-2"/>
    <n v="9.255629999999071E-3"/>
    <n v="6.3811429999999919E-2"/>
    <n v="2.9452542999999949E-2"/>
  </r>
  <r>
    <x v="38"/>
    <x v="0"/>
    <x v="2"/>
    <x v="1"/>
    <x v="1"/>
    <x v="388"/>
    <n v="-3.1520400000008522"/>
    <n v="-0.97254247246916226"/>
    <n v="0.10993268006462831"/>
    <n v="-0.46021252372110411"/>
    <n v="-0.21349454255178424"/>
    <n v="-9.33233105527842E-2"/>
    <n v="0.11085357518016981"/>
    <n v="8.2438000000017997E-4"/>
    <n v="0.35682614480558872"/>
    <n v="0.31261356715508448"/>
    <n v="0.18357881496939843"/>
    <n v="0.4408812270535245"/>
    <n v="0.33563266366107847"/>
    <n v="-4.7118717816374556E-7"/>
    <n v="0.35302237453447294"/>
    <n v="-8.098694773461812E-2"/>
    <n v="6.5012899999994378E-3"/>
    <n v="6.1495580000000064E-2"/>
    <n v="3.2407982000000161E-2"/>
  </r>
  <r>
    <x v="39"/>
    <x v="0"/>
    <x v="2"/>
    <x v="1"/>
    <x v="1"/>
    <x v="389"/>
    <n v="-1.9766999999992549"/>
    <n v="-0.93644394539048603"/>
    <n v="0.11015937667551157"/>
    <n v="-0.42862094988599386"/>
    <n v="-0.208732317423721"/>
    <n v="-8.509509144416505E-2"/>
    <n v="0.1109835836199613"/>
    <n v="7.378500000002064E-4"/>
    <n v="0.35009152457692316"/>
    <n v="0.30962874047921751"/>
    <n v="0.18740421650897954"/>
    <n v="0.43111918295617446"/>
    <n v="0.33025634581296259"/>
    <n v="-4.6194823521972239E-7"/>
    <n v="0.34562328877358883"/>
    <n v="-8.2593696926380744E-2"/>
    <n v="3.7788799999993739E-3"/>
    <n v="5.9226340000000099E-2"/>
    <n v="3.5354977000000114E-2"/>
  </r>
  <r>
    <x v="40"/>
    <x v="0"/>
    <x v="2"/>
    <x v="1"/>
    <x v="1"/>
    <x v="390"/>
    <n v="-0.81392000000050757"/>
    <n v="-0.90135541689265741"/>
    <n v="0.11063083079378977"/>
    <n v="-0.39693501265314346"/>
    <n v="-0.20458459266563533"/>
    <n v="-7.6757086665080188E-2"/>
    <n v="0.11135099085020084"/>
    <n v="6.4476000000007749E-4"/>
    <n v="0.34426165840713008"/>
    <n v="0.30749189309404734"/>
    <n v="0.19193880627357274"/>
    <n v="0.42234413220965106"/>
    <n v="0.32570900263633185"/>
    <n v="-4.5289041405993657E-7"/>
    <n v="0.33952556317036198"/>
    <n v="-8.397364202101798E-2"/>
    <n v="1.1072899999992059E-3"/>
    <n v="5.7001909999999933E-2"/>
    <n v="3.8254933999999977E-2"/>
  </r>
  <r>
    <x v="41"/>
    <x v="0"/>
    <x v="2"/>
    <x v="1"/>
    <x v="1"/>
    <x v="391"/>
    <n v="0.32902000000103726"/>
    <n v="-0.86727886333146653"/>
    <n v="0.11128160621769467"/>
    <n v="-0.36525003486604923"/>
    <n v="-0.20099648253255609"/>
    <n v="-6.836555336231509E-2"/>
    <n v="0.11189463613969775"/>
    <n v="5.488100000006213E-4"/>
    <n v="0.33922841721032437"/>
    <n v="0.30608269964529367"/>
    <n v="0.1970512418931758"/>
    <n v="0.41444658824216773"/>
    <n v="0.32188404642494728"/>
    <n v="-4.8841123367893147E-7"/>
    <n v="0.33458330463329577"/>
    <n v="-8.5127630567749524E-2"/>
    <n v="-1.4981099999991643E-3"/>
    <n v="5.4820939999999929E-2"/>
    <n v="4.1073037000000007E-2"/>
  </r>
  <r>
    <x v="42"/>
    <x v="0"/>
    <x v="2"/>
    <x v="1"/>
    <x v="1"/>
    <x v="392"/>
    <n v="1.4461499999997613"/>
    <n v="-0.83421524069442476"/>
    <n v="0.11205155975069214"/>
    <n v="-0.33366003667749666"/>
    <n v="-0.19791053343413134"/>
    <n v="-5.9974193904455131E-2"/>
    <n v="0.11255755639971721"/>
    <n v="4.5295000000028507E-4"/>
    <n v="0.33488525392153523"/>
    <n v="0.30528239654548095"/>
    <n v="0.20261186984973367"/>
    <n v="0.40731864168934706"/>
    <n v="0.31867666124765215"/>
    <n v="-4.7883453868635684E-7"/>
    <n v="0.33065105323457633"/>
    <n v="-8.6058354800833126E-2"/>
    <n v="-4.0251300000002099E-3"/>
    <n v="5.2682450000000186E-2"/>
    <n v="4.377840800000006E-2"/>
  </r>
  <r>
    <x v="43"/>
    <x v="0"/>
    <x v="2"/>
    <x v="1"/>
    <x v="1"/>
    <x v="393"/>
    <n v="2.5326500000010128"/>
    <n v="-0.80216393909623429"/>
    <n v="0.11288607533201933"/>
    <n v="-0.30225742468188432"/>
    <n v="-0.19526863389092153"/>
    <n v="-5.1633453638610938E-2"/>
    <n v="0.11328761244060459"/>
    <n v="3.5946000000036671E-4"/>
    <n v="0.33112842304903189"/>
    <n v="0.30497556426904993"/>
    <n v="0.20849471495834049"/>
    <n v="0.40085531012947762"/>
    <n v="0.31598513152353291"/>
    <n v="-4.6944562681616731E-7"/>
    <n v="0.3275862953472819"/>
    <n v="-8.6769854000257052E-2"/>
    <n v="-6.4642399999995104E-3"/>
    <n v="5.0585830000000193E-2"/>
    <n v="4.6344128999999991E-2"/>
  </r>
  <r>
    <x v="44"/>
    <x v="0"/>
    <x v="2"/>
    <x v="1"/>
    <x v="1"/>
    <x v="394"/>
    <n v="3.5846899999996822"/>
    <n v="-0.77112270841360742"/>
    <n v="0.11373584886240629"/>
    <n v="-0.27113254502296735"/>
    <n v="-0.19301225979774239"/>
    <n v="-4.3390970680234897E-2"/>
    <n v="0.11403747796976393"/>
    <n v="2.7003000000053179E-4"/>
    <n v="0.32785835691084841"/>
    <n v="0.30505162538736474"/>
    <n v="0.21457886744853383"/>
    <n v="0.39495598598726644"/>
    <n v="0.31371222800846699"/>
    <n v="-5.0208086577185895E-7"/>
    <n v="0.32525099203282171"/>
    <n v="-8.7267159320092436E-2"/>
    <n v="-8.8081699999992269E-3"/>
    <n v="4.8530789999999893E-2"/>
    <n v="4.8747138000000079E-2"/>
  </r>
  <r>
    <x v="45"/>
    <x v="0"/>
    <x v="2"/>
    <x v="1"/>
    <x v="1"/>
    <x v="395"/>
    <n v="4.5992699999987963"/>
    <n v="-0.74108776936506748"/>
    <n v="0.11455717533035426"/>
    <n v="-0.2403732516272461"/>
    <n v="-0.19108447201070522"/>
    <n v="-3.5290540529453462E-2"/>
    <n v="0.11476484613257565"/>
    <n v="1.8590000000068274E-4"/>
    <n v="0.32498046621300958"/>
    <n v="0.30540575158157779"/>
    <n v="0.22075032015593798"/>
    <n v="0.38952513787662291"/>
    <n v="0.31176614036227956"/>
    <n v="-4.9223616294113981E-7"/>
    <n v="0.32351325368988881"/>
    <n v="-8.7556333481952908E-2"/>
    <n v="-1.1051519999999426E-2"/>
    <n v="4.6517379999999955E-2"/>
    <n v="5.0968064999999937E-2"/>
  </r>
  <r>
    <x v="46"/>
    <x v="0"/>
    <x v="2"/>
    <x v="1"/>
    <x v="1"/>
    <x v="396"/>
    <n v="5.5740499999992608"/>
    <n v="-0.71205367640190254"/>
    <n v="0.11531161914526411"/>
    <n v="-0.21006464107095058"/>
    <n v="-0.18942978075708883"/>
    <n v="-2.737254754060503E-2"/>
    <n v="0.11543212312976614"/>
    <n v="1.0787000000039848E-4"/>
    <n v="0.32240615948104789"/>
    <n v="0.30593993471204062"/>
    <n v="0.22690245099368234"/>
    <n v="0.38447315815524075"/>
    <n v="0.31006100538910619"/>
    <n v="-4.8258447238325175E-7"/>
    <n v="0.32224849158775104"/>
    <n v="-8.7644098288586214E-2"/>
    <n v="-1.3190319999999145E-2"/>
    <n v="4.4545890000000088E-2"/>
    <n v="5.2991021999999971E-2"/>
  </r>
  <r>
    <x v="47"/>
    <x v="0"/>
    <x v="2"/>
    <x v="1"/>
    <x v="1"/>
    <x v="397"/>
    <n v="6.507209999999759"/>
    <n v="-0.684013052017729"/>
    <n v="0.11596576697561201"/>
    <n v="-0.18028857838142676"/>
    <n v="-0.18799504546036516"/>
    <n v="-1.9673358436955724E-2"/>
    <n v="0.11600653491057322"/>
    <n v="3.6459999999682857E-5"/>
    <n v="0.32005309652989311"/>
    <n v="0.30656348038153869"/>
    <n v="0.2329370577419887"/>
    <n v="0.37971670231087273"/>
    <n v="0.30851747473086277"/>
    <n v="-4.7312203044214129E-7"/>
    <n v="0.32134026563206408"/>
    <n v="-8.7537897028455713E-2"/>
    <n v="-1.5221719999999883E-2"/>
    <n v="4.2616870000000001E-2"/>
    <n v="5.4803382999999997E-2"/>
  </r>
  <r>
    <x v="48"/>
    <x v="0"/>
    <x v="2"/>
    <x v="1"/>
    <x v="1"/>
    <x v="398"/>
    <n v="7.3973000000005413"/>
    <n v="-0.65695719856575518"/>
    <n v="0.11649105318911612"/>
    <n v="-0.15112348655004215"/>
    <n v="-0.18673043484638274"/>
    <n v="-1.2225858305758841E-2"/>
    <n v="0.11645972893199463"/>
    <n v="-2.8050000000501285E-5"/>
    <n v="0.31784577668845237"/>
    <n v="0.30719345700558343"/>
    <n v="0.23876489765555231"/>
    <n v="0.37517916047062894"/>
    <n v="0.30706296226579166"/>
    <n v="-5.0249887584286057E-7"/>
    <n v="0.3206809123402321"/>
    <n v="-8.7245636900201706E-2"/>
    <n v="-1.7143709999999091E-2"/>
    <n v="4.0731030000000154E-2"/>
    <n v="5.6395546000000046E-2"/>
  </r>
  <r>
    <x v="49"/>
    <x v="0"/>
    <x v="2"/>
    <x v="1"/>
    <x v="1"/>
    <x v="399"/>
    <n v="8.2432000000007974"/>
    <n v="-0.63087544980657828"/>
    <n v="0.11686341758332386"/>
    <n v="-0.12264388416749483"/>
    <n v="-0.18558896037924599"/>
    <n v="-5.0591994054882683E-3"/>
    <n v="0.11676775891509283"/>
    <n v="-8.5589999999913235E-5"/>
    <n v="0.31571550426814365"/>
    <n v="0.30775495138766207"/>
    <n v="0.24430563675224004"/>
    <n v="0.37079082251156859"/>
    <n v="0.30563191288071057"/>
    <n v="-4.9264597956621969E-7"/>
    <n v="0.32017189860649165"/>
    <n v="-8.6775454743526215E-2"/>
    <n v="-1.8954909999999159E-2"/>
    <n v="3.8889240000000019E-2"/>
    <n v="5.7760697999999916E-2"/>
  </r>
  <r>
    <x v="50"/>
    <x v="0"/>
    <x v="2"/>
    <x v="1"/>
    <x v="1"/>
    <x v="400"/>
    <n v="9.0439800000021933"/>
    <n v="-0.60575563673384014"/>
    <n v="0.11706298074860566"/>
    <n v="-9.4920241137819161E-2"/>
    <n v="-0.18452733569551683"/>
    <n v="1.8012610510709237E-3"/>
    <n v="0.11691084964287057"/>
    <n v="-1.3620000000047483E-4"/>
    <n v="0.31360047916517697"/>
    <n v="0.30818096459481747"/>
    <n v="0.24948825304043076"/>
    <n v="0.36648877339602315"/>
    <n v="0.30416560306594231"/>
    <n v="-4.829862398914031E-7"/>
    <n v="0.3197239075017011"/>
    <n v="-8.6135923967267658E-2"/>
    <n v="-2.0654349999998933E-2"/>
    <n v="3.7092449999999791E-2"/>
    <n v="5.8894579999999988E-2"/>
  </r>
  <r>
    <x v="0"/>
    <x v="1"/>
    <x v="0"/>
    <x v="0"/>
    <x v="0"/>
    <x v="0"/>
    <n v="0"/>
    <n v="0"/>
    <n v="0"/>
    <n v="0"/>
    <n v="0"/>
    <n v="0"/>
    <n v="0"/>
    <n v="0"/>
    <n v="0"/>
    <n v="0"/>
    <n v="0"/>
    <n v="0"/>
    <n v="5.5122246639394135E-3"/>
    <n v="0.21461386473387023"/>
    <n v="0"/>
    <n v="0"/>
    <n v="0"/>
    <n v="0"/>
    <n v="0"/>
  </r>
  <r>
    <x v="1"/>
    <x v="1"/>
    <x v="0"/>
    <x v="0"/>
    <x v="0"/>
    <x v="1"/>
    <n v="45.529180000001361"/>
    <n v="-5.3466931905403747"/>
    <n v="0.10467704724699267"/>
    <n v="0.52941366892054198"/>
    <n v="-0.15692302812132519"/>
    <n v="-0.32081816817889353"/>
    <n v="0.15196110760333781"/>
    <n v="4.2364370000000373E-2"/>
    <n v="0.45947044451868368"/>
    <n v="0.12377493421649177"/>
    <n v="-0.5887247928415662"/>
    <n v="0.83368873229541229"/>
    <n v="0.26892141209957643"/>
    <n v="0.7383468991344122"/>
    <n v="4.0137346784407946E-2"/>
    <n v="-0.4176771041384808"/>
    <n v="-0.13597448000000067"/>
    <n v="0.12184155000000002"/>
    <n v="6.9087009999999754E-3"/>
  </r>
  <r>
    <x v="2"/>
    <x v="1"/>
    <x v="0"/>
    <x v="0"/>
    <x v="0"/>
    <x v="2"/>
    <n v="94.551980000000185"/>
    <n v="-8.4566234557495683"/>
    <n v="0.27159876933426919"/>
    <n v="0.98832233115206947"/>
    <n v="-0.4192242007269531"/>
    <n v="-0.46066527416701586"/>
    <n v="0.33031113669703682"/>
    <n v="5.2502449999999867E-2"/>
    <n v="0.59909242957212339"/>
    <n v="0.32237667889809529"/>
    <n v="-0.29773514295744485"/>
    <n v="0.94354665106861635"/>
    <n v="0.51454819614926706"/>
    <n v="1.589078849063652"/>
    <n v="0.2464023439991081"/>
    <n v="-0.42403068869787397"/>
    <n v="-0.27026569000000028"/>
    <n v="0.16531182999999991"/>
    <n v="0.12360578699999997"/>
  </r>
  <r>
    <x v="3"/>
    <x v="1"/>
    <x v="0"/>
    <x v="0"/>
    <x v="0"/>
    <x v="3"/>
    <n v="128.58480000000054"/>
    <n v="-10.167852981777115"/>
    <n v="0.43717935041152067"/>
    <n v="1.3157122433438806"/>
    <n v="-0.76463217609482603"/>
    <n v="-0.4705677449166723"/>
    <n v="0.48188925789760528"/>
    <n v="3.99038200000007E-2"/>
    <n v="0.80587331380124194"/>
    <n v="0.58705210646405881"/>
    <n v="6.1308259907622009E-2"/>
    <n v="1.1174141596386633"/>
    <n v="0.76411320248117587"/>
    <n v="2.7406496804606828"/>
    <n v="0.50974447968994419"/>
    <n v="-0.4638330893796172"/>
    <n v="-0.35344374000000067"/>
    <n v="0.15791261000000015"/>
    <n v="0.21914700999999998"/>
  </r>
  <r>
    <x v="4"/>
    <x v="1"/>
    <x v="0"/>
    <x v="0"/>
    <x v="0"/>
    <x v="4"/>
    <n v="141.17425999999978"/>
    <n v="-11.084222451728209"/>
    <n v="0.56933005215784593"/>
    <n v="1.5199462609099879"/>
    <n v="-1.1703590786987128"/>
    <n v="-0.42037773290229952"/>
    <n v="0.58827495000499663"/>
    <n v="1.6881900000000061E-2"/>
    <n v="1.0457645569045937"/>
    <n v="0.88347230935799104"/>
    <n v="0.45022300213146682"/>
    <n v="1.3254752933809399"/>
    <n v="1.0083796135189171"/>
    <n v="4.1427661076471667"/>
    <n v="0.80110037395944023"/>
    <n v="-0.5208828209402605"/>
    <n v="-0.37365933000000073"/>
    <n v="0.11802693999999996"/>
    <n v="0.27916925999999997"/>
  </r>
  <r>
    <x v="5"/>
    <x v="1"/>
    <x v="0"/>
    <x v="0"/>
    <x v="0"/>
    <x v="5"/>
    <n v="132.21933999999965"/>
    <n v="-11.559413572945221"/>
    <n v="0.65777667661552908"/>
    <n v="1.6311705726700376"/>
    <n v="-1.6096141037150957"/>
    <n v="-0.35275411790357536"/>
    <n v="0.65212862063415145"/>
    <n v="-5.0273000000003454E-3"/>
    <n v="1.2900298676783661"/>
    <n v="1.1793562634859978"/>
    <n v="0.83251564701616321"/>
    <n v="1.5400028027056534"/>
    <n v="1.2331957569775565"/>
    <n v="5.731909906369359"/>
    <n v="1.1032551313861161"/>
    <n v="-0.5709979574177293"/>
    <n v="-0.33579223000000102"/>
    <n v="5.6938569999999758E-2"/>
    <n v="0.30369664300000004"/>
  </r>
  <r>
    <x v="6"/>
    <x v="1"/>
    <x v="0"/>
    <x v="0"/>
    <x v="0"/>
    <x v="6"/>
    <n v="104.73660999999993"/>
    <n v="-11.793893344116469"/>
    <n v="0.70230540170115319"/>
    <n v="1.6820160137399176"/>
    <n v="-2.0547444860829045"/>
    <n v="-0.29078142504833648"/>
    <n v="0.67804019489829948"/>
    <n v="-2.1583990000000053E-2"/>
    <n v="1.5177758410636066"/>
    <n v="1.4506198246722057"/>
    <n v="1.1807082024150262"/>
    <n v="1.7403287057595973"/>
    <n v="1.426978213033081"/>
    <n v="7.4372803381304919"/>
    <n v="1.3971428533869235"/>
    <n v="-0.60266741011774094"/>
    <n v="-0.25154524000000067"/>
    <n v="-1.7391199999999829E-2"/>
    <n v="0.29700030709999997"/>
  </r>
  <r>
    <x v="7"/>
    <x v="1"/>
    <x v="0"/>
    <x v="0"/>
    <x v="0"/>
    <x v="7"/>
    <n v="63.033739999998943"/>
    <n v="-11.89937266436506"/>
    <n v="0.70649691918809321"/>
    <n v="1.7001968954474034"/>
    <n v="-2.4803831368546025"/>
    <n v="-0.24609363951229035"/>
    <n v="0.67003848514204378"/>
    <n v="-3.2421689999999337E-2"/>
    <n v="1.7145417213690672"/>
    <n v="1.6809092998707476"/>
    <n v="1.476141914332918"/>
    <n v="1.9121539575475577"/>
    <n v="1.5816378366821482"/>
    <n v="9.1846422994250396"/>
    <n v="1.6626564152129264"/>
    <n v="-0.61522420464634742"/>
    <n v="-0.13459964999999949"/>
    <n v="-9.8407499999999926E-2"/>
    <n v="0.26491409500000002"/>
  </r>
  <r>
    <x v="8"/>
    <x v="1"/>
    <x v="0"/>
    <x v="0"/>
    <x v="0"/>
    <x v="8"/>
    <n v="11.798240000000078"/>
    <n v="-11.936004647416599"/>
    <n v="0.67556540643665119"/>
    <n v="1.7066423597605684"/>
    <n v="-2.8651938474204885"/>
    <n v="-0.22351620515698167"/>
    <n v="0.63249685241357767"/>
    <n v="-3.8305529999999033E-2"/>
    <n v="1.8705619852154243"/>
    <n v="1.8598849960762109"/>
    <n v="1.7071779749141092"/>
    <n v="2.0459882780642591"/>
    <n v="1.6919075352600288"/>
    <n v="10.899699412115037"/>
    <n v="1.8816535695154624"/>
    <n v="-0.61353028358871464"/>
    <n v="1.507480000000061E-3"/>
    <n v="-0.18034695399999998"/>
    <n v="0.21408111799999988"/>
  </r>
  <r>
    <x v="9"/>
    <x v="1"/>
    <x v="0"/>
    <x v="0"/>
    <x v="0"/>
    <x v="9"/>
    <n v="-44.27722999999969"/>
    <n v="-11.933490940682445"/>
    <n v="0.61593174662037953"/>
    <n v="1.7160487629984233"/>
    <n v="-3.192481953000903"/>
    <n v="-0.22347538857709903"/>
    <n v="0.57093805385319829"/>
    <n v="-4.003732999999926E-2"/>
    <n v="1.9796311110707121"/>
    <n v="1.9818402502078447"/>
    <n v="1.8676685431037177"/>
    <n v="2.1360083078041825"/>
    <n v="1.7547625982789583"/>
    <n v="12.511649855437824"/>
    <n v="2.0401380295693938"/>
    <n v="-0.60404169961308929"/>
    <n v="0.14411999999999967"/>
    <n v="-0.25816433100000002"/>
    <n v="0.15155382999999992"/>
  </r>
  <r>
    <x v="10"/>
    <x v="1"/>
    <x v="0"/>
    <x v="0"/>
    <x v="0"/>
    <x v="10"/>
    <n v="-100.62696000000142"/>
    <n v="-11.903304374168433"/>
    <n v="0.53514217924188756"/>
    <n v="1.738189297598236"/>
    <n v="-3.4502083105878767"/>
    <n v="-0.2433512732770704"/>
    <n v="0.49218529570185243"/>
    <n v="-3.8253979999999799E-2"/>
    <n v="2.0385496341337017"/>
    <n v="2.0448495070024997"/>
    <n v="1.9559697024731149"/>
    <n v="2.1794379307082057"/>
    <n v="1.7692464382224937"/>
    <n v="13.956958560746813"/>
    <n v="2.1293519925872584"/>
    <n v="-0.59266523233917345"/>
    <n v="0.28165710000000005"/>
    <n v="-0.32764447319999995"/>
    <n v="8.439229999999999E-2"/>
  </r>
  <r>
    <x v="11"/>
    <x v="1"/>
    <x v="0"/>
    <x v="0"/>
    <x v="0"/>
    <x v="11"/>
    <n v="-152.89505999999892"/>
    <n v="-11.846151684932082"/>
    <n v="0.44161522784353924"/>
    <n v="1.7791719241139869"/>
    <n v="-3.6307816065905163"/>
    <n v="-0.27842051381434807"/>
    <n v="0.4040112988976885"/>
    <n v="-3.3519129999999564E-2"/>
    <n v="2.0468949072250275"/>
    <n v="2.0502443166747542"/>
    <n v="1.9742969739830363"/>
    <n v="2.1762327336201981"/>
    <n v="1.7365397188709775"/>
    <n v="15.183028335514104"/>
    <n v="2.1460868106190523"/>
    <n v="-0.58380936837849617"/>
    <n v="0.40374188999999994"/>
    <n v="-0.38555525330000001"/>
    <n v="1.9236790000000045E-2"/>
  </r>
  <r>
    <x v="12"/>
    <x v="1"/>
    <x v="0"/>
    <x v="0"/>
    <x v="0"/>
    <x v="12"/>
    <n v="-197.07079000000158"/>
    <n v="-11.756876732577137"/>
    <n v="0.344141122195607"/>
    <n v="1.8423518738706512"/>
    <n v="-3.7307975044105879"/>
    <n v="-0.32266729161553043"/>
    <n v="0.31451203687005158"/>
    <n v="-2.6438609999999974E-2"/>
    <n v="2.0068771036241717"/>
    <n v="2.0021924891073128"/>
    <n v="1.9281839854724092"/>
    <n v="2.1288443136491475"/>
    <n v="1.6600338263727421"/>
    <n v="16.151304444141125"/>
    <n v="2.0924785990244388"/>
    <n v="-0.58007257049256244"/>
    <n v="0.50146614"/>
    <n v="-0.42977223899999994"/>
    <n v="-3.8102669999999852E-2"/>
  </r>
  <r>
    <x v="13"/>
    <x v="1"/>
    <x v="0"/>
    <x v="0"/>
    <x v="0"/>
    <x v="13"/>
    <n v="-229.7031599999973"/>
    <n v="-11.627895730381066"/>
    <n v="0.25121450370106935"/>
    <n v="1.9288793897320966"/>
    <n v="-3.7507597466854392"/>
    <n v="-0.36954824266470787"/>
    <n v="0.23137621444402345"/>
    <n v="-1.7721260000000405E-2"/>
    <n v="1.9231270136210288"/>
    <n v="1.9072452028898956"/>
    <n v="1.8259048901628772"/>
    <n v="2.0419277422270676"/>
    <n v="1.5452447224072019"/>
    <n v="16.839372968858246"/>
    <n v="1.9754316897616864"/>
    <n v="-0.58225966589794398"/>
    <n v="0.56780821100000001"/>
    <n v="-0.45933021799999996"/>
    <n v="-8.2998749999999705E-2"/>
  </r>
  <r>
    <x v="14"/>
    <x v="1"/>
    <x v="0"/>
    <x v="0"/>
    <x v="0"/>
    <x v="14"/>
    <n v="-248.16895999999906"/>
    <n v="-11.451669172197832"/>
    <n v="0.17032287619855868"/>
    <n v="2.0379851989644093"/>
    <n v="-3.6947583585337784"/>
    <n v="-0.41270808548479199"/>
    <n v="0.1611756312614343"/>
    <n v="-8.1793600000004685E-3"/>
    <n v="1.8023492407298836"/>
    <n v="1.7738016562288017"/>
    <n v="1.6778160412536325"/>
    <n v="1.9219402387227857"/>
    <n v="1.3995029490009081"/>
    <n v="17.241749696123733"/>
    <n v="1.8057455528127209"/>
    <n v="-0.58959481870878294"/>
    <n v="0.59811268500000003"/>
    <n v="-0.47437423899999998"/>
    <n v="-0.11227032999999997"/>
  </r>
  <r>
    <x v="15"/>
    <x v="1"/>
    <x v="0"/>
    <x v="0"/>
    <x v="0"/>
    <x v="15"/>
    <n v="-250.93528000000151"/>
    <n v="-11.222434692442462"/>
    <n v="0.10730481054432861"/>
    <n v="2.1671363599663929"/>
    <n v="-3.5700699996249363"/>
    <n v="-0.44660860147446302"/>
    <n v="0.10877706330263415"/>
    <n v="1.3176399999995092E-3"/>
    <n v="1.6528357302889818"/>
    <n v="1.6115082631354305"/>
    <n v="1.495637164550323"/>
    <n v="1.7766388136553957"/>
    <n v="1.2314397990847104"/>
    <n v="17.369260568201806"/>
    <n v="1.5970129668985811"/>
    <n v="-0.60008113190348489"/>
    <n v="0.59049372"/>
    <n v="-0.47600698999999985"/>
    <n v="-0.12433568999999992"/>
  </r>
  <r>
    <x v="16"/>
    <x v="1"/>
    <x v="0"/>
    <x v="0"/>
    <x v="0"/>
    <x v="16"/>
    <n v="-237.74669999999969"/>
    <n v="-10.93731222691947"/>
    <n v="6.5877254338664315E-2"/>
    <n v="2.3121823657510809"/>
    <n v="-3.3866571719417427"/>
    <n v="-0.46702383946317649"/>
    <n v="7.6953688636005602E-2"/>
    <n v="9.9200800000004419E-3"/>
    <n v="1.4838780828465126"/>
    <n v="1.4306290067082061"/>
    <n v="1.2917170000508849"/>
    <n v="1.6145223570040779"/>
    <n v="1.050345516468032"/>
    <n v="17.247136926502151"/>
    <n v="1.3643823016313172"/>
    <n v="-0.61096485565057534"/>
    <n v="0.54602881000000014"/>
    <n v="-0.46605476000000001"/>
    <n v="-0.1192406"/>
  </r>
  <r>
    <x v="17"/>
    <x v="1"/>
    <x v="0"/>
    <x v="0"/>
    <x v="0"/>
    <x v="17"/>
    <n v="-209.67828999999983"/>
    <n v="-10.596859437154471"/>
    <n v="4.7401283815684536E-2"/>
    <n v="2.4675740500923471"/>
    <n v="-3.1565644978424068"/>
    <n v="-0.47136066557026401"/>
    <n v="6.6249424674946766E-2"/>
    <n v="1.6888300000000855E-2"/>
    <n v="1.3051324994515223"/>
    <n v="1.2414361320531642"/>
    <n v="1.07833229583989"/>
    <n v="1.4442684815014095"/>
    <n v="0.86549254608390136"/>
    <n v="16.91211850850376"/>
    <n v="1.1233006522999744"/>
    <n v="-0.61924566197543163"/>
    <n v="0.46865388999999985"/>
    <n v="-0.44679272000000009"/>
    <n v="-9.8555999999999644E-2"/>
  </r>
  <r>
    <x v="18"/>
    <x v="1"/>
    <x v="0"/>
    <x v="0"/>
    <x v="0"/>
    <x v="18"/>
    <n v="-169.02513999999792"/>
    <n v="-10.205151884654462"/>
    <n v="5.0917600057753809E-2"/>
    <n v="2.626696075162549"/>
    <n v="-2.8932274758677878"/>
    <n v="-0.45877859581182623"/>
    <n v="7.5104110019075243E-2"/>
    <n v="2.1676760000000073E-2"/>
    <n v="1.125999219709839"/>
    <n v="1.0536612288730041"/>
    <n v="0.86705655813508198"/>
    <n v="1.2742134778557235"/>
    <n v="0.68551363833864176"/>
    <n v="16.408965365832962"/>
    <n v="0.88836020681817285"/>
    <n v="-0.62215629823860752"/>
    <n v="0.36473918"/>
    <n v="-0.42067518999999998"/>
    <n v="-6.5152010000000399E-2"/>
  </r>
  <r>
    <x v="19"/>
    <x v="1"/>
    <x v="0"/>
    <x v="0"/>
    <x v="0"/>
    <x v="19"/>
    <n v="-119.03699000000051"/>
    <n v="-9.7694752969935461"/>
    <n v="7.3436265338444606E-2"/>
    <n v="2.7823116180383689"/>
    <n v="-2.6107261498644396"/>
    <n v="-0.4301089251760537"/>
    <n v="0.10020785757960393"/>
    <n v="2.399387999999919E-2"/>
    <n v="0.95506974855661397"/>
    <n v="0.87603284538557702"/>
    <n v="0.66822792204690451"/>
    <n v="1.1119124528710334"/>
    <n v="0.51790086910785682"/>
    <n v="15.786794346835453"/>
    <n v="0.67235044554423418"/>
    <n v="-0.61754407794083477"/>
    <n v="0.24239734000000013"/>
    <n v="-0.39010833"/>
    <n v="-2.287026999999997E-2"/>
  </r>
  <r>
    <x v="20"/>
    <x v="1"/>
    <x v="0"/>
    <x v="0"/>
    <x v="0"/>
    <x v="20"/>
    <n v="-63.543149999997695"/>
    <n v="-9.2997248538170041"/>
    <n v="0.11042714533935349"/>
    <n v="2.9270857753158852"/>
    <n v="-2.3230248026021694"/>
    <n v="-0.38759873121478883"/>
    <n v="0.137015195705259"/>
    <n v="2.382484000000018E-2"/>
    <n v="0.79968160628016705"/>
    <n v="0.71591926066711942"/>
    <n v="0.49053160719920719"/>
    <n v="0.96379817607128437"/>
    <n v="0.36866141178015788"/>
    <n v="15.095606318318765"/>
    <n v="0.48558220676493402"/>
    <n v="-0.60410519514468852"/>
    <n v="0.1106311799999999"/>
    <n v="-0.35728674000000021"/>
    <n v="2.3870649999999799E-2"/>
  </r>
  <r>
    <x v="21"/>
    <x v="1"/>
    <x v="0"/>
    <x v="0"/>
    <x v="0"/>
    <x v="21"/>
    <n v="-6.5339199999980337"/>
    <n v="-8.8076123790969856"/>
    <n v="0.15642764156198474"/>
    <n v="3.0541322647027913"/>
    <n v="-2.0432446200401855"/>
    <n v="-0.3345284753290767"/>
    <n v="0.18033347387298448"/>
    <n v="2.1414059999999568E-2"/>
    <n v="0.66560503330270748"/>
    <n v="0.57907838790618449"/>
    <n v="0.34070720859822323"/>
    <n v="0.83494410139812736"/>
    <n v="0.24213476444316928"/>
    <n v="14.383268165923969"/>
    <n v="0.3355037685605966"/>
    <n v="-0.58145953789240368"/>
    <n v="-2.1546190000000173E-2"/>
    <n v="-0.3240982"/>
    <n v="7.0495780000000285E-2"/>
  </r>
  <r>
    <x v="22"/>
    <x v="1"/>
    <x v="0"/>
    <x v="0"/>
    <x v="0"/>
    <x v="22"/>
    <n v="48.231650000001537"/>
    <n v="-8.3057799444430138"/>
    <n v="0.20568133382998788"/>
    <n v="3.1575227695796571"/>
    <n v="-1.7830153460477338"/>
    <n v="-0.27476497609744133"/>
    <n v="0.22490689293392929"/>
    <n v="1.721391999999905E-2"/>
    <n v="0.55686597220825362"/>
    <n v="0.46951626479321273"/>
    <n v="0.22338223992501849"/>
    <n v="0.72893094410497739"/>
    <n v="0.14095541848717641"/>
    <n v="13.693105762896995"/>
    <n v="0.22659057315164155"/>
    <n v="-0.55008255748126844"/>
    <n v="-0.14589422999999985"/>
    <n v="-0.29208719"/>
    <n v="0.11268070000000005"/>
  </r>
  <r>
    <x v="23"/>
    <x v="1"/>
    <x v="0"/>
    <x v="0"/>
    <x v="0"/>
    <x v="23"/>
    <n v="97.537340000002587"/>
    <n v="-7.8069093991974592"/>
    <n v="0.25273142429638185"/>
    <n v="3.2327028054064399"/>
    <n v="-1.5519462760900993"/>
    <n v="-0.212311726686365"/>
    <n v="0.26593123524876194"/>
    <n v="1.1812719999999832E-2"/>
    <n v="0.4757006807149633"/>
    <n v="0.38944441428334642"/>
    <n v="0.14102822548640592"/>
    <n v="0.64780603512992752"/>
    <n v="6.6129814485305083E-2"/>
    <n v="13.062158989878947"/>
    <n v="0.16046123768438392"/>
    <n v="-0.51113426557145569"/>
    <n v="-0.25554188200000005"/>
    <n v="-0.26246121999999994"/>
    <n v="0.14671209000000004"/>
  </r>
  <r>
    <x v="24"/>
    <x v="1"/>
    <x v="0"/>
    <x v="0"/>
    <x v="0"/>
    <x v="24"/>
    <n v="138.91087000000334"/>
    <n v="-7.3229028672896153"/>
    <n v="0.29291097264227961"/>
    <n v="3.2767748863500312"/>
    <n v="-1.3572480327436964"/>
    <n v="-0.15091034231694556"/>
    <n v="0.29945719040840313"/>
    <n v="5.8554699999990856E-3"/>
    <n v="0.42262440577922611"/>
    <n v="0.33932970435504028"/>
    <n v="9.4030823172563949E-2"/>
    <n v="0.59212549300335926"/>
    <n v="1.7196760410209677E-2"/>
    <n v="12.520075525889474"/>
    <n v="0.13616161100966639"/>
    <n v="-0.46623435403823077"/>
    <n v="-0.34535619800000006"/>
    <n v="-0.23612248000000025"/>
    <n v="0.16977476000000005"/>
  </r>
  <r>
    <x v="25"/>
    <x v="1"/>
    <x v="0"/>
    <x v="0"/>
    <x v="0"/>
    <x v="25"/>
    <n v="170.7109100000016"/>
    <n v="-6.8641932350750112"/>
    <n v="0.32269345905773239"/>
    <n v="3.2886266656985574"/>
    <n v="-1.20352341095884"/>
    <n v="-9.3731918214123855E-2"/>
    <n v="0.32265857453261937"/>
    <n v="-3.1120000000550707E-5"/>
    <n v="0.39659129604165955"/>
    <n v="0.31802564107166198"/>
    <n v="8.0860128442261647E-2"/>
    <n v="0.56106709950032307"/>
    <n v="-7.5617489884827194E-3"/>
    <n v="12.088568885217876"/>
    <n v="0.15055724778125779"/>
    <n v="-0.41722892016408109"/>
    <n v="-0.41208523900000005"/>
    <n v="-0.21370895999999995"/>
    <n v="0.18014303000000004"/>
  </r>
  <r>
    <x v="26"/>
    <x v="1"/>
    <x v="0"/>
    <x v="0"/>
    <x v="0"/>
    <x v="26"/>
    <n v="192.11603999999716"/>
    <n v="-6.439225640674195"/>
    <n v="0.33988404976217357"/>
    <n v="3.268902585816158"/>
    <n v="-1.0927317254051383"/>
    <n v="-4.3180844958112807E-2"/>
    <n v="0.33395088739911483"/>
    <n v="-5.3028500000010248E-3"/>
    <n v="0.39522356634873468"/>
    <n v="0.32297288148741554"/>
    <n v="9.8324534833538202E-2"/>
    <n v="0.55260276107071959"/>
    <n v="-1.0878824728410841E-2"/>
    <n v="11.781349491605164"/>
    <n v="0.19878395269261606"/>
    <n v="-0.365984167638711"/>
    <n v="-0.45430959000000004"/>
    <n v="-0.19563344000000008"/>
    <n v="0.17725880999999999"/>
  </r>
  <r>
    <x v="27"/>
    <x v="1"/>
    <x v="0"/>
    <x v="0"/>
    <x v="0"/>
    <x v="27"/>
    <n v="203.04236999999921"/>
    <n v="-6.0541330531458932"/>
    <n v="0.34364803485182893"/>
    <n v="3.2198324305636961"/>
    <n v="-1.0243170113469757"/>
    <n v="-8.1666449368578142E-4"/>
    <n v="0.33296460057274935"/>
    <n v="-9.5461899999996214E-3"/>
    <n v="0.41508499935756227"/>
    <n v="0.35045605459689266"/>
    <n v="0.14189034985891968"/>
    <n v="0.56371596061801643"/>
    <n v="3.7486413005938246E-3"/>
    <n v="11.604429343612965"/>
    <n v="0.27471707379371768"/>
    <n v="-0.31423031231300191"/>
    <n v="-0.47225296800000005"/>
    <n v="-0.18211304000000009"/>
    <n v="0.16168821000000014"/>
  </r>
  <r>
    <x v="28"/>
    <x v="1"/>
    <x v="0"/>
    <x v="0"/>
    <x v="0"/>
    <x v="28"/>
    <n v="204.01887999999963"/>
    <n v="-5.7126097287045869"/>
    <n v="0.33439105461590124"/>
    <n v="3.1449450605710583"/>
    <n v="-0.99547734647337238"/>
    <n v="3.2616035145105471E-2"/>
    <n v="0.32039206695226863"/>
    <n v="-1.2507259999999798E-2"/>
    <n v="0.45197720227159177"/>
    <n v="0.39590079444700166"/>
    <n v="0.20604336769207698"/>
    <n v="0.590651405527165"/>
    <n v="3.2312232153874909E-2"/>
    <n v="11.556715606812308"/>
    <n v="0.37143118989126922"/>
    <n v="-0.26346082812036542"/>
    <n v="-0.46750497300000005"/>
    <n v="-0.17318634000000002"/>
    <n v="0.1349639100000001"/>
  </r>
  <r>
    <x v="29"/>
    <x v="1"/>
    <x v="0"/>
    <x v="0"/>
    <x v="0"/>
    <x v="29"/>
    <n v="196.04543000000194"/>
    <n v="-5.4159678258543948"/>
    <n v="0.31352286450030409"/>
    <n v="3.0487050593152709"/>
    <n v="-1.0015443443949668"/>
    <n v="5.7073657360073859E-2"/>
    <n v="0.29774221533505063"/>
    <n v="-1.4099260000000058E-2"/>
    <n v="0.50123996673709925"/>
    <n v="0.45419245110849271"/>
    <n v="0.28467208617661832"/>
    <n v="0.62918017093662737"/>
    <n v="7.0533966626684652E-2"/>
    <n v="11.63081925395093"/>
    <n v="0.48163153699407601"/>
    <n v="-0.21488647579881448"/>
    <n v="-0.4427031600000001"/>
    <n v="-0.16871978999999995"/>
    <n v="9.9337940000000097E-2"/>
  </r>
  <r>
    <x v="30"/>
    <x v="1"/>
    <x v="0"/>
    <x v="0"/>
    <x v="0"/>
    <x v="30"/>
    <n v="180.45251999999891"/>
    <n v="-5.1633457945162604"/>
    <n v="0.28315080376526414"/>
    <n v="2.9361153924214678"/>
    <n v="-1.0364340481299528"/>
    <n v="7.3047956509886269E-2"/>
    <n v="0.26704870822029658"/>
    <n v="-1.4388290000000303E-2"/>
    <n v="0.55803974065296025"/>
    <n v="0.5199976375338089"/>
    <n v="0.37144826645187923"/>
    <n v="0.67486550909017229"/>
    <n v="0.11409259734593835"/>
    <n v="11.81402100078024"/>
    <n v="0.59804437318540238"/>
    <n v="-0.16943006618351797"/>
    <n v="-0.40121139999999988"/>
    <n v="-0.16840815000000003"/>
    <n v="5.7484780000000013E-2"/>
  </r>
  <r>
    <x v="31"/>
    <x v="1"/>
    <x v="0"/>
    <x v="0"/>
    <x v="0"/>
    <x v="31"/>
    <n v="158.77442000000156"/>
    <n v="-4.9520268593925554"/>
    <n v="0.24575405334270606"/>
    <n v="2.8123295871473442"/>
    <n v="-1.0931324895094074"/>
    <n v="8.1384525588390488E-2"/>
    <n v="0.23058122732395603"/>
    <n v="-1.3560989999999995E-2"/>
    <n v="0.61763293103223038"/>
    <n v="0.58807029177418979"/>
    <n v="0.46018586904799097"/>
    <n v="0.72331508425851343"/>
    <n v="0.15882870662196069"/>
    <n v="12.089349822682482"/>
    <n v="0.71375897529144527"/>
    <n v="-0.12775253768522177"/>
    <n v="-0.34682057000000011"/>
    <n v="-0.17177533300000003"/>
    <n v="1.2200839999999824E-2"/>
  </r>
  <r>
    <x v="32"/>
    <x v="1"/>
    <x v="0"/>
    <x v="0"/>
    <x v="0"/>
    <x v="32"/>
    <n v="132.64162000000215"/>
    <n v="-4.7778226205053791"/>
    <n v="0.20388724842499428"/>
    <n v="2.6823099187704535"/>
    <n v="-1.1641785759722079"/>
    <n v="8.3116485431888876E-2"/>
    <n v="0.1905989074434844"/>
    <n v="-1.1880320000000333E-2"/>
    <n v="0.6755955006318759"/>
    <n v="0.65352581662265763"/>
    <n v="0.54515852874925663"/>
    <n v="0.7704073172120296"/>
    <n v="0.20092468318551049"/>
    <n v="12.436735756165419"/>
    <n v="0.82251505969364036"/>
    <n v="-9.0292325079643909E-2"/>
    <n v="-0.28348739000000001"/>
    <n v="-0.17818285999999986"/>
    <n v="-3.3857340000000014E-2"/>
  </r>
  <r>
    <x v="33"/>
    <x v="1"/>
    <x v="0"/>
    <x v="0"/>
    <x v="0"/>
    <x v="33"/>
    <n v="103.69391999999789"/>
    <n v="-4.6354792321214422"/>
    <n v="0.15994875926674812"/>
    <n v="2.5505580349627799"/>
    <n v="-1.2421157733641941"/>
    <n v="7.9335378215095176E-2"/>
    <n v="0.14917227563355784"/>
    <n v="-9.6381799999989415E-3"/>
    <n v="0.72801217456195388"/>
    <n v="0.7120699284334675"/>
    <n v="0.62136252158868643"/>
    <n v="0.81248190827174493"/>
    <n v="0.23705560708382478"/>
    <n v="12.834201511470145"/>
    <n v="0.91893457215705965"/>
    <n v="-5.7306845895144232E-2"/>
    <n v="-0.21511886999999991"/>
    <n v="-0.18685077000000008"/>
    <n v="-7.836701999999994E-2"/>
  </r>
  <r>
    <x v="34"/>
    <x v="1"/>
    <x v="0"/>
    <x v="0"/>
    <x v="0"/>
    <x v="34"/>
    <n v="73.512640000000829"/>
    <n v="-4.5190750543338654"/>
    <n v="0.11603012607432905"/>
    <n v="2.4209296801629421"/>
    <n v="-1.3198891879785624"/>
    <n v="7.110835067676291E-2"/>
    <n v="0.10808010206053709"/>
    <n v="-7.1130799999999383E-3"/>
    <n v="0.77162271906823232"/>
    <n v="0.76017319792696103"/>
    <n v="0.68471485911965058"/>
    <n v="0.84648878736428568"/>
    <n v="0.26450809862577085"/>
    <n v="13.259055880701464"/>
    <n v="0.99869445442180016"/>
    <n v="-2.8908472251343298E-2"/>
    <n v="-0.14540246999999989"/>
    <n v="-0.19689353000000004"/>
    <n v="-0.11945310000000021"/>
  </r>
  <r>
    <x v="35"/>
    <x v="1"/>
    <x v="0"/>
    <x v="0"/>
    <x v="0"/>
    <x v="35"/>
    <n v="43.568290000002889"/>
    <n v="-4.4223862432519967"/>
    <n v="7.384644404762053E-2"/>
    <n v="2.2965325050425367"/>
    <n v="-1.391172716400646"/>
    <n v="5.9439378303149937E-2"/>
    <n v="6.8775037018498075E-2"/>
    <n v="-4.5394000000004153E-3"/>
    <n v="0.80392173246777165"/>
    <n v="0.79518727033474068"/>
    <n v="0.7321826229304218"/>
    <n v="0.87009123673091882"/>
    <n v="0.28126416144580446"/>
    <n v="13.689048348050425"/>
    <n v="1.05863944143334"/>
    <n v="-5.0890030963146593E-3"/>
    <n v="-7.7678099999999889E-2"/>
    <n v="-0.20736990999999996"/>
    <n v="-0.15572680999999983"/>
  </r>
  <r>
    <x v="36"/>
    <x v="1"/>
    <x v="0"/>
    <x v="0"/>
    <x v="0"/>
    <x v="36"/>
    <n v="15.180130000000645"/>
    <n v="-4.3392113383667885"/>
    <n v="3.4731323031400585E-2"/>
    <n v="2.1796954611995156"/>
    <n v="-1.4506203283919938"/>
    <n v="4.5262771982201855E-2"/>
    <n v="3.2396020716962681E-2"/>
    <n v="-2.0912200000000603E-3"/>
    <n v="0.82321490289649635"/>
    <n v="0.81540152780055219"/>
    <n v="0.76184244622896635"/>
    <n v="0.88172277704390289"/>
    <n v="0.28604811615760006"/>
    <n v="14.103439029964093"/>
    <n v="1.0968375106361394"/>
    <n v="1.4266813057606242E-2"/>
    <n v="-1.4844699999999947E-2"/>
    <n v="-0.21734261000000005"/>
    <n v="-0.18626638999999987"/>
  </r>
  <r>
    <x v="37"/>
    <x v="1"/>
    <x v="0"/>
    <x v="0"/>
    <x v="0"/>
    <x v="37"/>
    <n v="-10.51622000000134"/>
    <n v="-4.2636495276648478"/>
    <n v="-3.2645406166098567E-4"/>
    <n v="2.0719915364037167"/>
    <n v="-1.4940374697833048"/>
    <n v="2.9453536061985197E-2"/>
    <n v="-1.929859026805758E-4"/>
    <n v="1.1959000000005826E-4"/>
    <n v="0.82863078351875785"/>
    <n v="0.82004400505015784"/>
    <n v="0.77287469145541632"/>
    <n v="0.88059829871722783"/>
    <n v="0.27833491058044668"/>
    <n v="14.483936976422251"/>
    <n v="1.1125752241730735"/>
    <n v="2.9377060572199909E-2"/>
    <n v="4.0705926999999933E-2"/>
    <n v="-0.22594094000000006"/>
    <n v="-0.21056162999999983"/>
  </r>
  <r>
    <x v="38"/>
    <x v="1"/>
    <x v="0"/>
    <x v="0"/>
    <x v="0"/>
    <x v="38"/>
    <n v="-32.595369999999093"/>
    <n v="-4.1903325069962083"/>
    <n v="-3.0629629294520733E-2"/>
    <n v="1.9742957398161565"/>
    <n v="-1.5184765887019336"/>
    <n v="1.2840415686055096E-2"/>
    <n v="-2.8359534123723051E-2"/>
    <n v="2.0344099999999865E-3"/>
    <n v="0.82009268248741662"/>
    <n v="0.80923152797556241"/>
    <n v="0.76550006523552483"/>
    <n v="0.8666842160636623"/>
    <n v="0.25832027406575975"/>
    <n v="14.815461336787571"/>
    <n v="1.1062981410081774"/>
    <n v="4.0561410290362865E-2"/>
    <n v="8.713427200000004E-2"/>
    <n v="-0.23241921000000004"/>
    <n v="-0.22844419000000032"/>
  </r>
  <r>
    <x v="39"/>
    <x v="1"/>
    <x v="0"/>
    <x v="0"/>
    <x v="0"/>
    <x v="39"/>
    <n v="-50.363970000002155"/>
    <n v="-4.1146118788286223"/>
    <n v="-5.5720991129970532E-2"/>
    <n v="1.8868618411263416"/>
    <n v="-1.5222613325002188"/>
    <n v="-3.7901198415624116E-3"/>
    <n v="-5.1668585049158278E-2"/>
    <n v="3.6327299999999729E-3"/>
    <n v="0.79825366050487734"/>
    <n v="0.78387821013801151"/>
    <n v="0.74086685119867379"/>
    <n v="0.84063167050847376"/>
    <n v="0.22685511053004426"/>
    <n v="15.086687883540971"/>
    <n v="1.0794985457332817"/>
    <n v="4.8239485088763523E-2"/>
    <n v="0.123180553"/>
    <n v="-0.23620380999999982"/>
    <n v="-0.24001952000000035"/>
  </r>
  <r>
    <x v="40"/>
    <x v="1"/>
    <x v="0"/>
    <x v="0"/>
    <x v="0"/>
    <x v="40"/>
    <n v="-63.37695999999778"/>
    <n v="-4.0327001535379932"/>
    <n v="-7.5346195924697046E-2"/>
    <n v="1.8094070642523219"/>
    <n v="-1.5049472736560099"/>
    <n v="-1.9703987709751569E-2"/>
    <n v="-6.9863943664938422E-2"/>
    <n v="4.9158899999998673E-3"/>
    <n v="0.76440057043356546"/>
    <n v="0.74557083697022186"/>
    <n v="0.70090230340014159"/>
    <n v="0.80367947986896837"/>
    <n v="0.18534768885147823"/>
    <n v="15.290354468682366"/>
    <n v="1.0345586797009476"/>
    <n v="5.2921342867962018E-2"/>
    <n v="0.14817520140000001"/>
    <n v="-0.23692364999999999"/>
    <n v="-0.24560985999999979"/>
  </r>
  <r>
    <x v="41"/>
    <x v="1"/>
    <x v="0"/>
    <x v="0"/>
    <x v="0"/>
    <x v="41"/>
    <n v="-71.446359999998094"/>
    <n v="-3.9417656926515665"/>
    <n v="-8.9434267279431268E-2"/>
    <n v="1.741198439095859"/>
    <n v="-1.4672276177487231"/>
    <n v="-3.4241228252585021E-2"/>
    <n v="-8.2863267275523622E-2"/>
    <n v="5.8934400000001941E-3"/>
    <n v="0.72033287247856848"/>
    <n v="0.69642220063794724"/>
    <n v="0.64813762103483885"/>
    <n v="0.75753570948531301"/>
    <n v="0.13564225568194477"/>
    <n v="15.423317904970135"/>
    <n v="0.97455727562882899"/>
    <n v="5.5190282908212929E-2"/>
    <n v="0.16203039300000002"/>
    <n v="-0.23442182000000011"/>
    <n v="-0.24571056999999966"/>
  </r>
  <r>
    <x v="42"/>
    <x v="1"/>
    <x v="0"/>
    <x v="0"/>
    <x v="0"/>
    <x v="42"/>
    <n v="-74.639920000001439"/>
    <n v="-3.8399779759392016"/>
    <n v="-9.8091855810245043E-2"/>
    <n v="1.6811392166043104"/>
    <n v="-1.4107934617757834"/>
    <n v="-4.6847189475973661E-2"/>
    <n v="-9.0762610353012363E-2"/>
    <n v="6.5746099999999807E-3"/>
    <n v="0.66822518857787561"/>
    <n v="0.63891088407954655"/>
    <n v="0.58552015569843796"/>
    <n v="0.70424429781483777"/>
    <n v="7.9880716410229979E-2"/>
    <n v="15.486370950869999"/>
    <n v="0.90305255197506984"/>
    <n v="5.5675479407235606E-2"/>
    <n v="0.16520976300000001"/>
    <n v="-0.22874818000000013"/>
    <n v="-0.24095749999999971"/>
  </r>
  <r>
    <x v="43"/>
    <x v="1"/>
    <x v="0"/>
    <x v="0"/>
    <x v="0"/>
    <x v="43"/>
    <n v="-73.267509999997856"/>
    <n v="-3.7265043461315206"/>
    <n v="-0.10160417751405859"/>
    <n v="1.6278559470688236"/>
    <n v="-1.3381587518260685"/>
    <n v="-5.7103976852912464E-2"/>
    <n v="-9.3840549921830885E-2"/>
    <n v="6.9651199999992697E-3"/>
    <n v="0.61048097859000006"/>
    <n v="0.57571908480633649"/>
    <n v="0.5162229420366371"/>
    <n v="0.64604708555786594"/>
    <n v="2.0358654704999424E-2"/>
    <n v="15.483846961863312"/>
    <n v="0.82385424890618619"/>
    <n v="5.5017608410645735E-2"/>
    <n v="0.15867402199999997"/>
    <n v="-0.22013607999999996"/>
    <n v="-0.23210031000000034"/>
  </r>
  <r>
    <x v="44"/>
    <x v="1"/>
    <x v="0"/>
    <x v="0"/>
    <x v="0"/>
    <x v="44"/>
    <n v="-67.854070000001229"/>
    <n v="-3.6014571024392095"/>
    <n v="-0.1004336919127824"/>
    <n v="1.5797870455333651"/>
    <n v="-1.2524610556008731"/>
    <n v="-6.4755151268180988E-2"/>
    <n v="-9.2554975791248051E-2"/>
    <n v="7.068770000000224E-3"/>
    <n v="0.54958626088796869"/>
    <n v="0.50957600444165863"/>
    <n v="0.44346185056525211"/>
    <n v="0.58524827666031065"/>
    <n v="-4.0615165779034346E-2"/>
    <n v="15.423054292822957"/>
    <n v="0.7407997360478813"/>
    <n v="5.3831316444075128E-2"/>
    <n v="0.14380230600000007"/>
    <n v="-0.20896723999999992"/>
    <n v="-0.21997667000000012"/>
  </r>
  <r>
    <x v="45"/>
    <x v="1"/>
    <x v="0"/>
    <x v="0"/>
    <x v="0"/>
    <x v="45"/>
    <n v="-59.099620000000868"/>
    <n v="-3.4657971837708246"/>
    <n v="-9.5209069302637506E-2"/>
    <n v="1.5352734841340254"/>
    <n v="-1.1572478997397662"/>
    <n v="-6.9719131508161336E-2"/>
    <n v="-8.7527733029624244E-2"/>
    <n v="6.8917799999998475E-3"/>
    <n v="0.4879721267138093"/>
    <n v="0.44311472731282109"/>
    <n v="0.37032955166818038"/>
    <n v="0.52408890757089654"/>
    <n v="-0.10084649013261116"/>
    <n v="15.313592295931411"/>
    <n v="0.65754771582715588"/>
    <n v="5.2667608936585175E-2"/>
    <n v="0.12229208599999998"/>
    <n v="-0.19573014"/>
    <n v="-0.20548312000000027"/>
  </r>
  <r>
    <x v="46"/>
    <x v="1"/>
    <x v="0"/>
    <x v="0"/>
    <x v="0"/>
    <x v="46"/>
    <n v="-47.828830000005837"/>
    <n v="-3.3211993060256573"/>
    <n v="-8.6701007432321564E-2"/>
    <n v="1.4926498937027466"/>
    <n v="-1.0562620470071726"/>
    <n v="-7.2086974221341471E-2"/>
    <n v="-7.9514037922012726E-2"/>
    <n v="6.448030000000271E-3"/>
    <n v="0.42789238317444411"/>
    <n v="0.37874791958654175"/>
    <n v="0.29965116613772658"/>
    <n v="0.46463692041678328"/>
    <n v="-0.15836410676682844"/>
    <n v="15.166604127337813"/>
    <n v="0.57740092395206499"/>
    <n v="5.1984226731160987E-2"/>
    <n v="9.6043603000000019E-2"/>
    <n v="-0.18097670000000005"/>
    <n v="-0.18954086000000023"/>
  </r>
  <r>
    <x v="47"/>
    <x v="1"/>
    <x v="0"/>
    <x v="0"/>
    <x v="0"/>
    <x v="47"/>
    <n v="-34.934199999996054"/>
    <n v="-3.1698893216087431"/>
    <n v="-7.5783260821882248E-2"/>
    <n v="1.4503331719376344"/>
    <n v="-0.95323374522876536"/>
    <n v="-7.2104938604711233E-2"/>
    <n v="-6.9359076858677149E-2"/>
    <n v="5.763169999999096E-3"/>
    <n v="0.37132258588379319"/>
    <n v="0.31856839746753352"/>
    <n v="0.23386892505978807"/>
    <n v="0.40869746132610185"/>
    <n v="-0.21150371333297224"/>
    <n v="14.994020719548562"/>
    <n v="0.5031661471060378"/>
    <n v="5.2123156192762643E-2"/>
    <n v="6.7037162999999955E-2"/>
    <n v="-0.16528147999999993"/>
    <n v="-0.17305665000000026"/>
  </r>
  <r>
    <x v="48"/>
    <x v="1"/>
    <x v="0"/>
    <x v="0"/>
    <x v="0"/>
    <x v="48"/>
    <n v="-21.317580000002636"/>
    <n v="-3.0144643261381998"/>
    <n v="-6.3382299843606216E-2"/>
    <n v="1.4069040655987575"/>
    <n v="-0.85169212379977433"/>
    <n v="-7.0144252895665282E-2"/>
    <n v="-5.7945709373041776E-2"/>
    <n v="4.8767399999996575E-3"/>
    <n v="0.31988422349777945"/>
    <n v="0.2642746109122518"/>
    <n v="0.17495680480241749"/>
    <n v="0.35774632904963521"/>
    <n v="-0.25896478904007258"/>
    <n v="14.807843330295501"/>
    <n v="0.43705708438723789"/>
    <n v="5.3300977801007399E-2"/>
    <n v="3.7212806000000084E-2"/>
    <n v="-0.14920617999999997"/>
    <n v="-0.15688124000000012"/>
  </r>
  <r>
    <x v="49"/>
    <x v="1"/>
    <x v="0"/>
    <x v="0"/>
    <x v="0"/>
    <x v="49"/>
    <n v="-7.8352900000027148"/>
    <n v="-2.8577072433720208"/>
    <n v="-5.0421110886833542E-2"/>
    <n v="1.3611766205849474"/>
    <n v="-0.75480220433575829"/>
    <n v="-6.6661884466712173E-2"/>
    <n v="-4.6138298674314182E-2"/>
    <n v="3.841340000000637E-3"/>
    <n v="0.27479520881834585"/>
    <n v="0.2171239889091181"/>
    <n v="0.12436770849226786"/>
    <n v="0.31288691103532607"/>
    <n v="-0.29984089999699481"/>
    <n v="14.619503178137293"/>
    <n v="0.38064051993011994"/>
    <n v="5.56093735273544E-2"/>
    <n v="8.3615239999999466E-3"/>
    <n v="-0.13327127999999999"/>
    <n v="-0.14176880000000003"/>
  </r>
  <r>
    <x v="50"/>
    <x v="1"/>
    <x v="0"/>
    <x v="0"/>
    <x v="0"/>
    <x v="50"/>
    <n v="4.7489599999971688"/>
    <n v="-2.7024090687874369"/>
    <n v="-3.7762401293139902E-2"/>
    <n v="1.3122516860108124"/>
    <n v="-0.6652357422223476"/>
    <n v="-6.2157752626590401E-2"/>
    <n v="-3.4729831450541759E-2"/>
    <n v="2.7195399999999093E-3"/>
    <n v="0.23684739017055811"/>
    <n v="0.17791335739418823"/>
    <n v="8.3011862940529646E-2"/>
    <n v="0.2748306873907147"/>
    <n v="-0.33362493849554697"/>
    <n v="14.439324664963227"/>
    <n v="0.33482434788196791"/>
    <n v="5.9026130084771644E-2"/>
    <n v="-1.7964369999999997E-2"/>
    <n v="-0.11793489999999997"/>
    <n v="-0.12834134000000025"/>
  </r>
  <r>
    <x v="0"/>
    <x v="1"/>
    <x v="0"/>
    <x v="0"/>
    <x v="1"/>
    <x v="0"/>
    <n v="0"/>
    <n v="0"/>
    <n v="0"/>
    <n v="0"/>
    <n v="0"/>
    <n v="0"/>
    <n v="0"/>
    <n v="0"/>
    <n v="0"/>
    <n v="0"/>
    <n v="0"/>
    <n v="0"/>
    <n v="3.8736428717323079E-3"/>
    <n v="0.21921084285785319"/>
    <n v="0"/>
    <n v="0"/>
    <n v="0"/>
    <n v="0"/>
    <n v="0"/>
  </r>
  <r>
    <x v="1"/>
    <x v="1"/>
    <x v="0"/>
    <x v="0"/>
    <x v="1"/>
    <x v="51"/>
    <n v="51.239659999999276"/>
    <n v="-5.2875162557840198"/>
    <n v="0.11581858227627251"/>
    <n v="0.55643455974170308"/>
    <n v="-4.8595787731409157E-2"/>
    <n v="-0.32200200693651704"/>
    <n v="0.1683491096716061"/>
    <n v="4.7065620000000252E-2"/>
    <n v="0.46509211674199413"/>
    <n v="0.13073914985179957"/>
    <n v="-0.58046939728294555"/>
    <n v="0.83943067463683185"/>
    <n v="0.26920437914708106"/>
    <n v="0.76437603278298738"/>
    <n v="4.5500461883185572E-2"/>
    <n v="-0.42027025586850453"/>
    <n v="-0.15306476000000041"/>
    <n v="0.15155706999999996"/>
    <n v="2.2378615000000039E-2"/>
  </r>
  <r>
    <x v="2"/>
    <x v="1"/>
    <x v="0"/>
    <x v="0"/>
    <x v="1"/>
    <x v="52"/>
    <n v="114.55407999999807"/>
    <n v="-8.2873479554530718"/>
    <n v="0.31558777052997922"/>
    <n v="1.0770388110559637"/>
    <n v="-0.1327829833824401"/>
    <n v="-0.44843626829569327"/>
    <n v="0.38833952662282734"/>
    <n v="6.504732999999957E-2"/>
    <n v="0.62232882827724101"/>
    <n v="0.35142570106454496"/>
    <n v="-0.26280901319508665"/>
    <n v="0.96689039072768157"/>
    <n v="0.52356838821550067"/>
    <n v="1.6740686216036194"/>
    <n v="0.27140300878083501"/>
    <n v="-0.43335531574381081"/>
    <n v="-0.32863880999999956"/>
    <n v="0.24419021000000007"/>
    <n v="0.17636427300000007"/>
  </r>
  <r>
    <x v="3"/>
    <x v="1"/>
    <x v="0"/>
    <x v="0"/>
    <x v="1"/>
    <x v="53"/>
    <n v="172.63004000000001"/>
    <n v="-9.8379409698376552"/>
    <n v="0.54367770001553239"/>
    <n v="1.5006804174414912"/>
    <n v="-0.24869950064160262"/>
    <n v="-0.42362514992939637"/>
    <n v="0.61259756781426589"/>
    <n v="6.1480250000001124E-2"/>
    <n v="0.86516889396150987"/>
    <n v="0.66160340098910808"/>
    <n v="0.15197941388402914"/>
    <n v="1.1762448724393471"/>
    <n v="0.79079139234814466"/>
    <n v="2.9508091044104123"/>
    <n v="0.5796460569236217"/>
    <n v="-0.48331233295715315"/>
    <n v="-0.47937539000000029"/>
    <n v="0.30270860999999993"/>
    <n v="0.33421299400000004"/>
  </r>
  <r>
    <x v="4"/>
    <x v="1"/>
    <x v="0"/>
    <x v="0"/>
    <x v="1"/>
    <x v="54"/>
    <n v="218.97349000000031"/>
    <n v="-10.541097426246093"/>
    <n v="0.77276073188725647"/>
    <n v="1.8313116218812375"/>
    <n v="-0.39240541937479723"/>
    <n v="-0.31215603673904191"/>
    <n v="0.82560123197055191"/>
    <n v="4.7033550000000202E-2"/>
    <n v="1.165652220626856"/>
    <n v="1.0348060039533813"/>
    <n v="0.63600838878941079"/>
    <n v="1.443220769311071"/>
    <n v="1.0640702822416248"/>
    <n v="4.5799536183135814"/>
    <n v="0.95289075947200264"/>
    <n v="-0.55247094655894724"/>
    <n v="-0.59222995000000056"/>
    <n v="0.34279937999999976"/>
    <n v="0.48199361099999993"/>
  </r>
  <r>
    <x v="5"/>
    <x v="1"/>
    <x v="0"/>
    <x v="0"/>
    <x v="1"/>
    <x v="55"/>
    <n v="252.47559000000183"/>
    <n v="-10.751463448617804"/>
    <n v="0.993919379306063"/>
    <n v="2.0916676853816041"/>
    <n v="-0.55860126585043357"/>
    <n v="-0.15348480629464589"/>
    <n v="1.0299292090298451"/>
    <n v="3.1986879999999773E-2"/>
    <n v="1.5004245878989408"/>
    <n v="1.4455174331589271"/>
    <n v="1.1618041030188042"/>
    <n v="1.744843213073044"/>
    <n v="1.332148548120804"/>
    <n v="6.5392299391013653"/>
    <n v="1.3851398524344249"/>
    <n v="-0.61454815398153118"/>
    <n v="-0.66830516000000029"/>
    <n v="0.37218426000000004"/>
    <n v="0.61742347900000005"/>
  </r>
  <r>
    <x v="6"/>
    <x v="1"/>
    <x v="0"/>
    <x v="0"/>
    <x v="1"/>
    <x v="56"/>
    <n v="274.37218999999823"/>
    <n v="-10.675100253326731"/>
    <n v="1.205041690163644"/>
    <n v="2.3053562764188795"/>
    <n v="-0.74135427982896518"/>
    <n v="2.9804835107816174E-2"/>
    <n v="1.2273003693172635"/>
    <n v="1.973383000000023E-2"/>
    <n v="1.8529329864515942"/>
    <n v="1.8747104450282492"/>
    <n v="1.7087704768317113"/>
    <n v="2.0641050588198873"/>
    <n v="1.5864724475488146"/>
    <n v="8.8028466162796803"/>
    <n v="1.8669524691746098"/>
    <n v="-0.65555192806144857"/>
    <n v="-0.71351686999999997"/>
    <n v="0.39470188000000006"/>
    <n v="0.74018430700000004"/>
  </r>
  <r>
    <x v="7"/>
    <x v="1"/>
    <x v="0"/>
    <x v="0"/>
    <x v="1"/>
    <x v="57"/>
    <n v="286.58554000000004"/>
    <n v="-10.433770459572944"/>
    <n v="1.4050094748342845"/>
    <n v="2.4907996999686821"/>
    <n v="-0.93487369617850646"/>
    <n v="0.22390051501754993"/>
    <n v="1.4165429973332255"/>
    <n v="1.0206610000000615E-2"/>
    <n v="2.211700969806274"/>
    <n v="2.308904658023625"/>
    <n v="2.2623162623881976"/>
    <n v="2.3889982694596412"/>
    <n v="1.8216536603359978"/>
    <n v="11.34288952673459"/>
    <n v="2.3853481871519255"/>
    <n v="-0.67217413821415439"/>
    <n v="-0.7343159900000007"/>
    <n v="0.41256976000000023"/>
    <n v="0.84996478000000009"/>
  </r>
  <r>
    <x v="8"/>
    <x v="1"/>
    <x v="0"/>
    <x v="0"/>
    <x v="1"/>
    <x v="58"/>
    <n v="290.95098999999755"/>
    <n v="-10.101304842400172"/>
    <n v="1.5921420134499042"/>
    <n v="2.6603351462981983"/>
    <n v="-1.133915576921718"/>
    <n v="0.41951647853770702"/>
    <n v="1.595039364629347"/>
    <n v="2.559639999999419E-3"/>
    <n v="2.5683041622599267"/>
    <n v="2.7381219627029107"/>
    <n v="2.8115921348535799"/>
    <n v="2.7107002771862954"/>
    <n v="2.0342975333093483"/>
    <n v="14.129577859954413"/>
    <n v="2.926093258183271"/>
    <n v="-0.66668380803101002"/>
    <n v="-0.73608282000000025"/>
    <n v="0.42722570000000015"/>
    <n v="0.94644468999999998"/>
  </r>
  <r>
    <x v="9"/>
    <x v="1"/>
    <x v="0"/>
    <x v="0"/>
    <x v="1"/>
    <x v="59"/>
    <n v="288.96248999999807"/>
    <n v="-9.7236316531547082"/>
    <n v="1.7643880892080244"/>
    <n v="2.8212890507267163"/>
    <n v="-1.3338867007371413"/>
    <n v="0.61000700369744365"/>
    <n v="1.7600436754427573"/>
    <n v="-3.8317299999993115E-3"/>
    <n v="2.9159919646814858"/>
    <n v="3.1543440102290932"/>
    <n v="3.3477339880104928"/>
    <n v="3.0222352579183376"/>
    <n v="2.2219572376714014"/>
    <n v="17.131181296556996"/>
    <n v="3.4753545880799486"/>
    <n v="-0.64322345666438796"/>
    <n v="-0.7228541399999997"/>
    <n v="0.43958181000000041"/>
    <n v="1.0295080400000001"/>
  </r>
  <r>
    <x v="10"/>
    <x v="1"/>
    <x v="0"/>
    <x v="0"/>
    <x v="1"/>
    <x v="60"/>
    <n v="281.77088999999978"/>
    <n v="-9.329791277576982"/>
    <n v="1.9198255720878077"/>
    <n v="2.9774742045580505"/>
    <n v="-1.5308008952240382"/>
    <n v="0.79054935004252425"/>
    <n v="1.9093103132182376"/>
    <n v="-9.2602499999996923E-3"/>
    <n v="3.2489728281531294"/>
    <n v="3.5506828734867879"/>
    <n v="3.8629050742711835"/>
    <n v="3.317754006441187"/>
    <n v="2.3825909099781661"/>
    <n v="20.313954453640235"/>
    <n v="4.0204778429922206"/>
    <n v="-0.60593394992183303"/>
    <n v="-0.69758311999999911"/>
    <n v="0.4501155"/>
    <n v="1.0993126900000001"/>
  </r>
  <r>
    <x v="11"/>
    <x v="1"/>
    <x v="0"/>
    <x v="0"/>
    <x v="1"/>
    <x v="61"/>
    <n v="270.271090000002"/>
    <n v="-8.9381137215200361"/>
    <n v="2.0569637332134905"/>
    <n v="3.1304626535812119"/>
    <n v="-1.7211984694967319"/>
    <n v="0.9577263391133739"/>
    <n v="2.0412324149149619"/>
    <n v="-1.3834360000000712E-2"/>
    <n v="3.5621420223183042"/>
    <n v="3.9210759270354556"/>
    <n v="4.3499428275834751"/>
    <n v="3.5922525636469693"/>
    <n v="2.5144276133489463"/>
    <n v="23.642231826942517"/>
    <n v="4.5502327466488746"/>
    <n v="-0.55828945376033001"/>
    <n v="-0.66250851999999916"/>
    <n v="0.45895068000000039"/>
    <n v="1.1562302800000004"/>
  </r>
  <r>
    <x v="12"/>
    <x v="1"/>
    <x v="0"/>
    <x v="0"/>
    <x v="1"/>
    <x v="62"/>
    <n v="255.19585000000006"/>
    <n v="-8.5598346187869883"/>
    <n v="2.1748101024585909"/>
    <n v="3.2804710402016157"/>
    <n v="-1.902082141607242"/>
    <n v="1.1092391781908351"/>
    <n v="2.154756315761297"/>
    <n v="-1.761297999999939E-2"/>
    <n v="3.8510426703533884"/>
    <n v="4.2602657998575877"/>
    <n v="4.8023478066871128"/>
    <n v="3.8415241867514771"/>
    <n v="2.6160500512739659"/>
    <n v="27.078719293036691"/>
    <n v="5.0548346139358769"/>
    <n v="-0.50303046676493102"/>
    <n v="-0.61945689999999964"/>
    <n v="0.46595759999999986"/>
    <n v="1.2007400499999998"/>
  </r>
  <r>
    <x v="13"/>
    <x v="1"/>
    <x v="0"/>
    <x v="0"/>
    <x v="1"/>
    <x v="63"/>
    <n v="237.18583000000217"/>
    <n v="-8.2013431770044054"/>
    <n v="2.2728036767459159"/>
    <n v="3.426908349982094"/>
    <n v="-2.0708835713946994"/>
    <n v="1.243672066690138"/>
    <n v="2.2492466368874364"/>
    <n v="-2.0666400000000917E-2"/>
    <n v="4.1119176148025849"/>
    <n v="4.5638934514254936"/>
    <n v="5.2144193164860742"/>
    <n v="4.062202584824659"/>
    <n v="2.6865441110262012"/>
    <n v="30.584980307724873"/>
    <n v="5.5259108814241786"/>
    <n v="-0.4423133735434015"/>
    <n v="-0.57003692999999944"/>
    <n v="0.47085978000000056"/>
    <n v="1.2333383500000004"/>
  </r>
  <r>
    <x v="14"/>
    <x v="1"/>
    <x v="0"/>
    <x v="0"/>
    <x v="1"/>
    <x v="64"/>
    <n v="216.83218999999735"/>
    <n v="-7.8656709748629261"/>
    <n v="2.3507184948306614"/>
    <n v="3.5686954168624885"/>
    <n v="-2.2254541828612973"/>
    <n v="1.3602969981428403"/>
    <n v="2.3243815881739627"/>
    <n v="-2.3082229999998871E-2"/>
    <n v="4.3417769347652513"/>
    <n v="4.8286031933087115"/>
    <n v="5.581420243477675"/>
    <n v="4.2518115774661913"/>
    <n v="2.7256241082753485"/>
    <n v="34.122089429473078"/>
    <n v="5.9564782024412066"/>
    <n v="-0.37788876417637063"/>
    <n v="-0.51574290999999994"/>
    <n v="0.47333069999999988"/>
    <n v="1.25449075"/>
  </r>
  <r>
    <x v="15"/>
    <x v="1"/>
    <x v="0"/>
    <x v="0"/>
    <x v="1"/>
    <x v="65"/>
    <n v="194.69834000000264"/>
    <n v="-7.5535320076225325"/>
    <n v="2.4085886507251297"/>
    <n v="3.7044551738576459"/>
    <n v="-2.3640683089875547"/>
    <n v="1.4589204576251458"/>
    <n v="2.3800987857394595"/>
    <n v="-2.4948519999999641E-2"/>
    <n v="4.5384438382033432"/>
    <n v="5.0521110014496218"/>
    <n v="5.8997127613371836"/>
    <n v="4.40878596708556"/>
    <n v="2.7336982671623211"/>
    <n v="37.651410075996729"/>
    <n v="6.3409385740934132"/>
    <n v="-0.31123912180121005"/>
    <n v="-0.45799895000000063"/>
    <n v="0.47306992999999953"/>
    <n v="1.2646272399999998"/>
  </r>
  <r>
    <x v="16"/>
    <x v="1"/>
    <x v="0"/>
    <x v="0"/>
    <x v="1"/>
    <x v="66"/>
    <n v="171.32812000000195"/>
    <n v="-7.2640760711702885"/>
    <n v="2.4466750473531196"/>
    <n v="3.8326400977084285"/>
    <n v="-2.4854275950239368"/>
    <n v="1.5397682965304416"/>
    <n v="2.4165810312533953"/>
    <n v="-2.6336150000000336E-2"/>
    <n v="4.7005682068461452"/>
    <n v="5.2332194811603561"/>
    <n v="6.1668409355015941"/>
    <n v="4.5324510540565299"/>
    <n v="2.7118688241042133"/>
    <n v="41.13544782744691"/>
    <n v="6.6750817784939853"/>
    <n v="-0.24366312458338202"/>
    <n v="-0.39816957000000031"/>
    <n v="0.46985558999999982"/>
    <n v="1.26416741"/>
  </r>
  <r>
    <x v="17"/>
    <x v="1"/>
    <x v="0"/>
    <x v="0"/>
    <x v="1"/>
    <x v="67"/>
    <n v="147.24658999999883"/>
    <n v="-6.9954475727425862"/>
    <n v="2.4654607661568351"/>
    <n v="3.9516322021417194"/>
    <n v="-2.5886590669387921"/>
    <n v="1.6034000374222979"/>
    <n v="2.434262132278131"/>
    <n v="-2.7290269999999395E-2"/>
    <n v="4.8276083089802579"/>
    <n v="5.3717789855605602"/>
    <n v="6.3815556450973032"/>
    <n v="4.6229628268057432"/>
    <n v="2.6618762861540857"/>
    <n v="44.538717538380567"/>
    <n v="6.9560785968720396"/>
    <n v="-0.17631642142670323"/>
    <n v="-0.33755385999999987"/>
    <n v="0.46357461999999988"/>
    <n v="1.2535585099999995"/>
  </r>
  <r>
    <x v="18"/>
    <x v="1"/>
    <x v="0"/>
    <x v="0"/>
    <x v="1"/>
    <x v="68"/>
    <n v="122.95628000000215"/>
    <n v="-6.74520487537057"/>
    <n v="2.4656606473454357"/>
    <n v="4.0598304492155846"/>
    <n v="-2.6733028222941102"/>
    <n v="1.6506418491911923"/>
    <n v="2.4338341270141228"/>
    <n v="-2.7831909999999349E-2"/>
    <n v="4.9197831522248547"/>
    <n v="5.4686033078682694"/>
    <n v="6.5437844855255722"/>
    <n v="4.681217483068445"/>
    <n v="2.5860041385274091"/>
    <n v="47.828566227612356"/>
    <n v="7.1824508985208757"/>
    <n v="-0.11022262048069331"/>
    <n v="-0.27737150000000033"/>
    <n v="0.45423514999999998"/>
    <n v="1.2333114799999996"/>
  </r>
  <r>
    <x v="19"/>
    <x v="1"/>
    <x v="0"/>
    <x v="0"/>
    <x v="1"/>
    <x v="69"/>
    <n v="98.93090999999913"/>
    <n v="-6.5106368493357047"/>
    <n v="2.4482266990401236"/>
    <n v="4.155727520220398"/>
    <n v="-2.739288871007961"/>
    <n v="1.6825288246817394"/>
    <n v="2.4162437351545218"/>
    <n v="-2.7966399999999891E-2"/>
    <n v="4.978001996382897"/>
    <n v="5.5253501440789998"/>
    <n v="6.6545545179326648"/>
    <n v="4.7087389149918391"/>
    <n v="2.4869595073210737"/>
    <n v="50.975895209285468"/>
    <n v="7.3540113977383914"/>
    <n v="-4.6268261179849279E-2"/>
    <n v="-0.21874424000000031"/>
    <n v="0.44196537000000047"/>
    <n v="1.2040244800000008"/>
  </r>
  <r>
    <x v="20"/>
    <x v="1"/>
    <x v="0"/>
    <x v="0"/>
    <x v="1"/>
    <x v="70"/>
    <n v="75.607100000001083"/>
    <n v="-6.2890009012238064"/>
    <n v="2.4143392852311152"/>
    <n v="4.2379745802249902"/>
    <n v="-2.7869034949188798"/>
    <n v="1.700251103649042"/>
    <n v="2.3826708278715802"/>
    <n v="-2.7694400000000119E-2"/>
    <n v="5.0037767664883326"/>
    <n v="5.5443788411232209"/>
    <n v="6.7158763416908851"/>
    <n v="4.7075544867621666"/>
    <n v="2.3677438336696444"/>
    <n v="53.955738730975611"/>
    <n v="7.4717698544479294"/>
    <n v="1.480916720058012E-2"/>
    <n v="-0.16267503000000003"/>
    <n v="0.42700294"/>
    <n v="1.1663897900000004"/>
  </r>
  <r>
    <x v="21"/>
    <x v="1"/>
    <x v="0"/>
    <x v="0"/>
    <x v="1"/>
    <x v="71"/>
    <n v="53.374909999998636"/>
    <n v="-6.077698842942092"/>
    <n v="2.365381008628753"/>
    <n v="4.3054308494698379"/>
    <n v="-2.8167477941641206"/>
    <n v="1.7051013079210087"/>
    <n v="2.3344903244407522"/>
    <n v="-2.7021929999999916E-2"/>
    <n v="4.9991224495574249"/>
    <n v="5.5285963635474777"/>
    <n v="6.7305999750929324"/>
    <n v="4.6800684698489858"/>
    <n v="2.2315240047287244"/>
    <n v="56.747667874546707"/>
    <n v="7.5378073575314897"/>
    <n v="7.2432171985226113E-2"/>
    <n v="-0.11002615999999993"/>
    <n v="0.40967828999999983"/>
    <n v="1.1211844200000007"/>
  </r>
  <r>
    <x v="22"/>
    <x v="1"/>
    <x v="0"/>
    <x v="0"/>
    <x v="1"/>
    <x v="72"/>
    <n v="32.568030000002182"/>
    <n v="-5.8744016721437253"/>
    <n v="2.3028939769866863"/>
    <n v="4.3571974312426986"/>
    <n v="-2.8296905139167938"/>
    <n v="1.6984240459670064"/>
    <n v="2.2732224772641363"/>
    <n v="-2.5967109999999738E-2"/>
    <n v="4.9664515971139522"/>
    <n v="5.4813018702625449"/>
    <n v="6.7022523515025467"/>
    <n v="4.6289386392729392"/>
    <n v="2.0815122736952629"/>
    <n v="59.336006686431951"/>
    <n v="7.5551232759999865"/>
    <n v="0.12618909895296682"/>
    <n v="-6.1498990000000142E-2"/>
    <n v="0.39039425000000005"/>
    <n v="1.0692492699999994"/>
  </r>
  <r>
    <x v="23"/>
    <x v="1"/>
    <x v="0"/>
    <x v="0"/>
    <x v="1"/>
    <x v="73"/>
    <n v="13.454969999998866"/>
    <n v="-5.6771307743947119"/>
    <n v="2.2285282341781176"/>
    <n v="4.3926357301871999"/>
    <n v="-2.8268180552647237"/>
    <n v="1.6815699307529686"/>
    <n v="2.2004784336479677"/>
    <n v="-2.4562570000000172E-2"/>
    <n v="4.9084676491360835"/>
    <n v="5.4060386442186026"/>
    <n v="6.6348671988848862"/>
    <n v="4.5569642798945376"/>
    <n v="1.9208603585364692"/>
    <n v="61.709863553856351"/>
    <n v="7.5274618067044941"/>
    <n v="0.17583205926592349"/>
    <n v="-1.7617860000000013E-2"/>
    <n v="0.36960373999999974"/>
    <n v="1.0114628399999992"/>
  </r>
  <r>
    <x v="24"/>
    <x v="1"/>
    <x v="0"/>
    <x v="0"/>
    <x v="1"/>
    <x v="74"/>
    <n v="-3.7677000000003318"/>
    <n v="-5.4843016884180695"/>
    <n v="2.143988447051659"/>
    <n v="4.4113732155616203"/>
    <n v="-2.8093840804132131"/>
    <n v="1.6558571363510355"/>
    <n v="2.1179092398556643"/>
    <n v="-2.2853860000000836E-2"/>
    <n v="4.8280617541190285"/>
    <n v="5.3064599244130317"/>
    <n v="6.5328165323127019"/>
    <n v="4.466987194241745"/>
    <n v="1.7525711236823005"/>
    <n v="63.862993181112039"/>
    <n v="7.4591277079945728"/>
    <n v="0.22126577724108643"/>
    <n v="2.1278979999999822E-2"/>
    <n v="0.34778685999999959"/>
    <n v="0.94871671999999929"/>
  </r>
  <r>
    <x v="25"/>
    <x v="1"/>
    <x v="0"/>
    <x v="0"/>
    <x v="1"/>
    <x v="75"/>
    <n v="-18.978540000000066"/>
    <n v="-5.294734902159048"/>
    <n v="2.0509873765525377"/>
    <n v="4.4132992708658225"/>
    <n v="-2.7787607033795791"/>
    <n v="1.6225424110919429"/>
    <n v="2.027163691693068"/>
    <n v="-2.0895059999999355E-2"/>
    <n v="4.7282171466972889"/>
    <n v="5.1862133206932004"/>
    <n v="6.4006519129301997"/>
    <n v="4.3618096141028406"/>
    <n v="1.5794296837540855"/>
    <n v="65.793514646888582"/>
    <n v="7.3547999751420567"/>
    <n v="0.26252879877219915"/>
    <n v="5.5039159999999837E-2"/>
    <n v="0.32542836999999991"/>
    <n v="0.8818974199999996"/>
  </r>
  <r>
    <x v="26"/>
    <x v="1"/>
    <x v="0"/>
    <x v="0"/>
    <x v="1"/>
    <x v="76"/>
    <n v="-32.130510000002687"/>
    <n v="-5.107639619728765"/>
    <n v="1.9512097281239482"/>
    <n v="4.3985539636571591"/>
    <n v="-2.7363931076628045"/>
    <n v="1.5828033891800874"/>
    <n v="1.9298597805535334"/>
    <n v="-1.8743190000000687E-2"/>
    <n v="4.6119242558366746"/>
    <n v="5.0488463625308011"/>
    <n v="6.2429622082856406"/>
    <n v="4.2441296132582185"/>
    <n v="1.4039539340711782"/>
    <n v="67.503517738241797"/>
    <n v="7.2193537421636256"/>
    <n v="0.29976830611788685"/>
    <n v="8.3685730000000041E-2"/>
    <n v="0.30299639000000017"/>
    <n v="0.81187778999999982"/>
  </r>
  <r>
    <x v="27"/>
    <x v="1"/>
    <x v="0"/>
    <x v="0"/>
    <x v="1"/>
    <x v="77"/>
    <n v="-43.245539999999892"/>
    <n v="-4.9225755895385248"/>
    <n v="1.8462898109756098"/>
    <n v="4.3675125551564609"/>
    <n v="-2.6837587479009439"/>
    <n v="1.5377313873037091"/>
    <n v="1.8275679877368445"/>
    <n v="-1.6452730000000859E-2"/>
    <n v="4.4821084540074052"/>
    <n v="4.8977337981640945"/>
    <n v="6.0642520941080358"/>
    <n v="4.1164929416564133"/>
    <n v="1.2283642416703211"/>
    <n v="68.998590812467214"/>
    <n v="7.0576980744609275"/>
    <n v="0.33321163882049643"/>
    <n v="0.10739688999999997"/>
    <n v="0.28092315000000023"/>
    <n v="0.73951715000000062"/>
  </r>
  <r>
    <x v="28"/>
    <x v="1"/>
    <x v="0"/>
    <x v="0"/>
    <x v="1"/>
    <x v="78"/>
    <n v="-52.405490000001009"/>
    <n v="-4.7393996598525163"/>
    <n v="1.7378004551223736"/>
    <n v="4.3207666376925191"/>
    <n v="-2.6223324585395336"/>
    <n v="1.4883330612089019"/>
    <n v="1.7218052370737924"/>
    <n v="-1.4071949999999722E-2"/>
    <n v="4.3415716076858457"/>
    <n v="4.7360258259909527"/>
    <n v="5.8688435436772046"/>
    <n v="3.9812610006721316"/>
    <n v="1.0545690281121844"/>
    <n v="70.287302678773628"/>
    <n v="6.8746361446161863"/>
    <n v="0.36313739395674727"/>
    <n v="0.12647764000000006"/>
    <n v="0.25958889000000029"/>
    <n v="0.66566774000000051"/>
  </r>
  <r>
    <x v="29"/>
    <x v="1"/>
    <x v="0"/>
    <x v="0"/>
    <x v="1"/>
    <x v="79"/>
    <n v="-59.739839999998367"/>
    <n v="-4.5582032070709317"/>
    <n v="1.6272506649727791"/>
    <n v="4.2591027104418977"/>
    <n v="-2.553556538963786"/>
    <n v="1.435538129237357"/>
    <n v="1.6140331160781507"/>
    <n v="-1.1641280000000698E-2"/>
    <n v="4.1929481090579035"/>
    <n v="4.5666150032661834"/>
    <n v="5.6608008699930323"/>
    <n v="3.8405919836118851"/>
    <n v="0.88416601423808583"/>
    <n v="71.380667914300318"/>
    <n v="6.6747520953496453"/>
    <n v="0.38984886819131148"/>
    <n v="0.14132643999999994"/>
    <n v="0.23930954999999976"/>
    <n v="0.5911826300000006"/>
  </r>
  <r>
    <x v="30"/>
    <x v="1"/>
    <x v="0"/>
    <x v="0"/>
    <x v="1"/>
    <x v="80"/>
    <n v="-65.41197000000102"/>
    <n v="-4.379247241592255"/>
    <n v="1.5160850991691177"/>
    <n v="4.1834783751601323"/>
    <n v="-2.4788177535943756"/>
    <n v="1.3802094474001825"/>
    <n v="1.5056581997103136"/>
    <n v="-9.1940900000003767E-3"/>
    <n v="4.0386729466791893"/>
    <n v="4.3921191843779184"/>
    <n v="5.4438779413185978"/>
    <n v="3.6964330692655478"/>
    <n v="0.7184535910972123"/>
    <n v="72.291617655356546"/>
    <n v="6.4623256723559619"/>
    <n v="0.41365169649283384"/>
    <n v="0.15240033999999997"/>
    <n v="0.22032904999999964"/>
    <n v="0.51692055999999975"/>
  </r>
  <r>
    <x v="31"/>
    <x v="1"/>
    <x v="0"/>
    <x v="0"/>
    <x v="1"/>
    <x v="81"/>
    <n v="-69.605400000000373"/>
    <n v="-4.2029004464587345"/>
    <n v="1.4056822257997759"/>
    <n v="4.0949953249412419"/>
    <n v="-2.3994295169144308"/>
    <n v="1.3231526270984117"/>
    <n v="1.3980256232090982"/>
    <n v="-6.7591199999994522E-3"/>
    <n v="3.8809633591086801"/>
    <n v="4.2148770080175701"/>
    <n v="5.2214851712720112"/>
    <n v="3.5505217309183434"/>
    <n v="0.55845189672458773"/>
    <n v="73.034497014602096"/>
    <n v="6.2412743407479043"/>
    <n v="0.434837224859419"/>
    <n v="0.16018218000000001"/>
    <n v="0.20281667000000003"/>
    <n v="0.44374327000000002"/>
  </r>
  <r>
    <x v="32"/>
    <x v="1"/>
    <x v="0"/>
    <x v="0"/>
    <x v="1"/>
    <x v="82"/>
    <n v="-72.511210000000574"/>
    <n v="-4.0295851784084231"/>
    <n v="1.2973451280639869"/>
    <n v="3.9948696913288506"/>
    <n v="-2.3166188041573776"/>
    <n v="1.2651222570199794"/>
    <n v="1.2924076248790772"/>
    <n v="-4.3637200000001819E-3"/>
    <n v="3.7218083794728019"/>
    <n v="4.0369525931674533"/>
    <n v="4.9966729402212362"/>
    <n v="3.4043918933510442"/>
    <n v="0.4049288954359076"/>
    <n v="73.624598863492679"/>
    <n v="6.0151192761648042"/>
    <n v="0.45367177604411779"/>
    <n v="0.16515287000000001"/>
    <n v="0.18686924999999979"/>
    <n v="0.3725036000000001"/>
  </r>
  <r>
    <x v="33"/>
    <x v="1"/>
    <x v="0"/>
    <x v="0"/>
    <x v="1"/>
    <x v="83"/>
    <n v="-74.318150000002788"/>
    <n v="-3.8597341869950896"/>
    <n v="1.1922855236512708"/>
    <n v="3.8843993699896773"/>
    <n v="-2.2315175093969519"/>
    <n v="1.2068232352342223"/>
    <n v="1.1899832447004099"/>
    <n v="-2.0370199999994454E-3"/>
    <n v="3.5629671263218254"/>
    <n v="3.8601463590169915"/>
    <n v="4.7721278999405481"/>
    <n v="3.2593841419688463"/>
    <n v="0.25842923038981169"/>
    <n v="74.077743471152772"/>
    <n v="5.7869720519501122"/>
    <n v="0.47039151388563738"/>
    <n v="0.16777069000000008"/>
    <n v="0.17251797999999971"/>
    <n v="0.30402388999999985"/>
  </r>
  <r>
    <x v="34"/>
    <x v="1"/>
    <x v="0"/>
    <x v="0"/>
    <x v="1"/>
    <x v="84"/>
    <n v="-75.205539999999019"/>
    <n v="-3.6937596899675906"/>
    <n v="1.0916005435184006"/>
    <n v="3.7649298975334089"/>
    <n v="-2.1451579736357695"/>
    <n v="1.1489070703511128"/>
    <n v="1.0918130443454688"/>
    <n v="1.881900000000325E-4"/>
    <n v="3.4059726079359143"/>
    <n v="3.6860092241010056"/>
    <n v="4.5501788586906233"/>
    <n v="3.1166572911856427"/>
    <n v="0.11930363427667956"/>
    <n v="74.409906662152594"/>
    <n v="5.5595365090110205"/>
    <n v="0.48520156876494802"/>
    <n v="0.16845855699999993"/>
    <n v="0.15973867000000017"/>
    <n v="0.23906751999999976"/>
  </r>
  <r>
    <x v="35"/>
    <x v="1"/>
    <x v="0"/>
    <x v="0"/>
    <x v="1"/>
    <x v="85"/>
    <n v="-75.339489999998477"/>
    <n v="-3.5320345231679928"/>
    <n v="0.99624463881484715"/>
    <n v="3.6378196749002001"/>
    <n v="-2.0584698687061587"/>
    <n v="1.0919640608622494"/>
    <n v="0.99881043370657618"/>
    <n v="2.2750199999990728E-3"/>
    <n v="3.2521391413787848"/>
    <n v="3.5158580644501614"/>
    <n v="4.332808784338793"/>
    <n v="2.9772008438669673"/>
    <n v="-1.226193379564311E-2"/>
    <n v="74.636898572057049"/>
    <n v="5.3351216781921229"/>
    <n v="0.49827854222694867"/>
    <n v="0.167598515"/>
    <n v="0.14846416000000029"/>
    <n v="0.17830693000000022"/>
  </r>
  <r>
    <x v="36"/>
    <x v="1"/>
    <x v="0"/>
    <x v="0"/>
    <x v="1"/>
    <x v="86"/>
    <n v="-74.871729999998934"/>
    <n v="-3.3748836760860712"/>
    <n v="0.90700250739668142"/>
    <n v="3.5044070660879223"/>
    <n v="-1.9722806152146055"/>
    <n v="1.036512776051346"/>
    <n v="0.91171634176270278"/>
    <n v="4.1839000000001847E-3"/>
    <n v="3.1025711429508496"/>
    <n v="3.350790703343165"/>
    <n v="4.1216708621831133"/>
    <n v="2.8418451721446747"/>
    <n v="-0.13622036455778197"/>
    <n v="74.774088801850922"/>
    <n v="5.115661208426836"/>
    <n v="0.50977447739617432"/>
    <n v="0.16553246099999999"/>
    <n v="0.13859750000000046"/>
    <n v="0.1222932000000003"/>
  </r>
  <r>
    <x v="37"/>
    <x v="1"/>
    <x v="0"/>
    <x v="0"/>
    <x v="1"/>
    <x v="87"/>
    <n v="-73.940539999999601"/>
    <n v="-3.222584152916641"/>
    <n v="0.82446512250147208"/>
    <n v="3.3659805443197355"/>
    <n v="-1.8873151752368256"/>
    <n v="0.98298934488538769"/>
    <n v="0.83107863772882151"/>
    <n v="5.8753899999999804E-3"/>
    <n v="2.9581738949060465"/>
    <n v="3.1917001689797608"/>
    <n v="3.9181064436933699"/>
    <n v="2.7112715284479005"/>
    <n v="-0.25264080230481545"/>
    <n v="74.836178410941216"/>
    <n v="4.9027359699407524"/>
    <n v="0.51982129940741917"/>
    <n v="0.16256672799999997"/>
    <n v="0.13002454999999982"/>
    <n v="7.1431609999999396E-2"/>
  </r>
  <r>
    <x v="38"/>
    <x v="1"/>
    <x v="0"/>
    <x v="0"/>
    <x v="1"/>
    <x v="88"/>
    <n v="-72.67268999999942"/>
    <n v="-3.0753697234466637"/>
    <n v="0.74901537627172221"/>
    <n v="3.2237540663164532"/>
    <n v="-1.80419872613935"/>
    <n v="0.93173853450223554"/>
    <n v="0.75724119115232469"/>
    <n v="7.3138999999999843E-3"/>
    <n v="2.8196640820717045"/>
    <n v="3.0392875639022598"/>
    <n v="3.7231637743631252"/>
    <n v="2.5860204854823543"/>
    <n v="-0.36168792300850239"/>
    <n v="74.837013059076014"/>
    <n v="4.6975976723911073"/>
    <n v="0.52853499939962134"/>
    <n v="0.15897862899999998"/>
    <n v="0.12262472999999968"/>
    <n v="2.5966280000000452E-2"/>
  </r>
  <r>
    <x v="39"/>
    <x v="1"/>
    <x v="0"/>
    <x v="0"/>
    <x v="1"/>
    <x v="89"/>
    <n v="-71.18579999999929"/>
    <n v="-2.933438208758421"/>
    <n v="0.68082379825755712"/>
    <n v="3.078848708742532"/>
    <n v="-1.7234584112270523"/>
    <n v="0.88300845746742684"/>
    <n v="0.69034397562051097"/>
    <n v="8.4713599999994282E-3"/>
    <n v="2.6875804294672845"/>
    <n v="2.8940727745056405"/>
    <n v="3.5376172617942458"/>
    <n v="2.4664984949372082"/>
    <n v="-0.46360584330756849"/>
    <n v="74.789434924104654"/>
    <n v="4.5011922166833918"/>
    <n v="0.5360183389725437"/>
    <n v="0.155022774"/>
    <n v="0.11627932999999993"/>
    <n v="-1.4023519999999817E-2"/>
  </r>
  <r>
    <x v="40"/>
    <x v="1"/>
    <x v="0"/>
    <x v="0"/>
    <x v="1"/>
    <x v="90"/>
    <n v="-69.590200000002369"/>
    <n v="-2.7969585018693954"/>
    <n v="0.61985596028046874"/>
    <n v="2.9322809305587949"/>
    <n v="-1.6455261302890545"/>
    <n v="0.83694984951416806"/>
    <n v="0.63033425387928332"/>
    <n v="9.3304499999988244E-3"/>
    <n v="2.5622945435124445"/>
    <n v="2.7564061971615761"/>
    <n v="3.3619865339401978"/>
    <n v="2.3529844386808163"/>
    <n v="-0.55870429681117439"/>
    <n v="74.705169789636656"/>
    <n v="4.3141820038475664"/>
    <n v="0.54236286201845285"/>
    <n v="0.15093577799999996"/>
    <n v="0.1108769399999994"/>
    <n v="-4.8616120000000151E-2"/>
  </r>
  <r>
    <x v="41"/>
    <x v="1"/>
    <x v="0"/>
    <x v="0"/>
    <x v="1"/>
    <x v="91"/>
    <n v="-67.989799999999377"/>
    <n v="-2.6660759825237412"/>
    <n v="0.5658919090167247"/>
    <n v="2.7849575186789322"/>
    <n v="-1.5707418427182929"/>
    <n v="0.79362030953813445"/>
    <n v="0.57698771225871415"/>
    <n v="9.8864899999995259E-3"/>
    <n v="2.4440214531919136"/>
    <n v="2.6264779938151461"/>
    <n v="3.1965561554106792"/>
    <n v="2.2456363035521454"/>
    <n v="-0.64734636921963684"/>
    <n v="74.594747548558288"/>
    <n v="4.1369679695112627"/>
    <n v="0.54764935311704122"/>
    <n v="0.14693846199999999"/>
    <n v="0.10631613999999984"/>
    <n v="-7.8029820000000139E-2"/>
  </r>
  <r>
    <x v="42"/>
    <x v="1"/>
    <x v="0"/>
    <x v="0"/>
    <x v="1"/>
    <x v="92"/>
    <n v="-66.482090000001335"/>
    <n v="-2.5409152131114054"/>
    <n v="0.51855349410991902"/>
    <n v="2.6376762902961648"/>
    <n v="-1.499356914118144"/>
    <n v="0.75299306451397374"/>
    <n v="0.52993654735233875"/>
    <n v="1.0148050000000075E-2"/>
    <n v="2.3328312050651334"/>
    <n v="2.5043300310988226"/>
    <n v="3.0413956262624664"/>
    <n v="2.1444974202328826"/>
    <n v="-0.72993879506784154"/>
    <n v="74.467452207848055"/>
    <n v="3.969711134853382"/>
    <n v="0.55194773846427569"/>
    <n v="0.14323538200000002"/>
    <n v="0.10250601000000026"/>
    <n v="-0.10259806999999982"/>
  </r>
  <r>
    <x v="43"/>
    <x v="1"/>
    <x v="0"/>
    <x v="0"/>
    <x v="1"/>
    <x v="93"/>
    <n v="-65.156910000001517"/>
    <n v="-2.4215797714856158"/>
    <n v="0.47733803704659294"/>
    <n v="2.4911314851166821"/>
    <n v="-1.4315383736258847"/>
    <n v="0.71496924902627601"/>
    <n v="0.48870209610707427"/>
    <n v="1.0135990000000039E-2"/>
    <n v="2.2286609801310142"/>
    <n v="2.3898666385995027"/>
    <n v="2.8963800705671838"/>
    <n v="2.0495046715792498"/>
    <n v="-0.80692278032914455"/>
    <n v="74.331299608721764"/>
    <n v="3.8123548329121348"/>
    <n v="0.55531680974343356"/>
    <n v="0.14001208399999995"/>
    <n v="9.9364799999999975E-2"/>
    <n v="-0.12274009000000016"/>
  </r>
  <r>
    <x v="44"/>
    <x v="1"/>
    <x v="0"/>
    <x v="0"/>
    <x v="1"/>
    <x v="94"/>
    <n v="-64.094599999996717"/>
    <n v="-2.3081497402350659"/>
    <n v="0.44165497125767672"/>
    <n v="2.3459222623984255"/>
    <n v="-1.367373880389755"/>
    <n v="0.67939239130816453"/>
    <n v="0.4527290453963051"/>
    <n v="9.8814399999994085E-3"/>
    <n v="2.1313282394584521"/>
    <n v="2.2828682987903637"/>
    <n v="2.7612129584758671"/>
    <n v="1.9604968880237994"/>
    <n v="-0.87876554379219263"/>
    <n v="74.193040113969346"/>
    <n v="3.6646478022027473"/>
    <n v="0.55780291166620533"/>
    <n v="0.13743082600000001"/>
    <n v="9.6817780000000436E-2"/>
    <n v="-0.13893037999999983"/>
  </r>
  <r>
    <x v="45"/>
    <x v="1"/>
    <x v="0"/>
    <x v="0"/>
    <x v="1"/>
    <x v="95"/>
    <n v="-63.363780000003317"/>
    <n v="-2.200677410884877"/>
    <n v="0.41086138058206156"/>
    <n v="2.2025629848703598"/>
    <n v="-1.3068771479695207"/>
    <n v="0.64606390645989276"/>
    <n v="0.42141773693922246"/>
    <n v="9.4228799999998558E-3"/>
    <n v="2.0405450042052742"/>
    <n v="2.1830054124127862"/>
    <n v="2.6354480344245923"/>
    <n v="1.8772257673915105"/>
    <n v="-0.94595185983219476"/>
    <n v="74.058185268013915"/>
    <n v="3.5261685754613969"/>
    <n v="0.55944035060127018"/>
    <n v="0.13562570399999996"/>
    <n v="9.4794709999999893E-2"/>
    <n v="-0.15166967000000003"/>
  </r>
  <r>
    <x v="46"/>
    <x v="1"/>
    <x v="0"/>
    <x v="0"/>
    <x v="1"/>
    <x v="96"/>
    <n v="-63.019049999995332"/>
    <n v="-2.0991824488822863"/>
    <n v="0.38429472306664714"/>
    <n v="2.0614939428061696"/>
    <n v="-1.2499948001865047"/>
    <n v="0.61475787268292503"/>
    <n v="0.39415358398513511"/>
    <n v="8.8029899999994554E-3"/>
    <n v="1.9559328045620994"/>
    <n v="2.0898544675413522"/>
    <n v="2.5185136695366594"/>
    <n v="1.7993665628512678"/>
    <n v="-1.0089764117813371"/>
    <n v="73.931053215342786"/>
    <n v="3.3963511307091743"/>
    <n v="0.56025177239882318"/>
    <n v="0.13469813099999994"/>
    <n v="9.3227469999999923E-2"/>
    <n v="-0.1614594200000003"/>
  </r>
  <r>
    <x v="47"/>
    <x v="1"/>
    <x v="0"/>
    <x v="0"/>
    <x v="1"/>
    <x v="97"/>
    <n v="-63.099229999999807"/>
    <n v="-2.0036468909653493"/>
    <n v="0.36130102501661376"/>
    <n v="1.9230915183568564"/>
    <n v="-1.1966129036820372"/>
    <n v="0.58523480325234356"/>
    <n v="0.37033157837595976"/>
    <n v="8.0654499999999185E-3"/>
    <n v="1.8770387614109874"/>
    <n v="2.0029143806672423"/>
    <n v="2.4097374721609333"/>
    <n v="1.7265316577366407"/>
    <n v="-1.0683353059501632"/>
    <n v="73.814834131126176"/>
    <n v="3.2745115636480193"/>
    <n v="0.5602476348310681"/>
    <n v="0.13471339799999998"/>
    <n v="9.2048290000000532E-2"/>
    <n v="-0.16878119999999969"/>
  </r>
  <r>
    <x v="48"/>
    <x v="1"/>
    <x v="0"/>
    <x v="0"/>
    <x v="1"/>
    <x v="98"/>
    <n v="-63.626100000001315"/>
    <n v="-1.9140117765772846"/>
    <n v="0.34125677836234214"/>
    <n v="1.78767734232117"/>
    <n v="-1.1465656646207245"/>
    <n v="0.55725367968224582"/>
    <n v="0.34937488877615497"/>
    <n v="7.2522200000008086E-3"/>
    <n v="1.8033522371891264"/>
    <n v="1.9216245276701738"/>
    <n v="2.3083703710659709"/>
    <n v="1.6582834926125667"/>
    <n v="-1.1245183834003969"/>
    <n v="73.711668885618977"/>
    <n v="3.1598754071740176"/>
    <n v="0.55942917772981993"/>
    <n v="0.13569884599999998"/>
    <n v="9.1188809999999398E-2"/>
    <n v="-0.17408143000000009"/>
  </r>
  <r>
    <x v="49"/>
    <x v="1"/>
    <x v="0"/>
    <x v="0"/>
    <x v="1"/>
    <x v="99"/>
    <n v="-64.603980000007141"/>
    <n v="-1.8301740603609118"/>
    <n v="0.32358484593191239"/>
    <n v="1.65552563544904"/>
    <n v="-1.0996431857654865"/>
    <n v="0.53058045577742963"/>
    <n v="0.33074917828594952"/>
    <n v="6.4014400000006466E-3"/>
    <n v="1.7343209528698722"/>
    <n v="1.8453822170095391"/>
    <n v="2.2136114268472618"/>
    <n v="1.5941488218381039"/>
    <n v="-1.1780008925753371"/>
    <n v="73.622741977838118"/>
    <n v="3.0516049171769311"/>
    <n v="0.5577887034288187"/>
    <n v="0.13764389600000004"/>
    <n v="9.0579770000000226E-2"/>
    <n v="-0.17776136999999997"/>
  </r>
  <r>
    <x v="50"/>
    <x v="1"/>
    <x v="0"/>
    <x v="0"/>
    <x v="1"/>
    <x v="100"/>
    <n v="-66.020160000000033"/>
    <n v="-1.7519865802791856"/>
    <n v="0.30776507759020522"/>
    <n v="1.526869278638876"/>
    <n v="-1.0556003026965355"/>
    <n v="0.5049958017594669"/>
    <n v="0.31397092473040011"/>
    <n v="5.5459300000004763E-3"/>
    <n v="1.6693678248528965"/>
    <n v="1.7735602469459932"/>
    <n v="2.1246307525234265"/>
    <n v="1.5336325858672506"/>
    <n v="-1.2292364219501306"/>
    <n v="73.548382430226383"/>
    <n v="2.9488257723631506"/>
    <n v="0.5553127716751316"/>
    <n v="0.14050190800000001"/>
    <n v="9.0151570000000097E-2"/>
    <n v="-0.18017186999999996"/>
  </r>
  <r>
    <x v="0"/>
    <x v="1"/>
    <x v="0"/>
    <x v="1"/>
    <x v="0"/>
    <x v="0"/>
    <n v="0"/>
    <n v="0"/>
    <n v="0"/>
    <n v="0"/>
    <n v="0"/>
    <n v="0"/>
    <n v="0"/>
    <n v="0"/>
    <n v="0"/>
    <n v="0"/>
    <n v="0"/>
    <n v="0"/>
    <n v="5.2064544503682697E-3"/>
    <n v="0.21586010219090124"/>
    <n v="0"/>
    <n v="0"/>
    <n v="0"/>
    <n v="0"/>
    <n v="0"/>
  </r>
  <r>
    <x v="1"/>
    <x v="1"/>
    <x v="0"/>
    <x v="1"/>
    <x v="0"/>
    <x v="101"/>
    <n v="21.987400000001799"/>
    <n v="-1.2851876193205602"/>
    <n v="5.2114549560910994E-2"/>
    <n v="-0.24788212195929749"/>
    <n v="-0.12307292249987833"/>
    <n v="-0.16050266504457067"/>
    <n v="7.2852514325938422E-2"/>
    <n v="1.8595369999999112E-2"/>
    <n v="0.44472431019821901"/>
    <n v="6.4077132329809494E-2"/>
    <n v="-0.70843631703724208"/>
    <n v="0.82970863429119301"/>
    <n v="0.21081575877126557"/>
    <n v="0.74463729455909178"/>
    <n v="1.9175774920743294E-2"/>
    <n v="-0.37598295235446999"/>
    <n v="-6.5676010000000062E-2"/>
    <n v="6.846154000000014E-2"/>
    <n v="-2.6906858999999929E-2"/>
  </r>
  <r>
    <x v="2"/>
    <x v="1"/>
    <x v="0"/>
    <x v="1"/>
    <x v="0"/>
    <x v="102"/>
    <n v="40.78070999999909"/>
    <n v="-2.1220244520334997"/>
    <n v="0.12067539754265777"/>
    <n v="-0.47927107634603283"/>
    <n v="-0.28564365986585294"/>
    <n v="-0.26410604257731674"/>
    <n v="0.14446699891876857"/>
    <n v="2.131569999999916E-2"/>
    <n v="0.48810238776342274"/>
    <n v="0.12764293707543395"/>
    <n v="-0.61472774312798517"/>
    <n v="0.86254154540708061"/>
    <n v="0.32580126952586053"/>
    <n v="1.6072273013736815"/>
    <n v="0.17806608580381855"/>
    <n v="-0.27147084211118777"/>
    <n v="-0.11603992000000091"/>
    <n v="8.8669889999999987E-2"/>
    <n v="2.3706059999999834E-3"/>
  </r>
  <r>
    <x v="3"/>
    <x v="1"/>
    <x v="0"/>
    <x v="1"/>
    <x v="0"/>
    <x v="103"/>
    <n v="48.528120000002673"/>
    <n v="-2.6269726636934387"/>
    <n v="0.1716861966683858"/>
    <n v="-0.68074158464700441"/>
    <n v="-0.4560377652881753"/>
    <n v="-0.31863663586977342"/>
    <n v="0.18192077839500609"/>
    <n v="9.1624999999997958E-3"/>
    <n v="0.54486049706838902"/>
    <n v="0.20253877837119738"/>
    <n v="-0.50771919540449906"/>
    <n v="0.90398112563743194"/>
    <n v="0.3924460752287029"/>
    <n v="2.7800737906746864"/>
    <n v="0.35006284500698204"/>
    <n v="-0.17646333153267246"/>
    <n v="-0.13174937000000053"/>
    <n v="8.598125000000012E-2"/>
    <n v="-6.2440349999999881E-3"/>
  </r>
  <r>
    <x v="4"/>
    <x v="1"/>
    <x v="0"/>
    <x v="1"/>
    <x v="0"/>
    <x v="104"/>
    <n v="44.011250000003201"/>
    <n v="-2.9300638839186099"/>
    <n v="0.18605233584403358"/>
    <n v="-0.85729096150721773"/>
    <n v="-0.62009862184426723"/>
    <n v="-0.35330068000560821"/>
    <n v="0.17699133706428061"/>
    <n v="-8.1082999999995686E-3"/>
    <n v="0.6048901870724599"/>
    <n v="0.27974582741889797"/>
    <n v="-0.39847465659154091"/>
    <n v="0.94728269313621993"/>
    <n v="0.42682579952308952"/>
    <n v="4.2144760079538823"/>
    <n v="0.50099007537052209"/>
    <n v="-0.11161761921324453"/>
    <n v="-0.11305781000000015"/>
    <n v="7.3733980000000032E-2"/>
    <n v="-4.5520974000000033E-2"/>
  </r>
  <r>
    <x v="5"/>
    <x v="1"/>
    <x v="0"/>
    <x v="1"/>
    <x v="0"/>
    <x v="105"/>
    <n v="28.965890000003128"/>
    <n v="-3.1124532678734163"/>
    <n v="0.16475581775030612"/>
    <n v="-1.0150047346720315"/>
    <n v="-0.7688787113191542"/>
    <n v="-0.38483194699805434"/>
    <n v="0.14167327194321011"/>
    <n v="-2.0653059999999057E-2"/>
    <n v="0.65751073647626335"/>
    <n v="0.34773983392613061"/>
    <n v="-0.30089535125248368"/>
    <n v="0.98350654367449497"/>
    <n v="0.4356970753287559"/>
    <n v="5.8471420837524324"/>
    <n v="0.62116890893342269"/>
    <n v="-7.0226780668392053E-2"/>
    <n v="-6.7314479999999732E-2"/>
    <n v="5.8409630000000323E-2"/>
    <n v="-0.10211691799999999"/>
  </r>
  <r>
    <x v="6"/>
    <x v="1"/>
    <x v="0"/>
    <x v="1"/>
    <x v="0"/>
    <x v="106"/>
    <n v="6.4150399999998626"/>
    <n v="-3.2190227805129368"/>
    <n v="0.11790223516903175"/>
    <n v="-1.1561334056717887"/>
    <n v="-0.89511801416900516"/>
    <n v="-0.41891917835895631"/>
    <n v="8.9077228550404897E-2"/>
    <n v="-2.5793670000000268E-2"/>
    <n v="0.69494499937623466"/>
    <n v="0.39770599402981777"/>
    <n v="-0.22550097545368519"/>
    <n v="1.0056718996694469"/>
    <n v="0.4229548979666653"/>
    <n v="7.6059262886827517"/>
    <n v="0.70656669012498785"/>
    <n v="-4.368534010976699E-2"/>
    <n v="-4.2312400000008021E-3"/>
    <n v="4.2856750000000096E-2"/>
    <n v="-0.16416271300000002"/>
  </r>
  <r>
    <x v="7"/>
    <x v="1"/>
    <x v="0"/>
    <x v="1"/>
    <x v="0"/>
    <x v="107"/>
    <n v="-20.262960000000021"/>
    <n v="-3.2735725826488205"/>
    <n v="5.7078572443369779E-2"/>
    <n v="-1.2797708376988348"/>
    <n v="-0.99275685439321748"/>
    <n v="-0.45551130770566939"/>
    <n v="2.9374921210512106E-2"/>
    <n v="-2.4796059999999953E-2"/>
    <n v="0.71249055965298957"/>
    <n v="0.42437103322512382"/>
    <n v="-0.17840032848596143"/>
    <n v="1.0093960758363441"/>
    <n v="0.39182194151912153"/>
    <n v="9.4135914687591296"/>
    <n v="0.75484409403805408"/>
    <n v="-2.6489980459099005E-2"/>
    <n v="6.6450299999999685E-2"/>
    <n v="2.8482630000000071E-2"/>
    <n v="-0.22289289800000003"/>
  </r>
  <r>
    <x v="8"/>
    <x v="1"/>
    <x v="0"/>
    <x v="1"/>
    <x v="0"/>
    <x v="108"/>
    <n v="-47.852520000000368"/>
    <n v="-3.2887158843845632"/>
    <n v="-7.9413108125980791E-3"/>
    <n v="-1.3836936049002713"/>
    <n v="-1.0572404067540453"/>
    <n v="-0.49243453632057399"/>
    <n v="-3.0278140784156804E-2"/>
    <n v="-1.9998639999999068E-2"/>
    <n v="0.70799170095356967"/>
    <n v="0.42560456096401023"/>
    <n v="-0.16178071833800045"/>
    <n v="0.99262501172592277"/>
    <n v="0.34547815901588841"/>
    <n v="11.191246376199393"/>
    <n v="0.76517412607612911"/>
    <n v="-1.5905829939333316E-2"/>
    <n v="0.13613980999999942"/>
    <n v="1.6283267000000157E-2"/>
    <n v="-0.27255846699999997"/>
  </r>
  <r>
    <x v="9"/>
    <x v="1"/>
    <x v="0"/>
    <x v="1"/>
    <x v="0"/>
    <x v="109"/>
    <n v="-73.554599999999482"/>
    <n v="-3.2714864504315488"/>
    <n v="-6.9991613611231074E-2"/>
    <n v="-1.4657640541551165"/>
    <n v="-1.085862869569032"/>
    <n v="-0.52719750321537084"/>
    <n v="-8.5031735536422737E-2"/>
    <n v="-1.3470579999999566E-2"/>
    <n v="0.68133763112840917"/>
    <n v="0.40181165296584442"/>
    <n v="-0.17469031058744422"/>
    <n v="0.95524181914157236"/>
    <n v="0.28718989653537808"/>
    <n v="12.86217819533395"/>
    <n v="0.73858280082064187"/>
    <n v="-1.083328131208372E-2"/>
    <n v="0.19789394000000043"/>
    <n v="7.1729329999999959E-3"/>
    <n v="-0.30988616000000008"/>
  </r>
  <r>
    <x v="10"/>
    <x v="1"/>
    <x v="0"/>
    <x v="1"/>
    <x v="0"/>
    <x v="110"/>
    <n v="-95.09175999999934"/>
    <n v="-3.226338734367673"/>
    <n v="-0.12425373420310581"/>
    <n v="-1.5246621618274836"/>
    <n v="-1.0779581703249441"/>
    <n v="-0.55769335459011637"/>
    <n v="-0.13165858139640996"/>
    <n v="-6.6344599999990095E-3"/>
    <n v="0.6340850186320468"/>
    <n v="0.35536671745899362"/>
    <n v="-0.21379073136748028"/>
    <n v="0.89872377404816017"/>
    <n v="0.22029176727933475"/>
    <n v="14.356153120276517"/>
    <n v="0.67807203192351562"/>
    <n v="-1.0933303006543937E-2"/>
    <n v="0.24653958000000026"/>
    <n v="1.9717019000000001E-3"/>
    <n v="-0.33347169000000015"/>
  </r>
  <r>
    <x v="11"/>
    <x v="1"/>
    <x v="0"/>
    <x v="1"/>
    <x v="0"/>
    <x v="111"/>
    <n v="-110.74920000000202"/>
    <n v="-3.1567130701510071"/>
    <n v="-0.16771391746536191"/>
    <n v="-1.5601358251963848"/>
    <n v="-1.0349179106933004"/>
    <n v="-0.58237250752151137"/>
    <n v="-0.1680653317157943"/>
    <n v="-3.1498999999990396E-4"/>
    <n v="0.5691413839939985"/>
    <n v="0.29010652504974921"/>
    <n v="-0.27405132244705532"/>
    <n v="0.82583131899889306"/>
    <n v="0.14811142775552621"/>
    <n v="15.61384694204957"/>
    <n v="0.58847239853694333"/>
    <n v="-1.6078406059127914E-2"/>
    <n v="0.27863893999999989"/>
    <n v="1.2670229999999297E-3"/>
    <n v="-0.34324078000000025"/>
  </r>
  <r>
    <x v="12"/>
    <x v="1"/>
    <x v="0"/>
    <x v="1"/>
    <x v="0"/>
    <x v="112"/>
    <n v="-119.39950999999928"/>
    <n v="-3.0658396801351517"/>
    <n v="-0.19867127029024045"/>
    <n v="-1.5729927027822832"/>
    <n v="-0.96005457959955631"/>
    <n v="-0.60021794008137119"/>
    <n v="-0.19300324190688611"/>
    <n v="5.0820700000009378E-3"/>
    <n v="0.49044672038967008"/>
    <n v="0.2108529684023086"/>
    <n v="-0.34940006048442829"/>
    <n v="0.74029169961187247"/>
    <n v="7.3859915641039109E-2"/>
    <n v="16.590843961078484"/>
    <n v="0.47610015566119657"/>
    <n v="-2.602690412506492E-2"/>
    <n v="0.29241117000000005"/>
    <n v="5.2741749999999851E-3"/>
    <n v="-0.34002409000000006"/>
  </r>
  <r>
    <x v="13"/>
    <x v="1"/>
    <x v="0"/>
    <x v="1"/>
    <x v="0"/>
    <x v="113"/>
    <n v="-120.52543000000151"/>
    <n v="-2.9571282991731174"/>
    <n v="-0.21640654851704522"/>
    <n v="-1.5649793308165405"/>
    <n v="-0.85833179035775808"/>
    <n v="-0.61067873489498714"/>
    <n v="-0.20593426433834772"/>
    <n v="9.3927700000009939E-3"/>
    <n v="0.40262267617179326"/>
    <n v="0.12295507643873549"/>
    <n v="-0.43332845072628912"/>
    <n v="0.64646123670011324"/>
    <n v="5.0281482710801129E-4"/>
    <n v="17.26060825864062"/>
    <n v="0.34828720994388718"/>
    <n v="-4.0247706151541607E-2"/>
    <n v="0.2876426628"/>
    <n v="1.3761880000000108E-2"/>
    <n v="-0.3252489000000004"/>
  </r>
  <r>
    <x v="14"/>
    <x v="1"/>
    <x v="0"/>
    <x v="1"/>
    <x v="0"/>
    <x v="114"/>
    <n v="-114.23067000000083"/>
    <n v="-2.83431116993903"/>
    <n v="-0.22099900660895733"/>
    <n v="-1.538617516214591"/>
    <n v="-0.73598689955186591"/>
    <n v="-0.61361472118007798"/>
    <n v="-0.2069912387083872"/>
    <n v="1.256776000000126E-2"/>
    <n v="0.31059749838076023"/>
    <n v="3.1861355839946093E-2"/>
    <n v="-0.5194276269875564"/>
    <n v="0.54897359498851106"/>
    <n v="-6.9365290164025151E-2"/>
    <n v="17.61595017684272"/>
    <n v="0.21283855869538293"/>
    <n v="-5.7863915143863132E-2"/>
    <n v="0.26556793999999995"/>
    <n v="2.6066749999999889E-2"/>
    <n v="-0.3007266799999998"/>
  </r>
  <r>
    <x v="15"/>
    <x v="1"/>
    <x v="0"/>
    <x v="1"/>
    <x v="0"/>
    <x v="115"/>
    <n v="-101.21788000000015"/>
    <n v="-2.7014236702099903"/>
    <n v="-0.21323779223071382"/>
    <n v="-1.4970203443565366"/>
    <n v="-0.60007805165960271"/>
    <n v="-0.60925651174014162"/>
    <n v="-0.19696637272411666"/>
    <n v="1.4602699999999302E-2"/>
    <n v="0.21923372590175738"/>
    <n v="-5.7254891178903922E-2"/>
    <n v="-0.60182431450659379"/>
    <n v="0.45239823611211705"/>
    <n v="-0.13362217431174273"/>
    <n v="17.668747569844733"/>
    <n v="7.7469118516693136E-2"/>
    <n v="-7.7701814304509398E-2"/>
    <n v="0.22868568999999983"/>
    <n v="4.1187659999999959E-2"/>
    <n v="-0.26850657000000028"/>
  </r>
  <r>
    <x v="16"/>
    <x v="1"/>
    <x v="0"/>
    <x v="1"/>
    <x v="0"/>
    <x v="116"/>
    <n v="-82.71538000000146"/>
    <n v="-2.5626750779505381"/>
    <n v="-0.19455818078777387"/>
    <n v="-1.4436914016169755"/>
    <n v="-0.45799530058922011"/>
    <n v="-0.59816797615726003"/>
    <n v="-0.17727281741887202"/>
    <n v="1.5516140000000622E-2"/>
    <n v="0.13299334966550003"/>
    <n v="-0.1398000453511572"/>
    <n v="-0.67549906173649532"/>
    <n v="0.36093684916562729"/>
    <n v="-0.19068076445851734"/>
    <n v="17.447979089360487"/>
    <n v="-5.0724947421620925E-2"/>
    <n v="-9.8417772062775466E-2"/>
    <n v="0.18048561999999996"/>
    <n v="5.7929709999999732E-2"/>
    <n v="-0.23076562000000009"/>
  </r>
  <r>
    <x v="17"/>
    <x v="1"/>
    <x v="0"/>
    <x v="1"/>
    <x v="0"/>
    <x v="117"/>
    <n v="-60.346239999998943"/>
    <n v="-2.4222534100625914"/>
    <n v="-0.16695133708209964"/>
    <n v="-1.3823105652094214"/>
    <n v="-0.31697828687643481"/>
    <n v="-0.58119716791286136"/>
    <n v="-0.14984653513057111"/>
    <n v="1.5356409999998932E-2"/>
    <n v="5.5669111693701367E-2"/>
    <n v="-0.21197966769453958"/>
    <n v="-0.73648241979364926"/>
    <n v="0.27817896465034408"/>
    <n v="-0.23951105633241987"/>
    <n v="16.996386702475075"/>
    <n v="-0.16570724004396631"/>
    <n v="-0.11866667344795356"/>
    <n v="0.12508943000000028"/>
    <n v="7.5060310000000033E-2"/>
    <n v="-0.18971377999999969"/>
  </r>
  <r>
    <x v="18"/>
    <x v="1"/>
    <x v="0"/>
    <x v="1"/>
    <x v="0"/>
    <x v="118"/>
    <n v="-35.950919999999314"/>
    <n v="-2.284104888574412"/>
    <n v="-0.13282044886600008"/>
    <n v="-1.3165146790124593"/>
    <n v="-0.18368055577253628"/>
    <n v="-0.5594088752207349"/>
    <n v="-0.11698432013395044"/>
    <n v="1.421850999999974E-2"/>
    <n v="-9.7996299702640677E-3"/>
    <n v="-0.27093240802429364"/>
    <n v="-0.78194222068649344"/>
    <n v="0.20693117890837609"/>
    <n v="-0.27962270795977018"/>
    <n v="16.366269289838442"/>
    <n v="-0.26281435497480521"/>
    <n v="-0.13726711725366991"/>
    <n v="6.6839030000000188E-2"/>
    <n v="9.1444609999999718E-2"/>
    <n v="-0.14750052999999985"/>
  </r>
  <r>
    <x v="19"/>
    <x v="1"/>
    <x v="0"/>
    <x v="1"/>
    <x v="0"/>
    <x v="119"/>
    <n v="-11.389049999997951"/>
    <n v="-2.1517242151333216"/>
    <n v="-9.4784067094577651E-2"/>
    <n v="-1.2496879330125776"/>
    <n v="-6.3812022976716953E-2"/>
    <n v="-0.53399940659191181"/>
    <n v="-8.1133438639380273E-2"/>
    <n v="1.2256080000000447E-2"/>
    <n v="-6.1423360248391567E-2"/>
    <n v="-0.31478512826158545"/>
    <n v="-0.81018322016231936"/>
    <n v="0.14912359585166346"/>
    <n v="-0.31101751629458718"/>
    <n v="15.614969252697431"/>
    <n v="-0.33892048900189264"/>
    <n v="-0.15332625220556562"/>
    <n v="9.8851399999998896E-3"/>
    <n v="0.10613988999999997"/>
    <n v="-0.10611974999999996"/>
  </r>
  <r>
    <x v="20"/>
    <x v="1"/>
    <x v="0"/>
    <x v="1"/>
    <x v="0"/>
    <x v="120"/>
    <n v="11.647290000000794"/>
    <n v="-2.0279836690298425"/>
    <n v="-5.5453023977447558E-2"/>
    <n v="-1.1847791915586714"/>
    <n v="3.8119118521029449E-2"/>
    <n v="-0.50620134119470084"/>
    <n v="-4.4671031240306469E-2"/>
    <n v="9.6795199999999415E-3"/>
    <n v="-9.817483148513162E-2"/>
    <n v="-0.34264005617589133"/>
    <n v="-0.82058199135918164"/>
    <n v="0.10578868057995461"/>
    <n v="-0.33412087352063802"/>
    <n v="14.800565569324565"/>
    <n v="-0.39245628094138896"/>
    <n v="-0.16630392265780669"/>
    <n v="-4.2166689999999923E-2"/>
    <n v="0.11844309999999997"/>
    <n v="-6.7317079999999752E-2"/>
  </r>
  <r>
    <x v="21"/>
    <x v="1"/>
    <x v="0"/>
    <x v="1"/>
    <x v="0"/>
    <x v="121"/>
    <n v="31.7795100000003"/>
    <n v="-1.9150196494292393"/>
    <n v="-1.7214399117404522E-2"/>
    <n v="-1.124161742673635"/>
    <n v="0.11895713345722037"/>
    <n v="-0.47718996998222796"/>
    <n v="-9.7062835249017709E-3"/>
    <n v="6.7391400000005319E-3"/>
    <n v="-0.11993387625567342"/>
    <n v="-0.35450931918610262"/>
    <n v="-0.81347819174212299"/>
    <n v="7.7101465457096729E-2"/>
    <n v="-0.34970218534837727"/>
    <n v="13.978158528026196"/>
    <n v="-0.42330319918424397"/>
    <n v="-0.17601335347287028"/>
    <n v="-8.6508279999999993E-2"/>
    <n v="0.12789710000000004"/>
    <n v="-3.2509539999999587E-2"/>
  </r>
  <r>
    <x v="22"/>
    <x v="1"/>
    <x v="0"/>
    <x v="1"/>
    <x v="0"/>
    <x v="122"/>
    <n v="48.029770000001008"/>
    <n v="-1.8141843547608616"/>
    <n v="1.7943535377384912E-2"/>
    <n v="-1.0695461441542209"/>
    <n v="0.17694474789420322"/>
    <n v="-0.44800434638785358"/>
    <n v="2.2064152599310383E-2"/>
    <n v="3.6976399999999465E-3"/>
    <n v="-0.12738064589243869"/>
    <n v="-0.35120993522170796"/>
    <n v="-0.79003945294282563"/>
    <n v="6.2467975764590733E-2"/>
    <n v="-0.35879019961142511"/>
    <n v="13.196969145710202"/>
    <n v="-0.43259772081885028"/>
    <n v="-0.18256996317926877"/>
    <n v="-0.1212577900000001"/>
    <n v="0.13426783000000003"/>
    <n v="-2.727770000000157E-3"/>
  </r>
  <r>
    <x v="23"/>
    <x v="1"/>
    <x v="0"/>
    <x v="1"/>
    <x v="0"/>
    <x v="123"/>
    <n v="59.845699999998033"/>
    <n v="-1.726060968620724"/>
    <n v="4.8542017631270085E-2"/>
    <n v="-1.0219508882119199"/>
    <n v="0.21167601784666257"/>
    <n v="-0.41949342504965514"/>
    <n v="4.9433117272634775E-2"/>
    <n v="7.9931999999865999E-4"/>
    <n v="-0.12185661663201008"/>
    <n v="-0.33423282189565251"/>
    <n v="-0.75211230672954654"/>
    <n v="6.0647533396318565E-2"/>
    <n v="-0.36259070925392933"/>
    <n v="12.498324643476355"/>
    <n v="-0.42248220367732126"/>
    <n v="-0.18630844294466042"/>
    <n v="-0.14546865199999998"/>
    <n v="0.13750605999999985"/>
    <n v="2.1410700000000504E-2"/>
  </r>
  <r>
    <x v="24"/>
    <x v="1"/>
    <x v="0"/>
    <x v="1"/>
    <x v="0"/>
    <x v="124"/>
    <n v="67.071739999999409"/>
    <n v="-1.6505330743858404"/>
    <n v="7.3650550664128289E-2"/>
    <n v="-0.9817279033041082"/>
    <n v="0.22397377917353634"/>
    <n v="-0.39229212714421147"/>
    <n v="7.1691767905401882E-2"/>
    <n v="-1.7565599999991299E-3"/>
    <n v="-0.10520874406966252"/>
    <n v="-0.30559604740423296"/>
    <n v="-0.70206532278387357"/>
    <n v="6.9893718025149099E-2"/>
    <n v="-0.36240824536938332"/>
    <n v="11.914477590905669"/>
    <n v="-0.39583648864309762"/>
    <n v="-0.18769136824291488"/>
    <n v="-0.15904136700000002"/>
    <n v="0.13770535000000012"/>
    <n v="3.9693679999999731E-2"/>
  </r>
  <r>
    <x v="25"/>
    <x v="1"/>
    <x v="0"/>
    <x v="1"/>
    <x v="0"/>
    <x v="125"/>
    <n v="69.88379999999961"/>
    <n v="-1.5868937629760937"/>
    <n v="9.2859720879867602E-2"/>
    <n v="-0.94863480728508698"/>
    <n v="0.21571192590352783"/>
    <n v="-0.366826478862603"/>
    <n v="8.8583794476915223E-2"/>
    <n v="-3.8331200000005228E-3"/>
    <n v="-7.9631782357525438E-2"/>
    <n v="-0.26769258844830945"/>
    <n v="-0.64263255538166142"/>
    <n v="8.8104213622952621E-2"/>
    <n v="-0.35957413454001941"/>
    <n v="11.468137569271143"/>
    <n v="-0.35601647293773686"/>
    <n v="-0.187225000959923"/>
    <n v="-0.1625721705"/>
    <n v="0.13506439000000003"/>
    <n v="5.2274199999999965E-2"/>
  </r>
  <r>
    <x v="26"/>
    <x v="1"/>
    <x v="0"/>
    <x v="1"/>
    <x v="0"/>
    <x v="126"/>
    <n v="68.706200000000536"/>
    <n v="-1.5339778127130277"/>
    <n v="0.10620401380510014"/>
    <n v="-0.92194083295068507"/>
    <n v="0.18960258849756162"/>
    <n v="-0.34334157028197421"/>
    <n v="0.10022080983294046"/>
    <n v="-5.3616100000000722E-3"/>
    <n v="-4.7516171616157621E-2"/>
    <n v="-0.22313797612329989"/>
    <n v="-0.5767589875202872"/>
    <n v="0.1129679433889974"/>
    <n v="-0.35538102772972868"/>
    <n v="11.172560778843966"/>
    <n v="-0.30661639661555551"/>
    <n v="-0.18539485618794815"/>
    <n v="-0.15717324899999999"/>
    <n v="0.12985759000000013"/>
    <n v="5.9604530000000044E-2"/>
  </r>
  <r>
    <x v="27"/>
    <x v="1"/>
    <x v="0"/>
    <x v="1"/>
    <x v="0"/>
    <x v="127"/>
    <n v="64.127349999998842"/>
    <n v="-1.4903010864870447"/>
    <n v="0.11405629370873083"/>
    <n v="-0.90055249793251635"/>
    <n v="0.1489664042427119"/>
    <n v="-0.32194254602957439"/>
    <n v="0.10698268807411981"/>
    <n v="-6.3366699999997667E-3"/>
    <n v="-1.1310162398614487E-2"/>
    <n v="-0.17462464910953379"/>
    <n v="-0.5074517724382166"/>
    <n v="0.14210296252266108"/>
    <n v="-0.35102349927134124"/>
    <n v="11.032051675742327"/>
    <n v="-0.25126355138342937"/>
    <n v="-0.18262588243731503"/>
    <n v="-0.14429408600000002"/>
    <n v="0.12241470000000002"/>
    <n v="6.2354959999999862E-2"/>
  </r>
  <r>
    <x v="28"/>
    <x v="1"/>
    <x v="0"/>
    <x v="1"/>
    <x v="0"/>
    <x v="128"/>
    <n v="56.825220000002446"/>
    <n v="-1.4541932439676386"/>
    <n v="0.11701457833483975"/>
    <n v="-0.88314430422454793"/>
    <n v="9.7501030807101152E-2"/>
    <n v="-0.30263815499320668"/>
    <n v="0.10941790623433256"/>
    <n v="-6.8032800000006333E-3"/>
    <n v="2.6602523212382323E-2"/>
    <n v="-0.12478692226045585"/>
    <n v="-0.4376395977817471"/>
    <n v="0.17318027643660194"/>
    <n v="-0.34754762867229561"/>
    <n v="11.042752020199131"/>
    <n v="-0.19344754178594048"/>
    <n v="-0.17926645890301574"/>
    <n v="-0.12556384999999998"/>
    <n v="0.11310813199999994"/>
    <n v="6.1328530000000214E-2"/>
  </r>
  <r>
    <x v="29"/>
    <x v="1"/>
    <x v="0"/>
    <x v="1"/>
    <x v="0"/>
    <x v="129"/>
    <n v="47.50879999999961"/>
    <n v="-1.4239143599707904"/>
    <n v="0.11579924153384269"/>
    <n v="-0.86828289783993373"/>
    <n v="3.905979581608765E-2"/>
    <n v="-0.28537790715023048"/>
    <n v="0.10816035225962306"/>
    <n v="-6.839529999999594E-3"/>
    <n v="6.4005561251256893E-2"/>
    <n v="-7.6079582725996353E-2"/>
    <n v="-0.37004379546585753"/>
    <n v="0.20403035533755887"/>
    <n v="-0.34580849656858925"/>
    <n v="11.193630206213378"/>
    <n v="-0.1363825353005832"/>
    <n v="-0.17559175212993328"/>
    <n v="-0.10266519999999994"/>
    <n v="0.10234481999999989"/>
    <n v="5.7382589999999817E-2"/>
  </r>
  <r>
    <x v="30"/>
    <x v="1"/>
    <x v="0"/>
    <x v="1"/>
    <x v="0"/>
    <x v="130"/>
    <n v="36.876179999999295"/>
    <n v="-1.397750059147429"/>
    <n v="0.11117234050774805"/>
    <n v="-0.85453512508778529"/>
    <n v="-2.2552099061545761E-2"/>
    <n v="-0.27007723754737256"/>
    <n v="0.10386815270353456"/>
    <n v="-6.5386400000005951E-3"/>
    <n v="9.893516604859709E-2"/>
    <n v="-3.0675755050013631E-2"/>
    <n v="-0.30706535788685985"/>
    <n v="0.23272935534401906"/>
    <n v="-0.34644115963108346"/>
    <n v="11.467610079342494"/>
    <n v="-8.289925252553676E-2"/>
    <n v="-0.17181685406859604"/>
    <n v="-7.7241519999999772E-2"/>
    <n v="9.0559586000000039E-2"/>
    <n v="5.1365119999999959E-2"/>
  </r>
  <r>
    <x v="31"/>
    <x v="1"/>
    <x v="0"/>
    <x v="1"/>
    <x v="0"/>
    <x v="131"/>
    <n v="25.587910000002012"/>
    <n v="-1.3740839054425358"/>
    <n v="0.10388387982003255"/>
    <n v="-0.84055528724200634"/>
    <n v="-8.3755788391903785E-2"/>
    <n v="-0.25662885730312057"/>
    <n v="9.7188117252944295E-2"/>
    <n v="-5.9931700000001586E-3"/>
    <n v="0.12974558302591976"/>
    <n v="9.6161077573375664E-3"/>
    <n v="-0.25069113981314173"/>
    <n v="0.25766702914726825"/>
    <n v="-0.34984335068465322"/>
    <n v="11.842809502860652"/>
    <n v="-3.5362581784026403E-2"/>
    <n v="-0.16811761953312576"/>
    <n v="-5.0834139999999736E-2"/>
    <n v="7.8206897000000081E-2"/>
    <n v="4.4069760000000138E-2"/>
  </r>
  <r>
    <x v="32"/>
    <x v="1"/>
    <x v="0"/>
    <x v="1"/>
    <x v="0"/>
    <x v="132"/>
    <n v="14.251239999997779"/>
    <n v="-1.3514494578855896"/>
    <n v="9.4644596527193592E-2"/>
    <n v="-0.82514931106237865"/>
    <n v="-0.14135024435123489"/>
    <n v="-0.24490260889469262"/>
    <n v="8.8740995857716776E-2"/>
    <n v="-5.2838899999990696E-3"/>
    <n v="0.15515658254137144"/>
    <n v="4.3412405267617693E-2"/>
    <n v="-0.20242321423796783"/>
    <n v="0.2775936901190823"/>
    <n v="-0.35617410581972875"/>
    <n v="12.293864605620918"/>
    <n v="4.3869650228289814E-3"/>
    <n v="-0.16464783030741836"/>
    <n v="-2.4842549999999977E-2"/>
    <n v="6.5748782000000019E-2"/>
    <n v="3.6209270000000029E-2"/>
  </r>
  <r>
    <x v="33"/>
    <x v="1"/>
    <x v="0"/>
    <x v="1"/>
    <x v="0"/>
    <x v="133"/>
    <n v="3.4115700000002107"/>
    <n v="-1.3285663146679894"/>
    <n v="8.4119081831968145E-2"/>
    <n v="-0.80731748425864058"/>
    <n v="-0.19263132890472434"/>
    <n v="-0.23473816874600706"/>
    <n v="7.9120362000484334E-2"/>
    <n v="-4.4738799999999301E-3"/>
    <n v="0.17428360400382203"/>
    <n v="6.9789461565816779E-2"/>
    <n v="-0.16323576303425291"/>
    <n v="0.29164818604971998"/>
    <n v="-0.36536576863935855"/>
    <n v="12.793323474298578"/>
    <n v="3.5069965828249394E-2"/>
    <n v="-0.16155085128533031"/>
    <n v="-5.000000000001531E-4"/>
    <n v="5.3638140999999993E-2"/>
    <n v="2.840409000000009E-2"/>
  </r>
  <r>
    <x v="34"/>
    <x v="1"/>
    <x v="0"/>
    <x v="1"/>
    <x v="0"/>
    <x v="134"/>
    <n v="-6.4531500000011874"/>
    <n v="-1.3043643385667103"/>
    <n v="7.2930184646025076E-2"/>
    <n v="-0.78627916246254426"/>
    <n v="-0.23548051330281039"/>
    <n v="-0.22593644313702033"/>
    <n v="6.8899078937167957E-2"/>
    <n v="-3.6079300000005365E-3"/>
    <n v="0.1866479592938175"/>
    <n v="8.8295027736684517E-2"/>
    <n v="-0.13356074435962872"/>
    <n v="0.29936725623762594"/>
    <n v="-0.37714858863601153"/>
    <n v="13.313079308568888"/>
    <n v="5.5984090237215511E-2"/>
    <n v="-0.15896232140570898"/>
    <n v="2.114300999999999E-2"/>
    <n v="4.2297850000000067E-2"/>
    <n v="2.1180050000000131E-2"/>
  </r>
  <r>
    <x v="35"/>
    <x v="1"/>
    <x v="0"/>
    <x v="1"/>
    <x v="0"/>
    <x v="135"/>
    <n v="-14.937669999999343"/>
    <n v="-1.2780015943202883"/>
    <n v="6.1666164556695158E-2"/>
    <n v="-0.76148363857011514"/>
    <n v="-0.26841956669079181"/>
    <n v="-0.21825510265353065"/>
    <n v="5.8631765255112711E-2"/>
    <n v="-2.7160100000006571E-3"/>
    <n v="0.1921705488032277"/>
    <n v="9.8934526065952433E-2"/>
    <n v="-0.1133031454369493"/>
    <n v="0.30067573390692992"/>
    <n v="-0.39108590167491464"/>
    <n v="13.825801097127766"/>
    <n v="6.6996078427372652E-2"/>
    <n v="-0.15700523701743796"/>
    <n v="3.9232500000000066E-2"/>
    <n v="3.2097570000000006E-2"/>
    <n v="1.4970129999999915E-2"/>
  </r>
  <r>
    <x v="36"/>
    <x v="1"/>
    <x v="0"/>
    <x v="1"/>
    <x v="0"/>
    <x v="136"/>
    <n v="-21.716319999999541"/>
    <n v="-1.2488768806913741"/>
    <n v="5.0883042964522396E-2"/>
    <n v="-0.73261139917741858"/>
    <n v="-0.2906311502809511"/>
    <n v="-0.21141138835014672"/>
    <n v="4.885097890388046E-2"/>
    <n v="-1.8190299999998327E-3"/>
    <n v="0.19114697128603808"/>
    <n v="0.10213451504506033"/>
    <n v="-0.1018848345310075"/>
    <n v="0.29585981761182101"/>
    <n v="-0.40661663713464913"/>
    <n v="14.306301507236174"/>
    <n v="6.8511741240606661E-2"/>
    <n v="-0.15577735348760724"/>
    <n v="5.3125120999999997E-2"/>
    <n v="2.3331130000000047E-2"/>
    <n v="1.0115549999999834E-2"/>
  </r>
  <r>
    <x v="37"/>
    <x v="1"/>
    <x v="0"/>
    <x v="1"/>
    <x v="0"/>
    <x v="137"/>
    <n v="-26.551630000001751"/>
    <n v="-1.2166371595659142"/>
    <n v="4.10972169601731E-2"/>
    <n v="-0.69956874792689305"/>
    <n v="-0.30194783217842858"/>
    <n v="-0.20509387468207185"/>
    <n v="4.0052651573918574E-2"/>
    <n v="-9.352099999998531E-4"/>
    <n v="0.18420578625657491"/>
    <n v="9.8685804569065283E-2"/>
    <n v="-9.83136519056238E-2"/>
    <n v="0.28552430385879735"/>
    <n v="-0.4231012771841014"/>
    <n v="14.732768808407638"/>
    <n v="6.1422230512331311E-2"/>
    <n v="-0.155336275919149"/>
    <n v="6.2402829000000014E-2"/>
    <n v="1.619789E-2"/>
    <n v="6.8643700000002583E-3"/>
  </r>
  <r>
    <x v="38"/>
    <x v="1"/>
    <x v="0"/>
    <x v="1"/>
    <x v="0"/>
    <x v="138"/>
    <n v="-29.303810000001249"/>
    <n v="-1.1811793455434594"/>
    <n v="3.2768254296255961E-2"/>
    <n v="-0.66247731547079969"/>
    <n v="-0.30280949238845611"/>
    <n v="-0.19898134401999945"/>
    <n v="3.2673248575787461E-2"/>
    <n v="-8.5080000000736788E-5"/>
    <n v="0.17225159410825253"/>
    <n v="8.9671005529745607E-2"/>
    <n v="-0.10127180171423111"/>
    <n v="0.27053588990371136"/>
    <n v="-0.43986827650920324"/>
    <n v="15.087783873957793"/>
    <n v="4.7027167239521717E-2"/>
    <n v="-0.15568532958478709"/>
    <n v="6.6885619000000035E-2"/>
    <n v="1.0790870000000098E-2"/>
    <n v="5.3675799999999829E-3"/>
  </r>
  <r>
    <x v="39"/>
    <x v="1"/>
    <x v="0"/>
    <x v="1"/>
    <x v="0"/>
    <x v="139"/>
    <n v="-29.938799999999901"/>
    <n v="-1.1426435908245658"/>
    <n v="2.6273743470417443E-2"/>
    <n v="-0.62165869421306752"/>
    <n v="-0.29419214653684245"/>
    <n v="-0.19276642192795901"/>
    <n v="2.7061832059160906E-2"/>
    <n v="7.057599999998887E-4"/>
    <n v="0.15639595905558856"/>
    <n v="7.6379880817945001E-2"/>
    <n v="-0.10921758595665576"/>
    <n v="0.25195532704622714"/>
    <n v="-0.45625871129800766"/>
    <n v="15.359050694677734"/>
    <n v="2.6938717355506903E-2"/>
    <n v="-0.15676484248753342"/>
    <n v="6.6638567520000011E-2"/>
    <n v="7.0939999999998504E-3"/>
    <n v="5.6745800000000679E-3"/>
  </r>
  <r>
    <x v="40"/>
    <x v="1"/>
    <x v="0"/>
    <x v="1"/>
    <x v="0"/>
    <x v="140"/>
    <n v="-28.53269999999975"/>
    <n v="-1.1013946603480207"/>
    <n v="2.1881886187635757E-2"/>
    <n v="-0.57761345884118631"/>
    <n v="-0.27751316660011849"/>
    <n v="-0.1861805187197918"/>
    <n v="2.3452567595061424E-2"/>
    <n v="1.4067899999997691E-3"/>
    <n v="0.13788052749936774"/>
    <n v="6.0220219583029255E-2"/>
    <n v="-0.12049234834543565"/>
    <n v="0.23096391491286283"/>
    <n v="-0.47166465536249147"/>
    <n v="15.539787220758106"/>
    <n v="2.9708828718666425E-3"/>
    <n v="-0.15845123462013833"/>
    <n v="6.1968533999999999E-2"/>
    <n v="4.9889399999999279E-3"/>
    <n v="7.7307200000001353E-3"/>
  </r>
  <r>
    <x v="41"/>
    <x v="1"/>
    <x v="0"/>
    <x v="1"/>
    <x v="0"/>
    <x v="141"/>
    <n v="-25.269719999996596"/>
    <n v="-1.057991487613219"/>
    <n v="1.9727960702220493E-2"/>
    <n v="-0.53099366604434373"/>
    <n v="-0.25451908969942316"/>
    <n v="-0.17901422252221133"/>
    <n v="2.194415402281269E-2"/>
    <n v="1.9852499999986617E-3"/>
    <n v="0.11799651465795868"/>
    <n v="4.2628316058768156E-2"/>
    <n v="-0.13342550266525199"/>
    <n v="0.20878706947295989"/>
    <n v="-0.48556077097945405"/>
    <n v="15.628751214484126"/>
    <n v="-2.2978175641197307E-2"/>
    <n v="-0.16056375064926742"/>
    <n v="5.3406833999999986E-2"/>
    <n v="4.2705600000001592E-3"/>
    <n v="1.1379379999999772E-2"/>
  </r>
  <r>
    <x v="42"/>
    <x v="1"/>
    <x v="0"/>
    <x v="1"/>
    <x v="0"/>
    <x v="142"/>
    <n v="-20.432400000005146"/>
    <n v="-1.0131461512657758"/>
    <n v="1.9799174733203806E-2"/>
    <n v="-0.48256868824123611"/>
    <n v="-0.22716192311333927"/>
    <n v="-0.17113323644026845"/>
    <n v="2.2489797148139701E-2"/>
    <n v="2.4104800000007698E-3"/>
    <n v="9.800709161198462E-2"/>
    <n v="2.4985586890480249E-2"/>
    <n v="-0.14642961066984039"/>
    <n v="0.18662085853848875"/>
    <n v="-0.49752792496120524"/>
    <n v="15.62991051111764"/>
    <n v="-4.9043955154592922E-2"/>
    <n v="-0.16288168545375292"/>
    <n v="4.1676105000000054E-2"/>
    <n v="4.6690900000000146E-3"/>
    <n v="1.6370489999999877E-2"/>
  </r>
  <r>
    <x v="43"/>
    <x v="1"/>
    <x v="0"/>
    <x v="1"/>
    <x v="0"/>
    <x v="143"/>
    <n v="-14.383420000005572"/>
    <n v="-0.96767187576756175"/>
    <n v="2.1933691370135122E-2"/>
    <n v="-0.43318479440803692"/>
    <n v="-0.19747354061639966"/>
    <n v="-0.16248474373523614"/>
    <n v="2.4901336958293996E-2"/>
    <n v="2.6589499999993271E-3"/>
    <n v="7.9076569226210758E-2"/>
    <n v="8.5459398120990571E-3"/>
    <n v="-0.15808234443589475"/>
    <n v="0.16556593658791918"/>
    <n v="-0.50726745464336753"/>
    <n v="15.551799378456899"/>
    <n v="-7.350407367651135E-2"/>
    <n v="-0.16516412832457972"/>
    <n v="2.7642194000000037E-2"/>
    <n v="5.875699999999956E-3"/>
    <n v="2.2376109999999727E-2"/>
  </r>
  <r>
    <x v="44"/>
    <x v="1"/>
    <x v="0"/>
    <x v="1"/>
    <x v="0"/>
    <x v="144"/>
    <n v="-7.5401999999958207"/>
    <n v="-0.92242715487165228"/>
    <n v="2.5833397942376379E-2"/>
    <n v="-0.38372048627356437"/>
    <n v="-0.16744410206324112"/>
    <n v="-0.15309678334436416"/>
    <n v="2.8867325132808652E-2"/>
    <n v="2.7185900000004093E-3"/>
    <n v="6.221112903153081E-2"/>
    <n v="-5.6231422111974183E-3"/>
    <n v="-0.16718947512277538"/>
    <n v="0.14657248202580853"/>
    <n v="-0.51460695858756011"/>
    <n v="15.406631211647115"/>
    <n v="-9.4869719140533437E-2"/>
    <n v="-0.16717426879155894"/>
    <n v="1.2254595999999958E-2"/>
    <n v="7.5684199999998675E-3"/>
    <n v="2.9012309999999764E-2"/>
  </r>
  <r>
    <x v="45"/>
    <x v="1"/>
    <x v="0"/>
    <x v="1"/>
    <x v="0"/>
    <x v="145"/>
    <n v="-0.34492999999929452"/>
    <n v="-0.87825816874441687"/>
    <n v="3.1090596552907357E-2"/>
    <n v="-0.33504007660760671"/>
    <n v="-0.13891256509285244"/>
    <n v="-0.14306851095117201"/>
    <n v="3.3982558914091854E-2"/>
    <n v="2.5915400000006694E-3"/>
    <n v="4.8214391087686437E-2"/>
    <n v="-1.6683365428160624E-2"/>
    <n v="-0.17282899946430286"/>
    <n v="0.13039830357188809"/>
    <n v="-0.51949871902308153"/>
    <n v="15.209252881596957"/>
    <n v="-0.11195563424816202"/>
    <n v="-0.16870055946160978"/>
    <n v="-3.5189689999999552E-3"/>
    <n v="9.4356500000000038E-3"/>
    <n v="3.5865839999999621E-2"/>
  </r>
  <r>
    <x v="46"/>
    <x v="1"/>
    <x v="0"/>
    <x v="1"/>
    <x v="0"/>
    <x v="146"/>
    <n v="6.7670999999972992"/>
    <n v="-0.8359455721557274"/>
    <n v="3.7224716110273448E-2"/>
    <n v="-0.28794894841597252"/>
    <n v="-0.11347562011819745"/>
    <n v="-0.13255634604600885"/>
    <n v="3.9785575937112405E-2"/>
    <n v="2.2948699999997269E-3"/>
    <n v="3.7658946837249019E-2"/>
    <n v="-2.4050581961465589E-2"/>
    <n v="-0.17437454048879752"/>
    <n v="0.11758255164326936"/>
    <n v="-0.52201134326967935"/>
    <n v="14.976034171510101"/>
    <n v="-0.1239242628026882"/>
    <n v="-0.16957432434376862"/>
    <n v="-1.8757187999999918E-2"/>
    <n v="1.1195450000000065E-2"/>
    <n v="4.2522949999999893E-2"/>
  </r>
  <r>
    <x v="47"/>
    <x v="1"/>
    <x v="0"/>
    <x v="1"/>
    <x v="0"/>
    <x v="147"/>
    <n v="13.396919999999227"/>
    <n v="-0.79615950429061666"/>
    <n v="4.3724081722928965E-2"/>
    <n v="-0.24315385921173105"/>
    <n v="-9.2417860392646212E-2"/>
    <n v="-0.12175457677539026"/>
    <n v="4.579853830548597E-2"/>
    <n v="1.8589900000004489E-3"/>
    <n v="3.0874754172960373E-2"/>
    <n v="-2.7404170822331597E-2"/>
    <n v="-0.17150133267900269"/>
    <n v="0.10843429632827473"/>
    <n v="-0.52231650754059888"/>
    <n v="14.723777849447517"/>
    <n v="-0.13030322654447035"/>
    <n v="-0.16967999490680175"/>
    <n v="-3.26425679999999E-2"/>
    <n v="1.2609099999999832E-2"/>
    <n v="4.8597749999999829E-2"/>
  </r>
  <r>
    <x v="48"/>
    <x v="1"/>
    <x v="0"/>
    <x v="1"/>
    <x v="0"/>
    <x v="148"/>
    <n v="19.206359999996494"/>
    <n v="-0.75942508805475484"/>
    <n v="5.0087772206852677E-2"/>
    <n v="-0.20123104934510749"/>
    <n v="-7.6666767423405613E-2"/>
    <n v="-0.11087698224189202"/>
    <n v="5.156552671232717E-2"/>
    <n v="1.3242100000004919E-3"/>
    <n v="2.7952547983800535E-2"/>
    <n v="-2.6680348641860974E-2"/>
    <n v="-0.16417474735284099"/>
    <n v="0.10303586188553648"/>
    <n v="-0.5206712693572757"/>
    <n v="14.468723430010622"/>
    <n v="-0.13097899478569097"/>
    <n v="-0.16895913665274653"/>
    <n v="-4.4506481000000042E-2"/>
    <n v="1.3489649999999867E-2"/>
    <n v="5.3757159999999471E-2"/>
  </r>
  <r>
    <x v="49"/>
    <x v="1"/>
    <x v="0"/>
    <x v="1"/>
    <x v="0"/>
    <x v="149"/>
    <n v="23.935440000001108"/>
    <n v="-0.72610150891507796"/>
    <n v="5.5862912907267415E-2"/>
    <n v="-0.16260423298428694"/>
    <n v="-6.6772040546370093E-2"/>
    <n v="-0.10013795347982857"/>
    <n v="5.6684445460786215E-2"/>
    <n v="7.361999999996871E-4"/>
    <n v="2.8760960798646096E-2"/>
    <n v="-2.2052550992346376E-2"/>
    <n v="-0.15262527385673241"/>
    <n v="0.10125862814738262"/>
    <n v="-0.51739867022785324"/>
    <n v="14.225697167180652"/>
    <n v="-0.12616900768963601"/>
    <n v="-0.16740796097608479"/>
    <n v="-5.3858738000000031E-2"/>
    <n v="1.3705179999999942E-2"/>
    <n v="5.7740530000000012E-2"/>
  </r>
  <r>
    <x v="50"/>
    <x v="1"/>
    <x v="0"/>
    <x v="1"/>
    <x v="0"/>
    <x v="150"/>
    <n v="27.411579999999958"/>
    <n v="-0.696373674483175"/>
    <n v="6.0672949203621762E-2"/>
    <n v="-0.1275342926627232"/>
    <n v="-6.2908545208206768E-2"/>
    <n v="-8.9738102849734602E-2"/>
    <n v="6.0830404311107422E-2"/>
    <n v="1.4108999999984384E-4"/>
    <n v="3.2974164895605007E-2"/>
    <n v="-1.3901086077405811E-2"/>
    <n v="-0.13731264158437506"/>
    <n v="0.10278878038678663"/>
    <n v="-0.51286638365241055"/>
    <n v="14.00744162699208"/>
    <n v="-0.11637729206099845"/>
    <n v="-0.1650696593455403"/>
    <n v="-6.0400627000000005E-2"/>
    <n v="1.3178499999999885E-2"/>
    <n v="6.0372059999999617E-2"/>
  </r>
  <r>
    <x v="0"/>
    <x v="1"/>
    <x v="0"/>
    <x v="1"/>
    <x v="1"/>
    <x v="0"/>
    <n v="0"/>
    <n v="0"/>
    <n v="0"/>
    <n v="0"/>
    <n v="0"/>
    <n v="0"/>
    <n v="0"/>
    <n v="0"/>
    <n v="0"/>
    <n v="0"/>
    <n v="0"/>
    <n v="0"/>
    <n v="3.5354701563461433E-3"/>
    <n v="0.22054535214603987"/>
    <n v="0"/>
    <n v="0"/>
    <n v="0"/>
    <n v="0"/>
    <n v="0"/>
  </r>
  <r>
    <x v="1"/>
    <x v="1"/>
    <x v="0"/>
    <x v="1"/>
    <x v="1"/>
    <x v="151"/>
    <n v="26.39426999999705"/>
    <n v="-1.2363739824831188"/>
    <n v="6.0646548973819492E-2"/>
    <n v="-0.22728517406183091"/>
    <n v="-3.8118382500129666E-2"/>
    <n v="-0.16203137495491848"/>
    <n v="8.5395807457966377E-2"/>
    <n v="2.219361999999947E-2"/>
    <n v="0.44924339098977306"/>
    <n v="6.9568177040624235E-2"/>
    <n v="-0.70225209477478012"/>
    <n v="0.83454874067441231"/>
    <n v="0.20914817966988242"/>
    <n v="0.77130674326573168"/>
    <n v="2.3235289348977339E-2"/>
    <n v="-0.37801932791603488"/>
    <n v="-7.885852999999915E-2"/>
    <n v="9.1846259999999944E-2"/>
    <n v="-1.4947530000000014E-2"/>
  </r>
  <r>
    <x v="2"/>
    <x v="1"/>
    <x v="0"/>
    <x v="1"/>
    <x v="1"/>
    <x v="152"/>
    <n v="54.616260000002512"/>
    <n v="-2.0002082977134239"/>
    <n v="0.15117841909959573"/>
    <n v="-0.41905884011380623"/>
    <n v="-9.0802896392905286E-2"/>
    <n v="-0.25665911937031716"/>
    <n v="0.18424364459859177"/>
    <n v="2.9625619999999742E-2"/>
    <n v="0.50518454765395848"/>
    <n v="0.14861263879368813"/>
    <n v="-0.59059310690170452"/>
    <n v="0.8804443385400873"/>
    <n v="0.32509026975489075"/>
    <n v="1.6947780787111899"/>
    <n v="0.19562552631227081"/>
    <n v="-0.27810326258173035"/>
    <n v="-0.15627850999999915"/>
    <n v="0.14262062999999997"/>
    <n v="3.8548579999999992E-2"/>
  </r>
  <r>
    <x v="3"/>
    <x v="1"/>
    <x v="0"/>
    <x v="1"/>
    <x v="1"/>
    <x v="153"/>
    <n v="75.91704000000027"/>
    <n v="-2.4234412699258412"/>
    <n v="0.23878456405128645"/>
    <n v="-0.56771972219530342"/>
    <n v="-0.14986604252563707"/>
    <n v="-0.29123521270254527"/>
    <n v="0.26271603448515535"/>
    <n v="2.1424930000001063E-2"/>
    <n v="0.58519908205709736"/>
    <n v="0.25218676983433941"/>
    <n v="-0.44989169497207104"/>
    <n v="0.94568290762719887"/>
    <n v="0.39077139695178342"/>
    <n v="2.9977464162033396"/>
    <n v="0.39568492965675883"/>
    <n v="-0.18920768855962278"/>
    <n v="-0.20956831999999898"/>
    <n v="0.17300909999999997"/>
    <n v="6.4064250000000003E-2"/>
  </r>
  <r>
    <x v="4"/>
    <x v="1"/>
    <x v="0"/>
    <x v="1"/>
    <x v="1"/>
    <x v="154"/>
    <n v="87.846379999999044"/>
    <n v="-2.6436490348383468"/>
    <n v="0.30345982179615927"/>
    <n v="-0.68348648013590863"/>
    <n v="-0.21214850426179988"/>
    <n v="-0.2956240060028259"/>
    <n v="0.31091506491229826"/>
    <n v="6.6711600000005089E-3"/>
    <n v="0.68108161554762958"/>
    <n v="0.37354600462400356"/>
    <n v="-0.28833937274582722"/>
    <n v="1.0252259992904689"/>
    <n v="0.41962293806572237"/>
    <n v="4.6697809894290732"/>
    <n v="0.5934497478923495"/>
    <n v="-0.13119529775833527"/>
    <n v="-0.23515276999999946"/>
    <n v="0.19462586000000004"/>
    <n v="6.6146460000000157E-2"/>
  </r>
  <r>
    <x v="5"/>
    <x v="1"/>
    <x v="0"/>
    <x v="1"/>
    <x v="1"/>
    <x v="155"/>
    <n v="90.973509999999806"/>
    <n v="-2.7461493090821243"/>
    <n v="0.34435140302135903"/>
    <n v="-0.77675102250386319"/>
    <n v="-0.27586633510980896"/>
    <n v="-0.28746336533614913"/>
    <n v="0.33900008722869135"/>
    <n v="-4.7873300000000896E-3"/>
    <n v="0.78344334367537183"/>
    <n v="0.50258985071591766"/>
    <n v="-0.1180340420091408"/>
    <n v="1.1112252990450378"/>
    <n v="0.41654406050248838"/>
    <n v="6.6925896060987311"/>
    <n v="0.78230730200978815"/>
    <n v="-9.6772304353642813E-2"/>
    <n v="-0.23698199000000003"/>
    <n v="0.21284924999999955"/>
    <n v="5.5608359999999996E-2"/>
  </r>
  <r>
    <x v="6"/>
    <x v="1"/>
    <x v="0"/>
    <x v="1"/>
    <x v="1"/>
    <x v="156"/>
    <n v="87.269540000001143"/>
    <n v="-2.7788942584401566"/>
    <n v="0.36930348027797155"/>
    <n v="-0.85349836199211104"/>
    <n v="-0.33953602544063433"/>
    <n v="-0.27373936900012552"/>
    <n v="0.35805210999981796"/>
    <n v="-1.0064209999999241E-2"/>
    <n v="0.88516226432555634"/>
    <n v="0.63100327215384056"/>
    <n v="5.1116945790519175E-2"/>
    <n v="1.1971638073182023"/>
    <n v="0.38420467377695555"/>
    <n v="9.0440493498595398"/>
    <n v="0.96006508236459176"/>
    <n v="-7.6809609290873215E-2"/>
    <n v="-0.22177877000000012"/>
    <n v="0.22937762"/>
    <n v="4.1940520000000037E-2"/>
  </r>
  <r>
    <x v="7"/>
    <x v="1"/>
    <x v="0"/>
    <x v="1"/>
    <x v="1"/>
    <x v="157"/>
    <n v="79.104409999999916"/>
    <n v="-2.7684799043603436"/>
    <n v="0.38731399963800595"/>
    <n v="-0.91616158543438297"/>
    <n v="-0.40177142868710325"/>
    <n v="-0.25616665004376538"/>
    <n v="0.37586502450974724"/>
    <n v="-1.0240009999999689E-2"/>
    <n v="0.98146738998545757"/>
    <n v="0.75299373139052772"/>
    <n v="0.21229132766042991"/>
    <n v="1.2784263767704696"/>
    <n v="0.32494158521045868"/>
    <n v="11.699540151653288"/>
    <n v="1.1249318775058414"/>
    <n v="-6.5192314225559489E-2"/>
    <n v="-0.19648634000000026"/>
    <n v="0.24431442999999983"/>
    <n v="3.1613500000000211E-2"/>
  </r>
  <r>
    <x v="8"/>
    <x v="1"/>
    <x v="0"/>
    <x v="1"/>
    <x v="1"/>
    <x v="158"/>
    <n v="68.649280000001454"/>
    <n v="-2.7301969276381732"/>
    <n v="0.40520006099620254"/>
    <n v="-0.96548075225523222"/>
    <n v="-0.46131088886042226"/>
    <n v="-0.23477870481185548"/>
    <n v="0.39676493273950175"/>
    <n v="-7.5431099999995199E-3"/>
    <n v="1.0693199532697539"/>
    <n v="0.86483643956942746"/>
    <n v="0.36119098104048231"/>
    <n v="1.3519579551581229"/>
    <n v="0.24116675605334592"/>
    <n v="14.632112745672465"/>
    <n v="1.2752537993207191"/>
    <n v="-5.8424395026723808E-2"/>
    <n v="-0.16692699000000061"/>
    <n v="0.25728884000000007"/>
    <n v="2.8132280000000079E-2"/>
  </r>
  <r>
    <x v="9"/>
    <x v="1"/>
    <x v="0"/>
    <x v="1"/>
    <x v="1"/>
    <x v="159"/>
    <n v="57.588529999997263"/>
    <n v="-2.6735253284334792"/>
    <n v="0.42677909347985654"/>
    <n v="-1.0018598377772858"/>
    <n v="-0.51706864008284059"/>
    <n v="-0.20963986733819606"/>
    <n v="0.4223314335110695"/>
    <n v="-3.976270000000115E-3"/>
    <n v="1.1468540657723292"/>
    <n v="0.96428466926938849"/>
    <n v="0.49530026608957112"/>
    <n v="1.4158341498661242"/>
    <n v="0.1353907248239139"/>
    <n v="17.812282538267809"/>
    <n v="1.4097816583271472"/>
    <n v="-5.4544527994282443E-2"/>
    <n v="-0.1372863900000007"/>
    <n v="0.26794839999999959"/>
    <n v="3.2599709999999935E-2"/>
  </r>
  <r>
    <x v="10"/>
    <x v="1"/>
    <x v="0"/>
    <x v="1"/>
    <x v="1"/>
    <x v="160"/>
    <n v="47.046360000000277"/>
    <n v="-2.604913381024665"/>
    <n v="0.4532076642471683"/>
    <n v="-1.0260269083532836"/>
    <n v="-0.56816337512867188"/>
    <n v="-0.18139572063567977"/>
    <n v="0.45222180185602312"/>
    <n v="-8.8110000000113375E-4"/>
    <n v="1.2130039007628213"/>
    <n v="1.0501131159278643"/>
    <n v="0.61330365906586692"/>
    <n v="1.4689385908634556"/>
    <n v="1.0209742890587847E-2"/>
    <n v="21.207826385203422"/>
    <n v="1.5277798441961643"/>
    <n v="-5.2384046949094376E-2"/>
    <n v="-0.1101193200000003"/>
    <n v="0.27612485000000009"/>
    <n v="4.440464000000019E-2"/>
  </r>
  <r>
    <x v="11"/>
    <x v="1"/>
    <x v="0"/>
    <x v="1"/>
    <x v="1"/>
    <x v="161"/>
    <n v="37.640909999998257"/>
    <n v="-2.5290925543197118"/>
    <n v="0.48372629261557165"/>
    <n v="-1.0391945210946107"/>
    <n v="-0.61392380847745676"/>
    <n v="-0.15124369552439454"/>
    <n v="0.48491829798660291"/>
    <n v="1.0647399999993978E-3"/>
    <n v="1.2672766874620489"/>
    <n v="1.121810179765248"/>
    <n v="0.71469305999714017"/>
    <n v="1.5107479968927251"/>
    <n v="-0.13169042754727078"/>
    <n v="24.783745195793028"/>
    <n v="1.628971155162251"/>
    <n v="-5.1195891071686983E-2"/>
    <n v="-8.6631460000000104E-2"/>
    <n v="0.28184885000000004"/>
    <n v="6.1889369999999777E-2"/>
  </r>
  <r>
    <x v="12"/>
    <x v="1"/>
    <x v="0"/>
    <x v="1"/>
    <x v="1"/>
    <x v="162"/>
    <n v="29.599309999997786"/>
    <n v="-2.4496613784844468"/>
    <n v="0.51645336127972286"/>
    <n v="-1.0429530016177746"/>
    <n v="-0.65388117562213965"/>
    <n v="-0.12067882304532818"/>
    <n v="0.51835297793185742"/>
    <n v="1.6959100000005223E-3"/>
    <n v="1.3096113726400738"/>
    <n v="1.1793795870280288"/>
    <n v="0.79951859145304116"/>
    <n v="1.5411893776805963"/>
    <n v="-0.28752603547007594"/>
    <n v="28.502455285067253"/>
    <n v="1.7134231728127114"/>
    <n v="-5.0498306948043581E-2"/>
    <n v="-6.7062889999999764E-2"/>
    <n v="0.28530388999999934"/>
    <n v="8.2923690000000216E-2"/>
  </r>
  <r>
    <x v="13"/>
    <x v="1"/>
    <x v="0"/>
    <x v="1"/>
    <x v="1"/>
    <x v="163"/>
    <n v="22.8878500000028"/>
    <n v="-2.3693387359984275"/>
    <n v="0.54906757432684472"/>
    <n v="-1.0390659887625664"/>
    <n v="-0.68775491019479329"/>
    <n v="-9.1207832205064676E-2"/>
    <n v="0.55038824477560144"/>
    <n v="1.1783600000009331E-3"/>
    <n v="1.3402838136474582"/>
    <n v="1.2232104709153369"/>
    <n v="0.86823353233624889"/>
    <n v="1.5605394404512252"/>
    <n v="-0.45442316113807335"/>
    <n v="32.324222500550825"/>
    <n v="1.7814469653139264"/>
    <n v="-5.0009375850756932E-2"/>
    <n v="-5.1065579999999555E-2"/>
    <n v="0.28676423000000006"/>
    <n v="0.10534693999999997"/>
  </r>
  <r>
    <x v="14"/>
    <x v="1"/>
    <x v="0"/>
    <x v="1"/>
    <x v="1"/>
    <x v="164"/>
    <n v="17.329839999998512"/>
    <n v="-2.2900918624881972"/>
    <n v="0.57931762207852344"/>
    <n v="-1.0292692117090052"/>
    <n v="-0.71543605356875206"/>
    <n v="-6.4122810075029069E-2"/>
    <n v="0.57914822743485583"/>
    <n v="-1.5111999999983805E-4"/>
    <n v="1.3598353567363608"/>
    <n v="1.2539885983065879"/>
    <n v="0.92159761333259205"/>
    <n v="1.5693486905998144"/>
    <n v="-0.62945050323085505"/>
    <n v="36.207825541741776"/>
    <n v="1.8335353381238928"/>
    <n v="-4.9608043207705066E-2"/>
    <n v="-3.8016189999999506E-2"/>
    <n v="0.28653824999999994"/>
    <n v="0.12726597999999992"/>
  </r>
  <r>
    <x v="15"/>
    <x v="1"/>
    <x v="0"/>
    <x v="1"/>
    <x v="1"/>
    <x v="165"/>
    <n v="12.697410000000673"/>
    <n v="-2.2132345157257927"/>
    <n v="0.6053492422300577"/>
    <n v="-1.0151201177562852"/>
    <n v="-0.73696968827191567"/>
    <n v="-4.0366246676359907E-2"/>
    <n v="0.60320881738149534"/>
    <n v="-1.9076499999992613E-3"/>
    <n v="1.3690154087381723"/>
    <n v="1.2726311281711977"/>
    <n v="0.96061397537294813"/>
    <n v="1.5683793452236028"/>
    <n v="-0.80967465189425436"/>
    <n v="40.111407631838802"/>
    <n v="1.8703379349682248"/>
    <n v="-4.9297554249838615E-2"/>
    <n v="-2.7241559999999221E-2"/>
    <n v="0.28492679999999948"/>
    <n v="0.14721891000000001"/>
  </r>
  <r>
    <x v="16"/>
    <x v="1"/>
    <x v="0"/>
    <x v="1"/>
    <x v="1"/>
    <x v="166"/>
    <n v="8.7732799999976123"/>
    <n v="-2.1395309711535471"/>
    <n v="0.62586798326651483"/>
    <n v="-0.99791217672657861"/>
    <n v="-0.75253702901196817"/>
    <n v="-2.0484566686018724E-2"/>
    <n v="0.62166910126240094"/>
    <n v="-3.7402700000008227E-3"/>
    <n v="1.3687326178050574"/>
    <n v="1.280234266613256"/>
    <n v="0.98648355428683221"/>
    <n v="1.5585524902629322"/>
    <n v="-0.99223065823315082"/>
    <n v="43.993465057898248"/>
    <n v="1.8926593142622128"/>
    <n v="-4.9166436820091697E-2"/>
    <n v="-1.8156820000000962E-2"/>
    <n v="0.28219851000000007"/>
    <n v="0.1642287199999995"/>
  </r>
  <r>
    <x v="17"/>
    <x v="1"/>
    <x v="0"/>
    <x v="1"/>
    <x v="1"/>
    <x v="167"/>
    <n v="5.3847399999976915"/>
    <n v="-2.0693104345425373"/>
    <n v="0.6401741872044342"/>
    <n v="-0.97864807217915573"/>
    <n v="-0.76243691362355426"/>
    <n v="-4.6500120471804074E-3"/>
    <n v="0.63413495039148504"/>
    <n v="-5.377200000000748E-3"/>
    <n v="1.3600118370262093"/>
    <n v="1.2780264142861375"/>
    <n v="1.0005655636397881"/>
    <n v="1.5409010534193079"/>
    <n v="-1.1743988616592982"/>
    <n v="47.81390069093603"/>
    <n v="1.9014650451439907"/>
    <n v="-4.9349655875563503E-2"/>
    <n v="-1.0329559999999738E-2"/>
    <n v="0.27858030999999978"/>
    <n v="0.17777763000000057"/>
  </r>
  <r>
    <x v="18"/>
    <x v="1"/>
    <x v="0"/>
    <x v="1"/>
    <x v="1"/>
    <x v="168"/>
    <n v="2.4155500000015309"/>
    <n v="-2.0025843916067765"/>
    <n v="0.64810894236464467"/>
    <n v="-0.95805543849808439"/>
    <n v="-0.76706672165658407"/>
    <n v="7.2740768638057673E-3"/>
    <n v="0.64064638062728552"/>
    <n v="-6.6419300000009063E-3"/>
    <n v="1.3439547852028388"/>
    <n v="1.2673236750418315"/>
    <n v="1.0043375553845824"/>
    <n v="1.5165267619964062"/>
    <n v="-1.3536791886532784"/>
    <n v="51.535069822727777"/>
    <n v="1.8978830094520838"/>
    <n v="-4.9993764979494593E-2"/>
    <n v="-3.4896800000003281E-3"/>
    <n v="0.2742586800000002"/>
    <n v="0.18773328000000061"/>
  </r>
  <r>
    <x v="19"/>
    <x v="1"/>
    <x v="0"/>
    <x v="1"/>
    <x v="1"/>
    <x v="169"/>
    <n v="-0.19762000000264379"/>
    <n v="-1.9391557139654791"/>
    <n v="0.64994937047855306"/>
    <n v="-0.93662850943425635"/>
    <n v="-0.76690238909642439"/>
    <n v="1.5648616836538842E-2"/>
    <n v="0.64157746232473833"/>
    <n v="-7.4490699999998911E-3"/>
    <n v="1.3217036683130123"/>
    <n v="1.2494858427498201"/>
    <n v="0.99935178114440859"/>
    <n v="1.4865604624358264"/>
    <n v="-1.5278555918759373"/>
    <n v="55.122743416089072"/>
    <n v="1.8831937179938141"/>
    <n v="-5.1227999560088389E-2"/>
    <n v="2.4949699999998742E-3"/>
    <n v="0.26938695000000012"/>
    <n v="0.19425279000000045"/>
  </r>
  <r>
    <x v="20"/>
    <x v="1"/>
    <x v="0"/>
    <x v="1"/>
    <x v="1"/>
    <x v="170"/>
    <n v="-2.4771599999985483"/>
    <n v="-1.878711341627759"/>
    <n v="0.64628471761412065"/>
    <n v="-0.91468008305123361"/>
    <n v="-0.76247789015376766"/>
    <n v="2.0973174181704302E-2"/>
    <n v="0.6375296836494071"/>
    <n v="-7.7882000000001339E-3"/>
    <n v="1.2944069611623421"/>
    <n v="1.2258735785531938"/>
    <n v="0.9871883707212481"/>
    <n v="1.4521261159159415"/>
    <n v="-1.6950450163452868"/>
    <n v="58.546926674568908"/>
    <n v="1.8588066270398551"/>
    <n v="-5.3143584500559005E-2"/>
    <n v="7.6596700000000628E-3"/>
    <n v="0.26409438999999979"/>
    <n v="0.19768486999999918"/>
  </r>
  <r>
    <x v="21"/>
    <x v="1"/>
    <x v="0"/>
    <x v="1"/>
    <x v="1"/>
    <x v="171"/>
    <n v="-4.4203099999976985"/>
    <n v="-1.8208938848241818"/>
    <n v="0.63789450915037182"/>
    <n v="-0.89239277808899065"/>
    <n v="-0.75436463877773807"/>
    <n v="2.3810871815110879E-2"/>
    <n v="0.62923448334593068"/>
    <n v="-7.7027399999998747E-3"/>
    <n v="1.2631879972862636"/>
    <n v="1.197808410281298"/>
    <n v="0.96940697544298793"/>
    <n v="1.4143088573387086"/>
    <n v="-1.8537275573308309"/>
    <n v="61.782483649217809"/>
    <n v="1.8262239124677837"/>
    <n v="-5.5781066312066141E-2"/>
    <n v="1.1987019999999682E-2"/>
    <n v="0.25849417999999968"/>
    <n v="0.19848258000000063"/>
  </r>
  <r>
    <x v="22"/>
    <x v="1"/>
    <x v="0"/>
    <x v="1"/>
    <x v="1"/>
    <x v="172"/>
    <n v="-6.0141899999980524"/>
    <n v="-1.7653515535636211"/>
    <n v="0.6256445291406898"/>
    <n v="-0.86986322956228435"/>
    <n v="-0.74315117082115467"/>
    <n v="2.4729816941682081E-2"/>
    <n v="0.61747199179373879"/>
    <n v="-7.268750000000157E-3"/>
    <n v="1.2291170253143191"/>
    <n v="1.1665372357910986"/>
    <n v="0.94750065070927647"/>
    <n v="1.3741281339605838"/>
    <n v="-2.0027570271503592"/>
    <n v="64.809539132357401"/>
    <n v="1.7869954261382714"/>
    <n v="-5.9125621301381326E-2"/>
    <n v="1.5446009999999649E-2"/>
    <n v="0.25268868999999972"/>
    <n v="0.19713390000000025"/>
  </r>
  <r>
    <x v="23"/>
    <x v="1"/>
    <x v="0"/>
    <x v="1"/>
    <x v="1"/>
    <x v="173"/>
    <n v="-7.2482100000015635"/>
    <n v="-1.7117685475276589"/>
    <n v="0.61040442660735827"/>
    <n v="-0.84713631150206137"/>
    <n v="-0.72942436527935195"/>
    <n v="2.42623454332902E-2"/>
    <n v="0.60301034961327549"/>
    <n v="-6.5765600000003421E-3"/>
    <n v="1.1931874932948672"/>
    <n v="1.1332035211888858"/>
    <n v="0.92285516177899041"/>
    <n v="1.3325165895129887"/>
    <n v="-2.1413528946391258"/>
    <n v="67.613650414569165"/>
    <n v="1.7426690256063582"/>
    <n v="-6.3109454689636024E-2"/>
    <n v="1.8020699999999473E-2"/>
    <n v="0.24677170000000012"/>
    <n v="0.19411217000000064"/>
  </r>
  <r>
    <x v="24"/>
    <x v="1"/>
    <x v="0"/>
    <x v="1"/>
    <x v="1"/>
    <x v="174"/>
    <n v="-8.1224000000001979"/>
    <n v="-1.6598798463431708"/>
    <n v="0.59299136673127695"/>
    <n v="-0.82422894436950944"/>
    <n v="-0.71375247152701826"/>
    <n v="2.2880613788278659E-2"/>
    <n v="0.58656451384220265"/>
    <n v="-5.716719999999953E-3"/>
    <n v="1.1562974164804007"/>
    <n v="1.0988259690247748"/>
    <n v="0.89671646736377841"/>
    <n v="1.2903048601021316"/>
    <n v="-2.2690765926365986"/>
    <n v="70.185758854365503"/>
    <n v="1.6947418468676201"/>
    <n v="-6.7619505781935096E-2"/>
    <n v="1.9727609999999757E-2"/>
    <n v="0.24082824999999974"/>
    <n v="0.18984546999999963"/>
  </r>
  <r>
    <x v="25"/>
    <x v="1"/>
    <x v="0"/>
    <x v="1"/>
    <x v="1"/>
    <x v="175"/>
    <n v="-8.6517300000014075"/>
    <n v="-1.6094744161494701"/>
    <n v="0.57413523393050614"/>
    <n v="-0.80114503432521245"/>
    <n v="-0.69667049754301713"/>
    <n v="2.0985236738280122E-2"/>
    <n v="0.56877273557547348"/>
    <n v="-4.7706899999999663E-3"/>
    <n v="1.1192362975433801"/>
    <n v="1.0642851958124089"/>
    <n v="0.87016822539880412"/>
    <n v="1.2482125772639741"/>
    <n v="-2.3857960654091626"/>
    <n v="72.521946767281079"/>
    <n v="1.6446156382285304"/>
    <n v="-7.2509592089220476E-2"/>
    <n v="2.062221000000003E-2"/>
    <n v="0.23493298999999954"/>
    <n v="0.18470189000000109"/>
  </r>
  <r>
    <x v="26"/>
    <x v="1"/>
    <x v="0"/>
    <x v="1"/>
    <x v="1"/>
    <x v="176"/>
    <n v="-8.866730000001553"/>
    <n v="-1.5603911046117358"/>
    <n v="0.55446313427811589"/>
    <n v="-0.77788377305479939"/>
    <n v="-0.67866978828710067"/>
    <n v="1.8903696514582791E-2"/>
    <n v="0.55018642172404153"/>
    <n v="-3.8053900000001306E-3"/>
    <n v="1.0826775668983046"/>
    <n v="1.0303182230512409"/>
    <n v="0.84411938008608356"/>
    <n v="1.2068446595908444"/>
    <n v="-2.4916432081382278"/>
    <n v="74.6230359832945"/>
    <n v="1.5935603644844143"/>
    <n v="-7.7613898340644916E-2"/>
    <n v="2.0796900000000229E-2"/>
    <n v="0.22914793999999974"/>
    <n v="0.17898680999999944"/>
  </r>
  <r>
    <x v="27"/>
    <x v="1"/>
    <x v="0"/>
    <x v="1"/>
    <x v="1"/>
    <x v="177"/>
    <n v="-8.811439999997674"/>
    <n v="-1.5125106216652529"/>
    <n v="0.53449646046761501"/>
    <n v="-0.75444310981309659"/>
    <n v="-0.66018900636062305"/>
    <n v="1.6894995186467199E-2"/>
    <n v="0.53127002306732063"/>
    <n v="-2.8714300000010073E-3"/>
    <n v="1.0471762184656619"/>
    <n v="0.9975194815946109"/>
    <n v="0.81930172511264221"/>
    <n v="1.1666926162086311"/>
    <n v="-2.5869680660376426"/>
    <n v="76.494069547597903"/>
    <n v="1.5426875637501336"/>
    <n v="-8.276113584934075E-2"/>
    <n v="2.0372949999999945E-2"/>
    <n v="0.2235206999999996"/>
    <n v="0.17294782999999897"/>
  </r>
  <r>
    <x v="28"/>
    <x v="1"/>
    <x v="0"/>
    <x v="1"/>
    <x v="1"/>
    <x v="178"/>
    <n v="-8.5394000000014785"/>
    <n v="-1.4657460508637254"/>
    <n v="0.51465774932222264"/>
    <n v="-0.7308205032707682"/>
    <n v="-0.64160948591196476"/>
    <n v="1.5157544601485107E-2"/>
    <n v="0.51240694353205107"/>
    <n v="-2.0036399999992516E-3"/>
    <n v="1.0131711024067069"/>
    <n v="0.96634732983675864"/>
    <n v="0.79627533094321912"/>
    <n v="1.1281395288234686"/>
    <n v="-2.6722936879374215"/>
    <n v="78.143717194163131"/>
    <n v="1.4929339760573868"/>
    <n v="-8.7787113633630565E-2"/>
    <n v="1.9489280000000234E-2"/>
    <n v="0.21808353999999974"/>
    <n v="0.16678375999999995"/>
  </r>
  <r>
    <x v="29"/>
    <x v="1"/>
    <x v="0"/>
    <x v="1"/>
    <x v="1"/>
    <x v="179"/>
    <n v="-8.1090399999993679"/>
    <n v="-1.4200340159989278"/>
    <n v="0.4952814991132426"/>
    <n v="-0.70701242859771973"/>
    <n v="-0.62325354001108169"/>
    <n v="1.3838507627483843E-2"/>
    <n v="0.4939078823026577"/>
    <n v="-1.2231399999992898E-3"/>
    <n v="0.98099101177648862"/>
    <n v="0.9371345941385778"/>
    <n v="0.77544055264202605"/>
    <n v="1.0914679991236298"/>
    <n v="-2.7482737068181717"/>
    <n v="79.583644703594757"/>
    <n v="1.4450554685077277"/>
    <n v="-9.254489829710888E-2"/>
    <n v="1.8290370000000056E-2"/>
    <n v="0.21285343999999998"/>
    <n v="0.16065458000000116"/>
  </r>
  <r>
    <x v="30"/>
    <x v="1"/>
    <x v="0"/>
    <x v="1"/>
    <x v="1"/>
    <x v="180"/>
    <n v="-7.5789000000004307"/>
    <n v="-1.3753272469737232"/>
    <n v="0.47662675861193105"/>
    <n v="-0.68301401553755303"/>
    <n v="-0.60538415555829728"/>
    <n v="1.3042633453963504E-2"/>
    <n v="0.47602015177754531"/>
    <n v="-5.4034000000063864E-4"/>
    <n v="0.95086338885514987"/>
    <n v="0.91010148643602129"/>
    <n v="0.75705417084239723"/>
    <n v="1.0568699132950998"/>
    <n v="-2.8156546889696377"/>
    <n v="80.827877067854772"/>
    <n v="1.3996298741698832"/>
    <n v="-9.6912048094022207E-2"/>
    <n v="1.691523999999972E-2"/>
    <n v="0.20783353000000046"/>
    <n v="0.15469015999999974"/>
  </r>
  <r>
    <x v="31"/>
    <x v="1"/>
    <x v="0"/>
    <x v="1"/>
    <x v="1"/>
    <x v="181"/>
    <n v="-7.0036800000016228"/>
    <n v="-1.3315892568514731"/>
    <n v="0.45888873700319355"/>
    <n v="-0.65881857972286406"/>
    <n v="-0.58820807291195543"/>
    <n v="1.2840075398568018E-2"/>
    <n v="0.45893605095985723"/>
    <n v="4.2119999998924129E-5"/>
    <n v="0.92292517830947496"/>
    <n v="0.88537013334450965"/>
    <n v="0.74124811714670891"/>
    <n v="1.0244572158111032"/>
    <n v="-2.875243610100553"/>
    <n v="81.892182946902508"/>
    <n v="1.3570671785503974"/>
    <n v="-0.10079446187135632"/>
    <n v="1.5488699999999939E-2"/>
    <n v="0.20301510000000009"/>
    <n v="0.14899676000000028"/>
  </r>
  <r>
    <x v="32"/>
    <x v="1"/>
    <x v="0"/>
    <x v="1"/>
    <x v="1"/>
    <x v="182"/>
    <n v="-6.4311100000013539"/>
    <n v="-1.2887909278819221"/>
    <n v="0.44220843288016454"/>
    <n v="-0.63441850011103362"/>
    <n v="-0.57187924167423354"/>
    <n v="1.3272559641785975E-2"/>
    <n v="0.44279927645656247"/>
    <n v="5.2651999999930865E-4"/>
    <n v="0.89723450564185292"/>
    <n v="0.86297914570052647"/>
    <n v="0.72804881521904008"/>
    <n v="0.99427297850289698"/>
    <n v="-2.9278801240353869"/>
    <n v="82.793498418285921"/>
    <n v="1.3176248258997436"/>
    <n v="-0.10412740023278966"/>
    <n v="1.4115420000000017E-2"/>
    <n v="0.19838049999999982"/>
    <n v="0.14366083999999973"/>
  </r>
  <r>
    <x v="33"/>
    <x v="1"/>
    <x v="0"/>
    <x v="1"/>
    <x v="1"/>
    <x v="183"/>
    <n v="-5.9001299999981711"/>
    <n v="-1.2469088653452864"/>
    <n v="0.42668023007041977"/>
    <n v="-0.60980641991000839"/>
    <n v="-0.55650357282506224"/>
    <n v="1.4358041391204779E-2"/>
    <n v="0.42770993298055782"/>
    <n v="9.1793000000089942E-4"/>
    <n v="0.87378268632407607"/>
    <n v="0.84289793999907658"/>
    <n v="0.71739630285660994"/>
    <n v="0.96630296675985772"/>
    <n v="-2.9744132943085755"/>
    <n v="83.549401994273566"/>
    <n v="1.2814266033717159"/>
    <n v="-0.10687402130646895"/>
    <n v="1.287692E-2"/>
    <n v="0.19390609000000045"/>
    <n v="0.13875054000000026"/>
  </r>
  <r>
    <x v="34"/>
    <x v="1"/>
    <x v="0"/>
    <x v="1"/>
    <x v="1"/>
    <x v="184"/>
    <n v="-5.440149999998539"/>
    <n v="-1.2059249824208029"/>
    <n v="0.41235714080454233"/>
    <n v="-0.58497705223451435"/>
    <n v="-0.54214482388482699"/>
    <n v="1.6094172112768312E-2"/>
    <n v="0.41372831597150661"/>
    <n v="1.222639999999553E-3"/>
    <n v="0.85250628849573573"/>
    <n v="0.82504014184916485"/>
    <n v="0.70916212101850284"/>
    <n v="0.94048509877591169"/>
    <n v="-3.0156829412812725"/>
    <n v="84.17764598712121"/>
    <n v="1.2484829291428357"/>
    <n v="-0.10902225138645916"/>
    <n v="1.1831239999999729E-2"/>
    <n v="0.18956519999999977"/>
    <n v="0.13431562999999952"/>
  </r>
  <r>
    <x v="35"/>
    <x v="1"/>
    <x v="0"/>
    <x v="1"/>
    <x v="1"/>
    <x v="185"/>
    <n v="-5.0712299999977404"/>
    <n v="-1.1658266853333044"/>
    <n v="0.39925529574824647"/>
    <n v="-0.55992927642802837"/>
    <n v="-0.52882984348641138"/>
    <n v="1.8460755810245644E-2"/>
    <n v="0.40087787387721452"/>
    <n v="1.4473299999998024E-3"/>
    <n v="0.8332979415468289"/>
    <n v="0.80927561882746524"/>
    <n v="0.70316538738983692"/>
    <n v="0.91671982904120153"/>
    <n v="-3.0525029028664385"/>
    <n v="84.695750437318111"/>
    <n v="1.218711341555867"/>
    <n v="-0.11058055595994931"/>
    <n v="1.101459000000006E-2"/>
    <n v="0.18533073999999969"/>
    <n v="0.13038677000000026"/>
  </r>
  <r>
    <x v="36"/>
    <x v="1"/>
    <x v="0"/>
    <x v="1"/>
    <x v="1"/>
    <x v="186"/>
    <n v="-4.8050100000000384"/>
    <n v="-1.1266073913027808"/>
    <n v="0.38735706987673701"/>
    <n v="-0.53466794396316297"/>
    <n v="-0.51655438954727462"/>
    <n v="2.1421852953440457E-2"/>
    <n v="0.38914899937327885"/>
    <n v="1.5986799999992418E-3"/>
    <n v="0.81601647424418555"/>
    <n v="0.79544141414580327"/>
    <n v="0.69918702112963249"/>
    <n v="0.89487838507502637"/>
    <n v="-3.0856475162142405"/>
    <n v="85.120655874419683"/>
    <n v="1.191956229248059"/>
    <n v="-0.11157336072430413"/>
    <n v="1.0444290000000134E-2"/>
    <n v="0.18117729000000013"/>
    <n v="0.12697486000000091"/>
  </r>
  <r>
    <x v="37"/>
    <x v="1"/>
    <x v="0"/>
    <x v="1"/>
    <x v="1"/>
    <x v="187"/>
    <n v="-4.6460299999998824"/>
    <n v="-1.0882666956106957"/>
    <n v="0.37661492708227495"/>
    <n v="-0.50920540329333353"/>
    <n v="-0.50528871324518887"/>
    <n v="2.4927737491231561E-2"/>
    <n v="0.37850124708591615"/>
    <n v="1.6833599999988014E-3"/>
    <n v="0.80049678234774824"/>
    <n v="0.78335104268989486"/>
    <n v="0.69698196595979756"/>
    <n v="0.87481079568025866"/>
    <n v="-3.1158404442340526"/>
    <n v="85.468436231316375"/>
    <n v="1.1680066043791015"/>
    <n v="-0.11203659910857811"/>
    <n v="1.0122450000000019E-2"/>
    <n v="0.17708255999999978"/>
    <n v="0.12407125000000047"/>
  </r>
  <r>
    <x v="38"/>
    <x v="1"/>
    <x v="0"/>
    <x v="1"/>
    <x v="1"/>
    <x v="188"/>
    <n v="-4.5931999999993423"/>
    <n v="-1.0508101874194042"/>
    <n v="0.36695521738425718"/>
    <n v="-0.48356248048221362"/>
    <n v="-0.49498238320448973"/>
    <n v="2.8917053745614041E-2"/>
    <n v="0.36886897257892848"/>
    <n v="1.7082000000001596E-3"/>
    <n v="0.78655700113967608"/>
    <n v="0.77280280387599376"/>
    <n v="0.69628958097061044"/>
    <n v="0.8563523814302032"/>
    <n v="-3.1437447397403728"/>
    <n v="85.754067073303219"/>
    <n v="1.146612117276935"/>
    <n v="-0.11201359353057994"/>
    <n v="1.0039770000000101E-2"/>
    <n v="0.17302826000000007"/>
    <n v="0.12164892999999982"/>
  </r>
  <r>
    <x v="39"/>
    <x v="1"/>
    <x v="0"/>
    <x v="1"/>
    <x v="1"/>
    <x v="189"/>
    <n v="-4.6412799999998242"/>
    <n v="-1.0142487101756359"/>
    <n v="0.35828329619091992"/>
    <n v="-0.45776865727146232"/>
    <n v="-0.48556884213921681"/>
    <n v="3.3319187429770025E-2"/>
    <n v="0.36016551192288304"/>
    <n v="1.6804500000008882E-3"/>
    <n v="0.7740060736994403"/>
    <n v="0.76358668638540905"/>
    <n v="0.69684234299491887"/>
    <n v="0.83932985685104544"/>
    <n v="-3.1699553572844708"/>
    <n v="85.991247170181111"/>
    <n v="1.1274967727828766"/>
    <n v="-0.11155172029287952"/>
    <n v="1.017889999999997E-2"/>
    <n v="0.16900030000000024"/>
    <n v="0.11966489000000136"/>
  </r>
  <r>
    <x v="40"/>
    <x v="1"/>
    <x v="0"/>
    <x v="1"/>
    <x v="1"/>
    <x v="190"/>
    <n v="-4.7821400000029826"/>
    <n v="-0.97859719306035986"/>
    <n v="0.35048836591780042"/>
    <n v="-0.43186172297964287"/>
    <n v="-0.4769699043348119"/>
    <n v="3.8056946466391572E-2"/>
    <n v="0.35228885938796139"/>
    <n v="1.6077200000005898E-3"/>
    <n v="0.7626493712124649"/>
    <n v="0.75549055557195821"/>
    <n v="0.69837310218638926"/>
    <n v="0.82356665262495188"/>
    <n v="-3.1949932563729244"/>
    <n v="86.192269002938076"/>
    <n v="1.1103706440611205"/>
    <n v="-0.11069967163392924"/>
    <n v="1.0517370000000074E-2"/>
    <n v="0.16498868"/>
    <n v="0.11806341000000012"/>
  </r>
  <r>
    <x v="41"/>
    <x v="1"/>
    <x v="0"/>
    <x v="1"/>
    <x v="1"/>
    <x v="191"/>
    <n v="-5.0058399999979883"/>
    <n v="-0.94387301953412495"/>
    <n v="0.34344954338763056"/>
    <n v="-0.40588676423014558"/>
    <n v="-0.46909926358000842"/>
    <n v="4.3049362327152174E-2"/>
    <n v="0.34512700646887051"/>
    <n v="1.4981300000008191E-3"/>
    <n v="0.7522939924597738"/>
    <n v="0.74830487573238624"/>
    <n v="0.70062109577262444"/>
    <n v="0.80888656676796344"/>
    <n v="-3.2193020897311797"/>
    <n v="86.367933890327393"/>
    <n v="1.0949394881997865"/>
    <n v="-0.10950547228341101"/>
    <n v="1.1029809999999959E-2"/>
    <n v="0.16098694999999996"/>
    <n v="0.11677990999999985"/>
  </r>
  <r>
    <x v="42"/>
    <x v="1"/>
    <x v="0"/>
    <x v="1"/>
    <x v="1"/>
    <x v="192"/>
    <n v="-5.3013700000010431"/>
    <n v="-0.91009423170340664"/>
    <n v="0.33704127369227344"/>
    <n v="-0.37989485894732722"/>
    <n v="-0.46186573074047388"/>
    <n v="4.8214477887476015E-2"/>
    <n v="0.33856389164517164"/>
    <n v="1.3600299999999566E-3"/>
    <n v="0.74275255304721011"/>
    <n v="0.74182723718956289"/>
    <n v="0.70333683069989661"/>
    <n v="0.79511829244764964"/>
    <n v="-3.2432461110050936"/>
    <n v="86.5275110135413"/>
    <n v="1.0809128038894888"/>
    <n v="-0.10801511322312551"/>
    <n v="1.168948999999992E-2"/>
    <n v="0.15699160999999989"/>
    <n v="0.11574498000000016"/>
  </r>
  <r>
    <x v="43"/>
    <x v="1"/>
    <x v="0"/>
    <x v="1"/>
    <x v="1"/>
    <x v="193"/>
    <n v="-5.6572500000002037"/>
    <n v="-0.87727775999609792"/>
    <n v="0.33113836819371745"/>
    <n v="-0.35394149972982625"/>
    <n v="-0.45517636644920589"/>
    <n v="5.3472066241577743E-2"/>
    <n v="0.33248366945308749"/>
    <n v="1.2018099999996923E-3"/>
    <n v="0.73384722899307864"/>
    <n v="0.73586607469968701"/>
    <n v="0.70628611915144468"/>
    <n v="0.78209829124280539"/>
    <n v="-3.2671102261761842"/>
    <n v="86.678731989723602"/>
    <n v="1.0680102871951425"/>
    <n v="-0.10627159118430374"/>
    <n v="1.2469399999999985E-2"/>
    <n v="0.15300134000000021"/>
    <n v="0.11488825000000036"/>
  </r>
  <r>
    <x v="44"/>
    <x v="1"/>
    <x v="0"/>
    <x v="1"/>
    <x v="1"/>
    <x v="194"/>
    <n v="-6.0618499999982305"/>
    <n v="-0.84543841470865466"/>
    <n v="0.32562100144366557"/>
    <n v="-0.32808495881179178"/>
    <n v="-0.44893873400092543"/>
    <n v="5.8745895293066397E-2"/>
    <n v="0.32677560944613937"/>
    <n v="1.0315400000002195E-3"/>
    <n v="0.72541189336512435"/>
    <n v="0.73024296910388919"/>
    <n v="0.70925328231949969"/>
    <n v="0.769673009769134"/>
    <n v="-3.2911023388497718"/>
    <n v="86.827819405473392"/>
    <n v="1.0559670435942525"/>
    <n v="-0.10431452523701479"/>
    <n v="1.3342920000000008E-2"/>
    <n v="0.14901640999999965"/>
    <n v="0.11414177000000011"/>
  </r>
  <r>
    <x v="45"/>
    <x v="1"/>
    <x v="0"/>
    <x v="1"/>
    <x v="1"/>
    <x v="195"/>
    <n v="-6.5036399999989953"/>
    <n v="-0.81458657015238689"/>
    <n v="0.3203781934982608"/>
    <n v="-0.30238484829774315"/>
    <n v="-0.44306320475555605"/>
    <n v="6.3965713937896851E-2"/>
    <n v="0.32133709792749876"/>
    <n v="8.5672000000036608E-4"/>
    <n v="0.71729446918313844"/>
    <n v="0.72479526930220306"/>
    <n v="0.71204345885771403"/>
    <n v="0.75770130415930836"/>
    <n v="-3.3153572428957001"/>
    <n v="86.979544474651789"/>
    <n v="1.0445376215851399"/>
    <n v="-0.10217973140902448"/>
    <n v="1.4284149999999919E-2"/>
    <n v="0.14503811000000019"/>
    <n v="0.11344271999999961"/>
  </r>
  <r>
    <x v="46"/>
    <x v="1"/>
    <x v="0"/>
    <x v="1"/>
    <x v="1"/>
    <x v="196"/>
    <n v="-6.9713799999990442"/>
    <n v="-0.78472822529458419"/>
    <n v="0.31531048955062424"/>
    <n v="-0.27690065107572881"/>
    <n v="-0.4374645444155334"/>
    <n v="6.9068573806396749E-2"/>
    <n v="0.31607590194753232"/>
    <n v="6.8394999999943362E-4"/>
    <n v="0.70935878065947477"/>
    <n v="0.71937825032426517"/>
    <n v="0.71448446306676683"/>
    <n v="0.74605600915254033"/>
    <n v="-3.3399414293733054"/>
    <n v="87.137310521021931"/>
    <n v="1.0334990729333526"/>
    <n v="-9.9899305594564058E-2"/>
    <n v="1.5268210000000081E-2"/>
    <n v="0.14106835000000026"/>
    <n v="0.11273538000000013"/>
  </r>
  <r>
    <x v="47"/>
    <x v="1"/>
    <x v="0"/>
    <x v="1"/>
    <x v="1"/>
    <x v="197"/>
    <n v="-7.4541700000008859"/>
    <n v="-0.75586399708449381"/>
    <n v="0.31033185058841894"/>
    <n v="-0.25169077531729256"/>
    <n v="-0.4320635943206419"/>
    <n v="7.399992398529065E-2"/>
    <n v="0.31091236543030476"/>
    <n v="5.1880999999975863E-4"/>
    <n v="0.70148513792316347"/>
    <n v="0.71386500724863744"/>
    <n v="0.71642792933959143"/>
    <n v="0.73462461342799212"/>
    <n v="-3.364860194483843"/>
    <n v="87.303254693460588"/>
    <n v="1.0226531952802098"/>
    <n v="-9.7501694129376038E-2"/>
    <n v="1.6271380000000037E-2"/>
    <n v="0.13710946999999987"/>
    <n v="0.11197239999999956"/>
  </r>
  <r>
    <x v="48"/>
    <x v="1"/>
    <x v="0"/>
    <x v="1"/>
    <x v="1"/>
    <x v="198"/>
    <n v="-7.9416100000016741"/>
    <n v="-0.72798947967652738"/>
    <n v="0.30537039707401181"/>
    <n v="-0.22681158055058992"/>
    <n v="-0.42678812444463254"/>
    <n v="7.8714018493775129E-2"/>
    <n v="0.30577959489630491"/>
    <n v="3.6570000000041292E-4"/>
    <n v="0.69357098326849886"/>
    <n v="0.70814845647233504"/>
    <n v="0.71774975719827161"/>
    <n v="0.72331020053801875"/>
    <n v="-3.3900644542513736"/>
    <n v="87.478367925651341"/>
    <n v="1.0118278374620315"/>
    <n v="-9.5011781147191776E-2"/>
    <n v="1.7271349999999942E-2"/>
    <n v="0.13316401999999977"/>
    <n v="0.11111532000000063"/>
  </r>
  <r>
    <x v="49"/>
    <x v="1"/>
    <x v="0"/>
    <x v="1"/>
    <x v="1"/>
    <x v="199"/>
    <n v="-8.4238899999982095"/>
    <n v="-0.70109452609712353"/>
    <n v="0.3003686827889096"/>
    <n v="-0.20231689275103104"/>
    <n v="-0.42157393592728853"/>
    <n v="8.3173716821405286E-2"/>
    <n v="0.30062364530747399"/>
    <n v="2.2786999999968582E-4"/>
    <n v="0.6855314548610103"/>
    <n v="0.70214064117000152"/>
    <n v="0.71835022901345358"/>
    <n v="0.7120316896384038"/>
    <n v="-3.4154588928963614"/>
    <n v="87.662625894538166"/>
    <n v="1.0008775527045044"/>
    <n v="-9.245097068174557E-2"/>
    <n v="1.8247381999999916E-2"/>
    <n v="0.12923481000000001"/>
    <n v="0.11013459000000017"/>
  </r>
  <r>
    <x v="50"/>
    <x v="1"/>
    <x v="0"/>
    <x v="1"/>
    <x v="1"/>
    <x v="200"/>
    <n v="-8.8919000000023516"/>
    <n v="-0.67516446456507007"/>
    <n v="0.29528303876984463"/>
    <n v="-0.17825754112661407"/>
    <n v="-0.41636514773308875"/>
    <n v="8.7350899315019603E-2"/>
    <n v="0.29540320782044382"/>
    <n v="1.0745000000034199E-4"/>
    <n v="0.67729863650709543"/>
    <n v="0.69577269783582807"/>
    <n v="0.71815334700449096"/>
    <n v="0.70072333025574807"/>
    <n v="-3.4409104062770646"/>
    <n v="87.855127290543635"/>
    <n v="0.98968363578313401"/>
    <n v="-8.9837929223324231E-2"/>
    <n v="1.918057899999992E-2"/>
    <n v="0.12532491000000062"/>
    <n v="0.10900915000000011"/>
  </r>
  <r>
    <x v="0"/>
    <x v="1"/>
    <x v="1"/>
    <x v="0"/>
    <x v="0"/>
    <x v="0"/>
    <n v="0"/>
    <n v="0"/>
    <n v="0"/>
    <n v="0"/>
    <n v="0"/>
    <n v="0"/>
    <n v="0"/>
    <n v="0"/>
    <n v="0"/>
    <n v="0"/>
    <n v="0"/>
    <n v="0"/>
    <n v="5.5122246639394135E-3"/>
    <n v="0.21461386473387023"/>
    <n v="0"/>
    <n v="0"/>
    <n v="0"/>
    <n v="0"/>
    <n v="0"/>
  </r>
  <r>
    <x v="1"/>
    <x v="1"/>
    <x v="1"/>
    <x v="0"/>
    <x v="0"/>
    <x v="1"/>
    <n v="45.529180000001361"/>
    <n v="-5.3466931905403747"/>
    <n v="0.10467704724699267"/>
    <n v="0.52941366892054198"/>
    <n v="-0.15692302812132519"/>
    <n v="-0.32081816817889353"/>
    <n v="0.15196110760333781"/>
    <n v="4.2364370000000373E-2"/>
    <n v="0.45947044451868368"/>
    <n v="0.12377493421649177"/>
    <n v="-0.5887247928415662"/>
    <n v="0.83368873229541229"/>
    <n v="0.26892141209957643"/>
    <n v="0.7383468991344122"/>
    <n v="4.0137346784407946E-2"/>
    <n v="-0.4176771041384808"/>
    <n v="-0.13597448000000067"/>
    <n v="0.12184155000000002"/>
    <n v="6.9087009999999754E-3"/>
  </r>
  <r>
    <x v="2"/>
    <x v="1"/>
    <x v="1"/>
    <x v="0"/>
    <x v="0"/>
    <x v="2"/>
    <n v="94.551980000000185"/>
    <n v="-8.4566234557495683"/>
    <n v="0.27159876933426919"/>
    <n v="0.98832233115206947"/>
    <n v="-0.4192242007269531"/>
    <n v="-0.46066527416701586"/>
    <n v="0.33031113669703682"/>
    <n v="5.2502449999999867E-2"/>
    <n v="0.59909242957212339"/>
    <n v="0.32237667889809529"/>
    <n v="-0.29773514295744485"/>
    <n v="0.94354665106861635"/>
    <n v="0.51454819614926706"/>
    <n v="1.589078849063652"/>
    <n v="0.2464023439991081"/>
    <n v="-0.42403068869787397"/>
    <n v="-0.27026569000000028"/>
    <n v="0.16531182999999991"/>
    <n v="0.12360578699999997"/>
  </r>
  <r>
    <x v="3"/>
    <x v="1"/>
    <x v="1"/>
    <x v="0"/>
    <x v="0"/>
    <x v="3"/>
    <n v="128.58480000000054"/>
    <n v="-10.167852981777115"/>
    <n v="0.43717935041152067"/>
    <n v="1.3157122433438806"/>
    <n v="-0.76463217609482603"/>
    <n v="-0.4705677449166723"/>
    <n v="0.48188925789760528"/>
    <n v="3.99038200000007E-2"/>
    <n v="0.80587331380124194"/>
    <n v="0.58705210646405881"/>
    <n v="6.1308259907622009E-2"/>
    <n v="1.1174141596386633"/>
    <n v="0.76411320248117587"/>
    <n v="2.7406496804606828"/>
    <n v="0.50974447968994419"/>
    <n v="-0.4638330893796172"/>
    <n v="-0.35344374000000067"/>
    <n v="0.15791261000000015"/>
    <n v="0.21914700999999998"/>
  </r>
  <r>
    <x v="4"/>
    <x v="1"/>
    <x v="1"/>
    <x v="0"/>
    <x v="0"/>
    <x v="4"/>
    <n v="141.17425999999978"/>
    <n v="-11.084222451728209"/>
    <n v="0.56933005215784593"/>
    <n v="1.5199462609099879"/>
    <n v="-1.1703590786987128"/>
    <n v="-0.42037773290229952"/>
    <n v="0.58827495000499663"/>
    <n v="1.6881900000000061E-2"/>
    <n v="1.0457645569045937"/>
    <n v="0.88347230935799104"/>
    <n v="0.45022300213146682"/>
    <n v="1.3254752933809399"/>
    <n v="1.0083796135189171"/>
    <n v="4.1427661076471667"/>
    <n v="0.80110037395944023"/>
    <n v="-0.5208828209402605"/>
    <n v="-0.37365933000000073"/>
    <n v="0.11802693999999996"/>
    <n v="0.27916925999999997"/>
  </r>
  <r>
    <x v="5"/>
    <x v="1"/>
    <x v="1"/>
    <x v="0"/>
    <x v="0"/>
    <x v="5"/>
    <n v="132.21933999999965"/>
    <n v="-11.559413572945221"/>
    <n v="0.65777667661552908"/>
    <n v="1.6311705726700376"/>
    <n v="-1.6096141037150957"/>
    <n v="-0.35275411790357536"/>
    <n v="0.65212862063415145"/>
    <n v="-5.0273000000003454E-3"/>
    <n v="1.2900298676783661"/>
    <n v="1.1793562634859978"/>
    <n v="0.83251564701616321"/>
    <n v="1.5400028027056534"/>
    <n v="1.2331957569775565"/>
    <n v="5.731909906369359"/>
    <n v="1.1032551313861161"/>
    <n v="-0.5709979574177293"/>
    <n v="-0.33579223000000102"/>
    <n v="5.6938569999999758E-2"/>
    <n v="0.30369664300000004"/>
  </r>
  <r>
    <x v="6"/>
    <x v="1"/>
    <x v="1"/>
    <x v="0"/>
    <x v="0"/>
    <x v="6"/>
    <n v="104.73660999999993"/>
    <n v="-11.793893344116469"/>
    <n v="0.70230540170115319"/>
    <n v="1.6820160137399176"/>
    <n v="-2.0547444860829045"/>
    <n v="-0.29078142504833648"/>
    <n v="0.67804019489829948"/>
    <n v="-2.1583990000000053E-2"/>
    <n v="1.5177758410636066"/>
    <n v="1.4506198246722057"/>
    <n v="1.1807082024150262"/>
    <n v="1.7403287057595973"/>
    <n v="1.426978213033081"/>
    <n v="7.4372803381304919"/>
    <n v="1.3971428533869235"/>
    <n v="-0.60266741011774094"/>
    <n v="-0.25154524000000067"/>
    <n v="-1.7391199999999829E-2"/>
    <n v="0.29700030709999997"/>
  </r>
  <r>
    <x v="7"/>
    <x v="1"/>
    <x v="1"/>
    <x v="0"/>
    <x v="0"/>
    <x v="7"/>
    <n v="63.033739999998943"/>
    <n v="-11.89937266436506"/>
    <n v="0.70649691918809321"/>
    <n v="1.7001968954474034"/>
    <n v="-2.4803831368546025"/>
    <n v="-0.24609363951229035"/>
    <n v="0.67003848514204378"/>
    <n v="-3.2421689999999337E-2"/>
    <n v="1.7145417213690672"/>
    <n v="1.6809092998707476"/>
    <n v="1.476141914332918"/>
    <n v="1.9121539575475577"/>
    <n v="1.5816378366821482"/>
    <n v="9.1846422994250396"/>
    <n v="1.6626564152129264"/>
    <n v="-0.61522420464634742"/>
    <n v="-0.13459964999999949"/>
    <n v="-9.8407499999999926E-2"/>
    <n v="0.26491409500000002"/>
  </r>
  <r>
    <x v="8"/>
    <x v="1"/>
    <x v="1"/>
    <x v="0"/>
    <x v="0"/>
    <x v="8"/>
    <n v="11.798240000000078"/>
    <n v="-11.936004647416599"/>
    <n v="0.67556540643665119"/>
    <n v="1.7066423597605684"/>
    <n v="-2.8651938474204885"/>
    <n v="-0.22351620515698167"/>
    <n v="0.63249685241357767"/>
    <n v="-3.8305529999999033E-2"/>
    <n v="1.8705619852154243"/>
    <n v="1.8598849960762109"/>
    <n v="1.7071779749141092"/>
    <n v="2.0459882780642591"/>
    <n v="1.6919075352600288"/>
    <n v="10.899699412115037"/>
    <n v="1.8816535695154624"/>
    <n v="-0.61353028358871464"/>
    <n v="1.507480000000061E-3"/>
    <n v="-0.18034695399999998"/>
    <n v="0.21408111799999988"/>
  </r>
  <r>
    <x v="9"/>
    <x v="1"/>
    <x v="1"/>
    <x v="0"/>
    <x v="0"/>
    <x v="9"/>
    <n v="-44.27722999999969"/>
    <n v="-11.933490940682445"/>
    <n v="0.61593174662037953"/>
    <n v="1.7160487629984233"/>
    <n v="-3.192481953000903"/>
    <n v="-0.22347538857709903"/>
    <n v="0.57093805385319829"/>
    <n v="-4.003732999999926E-2"/>
    <n v="1.9796311110707121"/>
    <n v="1.9818402502078447"/>
    <n v="1.8676685431037177"/>
    <n v="2.1360083078041825"/>
    <n v="1.7547625982789583"/>
    <n v="12.511649855437824"/>
    <n v="2.0401380295693938"/>
    <n v="-0.60404169961308929"/>
    <n v="0.14411999999999967"/>
    <n v="-0.25816433100000002"/>
    <n v="0.15155382999999992"/>
  </r>
  <r>
    <x v="10"/>
    <x v="1"/>
    <x v="1"/>
    <x v="0"/>
    <x v="0"/>
    <x v="10"/>
    <n v="-100.62696000000142"/>
    <n v="-11.903304374168433"/>
    <n v="0.53514217924188756"/>
    <n v="1.738189297598236"/>
    <n v="-3.4502083105878767"/>
    <n v="-0.2433512732770704"/>
    <n v="0.49218529570185243"/>
    <n v="-3.8253979999999799E-2"/>
    <n v="2.0385496341337017"/>
    <n v="2.0448495070024997"/>
    <n v="1.9559697024731149"/>
    <n v="2.1794379307082057"/>
    <n v="1.7692464382224937"/>
    <n v="13.956958560746813"/>
    <n v="2.1293519925872584"/>
    <n v="-0.59266523233917345"/>
    <n v="0.28165710000000005"/>
    <n v="-0.32764447319999995"/>
    <n v="8.439229999999999E-2"/>
  </r>
  <r>
    <x v="11"/>
    <x v="1"/>
    <x v="1"/>
    <x v="0"/>
    <x v="0"/>
    <x v="11"/>
    <n v="-152.89505999999892"/>
    <n v="-11.846151684932082"/>
    <n v="0.44161522784353924"/>
    <n v="1.7791719241139869"/>
    <n v="-3.6307816065905163"/>
    <n v="-0.27842051381434807"/>
    <n v="0.4040112988976885"/>
    <n v="-3.3519129999999564E-2"/>
    <n v="2.0468949072250275"/>
    <n v="2.0502443166747542"/>
    <n v="1.9742969739830363"/>
    <n v="2.1762327336201981"/>
    <n v="1.7365397188709775"/>
    <n v="15.183028335514104"/>
    <n v="2.1460868106190523"/>
    <n v="-0.58380936837849617"/>
    <n v="0.40374188999999994"/>
    <n v="-0.38555525330000001"/>
    <n v="1.9236790000000045E-2"/>
  </r>
  <r>
    <x v="12"/>
    <x v="1"/>
    <x v="1"/>
    <x v="0"/>
    <x v="0"/>
    <x v="12"/>
    <n v="-197.07079000000158"/>
    <n v="-11.756876732577137"/>
    <n v="0.344141122195607"/>
    <n v="1.8423518738706512"/>
    <n v="-3.7307975044105879"/>
    <n v="-0.32266729161553043"/>
    <n v="0.31451203687005158"/>
    <n v="-2.6438609999999974E-2"/>
    <n v="2.0068771036241717"/>
    <n v="2.0021924891073128"/>
    <n v="1.9281839854724092"/>
    <n v="2.1288443136491475"/>
    <n v="1.6600338263727421"/>
    <n v="16.151304444141125"/>
    <n v="2.0924785990244388"/>
    <n v="-0.58007257049256244"/>
    <n v="0.50146614"/>
    <n v="-0.42977223899999994"/>
    <n v="-3.8102669999999852E-2"/>
  </r>
  <r>
    <x v="13"/>
    <x v="1"/>
    <x v="1"/>
    <x v="0"/>
    <x v="0"/>
    <x v="13"/>
    <n v="-229.7031599999973"/>
    <n v="-11.627895730381066"/>
    <n v="0.25121450370106935"/>
    <n v="1.9288793897320966"/>
    <n v="-3.7507597466854392"/>
    <n v="-0.36954824266470787"/>
    <n v="0.23137621444402345"/>
    <n v="-1.7721260000000405E-2"/>
    <n v="1.9231270136210288"/>
    <n v="1.9072452028898956"/>
    <n v="1.8259048901628772"/>
    <n v="2.0419277422270676"/>
    <n v="1.5452447224072019"/>
    <n v="16.839372968858246"/>
    <n v="1.9754316897616864"/>
    <n v="-0.58225966589794398"/>
    <n v="0.56780821100000001"/>
    <n v="-0.45933021799999996"/>
    <n v="-8.2998749999999705E-2"/>
  </r>
  <r>
    <x v="14"/>
    <x v="1"/>
    <x v="1"/>
    <x v="0"/>
    <x v="0"/>
    <x v="14"/>
    <n v="-248.16895999999906"/>
    <n v="-11.451669172197832"/>
    <n v="0.17032287619855868"/>
    <n v="2.0379851989644093"/>
    <n v="-3.6947583585337784"/>
    <n v="-0.41270808548479199"/>
    <n v="0.1611756312614343"/>
    <n v="-8.1793600000004685E-3"/>
    <n v="1.8023492407298836"/>
    <n v="1.7738016562288017"/>
    <n v="1.6778160412536325"/>
    <n v="1.9219402387227857"/>
    <n v="1.3995029490009081"/>
    <n v="17.241749696123733"/>
    <n v="1.8057455528127209"/>
    <n v="-0.58959481870878294"/>
    <n v="0.59811268500000003"/>
    <n v="-0.47437423899999998"/>
    <n v="-0.11227032999999997"/>
  </r>
  <r>
    <x v="15"/>
    <x v="1"/>
    <x v="1"/>
    <x v="0"/>
    <x v="0"/>
    <x v="15"/>
    <n v="-250.93528000000151"/>
    <n v="-11.222434692442462"/>
    <n v="0.10730481054432861"/>
    <n v="2.1671363599663929"/>
    <n v="-3.5700699996249363"/>
    <n v="-0.44660860147446302"/>
    <n v="0.10877706330263415"/>
    <n v="1.3176399999995092E-3"/>
    <n v="1.6528357302889818"/>
    <n v="1.6115082631354305"/>
    <n v="1.495637164550323"/>
    <n v="1.7766388136553957"/>
    <n v="1.2314397990847104"/>
    <n v="17.369260568201806"/>
    <n v="1.5970129668985811"/>
    <n v="-0.60008113190348489"/>
    <n v="0.59049372"/>
    <n v="-0.47600698999999985"/>
    <n v="-0.12433568999999992"/>
  </r>
  <r>
    <x v="16"/>
    <x v="1"/>
    <x v="1"/>
    <x v="0"/>
    <x v="0"/>
    <x v="16"/>
    <n v="-237.74669999999969"/>
    <n v="-10.93731222691947"/>
    <n v="6.5877254338664315E-2"/>
    <n v="2.3121823657510809"/>
    <n v="-3.3866571719417427"/>
    <n v="-0.46702383946317649"/>
    <n v="7.6953688636005602E-2"/>
    <n v="9.9200800000004419E-3"/>
    <n v="1.4838780828465126"/>
    <n v="1.4306290067082061"/>
    <n v="1.2917170000508849"/>
    <n v="1.6145223570040779"/>
    <n v="1.050345516468032"/>
    <n v="17.247136926502151"/>
    <n v="1.3643823016313172"/>
    <n v="-0.61096485565057534"/>
    <n v="0.54602881000000014"/>
    <n v="-0.46605476000000001"/>
    <n v="-0.1192406"/>
  </r>
  <r>
    <x v="17"/>
    <x v="1"/>
    <x v="1"/>
    <x v="0"/>
    <x v="0"/>
    <x v="17"/>
    <n v="-209.67828999999983"/>
    <n v="-10.596859437154471"/>
    <n v="4.7401283815684536E-2"/>
    <n v="2.4675740500923471"/>
    <n v="-3.1565644978424068"/>
    <n v="-0.47136066557026401"/>
    <n v="6.6249424674946766E-2"/>
    <n v="1.6888300000000855E-2"/>
    <n v="1.3051324994515223"/>
    <n v="1.2414361320531642"/>
    <n v="1.07833229583989"/>
    <n v="1.4442684815014095"/>
    <n v="0.86549254608390136"/>
    <n v="16.91211850850376"/>
    <n v="1.1233006522999744"/>
    <n v="-0.61924566197543163"/>
    <n v="0.46865388999999985"/>
    <n v="-0.44679272000000009"/>
    <n v="-9.8555999999999644E-2"/>
  </r>
  <r>
    <x v="18"/>
    <x v="1"/>
    <x v="1"/>
    <x v="0"/>
    <x v="0"/>
    <x v="18"/>
    <n v="-169.02513999999792"/>
    <n v="-10.205151884654462"/>
    <n v="5.0917600057753809E-2"/>
    <n v="2.626696075162549"/>
    <n v="-2.8932274758677878"/>
    <n v="-0.45877859581182623"/>
    <n v="7.5104110019075243E-2"/>
    <n v="2.1676760000000073E-2"/>
    <n v="1.125999219709839"/>
    <n v="1.0536612288730041"/>
    <n v="0.86705655813508198"/>
    <n v="1.2742134778557235"/>
    <n v="0.68551363833864176"/>
    <n v="16.408965365832962"/>
    <n v="0.88836020681817285"/>
    <n v="-0.62215629823860752"/>
    <n v="0.36473918"/>
    <n v="-0.42067518999999998"/>
    <n v="-6.5152010000000399E-2"/>
  </r>
  <r>
    <x v="19"/>
    <x v="1"/>
    <x v="1"/>
    <x v="0"/>
    <x v="0"/>
    <x v="19"/>
    <n v="-119.03699000000051"/>
    <n v="-9.7694752969935461"/>
    <n v="7.3436265338444606E-2"/>
    <n v="2.7823116180383689"/>
    <n v="-2.6107261498644396"/>
    <n v="-0.4301089251760537"/>
    <n v="0.10020785757960393"/>
    <n v="2.399387999999919E-2"/>
    <n v="0.95506974855661397"/>
    <n v="0.87603284538557702"/>
    <n v="0.66822792204690451"/>
    <n v="1.1119124528710334"/>
    <n v="0.51790086910785682"/>
    <n v="15.786794346835453"/>
    <n v="0.67235044554423418"/>
    <n v="-0.61754407794083477"/>
    <n v="0.24239734000000013"/>
    <n v="-0.39010833"/>
    <n v="-2.287026999999997E-2"/>
  </r>
  <r>
    <x v="20"/>
    <x v="1"/>
    <x v="1"/>
    <x v="0"/>
    <x v="0"/>
    <x v="20"/>
    <n v="-63.543149999997695"/>
    <n v="-9.2997248538170041"/>
    <n v="0.11042714533935349"/>
    <n v="2.9270857753158852"/>
    <n v="-2.3230248026021694"/>
    <n v="-0.38759873121478883"/>
    <n v="0.137015195705259"/>
    <n v="2.382484000000018E-2"/>
    <n v="0.79968160628016705"/>
    <n v="0.71591926066711942"/>
    <n v="0.49053160719920719"/>
    <n v="0.96379817607128437"/>
    <n v="0.36866141178015788"/>
    <n v="15.095606318318765"/>
    <n v="0.48558220676493402"/>
    <n v="-0.60410519514468852"/>
    <n v="0.1106311799999999"/>
    <n v="-0.35728674000000021"/>
    <n v="2.3870649999999799E-2"/>
  </r>
  <r>
    <x v="21"/>
    <x v="1"/>
    <x v="1"/>
    <x v="0"/>
    <x v="0"/>
    <x v="21"/>
    <n v="-6.5339199999980337"/>
    <n v="-8.8076123790969856"/>
    <n v="0.15642764156198474"/>
    <n v="3.0541322647027913"/>
    <n v="-2.0432446200401855"/>
    <n v="-0.3345284753290767"/>
    <n v="0.18033347387298448"/>
    <n v="2.1414059999999568E-2"/>
    <n v="0.66560503330270748"/>
    <n v="0.57907838790618449"/>
    <n v="0.34070720859822323"/>
    <n v="0.83494410139812736"/>
    <n v="0.24213476444316928"/>
    <n v="14.383268165923969"/>
    <n v="0.3355037685605966"/>
    <n v="-0.58145953789240368"/>
    <n v="-2.1546190000000173E-2"/>
    <n v="-0.3240982"/>
    <n v="7.0495780000000285E-2"/>
  </r>
  <r>
    <x v="22"/>
    <x v="1"/>
    <x v="1"/>
    <x v="0"/>
    <x v="0"/>
    <x v="22"/>
    <n v="48.231650000001537"/>
    <n v="-8.3057799444430138"/>
    <n v="0.20568133382998788"/>
    <n v="3.1575227695796571"/>
    <n v="-1.7830153460477338"/>
    <n v="-0.27476497609744133"/>
    <n v="0.22490689293392929"/>
    <n v="1.721391999999905E-2"/>
    <n v="0.55686597220825362"/>
    <n v="0.46951626479321273"/>
    <n v="0.22338223992501849"/>
    <n v="0.72893094410497739"/>
    <n v="0.14095541848717641"/>
    <n v="13.693105762896995"/>
    <n v="0.22659057315164155"/>
    <n v="-0.55008255748126844"/>
    <n v="-0.14589422999999985"/>
    <n v="-0.29208719"/>
    <n v="0.11268070000000005"/>
  </r>
  <r>
    <x v="23"/>
    <x v="1"/>
    <x v="1"/>
    <x v="0"/>
    <x v="0"/>
    <x v="23"/>
    <n v="97.537340000002587"/>
    <n v="-7.8069093991974592"/>
    <n v="0.25273142429638185"/>
    <n v="3.2327028054064399"/>
    <n v="-1.5519462760900993"/>
    <n v="-0.212311726686365"/>
    <n v="0.26593123524876194"/>
    <n v="1.1812719999999832E-2"/>
    <n v="0.4757006807149633"/>
    <n v="0.38944441428334642"/>
    <n v="0.14102822548640592"/>
    <n v="0.64780603512992752"/>
    <n v="6.6129814485305083E-2"/>
    <n v="13.062158989878947"/>
    <n v="0.16046123768438392"/>
    <n v="-0.51113426557145569"/>
    <n v="-0.25554188200000005"/>
    <n v="-0.26246121999999994"/>
    <n v="0.14671209000000004"/>
  </r>
  <r>
    <x v="24"/>
    <x v="1"/>
    <x v="1"/>
    <x v="0"/>
    <x v="0"/>
    <x v="24"/>
    <n v="138.91087000000334"/>
    <n v="-7.3229028672896153"/>
    <n v="0.29291097264227961"/>
    <n v="3.2767748863500312"/>
    <n v="-1.3572480327436964"/>
    <n v="-0.15091034231694556"/>
    <n v="0.29945719040840313"/>
    <n v="5.8554699999990856E-3"/>
    <n v="0.42262440577922611"/>
    <n v="0.33932970435504028"/>
    <n v="9.4030823172563949E-2"/>
    <n v="0.59212549300335926"/>
    <n v="1.7196760410209677E-2"/>
    <n v="12.520075525889474"/>
    <n v="0.13616161100966639"/>
    <n v="-0.46623435403823077"/>
    <n v="-0.34535619800000006"/>
    <n v="-0.23612248000000025"/>
    <n v="0.16977476000000005"/>
  </r>
  <r>
    <x v="25"/>
    <x v="1"/>
    <x v="1"/>
    <x v="0"/>
    <x v="0"/>
    <x v="25"/>
    <n v="170.7109100000016"/>
    <n v="-6.8641932350750112"/>
    <n v="0.32269345905773239"/>
    <n v="3.2886266656985574"/>
    <n v="-1.20352341095884"/>
    <n v="-9.3731918214123855E-2"/>
    <n v="0.32265857453261937"/>
    <n v="-3.1120000000550707E-5"/>
    <n v="0.39659129604165955"/>
    <n v="0.31802564107166198"/>
    <n v="8.0860128442261647E-2"/>
    <n v="0.56106709950032307"/>
    <n v="-7.5617489884827194E-3"/>
    <n v="12.088568885217876"/>
    <n v="0.15055724778125779"/>
    <n v="-0.41722892016408109"/>
    <n v="-0.41208523900000005"/>
    <n v="-0.21370895999999995"/>
    <n v="0.18014303000000004"/>
  </r>
  <r>
    <x v="26"/>
    <x v="1"/>
    <x v="1"/>
    <x v="0"/>
    <x v="0"/>
    <x v="26"/>
    <n v="192.11603999999716"/>
    <n v="-6.439225640674195"/>
    <n v="0.33988404976217357"/>
    <n v="3.268902585816158"/>
    <n v="-1.0927317254051383"/>
    <n v="-4.3180844958112807E-2"/>
    <n v="0.33395088739911483"/>
    <n v="-5.3028500000010248E-3"/>
    <n v="0.39522356634873468"/>
    <n v="0.32297288148741554"/>
    <n v="9.8324534833538202E-2"/>
    <n v="0.55260276107071959"/>
    <n v="-1.0878824728410841E-2"/>
    <n v="11.781349491605164"/>
    <n v="0.19878395269261606"/>
    <n v="-0.365984167638711"/>
    <n v="-0.45430959000000004"/>
    <n v="-0.19563344000000008"/>
    <n v="0.17725880999999999"/>
  </r>
  <r>
    <x v="27"/>
    <x v="1"/>
    <x v="1"/>
    <x v="0"/>
    <x v="0"/>
    <x v="27"/>
    <n v="203.04236999999921"/>
    <n v="-6.0541330531458932"/>
    <n v="0.34364803485182893"/>
    <n v="3.2198324305636961"/>
    <n v="-1.0243170113469757"/>
    <n v="-8.1666449368578142E-4"/>
    <n v="0.33296460057274935"/>
    <n v="-9.5461899999996214E-3"/>
    <n v="0.41508499935756227"/>
    <n v="0.35045605459689266"/>
    <n v="0.14189034985891968"/>
    <n v="0.56371596061801643"/>
    <n v="3.7486413005938246E-3"/>
    <n v="11.604429343612965"/>
    <n v="0.27471707379371768"/>
    <n v="-0.31423031231300191"/>
    <n v="-0.47225296800000005"/>
    <n v="-0.18211304000000009"/>
    <n v="0.16168821000000014"/>
  </r>
  <r>
    <x v="28"/>
    <x v="1"/>
    <x v="1"/>
    <x v="0"/>
    <x v="0"/>
    <x v="28"/>
    <n v="204.01887999999963"/>
    <n v="-5.7126097287045869"/>
    <n v="0.33439105461590124"/>
    <n v="3.1449450605710583"/>
    <n v="-0.99547734647337238"/>
    <n v="3.2616035145105471E-2"/>
    <n v="0.32039206695226863"/>
    <n v="-1.2507259999999798E-2"/>
    <n v="0.45197720227159177"/>
    <n v="0.39590079444700166"/>
    <n v="0.20604336769207698"/>
    <n v="0.590651405527165"/>
    <n v="3.2312232153874909E-2"/>
    <n v="11.556715606812308"/>
    <n v="0.37143118989126922"/>
    <n v="-0.26346082812036542"/>
    <n v="-0.46750497300000005"/>
    <n v="-0.17318634000000002"/>
    <n v="0.1349639100000001"/>
  </r>
  <r>
    <x v="29"/>
    <x v="1"/>
    <x v="1"/>
    <x v="0"/>
    <x v="0"/>
    <x v="29"/>
    <n v="196.04543000000194"/>
    <n v="-5.4159678258543948"/>
    <n v="0.31352286450030409"/>
    <n v="3.0487050593152709"/>
    <n v="-1.0015443443949668"/>
    <n v="5.7073657360073859E-2"/>
    <n v="0.29774221533505063"/>
    <n v="-1.4099260000000058E-2"/>
    <n v="0.50123996673709925"/>
    <n v="0.45419245110849271"/>
    <n v="0.28467208617661832"/>
    <n v="0.62918017093662737"/>
    <n v="7.0533966626684652E-2"/>
    <n v="11.63081925395093"/>
    <n v="0.48163153699407601"/>
    <n v="-0.21488647579881448"/>
    <n v="-0.4427031600000001"/>
    <n v="-0.16871978999999995"/>
    <n v="9.9337940000000097E-2"/>
  </r>
  <r>
    <x v="30"/>
    <x v="1"/>
    <x v="1"/>
    <x v="0"/>
    <x v="0"/>
    <x v="30"/>
    <n v="180.45251999999891"/>
    <n v="-5.1633457945162604"/>
    <n v="0.28315080376526414"/>
    <n v="2.9361153924214678"/>
    <n v="-1.0364340481299528"/>
    <n v="7.3047956509886269E-2"/>
    <n v="0.26704870822029658"/>
    <n v="-1.4388290000000303E-2"/>
    <n v="0.55803974065296025"/>
    <n v="0.5199976375338089"/>
    <n v="0.37144826645187923"/>
    <n v="0.67486550909017229"/>
    <n v="0.11409259734593835"/>
    <n v="11.81402100078024"/>
    <n v="0.59804437318540238"/>
    <n v="-0.16943006618351797"/>
    <n v="-0.40121139999999988"/>
    <n v="-0.16840815000000003"/>
    <n v="5.7484780000000013E-2"/>
  </r>
  <r>
    <x v="31"/>
    <x v="1"/>
    <x v="1"/>
    <x v="0"/>
    <x v="0"/>
    <x v="31"/>
    <n v="158.77442000000156"/>
    <n v="-4.9520268593925554"/>
    <n v="0.24575405334270606"/>
    <n v="2.8123295871473442"/>
    <n v="-1.0931324895094074"/>
    <n v="8.1384525588390488E-2"/>
    <n v="0.23058122732395603"/>
    <n v="-1.3560989999999995E-2"/>
    <n v="0.61763293103223038"/>
    <n v="0.58807029177418979"/>
    <n v="0.46018586904799097"/>
    <n v="0.72331508425851343"/>
    <n v="0.15882870662196069"/>
    <n v="12.089349822682482"/>
    <n v="0.71375897529144527"/>
    <n v="-0.12775253768522177"/>
    <n v="-0.34682057000000011"/>
    <n v="-0.17177533300000003"/>
    <n v="1.2200839999999824E-2"/>
  </r>
  <r>
    <x v="32"/>
    <x v="1"/>
    <x v="1"/>
    <x v="0"/>
    <x v="0"/>
    <x v="32"/>
    <n v="132.64162000000215"/>
    <n v="-4.7778226205053791"/>
    <n v="0.20388724842499428"/>
    <n v="2.6823099187704535"/>
    <n v="-1.1641785759722079"/>
    <n v="8.3116485431888876E-2"/>
    <n v="0.1905989074434844"/>
    <n v="-1.1880320000000333E-2"/>
    <n v="0.6755955006318759"/>
    <n v="0.65352581662265763"/>
    <n v="0.54515852874925663"/>
    <n v="0.7704073172120296"/>
    <n v="0.20092468318551049"/>
    <n v="12.436735756165419"/>
    <n v="0.82251505969364036"/>
    <n v="-9.0292325079643909E-2"/>
    <n v="-0.28348739000000001"/>
    <n v="-0.17818285999999986"/>
    <n v="-3.3857340000000014E-2"/>
  </r>
  <r>
    <x v="33"/>
    <x v="1"/>
    <x v="1"/>
    <x v="0"/>
    <x v="0"/>
    <x v="33"/>
    <n v="103.69391999999789"/>
    <n v="-4.6354792321214422"/>
    <n v="0.15994875926674812"/>
    <n v="2.5505580349627799"/>
    <n v="-1.2421157733641941"/>
    <n v="7.9335378215095176E-2"/>
    <n v="0.14917227563355784"/>
    <n v="-9.6381799999989415E-3"/>
    <n v="0.72801217456195388"/>
    <n v="0.7120699284334675"/>
    <n v="0.62136252158868643"/>
    <n v="0.81248190827174493"/>
    <n v="0.23705560708382478"/>
    <n v="12.834201511470145"/>
    <n v="0.91893457215705965"/>
    <n v="-5.7306845895144232E-2"/>
    <n v="-0.21511886999999991"/>
    <n v="-0.18685077000000008"/>
    <n v="-7.836701999999994E-2"/>
  </r>
  <r>
    <x v="34"/>
    <x v="1"/>
    <x v="1"/>
    <x v="0"/>
    <x v="0"/>
    <x v="34"/>
    <n v="73.512640000000829"/>
    <n v="-4.5190750543338654"/>
    <n v="0.11603012607432905"/>
    <n v="2.4209296801629421"/>
    <n v="-1.3198891879785624"/>
    <n v="7.110835067676291E-2"/>
    <n v="0.10808010206053709"/>
    <n v="-7.1130799999999383E-3"/>
    <n v="0.77162271906823232"/>
    <n v="0.76017319792696103"/>
    <n v="0.68471485911965058"/>
    <n v="0.84648878736428568"/>
    <n v="0.26450809862577085"/>
    <n v="13.259055880701464"/>
    <n v="0.99869445442180016"/>
    <n v="-2.8908472251343298E-2"/>
    <n v="-0.14540246999999989"/>
    <n v="-0.19689353000000004"/>
    <n v="-0.11945310000000021"/>
  </r>
  <r>
    <x v="35"/>
    <x v="1"/>
    <x v="1"/>
    <x v="0"/>
    <x v="0"/>
    <x v="35"/>
    <n v="43.568290000002889"/>
    <n v="-4.4223862432519967"/>
    <n v="7.384644404762053E-2"/>
    <n v="2.2965325050425367"/>
    <n v="-1.391172716400646"/>
    <n v="5.9439378303149937E-2"/>
    <n v="6.8775037018498075E-2"/>
    <n v="-4.5394000000004153E-3"/>
    <n v="0.80392173246777165"/>
    <n v="0.79518727033474068"/>
    <n v="0.7321826229304218"/>
    <n v="0.87009123673091882"/>
    <n v="0.28126416144580446"/>
    <n v="13.689048348050425"/>
    <n v="1.05863944143334"/>
    <n v="-5.0890030963146593E-3"/>
    <n v="-7.7678099999999889E-2"/>
    <n v="-0.20736990999999996"/>
    <n v="-0.15572680999999983"/>
  </r>
  <r>
    <x v="36"/>
    <x v="1"/>
    <x v="1"/>
    <x v="0"/>
    <x v="0"/>
    <x v="36"/>
    <n v="15.180130000000645"/>
    <n v="-4.3392113383667885"/>
    <n v="3.4731323031400585E-2"/>
    <n v="2.1796954611995156"/>
    <n v="-1.4506203283919938"/>
    <n v="4.5262771982201855E-2"/>
    <n v="3.2396020716962681E-2"/>
    <n v="-2.0912200000000603E-3"/>
    <n v="0.82321490289649635"/>
    <n v="0.81540152780055219"/>
    <n v="0.76184244622896635"/>
    <n v="0.88172277704390289"/>
    <n v="0.28604811615760006"/>
    <n v="14.103439029964093"/>
    <n v="1.0968375106361394"/>
    <n v="1.4266813057606242E-2"/>
    <n v="-1.4844699999999947E-2"/>
    <n v="-0.21734261000000005"/>
    <n v="-0.18626638999999987"/>
  </r>
  <r>
    <x v="37"/>
    <x v="1"/>
    <x v="1"/>
    <x v="0"/>
    <x v="0"/>
    <x v="37"/>
    <n v="-10.51622000000134"/>
    <n v="-4.2636495276648478"/>
    <n v="-3.2645406166098567E-4"/>
    <n v="2.0719915364037167"/>
    <n v="-1.4940374697833048"/>
    <n v="2.9453536061985197E-2"/>
    <n v="-1.929859026805758E-4"/>
    <n v="1.1959000000005826E-4"/>
    <n v="0.82863078351875785"/>
    <n v="0.82004400505015784"/>
    <n v="0.77287469145541632"/>
    <n v="0.88059829871722783"/>
    <n v="0.27833491058044668"/>
    <n v="14.483936976422251"/>
    <n v="1.1125752241730735"/>
    <n v="2.9377060572199909E-2"/>
    <n v="4.0705926999999933E-2"/>
    <n v="-0.22594094000000006"/>
    <n v="-0.21056162999999983"/>
  </r>
  <r>
    <x v="38"/>
    <x v="1"/>
    <x v="1"/>
    <x v="0"/>
    <x v="0"/>
    <x v="38"/>
    <n v="-32.595369999999093"/>
    <n v="-4.1903325069962083"/>
    <n v="-3.0629629294520733E-2"/>
    <n v="1.9742957398161565"/>
    <n v="-1.5184765887019336"/>
    <n v="1.2840415686055096E-2"/>
    <n v="-2.8359534123723051E-2"/>
    <n v="2.0344099999999865E-3"/>
    <n v="0.82009268248741662"/>
    <n v="0.80923152797556241"/>
    <n v="0.76550006523552483"/>
    <n v="0.8666842160636623"/>
    <n v="0.25832027406575975"/>
    <n v="14.815461336787571"/>
    <n v="1.1062981410081774"/>
    <n v="4.0561410290362865E-2"/>
    <n v="8.713427200000004E-2"/>
    <n v="-0.23241921000000004"/>
    <n v="-0.22844419000000032"/>
  </r>
  <r>
    <x v="39"/>
    <x v="1"/>
    <x v="1"/>
    <x v="0"/>
    <x v="0"/>
    <x v="39"/>
    <n v="-50.363970000002155"/>
    <n v="-4.1146118788286223"/>
    <n v="-5.5720991129970532E-2"/>
    <n v="1.8868618411263416"/>
    <n v="-1.5222613325002188"/>
    <n v="-3.7901198415624116E-3"/>
    <n v="-5.1668585049158278E-2"/>
    <n v="3.6327299999999729E-3"/>
    <n v="0.79825366050487734"/>
    <n v="0.78387821013801151"/>
    <n v="0.74086685119867379"/>
    <n v="0.84063167050847376"/>
    <n v="0.22685511053004426"/>
    <n v="15.086687883540971"/>
    <n v="1.0794985457332817"/>
    <n v="4.8239485088763523E-2"/>
    <n v="0.123180553"/>
    <n v="-0.23620380999999982"/>
    <n v="-0.24001952000000035"/>
  </r>
  <r>
    <x v="40"/>
    <x v="1"/>
    <x v="1"/>
    <x v="0"/>
    <x v="0"/>
    <x v="40"/>
    <n v="-63.37695999999778"/>
    <n v="-4.0327001535379932"/>
    <n v="-7.5346195924697046E-2"/>
    <n v="1.8094070642523219"/>
    <n v="-1.5049472736560099"/>
    <n v="-1.9703987709751569E-2"/>
    <n v="-6.9863943664938422E-2"/>
    <n v="4.9158899999998673E-3"/>
    <n v="0.76440057043356546"/>
    <n v="0.74557083697022186"/>
    <n v="0.70090230340014159"/>
    <n v="0.80367947986896837"/>
    <n v="0.18534768885147823"/>
    <n v="15.290354468682366"/>
    <n v="1.0345586797009476"/>
    <n v="5.2921342867962018E-2"/>
    <n v="0.14817520140000001"/>
    <n v="-0.23692364999999999"/>
    <n v="-0.24560985999999979"/>
  </r>
  <r>
    <x v="41"/>
    <x v="1"/>
    <x v="1"/>
    <x v="0"/>
    <x v="0"/>
    <x v="41"/>
    <n v="-71.446359999998094"/>
    <n v="-3.9417656926515665"/>
    <n v="-8.9434267279431268E-2"/>
    <n v="1.741198439095859"/>
    <n v="-1.4672276177487231"/>
    <n v="-3.4241228252585021E-2"/>
    <n v="-8.2863267275523622E-2"/>
    <n v="5.8934400000001941E-3"/>
    <n v="0.72033287247856848"/>
    <n v="0.69642220063794724"/>
    <n v="0.64813762103483885"/>
    <n v="0.75753570948531301"/>
    <n v="0.13564225568194477"/>
    <n v="15.423317904970135"/>
    <n v="0.97455727562882899"/>
    <n v="5.5190282908212929E-2"/>
    <n v="0.16203039300000002"/>
    <n v="-0.23442182000000011"/>
    <n v="-0.24571056999999966"/>
  </r>
  <r>
    <x v="42"/>
    <x v="1"/>
    <x v="1"/>
    <x v="0"/>
    <x v="0"/>
    <x v="42"/>
    <n v="-74.639920000001439"/>
    <n v="-3.8399779759392016"/>
    <n v="-9.8091855810245043E-2"/>
    <n v="1.6811392166043104"/>
    <n v="-1.4107934617757834"/>
    <n v="-4.6847189475973661E-2"/>
    <n v="-9.0762610353012363E-2"/>
    <n v="6.5746099999999807E-3"/>
    <n v="0.66822518857787561"/>
    <n v="0.63891088407954655"/>
    <n v="0.58552015569843796"/>
    <n v="0.70424429781483777"/>
    <n v="7.9880716410229979E-2"/>
    <n v="15.486370950869999"/>
    <n v="0.90305255197506984"/>
    <n v="5.5675479407235606E-2"/>
    <n v="0.16520976300000001"/>
    <n v="-0.22874818000000013"/>
    <n v="-0.24095749999999971"/>
  </r>
  <r>
    <x v="43"/>
    <x v="1"/>
    <x v="1"/>
    <x v="0"/>
    <x v="0"/>
    <x v="43"/>
    <n v="-73.267509999997856"/>
    <n v="-3.7265043461315206"/>
    <n v="-0.10160417751405859"/>
    <n v="1.6278559470688236"/>
    <n v="-1.3381587518260685"/>
    <n v="-5.7103976852912464E-2"/>
    <n v="-9.3840549921830885E-2"/>
    <n v="6.9651199999992697E-3"/>
    <n v="0.61048097859000006"/>
    <n v="0.57571908480633649"/>
    <n v="0.5162229420366371"/>
    <n v="0.64604708555786594"/>
    <n v="2.0358654704999424E-2"/>
    <n v="15.483846961863312"/>
    <n v="0.82385424890618619"/>
    <n v="5.5017608410645735E-2"/>
    <n v="0.15867402199999997"/>
    <n v="-0.22013607999999996"/>
    <n v="-0.23210031000000034"/>
  </r>
  <r>
    <x v="44"/>
    <x v="1"/>
    <x v="1"/>
    <x v="0"/>
    <x v="0"/>
    <x v="44"/>
    <n v="-67.854070000001229"/>
    <n v="-3.6014571024392095"/>
    <n v="-0.1004336919127824"/>
    <n v="1.5797870455333651"/>
    <n v="-1.2524610556008731"/>
    <n v="-6.4755151268180988E-2"/>
    <n v="-9.2554975791248051E-2"/>
    <n v="7.068770000000224E-3"/>
    <n v="0.54958626088796869"/>
    <n v="0.50957600444165863"/>
    <n v="0.44346185056525211"/>
    <n v="0.58524827666031065"/>
    <n v="-4.0615165779034346E-2"/>
    <n v="15.423054292822957"/>
    <n v="0.7407997360478813"/>
    <n v="5.3831316444075128E-2"/>
    <n v="0.14380230600000007"/>
    <n v="-0.20896723999999992"/>
    <n v="-0.21997667000000012"/>
  </r>
  <r>
    <x v="45"/>
    <x v="1"/>
    <x v="1"/>
    <x v="0"/>
    <x v="0"/>
    <x v="45"/>
    <n v="-59.099620000000868"/>
    <n v="-3.4657971837708246"/>
    <n v="-9.5209069302637506E-2"/>
    <n v="1.5352734841340254"/>
    <n v="-1.1572478997397662"/>
    <n v="-6.9719131508161336E-2"/>
    <n v="-8.7527733029624244E-2"/>
    <n v="6.8917799999998475E-3"/>
    <n v="0.4879721267138093"/>
    <n v="0.44311472731282109"/>
    <n v="0.37032955166818038"/>
    <n v="0.52408890757089654"/>
    <n v="-0.10084649013261116"/>
    <n v="15.313592295931411"/>
    <n v="0.65754771582715588"/>
    <n v="5.2667608936585175E-2"/>
    <n v="0.12229208599999998"/>
    <n v="-0.19573014"/>
    <n v="-0.20548312000000027"/>
  </r>
  <r>
    <x v="46"/>
    <x v="1"/>
    <x v="1"/>
    <x v="0"/>
    <x v="0"/>
    <x v="46"/>
    <n v="-47.828830000005837"/>
    <n v="-3.3211993060256573"/>
    <n v="-8.6701007432321564E-2"/>
    <n v="1.4926498937027466"/>
    <n v="-1.0562620470071726"/>
    <n v="-7.2086974221341471E-2"/>
    <n v="-7.9514037922012726E-2"/>
    <n v="6.448030000000271E-3"/>
    <n v="0.42789238317444411"/>
    <n v="0.37874791958654175"/>
    <n v="0.29965116613772658"/>
    <n v="0.46463692041678328"/>
    <n v="-0.15836410676682844"/>
    <n v="15.166604127337813"/>
    <n v="0.57740092395206499"/>
    <n v="5.1984226731160987E-2"/>
    <n v="9.6043603000000019E-2"/>
    <n v="-0.18097670000000005"/>
    <n v="-0.18954086000000023"/>
  </r>
  <r>
    <x v="47"/>
    <x v="1"/>
    <x v="1"/>
    <x v="0"/>
    <x v="0"/>
    <x v="47"/>
    <n v="-34.934199999996054"/>
    <n v="-3.1698893216087431"/>
    <n v="-7.5783260821882248E-2"/>
    <n v="1.4503331719376344"/>
    <n v="-0.95323374522876536"/>
    <n v="-7.2104938604711233E-2"/>
    <n v="-6.9359076858677149E-2"/>
    <n v="5.763169999999096E-3"/>
    <n v="0.37132258588379319"/>
    <n v="0.31856839746753352"/>
    <n v="0.23386892505978807"/>
    <n v="0.40869746132610185"/>
    <n v="-0.21150371333297224"/>
    <n v="14.994020719548562"/>
    <n v="0.5031661471060378"/>
    <n v="5.2123156192762643E-2"/>
    <n v="6.7037162999999955E-2"/>
    <n v="-0.16528147999999993"/>
    <n v="-0.17305665000000026"/>
  </r>
  <r>
    <x v="48"/>
    <x v="1"/>
    <x v="1"/>
    <x v="0"/>
    <x v="0"/>
    <x v="48"/>
    <n v="-21.317580000002636"/>
    <n v="-3.0144643261381998"/>
    <n v="-6.3382299843606216E-2"/>
    <n v="1.4069040655987575"/>
    <n v="-0.85169212379977433"/>
    <n v="-7.0144252895665282E-2"/>
    <n v="-5.7945709373041776E-2"/>
    <n v="4.8767399999996575E-3"/>
    <n v="0.31988422349777945"/>
    <n v="0.2642746109122518"/>
    <n v="0.17495680480241749"/>
    <n v="0.35774632904963521"/>
    <n v="-0.25896478904007258"/>
    <n v="14.807843330295501"/>
    <n v="0.43705708438723789"/>
    <n v="5.3300977801007399E-2"/>
    <n v="3.7212806000000084E-2"/>
    <n v="-0.14920617999999997"/>
    <n v="-0.15688124000000012"/>
  </r>
  <r>
    <x v="49"/>
    <x v="1"/>
    <x v="1"/>
    <x v="0"/>
    <x v="0"/>
    <x v="49"/>
    <n v="-7.8352900000027148"/>
    <n v="-2.8577072433720208"/>
    <n v="-5.0421110886833542E-2"/>
    <n v="1.3611766205849474"/>
    <n v="-0.75480220433575829"/>
    <n v="-6.6661884466712173E-2"/>
    <n v="-4.6138298674314182E-2"/>
    <n v="3.841340000000637E-3"/>
    <n v="0.27479520881834585"/>
    <n v="0.2171239889091181"/>
    <n v="0.12436770849226786"/>
    <n v="0.31288691103532607"/>
    <n v="-0.29984089999699481"/>
    <n v="14.619503178137293"/>
    <n v="0.38064051993011994"/>
    <n v="5.56093735273544E-2"/>
    <n v="8.3615239999999466E-3"/>
    <n v="-0.13327127999999999"/>
    <n v="-0.14176880000000003"/>
  </r>
  <r>
    <x v="50"/>
    <x v="1"/>
    <x v="1"/>
    <x v="0"/>
    <x v="0"/>
    <x v="50"/>
    <n v="4.7489599999971688"/>
    <n v="-2.7024090687874369"/>
    <n v="-3.7762401293139902E-2"/>
    <n v="1.3122516860108124"/>
    <n v="-0.6652357422223476"/>
    <n v="-6.2157752626590401E-2"/>
    <n v="-3.4729831450541759E-2"/>
    <n v="2.7195399999999093E-3"/>
    <n v="0.23684739017055811"/>
    <n v="0.17791335739418823"/>
    <n v="8.3011862940529646E-2"/>
    <n v="0.2748306873907147"/>
    <n v="-0.33362493849554697"/>
    <n v="14.439324664963227"/>
    <n v="0.33482434788196791"/>
    <n v="5.9026130084771644E-2"/>
    <n v="-1.7964369999999997E-2"/>
    <n v="-0.11793489999999997"/>
    <n v="-0.12834134000000025"/>
  </r>
  <r>
    <x v="0"/>
    <x v="1"/>
    <x v="1"/>
    <x v="0"/>
    <x v="1"/>
    <x v="0"/>
    <n v="0"/>
    <n v="0"/>
    <n v="0"/>
    <n v="0"/>
    <n v="0"/>
    <n v="0"/>
    <n v="0"/>
    <n v="0"/>
    <n v="0"/>
    <n v="0"/>
    <n v="0"/>
    <n v="0"/>
    <n v="3.8736428717323079E-3"/>
    <n v="0.21921084285785319"/>
    <n v="0"/>
    <n v="0"/>
    <n v="0"/>
    <n v="0"/>
    <n v="0"/>
  </r>
  <r>
    <x v="1"/>
    <x v="1"/>
    <x v="1"/>
    <x v="0"/>
    <x v="1"/>
    <x v="51"/>
    <n v="51.239659999999276"/>
    <n v="-5.2875162557840198"/>
    <n v="0.11581858227627251"/>
    <n v="0.55643455974170308"/>
    <n v="-4.8595787731409157E-2"/>
    <n v="-0.32200200693651704"/>
    <n v="0.1683491096716061"/>
    <n v="4.7065620000000252E-2"/>
    <n v="0.46509211674199413"/>
    <n v="0.13073914985179957"/>
    <n v="-0.58046939728294555"/>
    <n v="0.83943067463683185"/>
    <n v="0.26920437914708106"/>
    <n v="0.76437603278298738"/>
    <n v="4.5500461883185572E-2"/>
    <n v="-0.42027025586850453"/>
    <n v="-0.15306476000000041"/>
    <n v="0.15155706999999996"/>
    <n v="2.2378615000000039E-2"/>
  </r>
  <r>
    <x v="2"/>
    <x v="1"/>
    <x v="1"/>
    <x v="0"/>
    <x v="1"/>
    <x v="52"/>
    <n v="114.55407999999807"/>
    <n v="-8.2873479554530718"/>
    <n v="0.31558777052997922"/>
    <n v="1.0770388110559637"/>
    <n v="-0.1327829833824401"/>
    <n v="-0.44843626829569327"/>
    <n v="0.38833952662282734"/>
    <n v="6.504732999999957E-2"/>
    <n v="0.62232882827724101"/>
    <n v="0.35142570106454496"/>
    <n v="-0.26280901319508665"/>
    <n v="0.96689039072768157"/>
    <n v="0.52356838821550067"/>
    <n v="1.6740686216036194"/>
    <n v="0.27140300878083501"/>
    <n v="-0.43335531574381081"/>
    <n v="-0.32863880999999956"/>
    <n v="0.24419021000000007"/>
    <n v="0.17636427300000007"/>
  </r>
  <r>
    <x v="3"/>
    <x v="1"/>
    <x v="1"/>
    <x v="0"/>
    <x v="1"/>
    <x v="53"/>
    <n v="172.63004000000001"/>
    <n v="-9.8379409698376552"/>
    <n v="0.54367770001553239"/>
    <n v="1.5006804174414912"/>
    <n v="-0.24869950064160262"/>
    <n v="-0.42362514992939637"/>
    <n v="0.61259756781426589"/>
    <n v="6.1480250000001124E-2"/>
    <n v="0.86516889396150987"/>
    <n v="0.66160340098910808"/>
    <n v="0.15197941388402914"/>
    <n v="1.1762448724393471"/>
    <n v="0.79079139234814466"/>
    <n v="2.9508091044104123"/>
    <n v="0.5796460569236217"/>
    <n v="-0.48331233295715315"/>
    <n v="-0.47937539000000029"/>
    <n v="0.30270860999999993"/>
    <n v="0.33421299400000004"/>
  </r>
  <r>
    <x v="4"/>
    <x v="1"/>
    <x v="1"/>
    <x v="0"/>
    <x v="1"/>
    <x v="54"/>
    <n v="218.97349000000031"/>
    <n v="-10.541097426246093"/>
    <n v="0.77276073188725647"/>
    <n v="1.8313116218812375"/>
    <n v="-0.39240541937479723"/>
    <n v="-0.31215603673904191"/>
    <n v="0.82560123197055191"/>
    <n v="4.7033550000000202E-2"/>
    <n v="1.165652220626856"/>
    <n v="1.0348060039533813"/>
    <n v="0.63600838878941079"/>
    <n v="1.443220769311071"/>
    <n v="1.0640702822416248"/>
    <n v="4.5799536183135814"/>
    <n v="0.95289075947200264"/>
    <n v="-0.55247094655894724"/>
    <n v="-0.59222995000000056"/>
    <n v="0.34279937999999976"/>
    <n v="0.48199361099999993"/>
  </r>
  <r>
    <x v="5"/>
    <x v="1"/>
    <x v="1"/>
    <x v="0"/>
    <x v="1"/>
    <x v="55"/>
    <n v="252.47559000000183"/>
    <n v="-10.751463448617804"/>
    <n v="0.993919379306063"/>
    <n v="2.0916676853816041"/>
    <n v="-0.55860126585043357"/>
    <n v="-0.15348480629464589"/>
    <n v="1.0299292090298451"/>
    <n v="3.1986879999999773E-2"/>
    <n v="1.5004245878989408"/>
    <n v="1.4455174331589271"/>
    <n v="1.1618041030188042"/>
    <n v="1.744843213073044"/>
    <n v="1.332148548120804"/>
    <n v="6.5392299391013653"/>
    <n v="1.3851398524344249"/>
    <n v="-0.61454815398153118"/>
    <n v="-0.66830516000000029"/>
    <n v="0.37218426000000004"/>
    <n v="0.61742347900000005"/>
  </r>
  <r>
    <x v="6"/>
    <x v="1"/>
    <x v="1"/>
    <x v="0"/>
    <x v="1"/>
    <x v="56"/>
    <n v="274.37218999999823"/>
    <n v="-10.675100253326731"/>
    <n v="1.205041690163644"/>
    <n v="2.3053562764188795"/>
    <n v="-0.74135427982896518"/>
    <n v="2.9804835107816174E-2"/>
    <n v="1.2273003693172635"/>
    <n v="1.973383000000023E-2"/>
    <n v="1.8529329864515942"/>
    <n v="1.8747104450282492"/>
    <n v="1.7087704768317113"/>
    <n v="2.0641050588198873"/>
    <n v="1.5864724475488146"/>
    <n v="8.8028466162796803"/>
    <n v="1.8669524691746098"/>
    <n v="-0.65555192806144857"/>
    <n v="-0.71351686999999997"/>
    <n v="0.39470188000000006"/>
    <n v="0.74018430700000004"/>
  </r>
  <r>
    <x v="7"/>
    <x v="1"/>
    <x v="1"/>
    <x v="0"/>
    <x v="1"/>
    <x v="57"/>
    <n v="286.58554000000004"/>
    <n v="-10.433770459572944"/>
    <n v="1.4050094748342845"/>
    <n v="2.4907996999686821"/>
    <n v="-0.93487369617850646"/>
    <n v="0.22390051501754993"/>
    <n v="1.4165429973332255"/>
    <n v="1.0206610000000615E-2"/>
    <n v="2.211700969806274"/>
    <n v="2.308904658023625"/>
    <n v="2.2623162623881976"/>
    <n v="2.3889982694596412"/>
    <n v="1.8216536603359978"/>
    <n v="11.34288952673459"/>
    <n v="2.3853481871519255"/>
    <n v="-0.67217413821415439"/>
    <n v="-0.7343159900000007"/>
    <n v="0.41256976000000023"/>
    <n v="0.84996478000000009"/>
  </r>
  <r>
    <x v="8"/>
    <x v="1"/>
    <x v="1"/>
    <x v="0"/>
    <x v="1"/>
    <x v="58"/>
    <n v="290.95098999999755"/>
    <n v="-10.101304842400172"/>
    <n v="1.5921420134499042"/>
    <n v="2.6603351462981983"/>
    <n v="-1.133915576921718"/>
    <n v="0.41951647853770702"/>
    <n v="1.595039364629347"/>
    <n v="2.559639999999419E-3"/>
    <n v="2.5683041622599267"/>
    <n v="2.7381219627029107"/>
    <n v="2.8115921348535799"/>
    <n v="2.7107002771862954"/>
    <n v="2.0342975333093483"/>
    <n v="14.129577859954413"/>
    <n v="2.926093258183271"/>
    <n v="-0.66668380803101002"/>
    <n v="-0.73608282000000025"/>
    <n v="0.42722570000000015"/>
    <n v="0.94644468999999998"/>
  </r>
  <r>
    <x v="9"/>
    <x v="1"/>
    <x v="1"/>
    <x v="0"/>
    <x v="1"/>
    <x v="59"/>
    <n v="288.96248999999807"/>
    <n v="-9.7236316531547082"/>
    <n v="1.7643880892080244"/>
    <n v="2.8212890507267163"/>
    <n v="-1.3338867007371413"/>
    <n v="0.61000700369744365"/>
    <n v="1.7600436754427573"/>
    <n v="-3.8317299999993115E-3"/>
    <n v="2.9159919646814858"/>
    <n v="3.1543440102290932"/>
    <n v="3.3477339880104928"/>
    <n v="3.0222352579183376"/>
    <n v="2.2219572376714014"/>
    <n v="17.131181296556996"/>
    <n v="3.4753545880799486"/>
    <n v="-0.64322345666438796"/>
    <n v="-0.7228541399999997"/>
    <n v="0.43958181000000041"/>
    <n v="1.0295080400000001"/>
  </r>
  <r>
    <x v="10"/>
    <x v="1"/>
    <x v="1"/>
    <x v="0"/>
    <x v="1"/>
    <x v="60"/>
    <n v="281.77088999999978"/>
    <n v="-9.329791277576982"/>
    <n v="1.9198255720878077"/>
    <n v="2.9774742045580505"/>
    <n v="-1.5308008952240382"/>
    <n v="0.79054935004252425"/>
    <n v="1.9093103132182376"/>
    <n v="-9.2602499999996923E-3"/>
    <n v="3.2489728281531294"/>
    <n v="3.5506828734867879"/>
    <n v="3.8629050742711835"/>
    <n v="3.317754006441187"/>
    <n v="2.3825909099781661"/>
    <n v="20.313954453640235"/>
    <n v="4.0204778429922206"/>
    <n v="-0.60593394992183303"/>
    <n v="-0.69758311999999911"/>
    <n v="0.4501155"/>
    <n v="1.0993126900000001"/>
  </r>
  <r>
    <x v="11"/>
    <x v="1"/>
    <x v="1"/>
    <x v="0"/>
    <x v="1"/>
    <x v="61"/>
    <n v="270.271090000002"/>
    <n v="-8.9381137215200361"/>
    <n v="2.0569637332134905"/>
    <n v="3.1304626535812119"/>
    <n v="-1.7211984694967319"/>
    <n v="0.9577263391133739"/>
    <n v="2.0412324149149619"/>
    <n v="-1.3834360000000712E-2"/>
    <n v="3.5621420223183042"/>
    <n v="3.9210759270354556"/>
    <n v="4.3499428275834751"/>
    <n v="3.5922525636469693"/>
    <n v="2.5144276133489463"/>
    <n v="23.642231826942517"/>
    <n v="4.5502327466488746"/>
    <n v="-0.55828945376033001"/>
    <n v="-0.66250851999999916"/>
    <n v="0.45895068000000039"/>
    <n v="1.1562302800000004"/>
  </r>
  <r>
    <x v="12"/>
    <x v="1"/>
    <x v="1"/>
    <x v="0"/>
    <x v="1"/>
    <x v="62"/>
    <n v="255.19585000000006"/>
    <n v="-8.5598346187869883"/>
    <n v="2.1748101024585909"/>
    <n v="3.2804710402016157"/>
    <n v="-1.902082141607242"/>
    <n v="1.1092391781908351"/>
    <n v="2.154756315761297"/>
    <n v="-1.761297999999939E-2"/>
    <n v="3.8510426703533884"/>
    <n v="4.2602657998575877"/>
    <n v="4.8023478066871128"/>
    <n v="3.8415241867514771"/>
    <n v="2.6160500512739659"/>
    <n v="27.078719293036691"/>
    <n v="5.0548346139358769"/>
    <n v="-0.50303046676493102"/>
    <n v="-0.61945689999999964"/>
    <n v="0.46595759999999986"/>
    <n v="1.2007400499999998"/>
  </r>
  <r>
    <x v="13"/>
    <x v="1"/>
    <x v="1"/>
    <x v="0"/>
    <x v="1"/>
    <x v="63"/>
    <n v="237.18583000000217"/>
    <n v="-8.2013431770044054"/>
    <n v="2.2728036767459159"/>
    <n v="3.426908349982094"/>
    <n v="-2.0708835713946994"/>
    <n v="1.243672066690138"/>
    <n v="2.2492466368874364"/>
    <n v="-2.0666400000000917E-2"/>
    <n v="4.1119176148025849"/>
    <n v="4.5638934514254936"/>
    <n v="5.2144193164860742"/>
    <n v="4.062202584824659"/>
    <n v="2.6865441110262012"/>
    <n v="30.584980307724873"/>
    <n v="5.5259108814241786"/>
    <n v="-0.4423133735434015"/>
    <n v="-0.57003692999999944"/>
    <n v="0.47085978000000056"/>
    <n v="1.2333383500000004"/>
  </r>
  <r>
    <x v="14"/>
    <x v="1"/>
    <x v="1"/>
    <x v="0"/>
    <x v="1"/>
    <x v="64"/>
    <n v="216.83218999999735"/>
    <n v="-7.8656709748629261"/>
    <n v="2.3507184948306614"/>
    <n v="3.5686954168624885"/>
    <n v="-2.2254541828612973"/>
    <n v="1.3602969981428403"/>
    <n v="2.3243815881739627"/>
    <n v="-2.3082229999998871E-2"/>
    <n v="4.3417769347652513"/>
    <n v="4.8286031933087115"/>
    <n v="5.581420243477675"/>
    <n v="4.2518115774661913"/>
    <n v="2.7256241082753485"/>
    <n v="34.122089429473078"/>
    <n v="5.9564782024412066"/>
    <n v="-0.37788876417637063"/>
    <n v="-0.51574290999999994"/>
    <n v="0.47333069999999988"/>
    <n v="1.25449075"/>
  </r>
  <r>
    <x v="15"/>
    <x v="1"/>
    <x v="1"/>
    <x v="0"/>
    <x v="1"/>
    <x v="65"/>
    <n v="194.69834000000264"/>
    <n v="-7.5535320076225325"/>
    <n v="2.4085886507251297"/>
    <n v="3.7044551738576459"/>
    <n v="-2.3640683089875547"/>
    <n v="1.4589204576251458"/>
    <n v="2.3800987857394595"/>
    <n v="-2.4948519999999641E-2"/>
    <n v="4.5384438382033432"/>
    <n v="5.0521110014496218"/>
    <n v="5.8997127613371836"/>
    <n v="4.40878596708556"/>
    <n v="2.7336982671623211"/>
    <n v="37.651410075996729"/>
    <n v="6.3409385740934132"/>
    <n v="-0.31123912180121005"/>
    <n v="-0.45799895000000063"/>
    <n v="0.47306992999999953"/>
    <n v="1.2646272399999998"/>
  </r>
  <r>
    <x v="16"/>
    <x v="1"/>
    <x v="1"/>
    <x v="0"/>
    <x v="1"/>
    <x v="66"/>
    <n v="171.32812000000195"/>
    <n v="-7.2640760711702885"/>
    <n v="2.4466750473531196"/>
    <n v="3.8326400977084285"/>
    <n v="-2.4854275950239368"/>
    <n v="1.5397682965304416"/>
    <n v="2.4165810312533953"/>
    <n v="-2.6336150000000336E-2"/>
    <n v="4.7005682068461452"/>
    <n v="5.2332194811603561"/>
    <n v="6.1668409355015941"/>
    <n v="4.5324510540565299"/>
    <n v="2.7118688241042133"/>
    <n v="41.13544782744691"/>
    <n v="6.6750817784939853"/>
    <n v="-0.24366312458338202"/>
    <n v="-0.39816957000000031"/>
    <n v="0.46985558999999982"/>
    <n v="1.26416741"/>
  </r>
  <r>
    <x v="17"/>
    <x v="1"/>
    <x v="1"/>
    <x v="0"/>
    <x v="1"/>
    <x v="67"/>
    <n v="147.24658999999883"/>
    <n v="-6.9954475727425862"/>
    <n v="2.4654607661568351"/>
    <n v="3.9516322021417194"/>
    <n v="-2.5886590669387921"/>
    <n v="1.6034000374222979"/>
    <n v="2.434262132278131"/>
    <n v="-2.7290269999999395E-2"/>
    <n v="4.8276083089802579"/>
    <n v="5.3717789855605602"/>
    <n v="6.3815556450973032"/>
    <n v="4.6229628268057432"/>
    <n v="2.6618762861540857"/>
    <n v="44.538717538380567"/>
    <n v="6.9560785968720396"/>
    <n v="-0.17631642142670323"/>
    <n v="-0.33755385999999987"/>
    <n v="0.46357461999999988"/>
    <n v="1.2535585099999995"/>
  </r>
  <r>
    <x v="18"/>
    <x v="1"/>
    <x v="1"/>
    <x v="0"/>
    <x v="1"/>
    <x v="68"/>
    <n v="122.95628000000215"/>
    <n v="-6.74520487537057"/>
    <n v="2.4656606473454357"/>
    <n v="4.0598304492155846"/>
    <n v="-2.6733028222941102"/>
    <n v="1.6506418491911923"/>
    <n v="2.4338341270141228"/>
    <n v="-2.7831909999999349E-2"/>
    <n v="4.9197831522248547"/>
    <n v="5.4686033078682694"/>
    <n v="6.5437844855255722"/>
    <n v="4.681217483068445"/>
    <n v="2.5860041385274091"/>
    <n v="47.828566227612356"/>
    <n v="7.1824508985208757"/>
    <n v="-0.11022262048069331"/>
    <n v="-0.27737150000000033"/>
    <n v="0.45423514999999998"/>
    <n v="1.2333114799999996"/>
  </r>
  <r>
    <x v="19"/>
    <x v="1"/>
    <x v="1"/>
    <x v="0"/>
    <x v="1"/>
    <x v="69"/>
    <n v="98.93090999999913"/>
    <n v="-6.5106368493357047"/>
    <n v="2.4482266990401236"/>
    <n v="4.155727520220398"/>
    <n v="-2.739288871007961"/>
    <n v="1.6825288246817394"/>
    <n v="2.4162437351545218"/>
    <n v="-2.7966399999999891E-2"/>
    <n v="4.978001996382897"/>
    <n v="5.5253501440789998"/>
    <n v="6.6545545179326648"/>
    <n v="4.7087389149918391"/>
    <n v="2.4869595073210737"/>
    <n v="50.975895209285468"/>
    <n v="7.3540113977383914"/>
    <n v="-4.6268261179849279E-2"/>
    <n v="-0.21874424000000031"/>
    <n v="0.44196537000000047"/>
    <n v="1.2040244800000008"/>
  </r>
  <r>
    <x v="20"/>
    <x v="1"/>
    <x v="1"/>
    <x v="0"/>
    <x v="1"/>
    <x v="70"/>
    <n v="75.607100000001083"/>
    <n v="-6.2890009012238064"/>
    <n v="2.4143392852311152"/>
    <n v="4.2379745802249902"/>
    <n v="-2.7869034949188798"/>
    <n v="1.700251103649042"/>
    <n v="2.3826708278715802"/>
    <n v="-2.7694400000000119E-2"/>
    <n v="5.0037767664883326"/>
    <n v="5.5443788411232209"/>
    <n v="6.7158763416908851"/>
    <n v="4.7075544867621666"/>
    <n v="2.3677438336696444"/>
    <n v="53.955738730975611"/>
    <n v="7.4717698544479294"/>
    <n v="1.480916720058012E-2"/>
    <n v="-0.16267503000000003"/>
    <n v="0.42700294"/>
    <n v="1.1663897900000004"/>
  </r>
  <r>
    <x v="21"/>
    <x v="1"/>
    <x v="1"/>
    <x v="0"/>
    <x v="1"/>
    <x v="71"/>
    <n v="53.374909999998636"/>
    <n v="-6.077698842942092"/>
    <n v="2.365381008628753"/>
    <n v="4.3054308494698379"/>
    <n v="-2.8167477941641206"/>
    <n v="1.7051013079210087"/>
    <n v="2.3344903244407522"/>
    <n v="-2.7021929999999916E-2"/>
    <n v="4.9991224495574249"/>
    <n v="5.5285963635474777"/>
    <n v="6.7305999750929324"/>
    <n v="4.6800684698489858"/>
    <n v="2.2315240047287244"/>
    <n v="56.747667874546707"/>
    <n v="7.5378073575314897"/>
    <n v="7.2432171985226113E-2"/>
    <n v="-0.11002615999999993"/>
    <n v="0.40967828999999983"/>
    <n v="1.1211844200000007"/>
  </r>
  <r>
    <x v="22"/>
    <x v="1"/>
    <x v="1"/>
    <x v="0"/>
    <x v="1"/>
    <x v="72"/>
    <n v="32.568030000002182"/>
    <n v="-5.8744016721437253"/>
    <n v="2.3028939769866863"/>
    <n v="4.3571974312426986"/>
    <n v="-2.8296905139167938"/>
    <n v="1.6984240459670064"/>
    <n v="2.2732224772641363"/>
    <n v="-2.5967109999999738E-2"/>
    <n v="4.9664515971139522"/>
    <n v="5.4813018702625449"/>
    <n v="6.7022523515025467"/>
    <n v="4.6289386392729392"/>
    <n v="2.0815122736952629"/>
    <n v="59.336006686431951"/>
    <n v="7.5551232759999865"/>
    <n v="0.12618909895296682"/>
    <n v="-6.1498990000000142E-2"/>
    <n v="0.39039425000000005"/>
    <n v="1.0692492699999994"/>
  </r>
  <r>
    <x v="23"/>
    <x v="1"/>
    <x v="1"/>
    <x v="0"/>
    <x v="1"/>
    <x v="73"/>
    <n v="13.454969999998866"/>
    <n v="-5.6771307743947119"/>
    <n v="2.2285282341781176"/>
    <n v="4.3926357301871999"/>
    <n v="-2.8268180552647237"/>
    <n v="1.6815699307529686"/>
    <n v="2.2004784336479677"/>
    <n v="-2.4562570000000172E-2"/>
    <n v="4.9084676491360835"/>
    <n v="5.4060386442186026"/>
    <n v="6.6348671988848862"/>
    <n v="4.5569642798945376"/>
    <n v="1.9208603585364692"/>
    <n v="61.709863553856351"/>
    <n v="7.5274618067044941"/>
    <n v="0.17583205926592349"/>
    <n v="-1.7617860000000013E-2"/>
    <n v="0.36960373999999974"/>
    <n v="1.0114628399999992"/>
  </r>
  <r>
    <x v="24"/>
    <x v="1"/>
    <x v="1"/>
    <x v="0"/>
    <x v="1"/>
    <x v="74"/>
    <n v="-3.7677000000003318"/>
    <n v="-5.4843016884180695"/>
    <n v="2.143988447051659"/>
    <n v="4.4113732155616203"/>
    <n v="-2.8093840804132131"/>
    <n v="1.6558571363510355"/>
    <n v="2.1179092398556643"/>
    <n v="-2.2853860000000836E-2"/>
    <n v="4.8280617541190285"/>
    <n v="5.3064599244130317"/>
    <n v="6.5328165323127019"/>
    <n v="4.466987194241745"/>
    <n v="1.7525711236823005"/>
    <n v="63.862993181112039"/>
    <n v="7.4591277079945728"/>
    <n v="0.22126577724108643"/>
    <n v="2.1278979999999822E-2"/>
    <n v="0.34778685999999959"/>
    <n v="0.94871671999999929"/>
  </r>
  <r>
    <x v="25"/>
    <x v="1"/>
    <x v="1"/>
    <x v="0"/>
    <x v="1"/>
    <x v="75"/>
    <n v="-18.978540000000066"/>
    <n v="-5.294734902159048"/>
    <n v="2.0509873765525377"/>
    <n v="4.4132992708658225"/>
    <n v="-2.7787607033795791"/>
    <n v="1.6225424110919429"/>
    <n v="2.027163691693068"/>
    <n v="-2.0895059999999355E-2"/>
    <n v="4.7282171466972889"/>
    <n v="5.1862133206932004"/>
    <n v="6.4006519129301997"/>
    <n v="4.3618096141028406"/>
    <n v="1.5794296837540855"/>
    <n v="65.793514646888582"/>
    <n v="7.3547999751420567"/>
    <n v="0.26252879877219915"/>
    <n v="5.5039159999999837E-2"/>
    <n v="0.32542836999999991"/>
    <n v="0.8818974199999996"/>
  </r>
  <r>
    <x v="26"/>
    <x v="1"/>
    <x v="1"/>
    <x v="0"/>
    <x v="1"/>
    <x v="76"/>
    <n v="-32.130510000002687"/>
    <n v="-5.107639619728765"/>
    <n v="1.9512097281239482"/>
    <n v="4.3985539636571591"/>
    <n v="-2.7363931076628045"/>
    <n v="1.5828033891800874"/>
    <n v="1.9298597805535334"/>
    <n v="-1.8743190000000687E-2"/>
    <n v="4.6119242558366746"/>
    <n v="5.0488463625308011"/>
    <n v="6.2429622082856406"/>
    <n v="4.2441296132582185"/>
    <n v="1.4039539340711782"/>
    <n v="67.503517738241797"/>
    <n v="7.2193537421636256"/>
    <n v="0.29976830611788685"/>
    <n v="8.3685730000000041E-2"/>
    <n v="0.30299639000000017"/>
    <n v="0.81187778999999982"/>
  </r>
  <r>
    <x v="27"/>
    <x v="1"/>
    <x v="1"/>
    <x v="0"/>
    <x v="1"/>
    <x v="77"/>
    <n v="-43.245539999999892"/>
    <n v="-4.9225755895385248"/>
    <n v="1.8462898109756098"/>
    <n v="4.3675125551564609"/>
    <n v="-2.6837587479009439"/>
    <n v="1.5377313873037091"/>
    <n v="1.8275679877368445"/>
    <n v="-1.6452730000000859E-2"/>
    <n v="4.4821084540074052"/>
    <n v="4.8977337981640945"/>
    <n v="6.0642520941080358"/>
    <n v="4.1164929416564133"/>
    <n v="1.2283642416703211"/>
    <n v="68.998590812467214"/>
    <n v="7.0576980744609275"/>
    <n v="0.33321163882049643"/>
    <n v="0.10739688999999997"/>
    <n v="0.28092315000000023"/>
    <n v="0.73951715000000062"/>
  </r>
  <r>
    <x v="28"/>
    <x v="1"/>
    <x v="1"/>
    <x v="0"/>
    <x v="1"/>
    <x v="78"/>
    <n v="-52.405490000001009"/>
    <n v="-4.7393996598525163"/>
    <n v="1.7378004551223736"/>
    <n v="4.3207666376925191"/>
    <n v="-2.6223324585395336"/>
    <n v="1.4883330612089019"/>
    <n v="1.7218052370737924"/>
    <n v="-1.4071949999999722E-2"/>
    <n v="4.3415716076858457"/>
    <n v="4.7360258259909527"/>
    <n v="5.8688435436772046"/>
    <n v="3.9812610006721316"/>
    <n v="1.0545690281121844"/>
    <n v="70.287302678773628"/>
    <n v="6.8746361446161863"/>
    <n v="0.36313739395674727"/>
    <n v="0.12647764000000006"/>
    <n v="0.25958889000000029"/>
    <n v="0.66566774000000051"/>
  </r>
  <r>
    <x v="29"/>
    <x v="1"/>
    <x v="1"/>
    <x v="0"/>
    <x v="1"/>
    <x v="79"/>
    <n v="-59.739839999998367"/>
    <n v="-4.5582032070709317"/>
    <n v="1.6272506649727791"/>
    <n v="4.2591027104418977"/>
    <n v="-2.553556538963786"/>
    <n v="1.435538129237357"/>
    <n v="1.6140331160781507"/>
    <n v="-1.1641280000000698E-2"/>
    <n v="4.1929481090579035"/>
    <n v="4.5666150032661834"/>
    <n v="5.6608008699930323"/>
    <n v="3.8405919836118851"/>
    <n v="0.88416601423808583"/>
    <n v="71.380667914300318"/>
    <n v="6.6747520953496453"/>
    <n v="0.38984886819131148"/>
    <n v="0.14132643999999994"/>
    <n v="0.23930954999999976"/>
    <n v="0.5911826300000006"/>
  </r>
  <r>
    <x v="30"/>
    <x v="1"/>
    <x v="1"/>
    <x v="0"/>
    <x v="1"/>
    <x v="80"/>
    <n v="-65.41197000000102"/>
    <n v="-4.379247241592255"/>
    <n v="1.5160850991691177"/>
    <n v="4.1834783751601323"/>
    <n v="-2.4788177535943756"/>
    <n v="1.3802094474001825"/>
    <n v="1.5056581997103136"/>
    <n v="-9.1940900000003767E-3"/>
    <n v="4.0386729466791893"/>
    <n v="4.3921191843779184"/>
    <n v="5.4438779413185978"/>
    <n v="3.6964330692655478"/>
    <n v="0.7184535910972123"/>
    <n v="72.291617655356546"/>
    <n v="6.4623256723559619"/>
    <n v="0.41365169649283384"/>
    <n v="0.15240033999999997"/>
    <n v="0.22032904999999964"/>
    <n v="0.51692055999999975"/>
  </r>
  <r>
    <x v="31"/>
    <x v="1"/>
    <x v="1"/>
    <x v="0"/>
    <x v="1"/>
    <x v="81"/>
    <n v="-69.605400000000373"/>
    <n v="-4.2029004464587345"/>
    <n v="1.4056822257997759"/>
    <n v="4.0949953249412419"/>
    <n v="-2.3994295169144308"/>
    <n v="1.3231526270984117"/>
    <n v="1.3980256232090982"/>
    <n v="-6.7591199999994522E-3"/>
    <n v="3.8809633591086801"/>
    <n v="4.2148770080175701"/>
    <n v="5.2214851712720112"/>
    <n v="3.5505217309183434"/>
    <n v="0.55845189672458773"/>
    <n v="73.034497014602096"/>
    <n v="6.2412743407479043"/>
    <n v="0.434837224859419"/>
    <n v="0.16018218000000001"/>
    <n v="0.20281667000000003"/>
    <n v="0.44374327000000002"/>
  </r>
  <r>
    <x v="32"/>
    <x v="1"/>
    <x v="1"/>
    <x v="0"/>
    <x v="1"/>
    <x v="82"/>
    <n v="-72.511210000000574"/>
    <n v="-4.0295851784084231"/>
    <n v="1.2973451280639869"/>
    <n v="3.9948696913288506"/>
    <n v="-2.3166188041573776"/>
    <n v="1.2651222570199794"/>
    <n v="1.2924076248790772"/>
    <n v="-4.3637200000001819E-3"/>
    <n v="3.7218083794728019"/>
    <n v="4.0369525931674533"/>
    <n v="4.9966729402212362"/>
    <n v="3.4043918933510442"/>
    <n v="0.4049288954359076"/>
    <n v="73.624598863492679"/>
    <n v="6.0151192761648042"/>
    <n v="0.45367177604411779"/>
    <n v="0.16515287000000001"/>
    <n v="0.18686924999999979"/>
    <n v="0.3725036000000001"/>
  </r>
  <r>
    <x v="33"/>
    <x v="1"/>
    <x v="1"/>
    <x v="0"/>
    <x v="1"/>
    <x v="83"/>
    <n v="-74.318150000002788"/>
    <n v="-3.8597341869950896"/>
    <n v="1.1922855236512708"/>
    <n v="3.8843993699896773"/>
    <n v="-2.2315175093969519"/>
    <n v="1.2068232352342223"/>
    <n v="1.1899832447004099"/>
    <n v="-2.0370199999994454E-3"/>
    <n v="3.5629671263218254"/>
    <n v="3.8601463590169915"/>
    <n v="4.7721278999405481"/>
    <n v="3.2593841419688463"/>
    <n v="0.25842923038981169"/>
    <n v="74.077743471152772"/>
    <n v="5.7869720519501122"/>
    <n v="0.47039151388563738"/>
    <n v="0.16777069000000008"/>
    <n v="0.17251797999999971"/>
    <n v="0.30402388999999985"/>
  </r>
  <r>
    <x v="34"/>
    <x v="1"/>
    <x v="1"/>
    <x v="0"/>
    <x v="1"/>
    <x v="84"/>
    <n v="-75.205539999999019"/>
    <n v="-3.6937596899675906"/>
    <n v="1.0916005435184006"/>
    <n v="3.7649298975334089"/>
    <n v="-2.1451579736357695"/>
    <n v="1.1489070703511128"/>
    <n v="1.0918130443454688"/>
    <n v="1.881900000000325E-4"/>
    <n v="3.4059726079359143"/>
    <n v="3.6860092241010056"/>
    <n v="4.5501788586906233"/>
    <n v="3.1166572911856427"/>
    <n v="0.11930363427667956"/>
    <n v="74.409906662152594"/>
    <n v="5.5595365090110205"/>
    <n v="0.48520156876494802"/>
    <n v="0.16845855699999993"/>
    <n v="0.15973867000000017"/>
    <n v="0.23906751999999976"/>
  </r>
  <r>
    <x v="35"/>
    <x v="1"/>
    <x v="1"/>
    <x v="0"/>
    <x v="1"/>
    <x v="85"/>
    <n v="-75.339489999998477"/>
    <n v="-3.5320345231679928"/>
    <n v="0.99624463881484715"/>
    <n v="3.6378196749002001"/>
    <n v="-2.0584698687061587"/>
    <n v="1.0919640608622494"/>
    <n v="0.99881043370657618"/>
    <n v="2.2750199999990728E-3"/>
    <n v="3.2521391413787848"/>
    <n v="3.5158580644501614"/>
    <n v="4.332808784338793"/>
    <n v="2.9772008438669673"/>
    <n v="-1.226193379564311E-2"/>
    <n v="74.636898572057049"/>
    <n v="5.3351216781921229"/>
    <n v="0.49827854222694867"/>
    <n v="0.167598515"/>
    <n v="0.14846416000000029"/>
    <n v="0.17830693000000022"/>
  </r>
  <r>
    <x v="36"/>
    <x v="1"/>
    <x v="1"/>
    <x v="0"/>
    <x v="1"/>
    <x v="86"/>
    <n v="-74.871729999998934"/>
    <n v="-3.3748836760860712"/>
    <n v="0.90700250739668142"/>
    <n v="3.5044070660879223"/>
    <n v="-1.9722806152146055"/>
    <n v="1.036512776051346"/>
    <n v="0.91171634176270278"/>
    <n v="4.1839000000001847E-3"/>
    <n v="3.1025711429508496"/>
    <n v="3.350790703343165"/>
    <n v="4.1216708621831133"/>
    <n v="2.8418451721446747"/>
    <n v="-0.13622036455778197"/>
    <n v="74.774088801850922"/>
    <n v="5.115661208426836"/>
    <n v="0.50977447739617432"/>
    <n v="0.16553246099999999"/>
    <n v="0.13859750000000046"/>
    <n v="0.1222932000000003"/>
  </r>
  <r>
    <x v="37"/>
    <x v="1"/>
    <x v="1"/>
    <x v="0"/>
    <x v="1"/>
    <x v="87"/>
    <n v="-73.940539999999601"/>
    <n v="-3.222584152916641"/>
    <n v="0.82446512250147208"/>
    <n v="3.3659805443197355"/>
    <n v="-1.8873151752368256"/>
    <n v="0.98298934488538769"/>
    <n v="0.83107863772882151"/>
    <n v="5.8753899999999804E-3"/>
    <n v="2.9581738949060465"/>
    <n v="3.1917001689797608"/>
    <n v="3.9181064436933699"/>
    <n v="2.7112715284479005"/>
    <n v="-0.25264080230481545"/>
    <n v="74.836178410941216"/>
    <n v="4.9027359699407524"/>
    <n v="0.51982129940741917"/>
    <n v="0.16256672799999997"/>
    <n v="0.13002454999999982"/>
    <n v="7.1431609999999396E-2"/>
  </r>
  <r>
    <x v="38"/>
    <x v="1"/>
    <x v="1"/>
    <x v="0"/>
    <x v="1"/>
    <x v="88"/>
    <n v="-72.67268999999942"/>
    <n v="-3.0753697234466637"/>
    <n v="0.74901537627172221"/>
    <n v="3.2237540663164532"/>
    <n v="-1.80419872613935"/>
    <n v="0.93173853450223554"/>
    <n v="0.75724119115232469"/>
    <n v="7.3138999999999843E-3"/>
    <n v="2.8196640820717045"/>
    <n v="3.0392875639022598"/>
    <n v="3.7231637743631252"/>
    <n v="2.5860204854823543"/>
    <n v="-0.36168792300850239"/>
    <n v="74.837013059076014"/>
    <n v="4.6975976723911073"/>
    <n v="0.52853499939962134"/>
    <n v="0.15897862899999998"/>
    <n v="0.12262472999999968"/>
    <n v="2.5966280000000452E-2"/>
  </r>
  <r>
    <x v="39"/>
    <x v="1"/>
    <x v="1"/>
    <x v="0"/>
    <x v="1"/>
    <x v="89"/>
    <n v="-71.18579999999929"/>
    <n v="-2.933438208758421"/>
    <n v="0.68082379825755712"/>
    <n v="3.078848708742532"/>
    <n v="-1.7234584112270523"/>
    <n v="0.88300845746742684"/>
    <n v="0.69034397562051097"/>
    <n v="8.4713599999994282E-3"/>
    <n v="2.6875804294672845"/>
    <n v="2.8940727745056405"/>
    <n v="3.5376172617942458"/>
    <n v="2.4664984949372082"/>
    <n v="-0.46360584330756849"/>
    <n v="74.789434924104654"/>
    <n v="4.5011922166833918"/>
    <n v="0.5360183389725437"/>
    <n v="0.155022774"/>
    <n v="0.11627932999999993"/>
    <n v="-1.4023519999999817E-2"/>
  </r>
  <r>
    <x v="40"/>
    <x v="1"/>
    <x v="1"/>
    <x v="0"/>
    <x v="1"/>
    <x v="90"/>
    <n v="-69.590200000002369"/>
    <n v="-2.7969585018693954"/>
    <n v="0.61985596028046874"/>
    <n v="2.9322809305587949"/>
    <n v="-1.6455261302890545"/>
    <n v="0.83694984951416806"/>
    <n v="0.63033425387928332"/>
    <n v="9.3304499999988244E-3"/>
    <n v="2.5622945435124445"/>
    <n v="2.7564061971615761"/>
    <n v="3.3619865339401978"/>
    <n v="2.3529844386808163"/>
    <n v="-0.55870429681117439"/>
    <n v="74.705169789636656"/>
    <n v="4.3141820038475664"/>
    <n v="0.54236286201845285"/>
    <n v="0.15093577799999996"/>
    <n v="0.1108769399999994"/>
    <n v="-4.8616120000000151E-2"/>
  </r>
  <r>
    <x v="41"/>
    <x v="1"/>
    <x v="1"/>
    <x v="0"/>
    <x v="1"/>
    <x v="91"/>
    <n v="-67.989799999999377"/>
    <n v="-2.6660759825237412"/>
    <n v="0.5658919090167247"/>
    <n v="2.7849575186789322"/>
    <n v="-1.5707418427182929"/>
    <n v="0.79362030953813445"/>
    <n v="0.57698771225871415"/>
    <n v="9.8864899999995259E-3"/>
    <n v="2.4440214531919136"/>
    <n v="2.6264779938151461"/>
    <n v="3.1965561554106792"/>
    <n v="2.2456363035521454"/>
    <n v="-0.64734636921963684"/>
    <n v="74.594747548558288"/>
    <n v="4.1369679695112627"/>
    <n v="0.54764935311704122"/>
    <n v="0.14693846199999999"/>
    <n v="0.10631613999999984"/>
    <n v="-7.8029820000000139E-2"/>
  </r>
  <r>
    <x v="42"/>
    <x v="1"/>
    <x v="1"/>
    <x v="0"/>
    <x v="1"/>
    <x v="92"/>
    <n v="-66.482090000001335"/>
    <n v="-2.5409152131114054"/>
    <n v="0.51855349410991902"/>
    <n v="2.6376762902961648"/>
    <n v="-1.499356914118144"/>
    <n v="0.75299306451397374"/>
    <n v="0.52993654735233875"/>
    <n v="1.0148050000000075E-2"/>
    <n v="2.3328312050651334"/>
    <n v="2.5043300310988226"/>
    <n v="3.0413956262624664"/>
    <n v="2.1444974202328826"/>
    <n v="-0.72993879506784154"/>
    <n v="74.467452207848055"/>
    <n v="3.969711134853382"/>
    <n v="0.55194773846427569"/>
    <n v="0.14323538200000002"/>
    <n v="0.10250601000000026"/>
    <n v="-0.10259806999999982"/>
  </r>
  <r>
    <x v="43"/>
    <x v="1"/>
    <x v="1"/>
    <x v="0"/>
    <x v="1"/>
    <x v="93"/>
    <n v="-65.156910000001517"/>
    <n v="-2.4215797714856158"/>
    <n v="0.47733803704659294"/>
    <n v="2.4911314851166821"/>
    <n v="-1.4315383736258847"/>
    <n v="0.71496924902627601"/>
    <n v="0.48870209610707427"/>
    <n v="1.0135990000000039E-2"/>
    <n v="2.2286609801310142"/>
    <n v="2.3898666385995027"/>
    <n v="2.8963800705671838"/>
    <n v="2.0495046715792498"/>
    <n v="-0.80692278032914455"/>
    <n v="74.331299608721764"/>
    <n v="3.8123548329121348"/>
    <n v="0.55531680974343356"/>
    <n v="0.14001208399999995"/>
    <n v="9.9364799999999975E-2"/>
    <n v="-0.12274009000000016"/>
  </r>
  <r>
    <x v="44"/>
    <x v="1"/>
    <x v="1"/>
    <x v="0"/>
    <x v="1"/>
    <x v="94"/>
    <n v="-64.094599999996717"/>
    <n v="-2.3081497402350659"/>
    <n v="0.44165497125767672"/>
    <n v="2.3459222623984255"/>
    <n v="-1.367373880389755"/>
    <n v="0.67939239130816453"/>
    <n v="0.4527290453963051"/>
    <n v="9.8814399999994085E-3"/>
    <n v="2.1313282394584521"/>
    <n v="2.2828682987903637"/>
    <n v="2.7612129584758671"/>
    <n v="1.9604968880237994"/>
    <n v="-0.87876554379219263"/>
    <n v="74.193040113969346"/>
    <n v="3.6646478022027473"/>
    <n v="0.55780291166620533"/>
    <n v="0.13743082600000001"/>
    <n v="9.6817780000000436E-2"/>
    <n v="-0.13893037999999983"/>
  </r>
  <r>
    <x v="45"/>
    <x v="1"/>
    <x v="1"/>
    <x v="0"/>
    <x v="1"/>
    <x v="95"/>
    <n v="-63.363780000003317"/>
    <n v="-2.200677410884877"/>
    <n v="0.41086138058206156"/>
    <n v="2.2025629848703598"/>
    <n v="-1.3068771479695207"/>
    <n v="0.64606390645989276"/>
    <n v="0.42141773693922246"/>
    <n v="9.4228799999998558E-3"/>
    <n v="2.0405450042052742"/>
    <n v="2.1830054124127862"/>
    <n v="2.6354480344245923"/>
    <n v="1.8772257673915105"/>
    <n v="-0.94595185983219476"/>
    <n v="74.058185268013915"/>
    <n v="3.5261685754613969"/>
    <n v="0.55944035060127018"/>
    <n v="0.13562570399999996"/>
    <n v="9.4794709999999893E-2"/>
    <n v="-0.15166967000000003"/>
  </r>
  <r>
    <x v="46"/>
    <x v="1"/>
    <x v="1"/>
    <x v="0"/>
    <x v="1"/>
    <x v="96"/>
    <n v="-63.019049999995332"/>
    <n v="-2.0991824488822863"/>
    <n v="0.38429472306664714"/>
    <n v="2.0614939428061696"/>
    <n v="-1.2499948001865047"/>
    <n v="0.61475787268292503"/>
    <n v="0.39415358398513511"/>
    <n v="8.8029899999994554E-3"/>
    <n v="1.9559328045620994"/>
    <n v="2.0898544675413522"/>
    <n v="2.5185136695366594"/>
    <n v="1.7993665628512678"/>
    <n v="-1.0089764117813371"/>
    <n v="73.931053215342786"/>
    <n v="3.3963511307091743"/>
    <n v="0.56025177239882318"/>
    <n v="0.13469813099999994"/>
    <n v="9.3227469999999923E-2"/>
    <n v="-0.1614594200000003"/>
  </r>
  <r>
    <x v="47"/>
    <x v="1"/>
    <x v="1"/>
    <x v="0"/>
    <x v="1"/>
    <x v="97"/>
    <n v="-63.099229999999807"/>
    <n v="-2.0036468909653493"/>
    <n v="0.36130102501661376"/>
    <n v="1.9230915183568564"/>
    <n v="-1.1966129036820372"/>
    <n v="0.58523480325234356"/>
    <n v="0.37033157837595976"/>
    <n v="8.0654499999999185E-3"/>
    <n v="1.8770387614109874"/>
    <n v="2.0029143806672423"/>
    <n v="2.4097374721609333"/>
    <n v="1.7265316577366407"/>
    <n v="-1.0683353059501632"/>
    <n v="73.814834131126176"/>
    <n v="3.2745115636480193"/>
    <n v="0.5602476348310681"/>
    <n v="0.13471339799999998"/>
    <n v="9.2048290000000532E-2"/>
    <n v="-0.16878119999999969"/>
  </r>
  <r>
    <x v="48"/>
    <x v="1"/>
    <x v="1"/>
    <x v="0"/>
    <x v="1"/>
    <x v="98"/>
    <n v="-63.626100000001315"/>
    <n v="-1.9140117765772846"/>
    <n v="0.34125677836234214"/>
    <n v="1.78767734232117"/>
    <n v="-1.1465656646207245"/>
    <n v="0.55725367968224582"/>
    <n v="0.34937488877615497"/>
    <n v="7.2522200000008086E-3"/>
    <n v="1.8033522371891264"/>
    <n v="1.9216245276701738"/>
    <n v="2.3083703710659709"/>
    <n v="1.6582834926125667"/>
    <n v="-1.1245183834003969"/>
    <n v="73.711668885618977"/>
    <n v="3.1598754071740176"/>
    <n v="0.55942917772981993"/>
    <n v="0.13569884599999998"/>
    <n v="9.1188809999999398E-2"/>
    <n v="-0.17408143000000009"/>
  </r>
  <r>
    <x v="49"/>
    <x v="1"/>
    <x v="1"/>
    <x v="0"/>
    <x v="1"/>
    <x v="99"/>
    <n v="-64.603980000007141"/>
    <n v="-1.8301740603609118"/>
    <n v="0.32358484593191239"/>
    <n v="1.65552563544904"/>
    <n v="-1.0996431857654865"/>
    <n v="0.53058045577742963"/>
    <n v="0.33074917828594952"/>
    <n v="6.4014400000006466E-3"/>
    <n v="1.7343209528698722"/>
    <n v="1.8453822170095391"/>
    <n v="2.2136114268472618"/>
    <n v="1.5941488218381039"/>
    <n v="-1.1780008925753371"/>
    <n v="73.622741977838118"/>
    <n v="3.0516049171769311"/>
    <n v="0.5577887034288187"/>
    <n v="0.13764389600000004"/>
    <n v="9.0579770000000226E-2"/>
    <n v="-0.17776136999999997"/>
  </r>
  <r>
    <x v="50"/>
    <x v="1"/>
    <x v="1"/>
    <x v="0"/>
    <x v="1"/>
    <x v="100"/>
    <n v="-66.020160000000033"/>
    <n v="-1.7519865802791856"/>
    <n v="0.30776507759020522"/>
    <n v="1.526869278638876"/>
    <n v="-1.0556003026965355"/>
    <n v="0.5049958017594669"/>
    <n v="0.31397092473040011"/>
    <n v="5.5459300000004763E-3"/>
    <n v="1.6693678248528965"/>
    <n v="1.7735602469459932"/>
    <n v="2.1246307525234265"/>
    <n v="1.5336325858672506"/>
    <n v="-1.2292364219501306"/>
    <n v="73.548382430226383"/>
    <n v="2.9488257723631506"/>
    <n v="0.5553127716751316"/>
    <n v="0.14050190800000001"/>
    <n v="9.0151570000000097E-2"/>
    <n v="-0.18017186999999996"/>
  </r>
  <r>
    <x v="0"/>
    <x v="1"/>
    <x v="1"/>
    <x v="1"/>
    <x v="0"/>
    <x v="0"/>
    <n v="0"/>
    <n v="0"/>
    <n v="0"/>
    <n v="0"/>
    <n v="0"/>
    <n v="0"/>
    <n v="0"/>
    <n v="0"/>
    <n v="0"/>
    <n v="0"/>
    <n v="0"/>
    <n v="0"/>
    <n v="5.2064544503682697E-3"/>
    <n v="0.21586010219090124"/>
    <n v="0"/>
    <n v="0"/>
    <n v="0"/>
    <n v="0"/>
    <n v="0"/>
  </r>
  <r>
    <x v="1"/>
    <x v="1"/>
    <x v="1"/>
    <x v="1"/>
    <x v="0"/>
    <x v="101"/>
    <n v="21.987400000001799"/>
    <n v="-1.2851876193205602"/>
    <n v="5.2114549560910994E-2"/>
    <n v="-0.24788212195929749"/>
    <n v="-0.12307292249987833"/>
    <n v="-0.16050266504457067"/>
    <n v="7.2852514325938422E-2"/>
    <n v="1.8595369999999112E-2"/>
    <n v="0.44472431019821901"/>
    <n v="6.4077132329809494E-2"/>
    <n v="-0.70843631703724208"/>
    <n v="0.82970863429119301"/>
    <n v="0.21081575877126557"/>
    <n v="0.74463729455909178"/>
    <n v="1.9175774920743294E-2"/>
    <n v="-0.37598295235446999"/>
    <n v="-6.5676010000000062E-2"/>
    <n v="6.846154000000014E-2"/>
    <n v="-2.6906858999999929E-2"/>
  </r>
  <r>
    <x v="2"/>
    <x v="1"/>
    <x v="1"/>
    <x v="1"/>
    <x v="0"/>
    <x v="102"/>
    <n v="40.78070999999909"/>
    <n v="-2.1220244520334997"/>
    <n v="0.12067539754265777"/>
    <n v="-0.47927107634603283"/>
    <n v="-0.28564365986585294"/>
    <n v="-0.26410604257731674"/>
    <n v="0.14446699891876857"/>
    <n v="2.131569999999916E-2"/>
    <n v="0.48810238776342274"/>
    <n v="0.12764293707543395"/>
    <n v="-0.61472774312798517"/>
    <n v="0.86254154540708061"/>
    <n v="0.32580126952586053"/>
    <n v="1.6072273013736815"/>
    <n v="0.17806608580381855"/>
    <n v="-0.27147084211118777"/>
    <n v="-0.11603992000000091"/>
    <n v="8.8669889999999987E-2"/>
    <n v="2.3706059999999834E-3"/>
  </r>
  <r>
    <x v="3"/>
    <x v="1"/>
    <x v="1"/>
    <x v="1"/>
    <x v="0"/>
    <x v="103"/>
    <n v="48.528120000002673"/>
    <n v="-2.6269726636934387"/>
    <n v="0.1716861966683858"/>
    <n v="-0.68074158464700441"/>
    <n v="-0.4560377652881753"/>
    <n v="-0.31863663586977342"/>
    <n v="0.18192077839500609"/>
    <n v="9.1624999999997958E-3"/>
    <n v="0.54486049706838902"/>
    <n v="0.20253877837119738"/>
    <n v="-0.50771919540449906"/>
    <n v="0.90398112563743194"/>
    <n v="0.3924460752287029"/>
    <n v="2.7800737906746864"/>
    <n v="0.35006284500698204"/>
    <n v="-0.17646333153267246"/>
    <n v="-0.13174937000000053"/>
    <n v="8.598125000000012E-2"/>
    <n v="-6.2440349999999881E-3"/>
  </r>
  <r>
    <x v="4"/>
    <x v="1"/>
    <x v="1"/>
    <x v="1"/>
    <x v="0"/>
    <x v="104"/>
    <n v="44.011250000003201"/>
    <n v="-2.9300638839186099"/>
    <n v="0.18605233584403358"/>
    <n v="-0.85729096150721773"/>
    <n v="-0.62009862184426723"/>
    <n v="-0.35330068000560821"/>
    <n v="0.17699133706428061"/>
    <n v="-8.1082999999995686E-3"/>
    <n v="0.6048901870724599"/>
    <n v="0.27974582741889797"/>
    <n v="-0.39847465659154091"/>
    <n v="0.94728269313621993"/>
    <n v="0.42682579952308952"/>
    <n v="4.2144760079538823"/>
    <n v="0.50099007537052209"/>
    <n v="-0.11161761921324453"/>
    <n v="-0.11305781000000015"/>
    <n v="7.3733980000000032E-2"/>
    <n v="-4.5520974000000033E-2"/>
  </r>
  <r>
    <x v="5"/>
    <x v="1"/>
    <x v="1"/>
    <x v="1"/>
    <x v="0"/>
    <x v="105"/>
    <n v="28.965890000003128"/>
    <n v="-3.1124532678734163"/>
    <n v="0.16475581775030612"/>
    <n v="-1.0150047346720315"/>
    <n v="-0.7688787113191542"/>
    <n v="-0.38483194699805434"/>
    <n v="0.14167327194321011"/>
    <n v="-2.0653059999999057E-2"/>
    <n v="0.65751073647626335"/>
    <n v="0.34773983392613061"/>
    <n v="-0.30089535125248368"/>
    <n v="0.98350654367449497"/>
    <n v="0.4356970753287559"/>
    <n v="5.8471420837524324"/>
    <n v="0.62116890893342269"/>
    <n v="-7.0226780668392053E-2"/>
    <n v="-6.7314479999999732E-2"/>
    <n v="5.8409630000000323E-2"/>
    <n v="-0.10211691799999999"/>
  </r>
  <r>
    <x v="6"/>
    <x v="1"/>
    <x v="1"/>
    <x v="1"/>
    <x v="0"/>
    <x v="106"/>
    <n v="6.4150399999998626"/>
    <n v="-3.2190227805129368"/>
    <n v="0.11790223516903175"/>
    <n v="-1.1561334056717887"/>
    <n v="-0.89511801416900516"/>
    <n v="-0.41891917835895631"/>
    <n v="8.9077228550404897E-2"/>
    <n v="-2.5793670000000268E-2"/>
    <n v="0.69494499937623466"/>
    <n v="0.39770599402981777"/>
    <n v="-0.22550097545368519"/>
    <n v="1.0056718996694469"/>
    <n v="0.4229548979666653"/>
    <n v="7.6059262886827517"/>
    <n v="0.70656669012498785"/>
    <n v="-4.368534010976699E-2"/>
    <n v="-4.2312400000008021E-3"/>
    <n v="4.2856750000000096E-2"/>
    <n v="-0.16416271300000002"/>
  </r>
  <r>
    <x v="7"/>
    <x v="1"/>
    <x v="1"/>
    <x v="1"/>
    <x v="0"/>
    <x v="107"/>
    <n v="-20.262960000000021"/>
    <n v="-3.2735725826488205"/>
    <n v="5.7078572443369779E-2"/>
    <n v="-1.2797708376988348"/>
    <n v="-0.99275685439321748"/>
    <n v="-0.45551130770566939"/>
    <n v="2.9374921210512106E-2"/>
    <n v="-2.4796059999999953E-2"/>
    <n v="0.71249055965298957"/>
    <n v="0.42437103322512382"/>
    <n v="-0.17840032848596143"/>
    <n v="1.0093960758363441"/>
    <n v="0.39182194151912153"/>
    <n v="9.4135914687591296"/>
    <n v="0.75484409403805408"/>
    <n v="-2.6489980459099005E-2"/>
    <n v="6.6450299999999685E-2"/>
    <n v="2.8482630000000071E-2"/>
    <n v="-0.22289289800000003"/>
  </r>
  <r>
    <x v="8"/>
    <x v="1"/>
    <x v="1"/>
    <x v="1"/>
    <x v="0"/>
    <x v="108"/>
    <n v="-47.852520000000368"/>
    <n v="-3.2887158843845632"/>
    <n v="-7.9413108125980791E-3"/>
    <n v="-1.3836936049002713"/>
    <n v="-1.0572404067540453"/>
    <n v="-0.49243453632057399"/>
    <n v="-3.0278140784156804E-2"/>
    <n v="-1.9998639999999068E-2"/>
    <n v="0.70799170095356967"/>
    <n v="0.42560456096401023"/>
    <n v="-0.16178071833800045"/>
    <n v="0.99262501172592277"/>
    <n v="0.34547815901588841"/>
    <n v="11.191246376199393"/>
    <n v="0.76517412607612911"/>
    <n v="-1.5905829939333316E-2"/>
    <n v="0.13613980999999942"/>
    <n v="1.6283267000000157E-2"/>
    <n v="-0.27255846699999997"/>
  </r>
  <r>
    <x v="9"/>
    <x v="1"/>
    <x v="1"/>
    <x v="1"/>
    <x v="0"/>
    <x v="109"/>
    <n v="-73.554599999999482"/>
    <n v="-3.2714864504315488"/>
    <n v="-6.9991613611231074E-2"/>
    <n v="-1.4657640541551165"/>
    <n v="-1.085862869569032"/>
    <n v="-0.52719750321537084"/>
    <n v="-8.5031735536422737E-2"/>
    <n v="-1.3470579999999566E-2"/>
    <n v="0.68133763112840917"/>
    <n v="0.40181165296584442"/>
    <n v="-0.17469031058744422"/>
    <n v="0.95524181914157236"/>
    <n v="0.28718989653537808"/>
    <n v="12.86217819533395"/>
    <n v="0.73858280082064187"/>
    <n v="-1.083328131208372E-2"/>
    <n v="0.19789394000000043"/>
    <n v="7.1729329999999959E-3"/>
    <n v="-0.30988616000000008"/>
  </r>
  <r>
    <x v="10"/>
    <x v="1"/>
    <x v="1"/>
    <x v="1"/>
    <x v="0"/>
    <x v="110"/>
    <n v="-95.09175999999934"/>
    <n v="-3.226338734367673"/>
    <n v="-0.12425373420310581"/>
    <n v="-1.5246621618274836"/>
    <n v="-1.0779581703249441"/>
    <n v="-0.55769335459011637"/>
    <n v="-0.13165858139640996"/>
    <n v="-6.6344599999990095E-3"/>
    <n v="0.6340850186320468"/>
    <n v="0.35536671745899362"/>
    <n v="-0.21379073136748028"/>
    <n v="0.89872377404816017"/>
    <n v="0.22029176727933475"/>
    <n v="14.356153120276517"/>
    <n v="0.67807203192351562"/>
    <n v="-1.0933303006543937E-2"/>
    <n v="0.24653958000000026"/>
    <n v="1.9717019000000001E-3"/>
    <n v="-0.33347169000000015"/>
  </r>
  <r>
    <x v="11"/>
    <x v="1"/>
    <x v="1"/>
    <x v="1"/>
    <x v="0"/>
    <x v="111"/>
    <n v="-110.74920000000202"/>
    <n v="-3.1567130701510071"/>
    <n v="-0.16771391746536191"/>
    <n v="-1.5601358251963848"/>
    <n v="-1.0349179106933004"/>
    <n v="-0.58237250752151137"/>
    <n v="-0.1680653317157943"/>
    <n v="-3.1498999999990396E-4"/>
    <n v="0.5691413839939985"/>
    <n v="0.29010652504974921"/>
    <n v="-0.27405132244705532"/>
    <n v="0.82583131899889306"/>
    <n v="0.14811142775552621"/>
    <n v="15.61384694204957"/>
    <n v="0.58847239853694333"/>
    <n v="-1.6078406059127914E-2"/>
    <n v="0.27863893999999989"/>
    <n v="1.2670229999999297E-3"/>
    <n v="-0.34324078000000025"/>
  </r>
  <r>
    <x v="12"/>
    <x v="1"/>
    <x v="1"/>
    <x v="1"/>
    <x v="0"/>
    <x v="112"/>
    <n v="-119.39950999999928"/>
    <n v="-3.0658396801351517"/>
    <n v="-0.19867127029024045"/>
    <n v="-1.5729927027822832"/>
    <n v="-0.96005457959955631"/>
    <n v="-0.60021794008137119"/>
    <n v="-0.19300324190688611"/>
    <n v="5.0820700000009378E-3"/>
    <n v="0.49044672038967008"/>
    <n v="0.2108529684023086"/>
    <n v="-0.34940006048442829"/>
    <n v="0.74029169961187247"/>
    <n v="7.3859915641039109E-2"/>
    <n v="16.590843961078484"/>
    <n v="0.47610015566119657"/>
    <n v="-2.602690412506492E-2"/>
    <n v="0.29241117000000005"/>
    <n v="5.2741749999999851E-3"/>
    <n v="-0.34002409000000006"/>
  </r>
  <r>
    <x v="13"/>
    <x v="1"/>
    <x v="1"/>
    <x v="1"/>
    <x v="0"/>
    <x v="113"/>
    <n v="-120.52543000000151"/>
    <n v="-2.9571282991731174"/>
    <n v="-0.21640654851704522"/>
    <n v="-1.5649793308165405"/>
    <n v="-0.85833179035775808"/>
    <n v="-0.61067873489498714"/>
    <n v="-0.20593426433834772"/>
    <n v="9.3927700000009939E-3"/>
    <n v="0.40262267617179326"/>
    <n v="0.12295507643873549"/>
    <n v="-0.43332845072628912"/>
    <n v="0.64646123670011324"/>
    <n v="5.0281482710801129E-4"/>
    <n v="17.26060825864062"/>
    <n v="0.34828720994388718"/>
    <n v="-4.0247706151541607E-2"/>
    <n v="0.2876426628"/>
    <n v="1.3761880000000108E-2"/>
    <n v="-0.3252489000000004"/>
  </r>
  <r>
    <x v="14"/>
    <x v="1"/>
    <x v="1"/>
    <x v="1"/>
    <x v="0"/>
    <x v="114"/>
    <n v="-114.23067000000083"/>
    <n v="-2.83431116993903"/>
    <n v="-0.22099900660895733"/>
    <n v="-1.538617516214591"/>
    <n v="-0.73598689955186591"/>
    <n v="-0.61361472118007798"/>
    <n v="-0.2069912387083872"/>
    <n v="1.256776000000126E-2"/>
    <n v="0.31059749838076023"/>
    <n v="3.1861355839946093E-2"/>
    <n v="-0.5194276269875564"/>
    <n v="0.54897359498851106"/>
    <n v="-6.9365290164025151E-2"/>
    <n v="17.61595017684272"/>
    <n v="0.21283855869538293"/>
    <n v="-5.7863915143863132E-2"/>
    <n v="0.26556793999999995"/>
    <n v="2.6066749999999889E-2"/>
    <n v="-0.3007266799999998"/>
  </r>
  <r>
    <x v="15"/>
    <x v="1"/>
    <x v="1"/>
    <x v="1"/>
    <x v="0"/>
    <x v="115"/>
    <n v="-101.21788000000015"/>
    <n v="-2.7014236702099903"/>
    <n v="-0.21323779223071382"/>
    <n v="-1.4970203443565366"/>
    <n v="-0.60007805165960271"/>
    <n v="-0.60925651174014162"/>
    <n v="-0.19696637272411666"/>
    <n v="1.4602699999999302E-2"/>
    <n v="0.21923372590175738"/>
    <n v="-5.7254891178903922E-2"/>
    <n v="-0.60182431450659379"/>
    <n v="0.45239823611211705"/>
    <n v="-0.13362217431174273"/>
    <n v="17.668747569844733"/>
    <n v="7.7469118516693136E-2"/>
    <n v="-7.7701814304509398E-2"/>
    <n v="0.22868568999999983"/>
    <n v="4.1187659999999959E-2"/>
    <n v="-0.26850657000000028"/>
  </r>
  <r>
    <x v="16"/>
    <x v="1"/>
    <x v="1"/>
    <x v="1"/>
    <x v="0"/>
    <x v="116"/>
    <n v="-82.71538000000146"/>
    <n v="-2.5626750779505381"/>
    <n v="-0.19455818078777387"/>
    <n v="-1.4436914016169755"/>
    <n v="-0.45799530058922011"/>
    <n v="-0.59816797615726003"/>
    <n v="-0.17727281741887202"/>
    <n v="1.5516140000000622E-2"/>
    <n v="0.13299334966550003"/>
    <n v="-0.1398000453511572"/>
    <n v="-0.67549906173649532"/>
    <n v="0.36093684916562729"/>
    <n v="-0.19068076445851734"/>
    <n v="17.447979089360487"/>
    <n v="-5.0724947421620925E-2"/>
    <n v="-9.8417772062775466E-2"/>
    <n v="0.18048561999999996"/>
    <n v="5.7929709999999732E-2"/>
    <n v="-0.23076562000000009"/>
  </r>
  <r>
    <x v="17"/>
    <x v="1"/>
    <x v="1"/>
    <x v="1"/>
    <x v="0"/>
    <x v="117"/>
    <n v="-60.346239999998943"/>
    <n v="-2.4222534100625914"/>
    <n v="-0.16695133708209964"/>
    <n v="-1.3823105652094214"/>
    <n v="-0.31697828687643481"/>
    <n v="-0.58119716791286136"/>
    <n v="-0.14984653513057111"/>
    <n v="1.5356409999998932E-2"/>
    <n v="5.5669111693701367E-2"/>
    <n v="-0.21197966769453958"/>
    <n v="-0.73648241979364926"/>
    <n v="0.27817896465034408"/>
    <n v="-0.23951105633241987"/>
    <n v="16.996386702475075"/>
    <n v="-0.16570724004396631"/>
    <n v="-0.11866667344795356"/>
    <n v="0.12508943000000028"/>
    <n v="7.5060310000000033E-2"/>
    <n v="-0.18971377999999969"/>
  </r>
  <r>
    <x v="18"/>
    <x v="1"/>
    <x v="1"/>
    <x v="1"/>
    <x v="0"/>
    <x v="118"/>
    <n v="-35.950919999999314"/>
    <n v="-2.284104888574412"/>
    <n v="-0.13282044886600008"/>
    <n v="-1.3165146790124593"/>
    <n v="-0.18368055577253628"/>
    <n v="-0.5594088752207349"/>
    <n v="-0.11698432013395044"/>
    <n v="1.421850999999974E-2"/>
    <n v="-9.7996299702640677E-3"/>
    <n v="-0.27093240802429364"/>
    <n v="-0.78194222068649344"/>
    <n v="0.20693117890837609"/>
    <n v="-0.27962270795977018"/>
    <n v="16.366269289838442"/>
    <n v="-0.26281435497480521"/>
    <n v="-0.13726711725366991"/>
    <n v="6.6839030000000188E-2"/>
    <n v="9.1444609999999718E-2"/>
    <n v="-0.14750052999999985"/>
  </r>
  <r>
    <x v="19"/>
    <x v="1"/>
    <x v="1"/>
    <x v="1"/>
    <x v="0"/>
    <x v="119"/>
    <n v="-11.389049999997951"/>
    <n v="-2.1517242151333216"/>
    <n v="-9.4784067094577651E-2"/>
    <n v="-1.2496879330125776"/>
    <n v="-6.3812022976716953E-2"/>
    <n v="-0.53399940659191181"/>
    <n v="-8.1133438639380273E-2"/>
    <n v="1.2256080000000447E-2"/>
    <n v="-6.1423360248391567E-2"/>
    <n v="-0.31478512826158545"/>
    <n v="-0.81018322016231936"/>
    <n v="0.14912359585166346"/>
    <n v="-0.31101751629458718"/>
    <n v="15.614969252697431"/>
    <n v="-0.33892048900189264"/>
    <n v="-0.15332625220556562"/>
    <n v="9.8851399999998896E-3"/>
    <n v="0.10613988999999997"/>
    <n v="-0.10611974999999996"/>
  </r>
  <r>
    <x v="20"/>
    <x v="1"/>
    <x v="1"/>
    <x v="1"/>
    <x v="0"/>
    <x v="120"/>
    <n v="11.647290000000794"/>
    <n v="-2.0279836690298425"/>
    <n v="-5.5453023977447558E-2"/>
    <n v="-1.1847791915586714"/>
    <n v="3.8119118521029449E-2"/>
    <n v="-0.50620134119470084"/>
    <n v="-4.4671031240306469E-2"/>
    <n v="9.6795199999999415E-3"/>
    <n v="-9.817483148513162E-2"/>
    <n v="-0.34264005617589133"/>
    <n v="-0.82058199135918164"/>
    <n v="0.10578868057995461"/>
    <n v="-0.33412087352063802"/>
    <n v="14.800565569324565"/>
    <n v="-0.39245628094138896"/>
    <n v="-0.16630392265780669"/>
    <n v="-4.2166689999999923E-2"/>
    <n v="0.11844309999999997"/>
    <n v="-6.7317079999999752E-2"/>
  </r>
  <r>
    <x v="21"/>
    <x v="1"/>
    <x v="1"/>
    <x v="1"/>
    <x v="0"/>
    <x v="121"/>
    <n v="31.7795100000003"/>
    <n v="-1.9150196494292393"/>
    <n v="-1.7214399117404522E-2"/>
    <n v="-1.124161742673635"/>
    <n v="0.11895713345722037"/>
    <n v="-0.47718996998222796"/>
    <n v="-9.7062835249017709E-3"/>
    <n v="6.7391400000005319E-3"/>
    <n v="-0.11993387625567342"/>
    <n v="-0.35450931918610262"/>
    <n v="-0.81347819174212299"/>
    <n v="7.7101465457096729E-2"/>
    <n v="-0.34970218534837727"/>
    <n v="13.978158528026196"/>
    <n v="-0.42330319918424397"/>
    <n v="-0.17601335347287028"/>
    <n v="-8.6508279999999993E-2"/>
    <n v="0.12789710000000004"/>
    <n v="-3.2509539999999587E-2"/>
  </r>
  <r>
    <x v="22"/>
    <x v="1"/>
    <x v="1"/>
    <x v="1"/>
    <x v="0"/>
    <x v="122"/>
    <n v="48.029770000001008"/>
    <n v="-1.8141843547608616"/>
    <n v="1.7943535377384912E-2"/>
    <n v="-1.0695461441542209"/>
    <n v="0.17694474789420322"/>
    <n v="-0.44800434638785358"/>
    <n v="2.2064152599310383E-2"/>
    <n v="3.6976399999999465E-3"/>
    <n v="-0.12738064589243869"/>
    <n v="-0.35120993522170796"/>
    <n v="-0.79003945294282563"/>
    <n v="6.2467975764590733E-2"/>
    <n v="-0.35879019961142511"/>
    <n v="13.196969145710202"/>
    <n v="-0.43259772081885028"/>
    <n v="-0.18256996317926877"/>
    <n v="-0.1212577900000001"/>
    <n v="0.13426783000000003"/>
    <n v="-2.727770000000157E-3"/>
  </r>
  <r>
    <x v="23"/>
    <x v="1"/>
    <x v="1"/>
    <x v="1"/>
    <x v="0"/>
    <x v="123"/>
    <n v="59.845699999998033"/>
    <n v="-1.726060968620724"/>
    <n v="4.8542017631270085E-2"/>
    <n v="-1.0219508882119199"/>
    <n v="0.21167601784666257"/>
    <n v="-0.41949342504965514"/>
    <n v="4.9433117272634775E-2"/>
    <n v="7.9931999999865999E-4"/>
    <n v="-0.12185661663201008"/>
    <n v="-0.33423282189565251"/>
    <n v="-0.75211230672954654"/>
    <n v="6.0647533396318565E-2"/>
    <n v="-0.36259070925392933"/>
    <n v="12.498324643476355"/>
    <n v="-0.42248220367732126"/>
    <n v="-0.18630844294466042"/>
    <n v="-0.14546865199999998"/>
    <n v="0.13750605999999985"/>
    <n v="2.1410700000000504E-2"/>
  </r>
  <r>
    <x v="24"/>
    <x v="1"/>
    <x v="1"/>
    <x v="1"/>
    <x v="0"/>
    <x v="124"/>
    <n v="67.071739999999409"/>
    <n v="-1.6505330743858404"/>
    <n v="7.3650550664128289E-2"/>
    <n v="-0.9817279033041082"/>
    <n v="0.22397377917353634"/>
    <n v="-0.39229212714421147"/>
    <n v="7.1691767905401882E-2"/>
    <n v="-1.7565599999991299E-3"/>
    <n v="-0.10520874406966252"/>
    <n v="-0.30559604740423296"/>
    <n v="-0.70206532278387357"/>
    <n v="6.9893718025149099E-2"/>
    <n v="-0.36240824536938332"/>
    <n v="11.914477590905669"/>
    <n v="-0.39583648864309762"/>
    <n v="-0.18769136824291488"/>
    <n v="-0.15904136700000002"/>
    <n v="0.13770535000000012"/>
    <n v="3.9693679999999731E-2"/>
  </r>
  <r>
    <x v="25"/>
    <x v="1"/>
    <x v="1"/>
    <x v="1"/>
    <x v="0"/>
    <x v="125"/>
    <n v="69.88379999999961"/>
    <n v="-1.5868937629760937"/>
    <n v="9.2859720879867602E-2"/>
    <n v="-0.94863480728508698"/>
    <n v="0.21571192590352783"/>
    <n v="-0.366826478862603"/>
    <n v="8.8583794476915223E-2"/>
    <n v="-3.8331200000005228E-3"/>
    <n v="-7.9631782357525438E-2"/>
    <n v="-0.26769258844830945"/>
    <n v="-0.64263255538166142"/>
    <n v="8.8104213622952621E-2"/>
    <n v="-0.35957413454001941"/>
    <n v="11.468137569271143"/>
    <n v="-0.35601647293773686"/>
    <n v="-0.187225000959923"/>
    <n v="-0.1625721705"/>
    <n v="0.13506439000000003"/>
    <n v="5.2274199999999965E-2"/>
  </r>
  <r>
    <x v="26"/>
    <x v="1"/>
    <x v="1"/>
    <x v="1"/>
    <x v="0"/>
    <x v="126"/>
    <n v="68.706200000000536"/>
    <n v="-1.5339778127130277"/>
    <n v="0.10620401380510014"/>
    <n v="-0.92194083295068507"/>
    <n v="0.18960258849756162"/>
    <n v="-0.34334157028197421"/>
    <n v="0.10022080983294046"/>
    <n v="-5.3616100000000722E-3"/>
    <n v="-4.7516171616157621E-2"/>
    <n v="-0.22313797612329989"/>
    <n v="-0.5767589875202872"/>
    <n v="0.1129679433889974"/>
    <n v="-0.35538102772972868"/>
    <n v="11.172560778843966"/>
    <n v="-0.30661639661555551"/>
    <n v="-0.18539485618794815"/>
    <n v="-0.15717324899999999"/>
    <n v="0.12985759000000013"/>
    <n v="5.9604530000000044E-2"/>
  </r>
  <r>
    <x v="27"/>
    <x v="1"/>
    <x v="1"/>
    <x v="1"/>
    <x v="0"/>
    <x v="127"/>
    <n v="64.127349999998842"/>
    <n v="-1.4903010864870447"/>
    <n v="0.11405629370873083"/>
    <n v="-0.90055249793251635"/>
    <n v="0.1489664042427119"/>
    <n v="-0.32194254602957439"/>
    <n v="0.10698268807411981"/>
    <n v="-6.3366699999997667E-3"/>
    <n v="-1.1310162398614487E-2"/>
    <n v="-0.17462464910953379"/>
    <n v="-0.5074517724382166"/>
    <n v="0.14210296252266108"/>
    <n v="-0.35102349927134124"/>
    <n v="11.032051675742327"/>
    <n v="-0.25126355138342937"/>
    <n v="-0.18262588243731503"/>
    <n v="-0.14429408600000002"/>
    <n v="0.12241470000000002"/>
    <n v="6.2354959999999862E-2"/>
  </r>
  <r>
    <x v="28"/>
    <x v="1"/>
    <x v="1"/>
    <x v="1"/>
    <x v="0"/>
    <x v="128"/>
    <n v="56.825220000002446"/>
    <n v="-1.4541932439676386"/>
    <n v="0.11701457833483975"/>
    <n v="-0.88314430422454793"/>
    <n v="9.7501030807101152E-2"/>
    <n v="-0.30263815499320668"/>
    <n v="0.10941790623433256"/>
    <n v="-6.8032800000006333E-3"/>
    <n v="2.6602523212382323E-2"/>
    <n v="-0.12478692226045585"/>
    <n v="-0.4376395977817471"/>
    <n v="0.17318027643660194"/>
    <n v="-0.34754762867229561"/>
    <n v="11.042752020199131"/>
    <n v="-0.19344754178594048"/>
    <n v="-0.17926645890301574"/>
    <n v="-0.12556384999999998"/>
    <n v="0.11310813199999994"/>
    <n v="6.1328530000000214E-2"/>
  </r>
  <r>
    <x v="29"/>
    <x v="1"/>
    <x v="1"/>
    <x v="1"/>
    <x v="0"/>
    <x v="129"/>
    <n v="47.50879999999961"/>
    <n v="-1.4239143599707904"/>
    <n v="0.11579924153384269"/>
    <n v="-0.86828289783993373"/>
    <n v="3.905979581608765E-2"/>
    <n v="-0.28537790715023048"/>
    <n v="0.10816035225962306"/>
    <n v="-6.839529999999594E-3"/>
    <n v="6.4005561251256893E-2"/>
    <n v="-7.6079582725996353E-2"/>
    <n v="-0.37004379546585753"/>
    <n v="0.20403035533755887"/>
    <n v="-0.34580849656858925"/>
    <n v="11.193630206213378"/>
    <n v="-0.1363825353005832"/>
    <n v="-0.17559175212993328"/>
    <n v="-0.10266519999999994"/>
    <n v="0.10234481999999989"/>
    <n v="5.7382589999999817E-2"/>
  </r>
  <r>
    <x v="30"/>
    <x v="1"/>
    <x v="1"/>
    <x v="1"/>
    <x v="0"/>
    <x v="130"/>
    <n v="36.876179999999295"/>
    <n v="-1.397750059147429"/>
    <n v="0.11117234050774805"/>
    <n v="-0.85453512508778529"/>
    <n v="-2.2552099061545761E-2"/>
    <n v="-0.27007723754737256"/>
    <n v="0.10386815270353456"/>
    <n v="-6.5386400000005951E-3"/>
    <n v="9.893516604859709E-2"/>
    <n v="-3.0675755050013631E-2"/>
    <n v="-0.30706535788685985"/>
    <n v="0.23272935534401906"/>
    <n v="-0.34644115963108346"/>
    <n v="11.467610079342494"/>
    <n v="-8.289925252553676E-2"/>
    <n v="-0.17181685406859604"/>
    <n v="-7.7241519999999772E-2"/>
    <n v="9.0559586000000039E-2"/>
    <n v="5.1365119999999959E-2"/>
  </r>
  <r>
    <x v="31"/>
    <x v="1"/>
    <x v="1"/>
    <x v="1"/>
    <x v="0"/>
    <x v="131"/>
    <n v="25.587910000002012"/>
    <n v="-1.3740839054425358"/>
    <n v="0.10388387982003255"/>
    <n v="-0.84055528724200634"/>
    <n v="-8.3755788391903785E-2"/>
    <n v="-0.25662885730312057"/>
    <n v="9.7188117252944295E-2"/>
    <n v="-5.9931700000001586E-3"/>
    <n v="0.12974558302591976"/>
    <n v="9.6161077573375664E-3"/>
    <n v="-0.25069113981314173"/>
    <n v="0.25766702914726825"/>
    <n v="-0.34984335068465322"/>
    <n v="11.842809502860652"/>
    <n v="-3.5362581784026403E-2"/>
    <n v="-0.16811761953312576"/>
    <n v="-5.0834139999999736E-2"/>
    <n v="7.8206897000000081E-2"/>
    <n v="4.4069760000000138E-2"/>
  </r>
  <r>
    <x v="32"/>
    <x v="1"/>
    <x v="1"/>
    <x v="1"/>
    <x v="0"/>
    <x v="132"/>
    <n v="14.251239999997779"/>
    <n v="-1.3514494578855896"/>
    <n v="9.4644596527193592E-2"/>
    <n v="-0.82514931106237865"/>
    <n v="-0.14135024435123489"/>
    <n v="-0.24490260889469262"/>
    <n v="8.8740995857716776E-2"/>
    <n v="-5.2838899999990696E-3"/>
    <n v="0.15515658254137144"/>
    <n v="4.3412405267617693E-2"/>
    <n v="-0.20242321423796783"/>
    <n v="0.2775936901190823"/>
    <n v="-0.35617410581972875"/>
    <n v="12.293864605620918"/>
    <n v="4.3869650228289814E-3"/>
    <n v="-0.16464783030741836"/>
    <n v="-2.4842549999999977E-2"/>
    <n v="6.5748782000000019E-2"/>
    <n v="3.6209270000000029E-2"/>
  </r>
  <r>
    <x v="33"/>
    <x v="1"/>
    <x v="1"/>
    <x v="1"/>
    <x v="0"/>
    <x v="133"/>
    <n v="3.4115700000002107"/>
    <n v="-1.3285663146679894"/>
    <n v="8.4119081831968145E-2"/>
    <n v="-0.80731748425864058"/>
    <n v="-0.19263132890472434"/>
    <n v="-0.23473816874600706"/>
    <n v="7.9120362000484334E-2"/>
    <n v="-4.4738799999999301E-3"/>
    <n v="0.17428360400382203"/>
    <n v="6.9789461565816779E-2"/>
    <n v="-0.16323576303425291"/>
    <n v="0.29164818604971998"/>
    <n v="-0.36536576863935855"/>
    <n v="12.793323474298578"/>
    <n v="3.5069965828249394E-2"/>
    <n v="-0.16155085128533031"/>
    <n v="-5.000000000001531E-4"/>
    <n v="5.3638140999999993E-2"/>
    <n v="2.840409000000009E-2"/>
  </r>
  <r>
    <x v="34"/>
    <x v="1"/>
    <x v="1"/>
    <x v="1"/>
    <x v="0"/>
    <x v="134"/>
    <n v="-6.4531500000011874"/>
    <n v="-1.3043643385667103"/>
    <n v="7.2930184646025076E-2"/>
    <n v="-0.78627916246254426"/>
    <n v="-0.23548051330281039"/>
    <n v="-0.22593644313702033"/>
    <n v="6.8899078937167957E-2"/>
    <n v="-3.6079300000005365E-3"/>
    <n v="0.1866479592938175"/>
    <n v="8.8295027736684517E-2"/>
    <n v="-0.13356074435962872"/>
    <n v="0.29936725623762594"/>
    <n v="-0.37714858863601153"/>
    <n v="13.313079308568888"/>
    <n v="5.5984090237215511E-2"/>
    <n v="-0.15896232140570898"/>
    <n v="2.114300999999999E-2"/>
    <n v="4.2297850000000067E-2"/>
    <n v="2.1180050000000131E-2"/>
  </r>
  <r>
    <x v="35"/>
    <x v="1"/>
    <x v="1"/>
    <x v="1"/>
    <x v="0"/>
    <x v="135"/>
    <n v="-14.937669999999343"/>
    <n v="-1.2780015943202883"/>
    <n v="6.1666164556695158E-2"/>
    <n v="-0.76148363857011514"/>
    <n v="-0.26841956669079181"/>
    <n v="-0.21825510265353065"/>
    <n v="5.8631765255112711E-2"/>
    <n v="-2.7160100000006571E-3"/>
    <n v="0.1921705488032277"/>
    <n v="9.8934526065952433E-2"/>
    <n v="-0.1133031454369493"/>
    <n v="0.30067573390692992"/>
    <n v="-0.39108590167491464"/>
    <n v="13.825801097127766"/>
    <n v="6.6996078427372652E-2"/>
    <n v="-0.15700523701743796"/>
    <n v="3.9232500000000066E-2"/>
    <n v="3.2097570000000006E-2"/>
    <n v="1.4970129999999915E-2"/>
  </r>
  <r>
    <x v="36"/>
    <x v="1"/>
    <x v="1"/>
    <x v="1"/>
    <x v="0"/>
    <x v="136"/>
    <n v="-21.716319999999541"/>
    <n v="-1.2488768806913741"/>
    <n v="5.0883042964522396E-2"/>
    <n v="-0.73261139917741858"/>
    <n v="-0.2906311502809511"/>
    <n v="-0.21141138835014672"/>
    <n v="4.885097890388046E-2"/>
    <n v="-1.8190299999998327E-3"/>
    <n v="0.19114697128603808"/>
    <n v="0.10213451504506033"/>
    <n v="-0.1018848345310075"/>
    <n v="0.29585981761182101"/>
    <n v="-0.40661663713464913"/>
    <n v="14.306301507236174"/>
    <n v="6.8511741240606661E-2"/>
    <n v="-0.15577735348760724"/>
    <n v="5.3125120999999997E-2"/>
    <n v="2.3331130000000047E-2"/>
    <n v="1.0115549999999834E-2"/>
  </r>
  <r>
    <x v="37"/>
    <x v="1"/>
    <x v="1"/>
    <x v="1"/>
    <x v="0"/>
    <x v="137"/>
    <n v="-26.551630000001751"/>
    <n v="-1.2166371595659142"/>
    <n v="4.10972169601731E-2"/>
    <n v="-0.69956874792689305"/>
    <n v="-0.30194783217842858"/>
    <n v="-0.20509387468207185"/>
    <n v="4.0052651573918574E-2"/>
    <n v="-9.352099999998531E-4"/>
    <n v="0.18420578625657491"/>
    <n v="9.8685804569065283E-2"/>
    <n v="-9.83136519056238E-2"/>
    <n v="0.28552430385879735"/>
    <n v="-0.4231012771841014"/>
    <n v="14.732768808407638"/>
    <n v="6.1422230512331311E-2"/>
    <n v="-0.155336275919149"/>
    <n v="6.2402829000000014E-2"/>
    <n v="1.619789E-2"/>
    <n v="6.8643700000002583E-3"/>
  </r>
  <r>
    <x v="38"/>
    <x v="1"/>
    <x v="1"/>
    <x v="1"/>
    <x v="0"/>
    <x v="138"/>
    <n v="-29.303810000001249"/>
    <n v="-1.1811793455434594"/>
    <n v="3.2768254296255961E-2"/>
    <n v="-0.66247731547079969"/>
    <n v="-0.30280949238845611"/>
    <n v="-0.19898134401999945"/>
    <n v="3.2673248575787461E-2"/>
    <n v="-8.5080000000736788E-5"/>
    <n v="0.17225159410825253"/>
    <n v="8.9671005529745607E-2"/>
    <n v="-0.10127180171423111"/>
    <n v="0.27053588990371136"/>
    <n v="-0.43986827650920324"/>
    <n v="15.087783873957793"/>
    <n v="4.7027167239521717E-2"/>
    <n v="-0.15568532958478709"/>
    <n v="6.6885619000000035E-2"/>
    <n v="1.0790870000000098E-2"/>
    <n v="5.3675799999999829E-3"/>
  </r>
  <r>
    <x v="39"/>
    <x v="1"/>
    <x v="1"/>
    <x v="1"/>
    <x v="0"/>
    <x v="139"/>
    <n v="-29.938799999999901"/>
    <n v="-1.1426435908245658"/>
    <n v="2.6273743470417443E-2"/>
    <n v="-0.62165869421306752"/>
    <n v="-0.29419214653684245"/>
    <n v="-0.19276642192795901"/>
    <n v="2.7061832059160906E-2"/>
    <n v="7.057599999998887E-4"/>
    <n v="0.15639595905558856"/>
    <n v="7.6379880817945001E-2"/>
    <n v="-0.10921758595665576"/>
    <n v="0.25195532704622714"/>
    <n v="-0.45625871129800766"/>
    <n v="15.359050694677734"/>
    <n v="2.6938717355506903E-2"/>
    <n v="-0.15676484248753342"/>
    <n v="6.6638567520000011E-2"/>
    <n v="7.0939999999998504E-3"/>
    <n v="5.6745800000000679E-3"/>
  </r>
  <r>
    <x v="40"/>
    <x v="1"/>
    <x v="1"/>
    <x v="1"/>
    <x v="0"/>
    <x v="140"/>
    <n v="-28.53269999999975"/>
    <n v="-1.1013946603480207"/>
    <n v="2.1881886187635757E-2"/>
    <n v="-0.57761345884118631"/>
    <n v="-0.27751316660011849"/>
    <n v="-0.1861805187197918"/>
    <n v="2.3452567595061424E-2"/>
    <n v="1.4067899999997691E-3"/>
    <n v="0.13788052749936774"/>
    <n v="6.0220219583029255E-2"/>
    <n v="-0.12049234834543565"/>
    <n v="0.23096391491286283"/>
    <n v="-0.47166465536249147"/>
    <n v="15.539787220758106"/>
    <n v="2.9708828718666425E-3"/>
    <n v="-0.15845123462013833"/>
    <n v="6.1968533999999999E-2"/>
    <n v="4.9889399999999279E-3"/>
    <n v="7.7307200000001353E-3"/>
  </r>
  <r>
    <x v="41"/>
    <x v="1"/>
    <x v="1"/>
    <x v="1"/>
    <x v="0"/>
    <x v="141"/>
    <n v="-25.269719999996596"/>
    <n v="-1.057991487613219"/>
    <n v="1.9727960702220493E-2"/>
    <n v="-0.53099366604434373"/>
    <n v="-0.25451908969942316"/>
    <n v="-0.17901422252221133"/>
    <n v="2.194415402281269E-2"/>
    <n v="1.9852499999986617E-3"/>
    <n v="0.11799651465795868"/>
    <n v="4.2628316058768156E-2"/>
    <n v="-0.13342550266525199"/>
    <n v="0.20878706947295989"/>
    <n v="-0.48556077097945405"/>
    <n v="15.628751214484126"/>
    <n v="-2.2978175641197307E-2"/>
    <n v="-0.16056375064926742"/>
    <n v="5.3406833999999986E-2"/>
    <n v="4.2705600000001592E-3"/>
    <n v="1.1379379999999772E-2"/>
  </r>
  <r>
    <x v="42"/>
    <x v="1"/>
    <x v="1"/>
    <x v="1"/>
    <x v="0"/>
    <x v="142"/>
    <n v="-20.432400000005146"/>
    <n v="-1.0131461512657758"/>
    <n v="1.9799174733203806E-2"/>
    <n v="-0.48256868824123611"/>
    <n v="-0.22716192311333927"/>
    <n v="-0.17113323644026845"/>
    <n v="2.2489797148139701E-2"/>
    <n v="2.4104800000007698E-3"/>
    <n v="9.800709161198462E-2"/>
    <n v="2.4985586890480249E-2"/>
    <n v="-0.14642961066984039"/>
    <n v="0.18662085853848875"/>
    <n v="-0.49752792496120524"/>
    <n v="15.62991051111764"/>
    <n v="-4.9043955154592922E-2"/>
    <n v="-0.16288168545375292"/>
    <n v="4.1676105000000054E-2"/>
    <n v="4.6690900000000146E-3"/>
    <n v="1.6370489999999877E-2"/>
  </r>
  <r>
    <x v="43"/>
    <x v="1"/>
    <x v="1"/>
    <x v="1"/>
    <x v="0"/>
    <x v="143"/>
    <n v="-14.383420000005572"/>
    <n v="-0.96767187576756175"/>
    <n v="2.1933691370135122E-2"/>
    <n v="-0.43318479440803692"/>
    <n v="-0.19747354061639966"/>
    <n v="-0.16248474373523614"/>
    <n v="2.4901336958293996E-2"/>
    <n v="2.6589499999993271E-3"/>
    <n v="7.9076569226210758E-2"/>
    <n v="8.5459398120990571E-3"/>
    <n v="-0.15808234443589475"/>
    <n v="0.16556593658791918"/>
    <n v="-0.50726745464336753"/>
    <n v="15.551799378456899"/>
    <n v="-7.350407367651135E-2"/>
    <n v="-0.16516412832457972"/>
    <n v="2.7642194000000037E-2"/>
    <n v="5.875699999999956E-3"/>
    <n v="2.2376109999999727E-2"/>
  </r>
  <r>
    <x v="44"/>
    <x v="1"/>
    <x v="1"/>
    <x v="1"/>
    <x v="0"/>
    <x v="144"/>
    <n v="-7.5401999999958207"/>
    <n v="-0.92242715487165228"/>
    <n v="2.5833397942376379E-2"/>
    <n v="-0.38372048627356437"/>
    <n v="-0.16744410206324112"/>
    <n v="-0.15309678334436416"/>
    <n v="2.8867325132808652E-2"/>
    <n v="2.7185900000004093E-3"/>
    <n v="6.221112903153081E-2"/>
    <n v="-5.6231422111974183E-3"/>
    <n v="-0.16718947512277538"/>
    <n v="0.14657248202580853"/>
    <n v="-0.51460695858756011"/>
    <n v="15.406631211647115"/>
    <n v="-9.4869719140533437E-2"/>
    <n v="-0.16717426879155894"/>
    <n v="1.2254595999999958E-2"/>
    <n v="7.5684199999998675E-3"/>
    <n v="2.9012309999999764E-2"/>
  </r>
  <r>
    <x v="45"/>
    <x v="1"/>
    <x v="1"/>
    <x v="1"/>
    <x v="0"/>
    <x v="145"/>
    <n v="-0.34492999999929452"/>
    <n v="-0.87825816874441687"/>
    <n v="3.1090596552907357E-2"/>
    <n v="-0.33504007660760671"/>
    <n v="-0.13891256509285244"/>
    <n v="-0.14306851095117201"/>
    <n v="3.3982558914091854E-2"/>
    <n v="2.5915400000006694E-3"/>
    <n v="4.8214391087686437E-2"/>
    <n v="-1.6683365428160624E-2"/>
    <n v="-0.17282899946430286"/>
    <n v="0.13039830357188809"/>
    <n v="-0.51949871902308153"/>
    <n v="15.209252881596957"/>
    <n v="-0.11195563424816202"/>
    <n v="-0.16870055946160978"/>
    <n v="-3.5189689999999552E-3"/>
    <n v="9.4356500000000038E-3"/>
    <n v="3.5865839999999621E-2"/>
  </r>
  <r>
    <x v="46"/>
    <x v="1"/>
    <x v="1"/>
    <x v="1"/>
    <x v="0"/>
    <x v="146"/>
    <n v="6.7670999999972992"/>
    <n v="-0.8359455721557274"/>
    <n v="3.7224716110273448E-2"/>
    <n v="-0.28794894841597252"/>
    <n v="-0.11347562011819745"/>
    <n v="-0.13255634604600885"/>
    <n v="3.9785575937112405E-2"/>
    <n v="2.2948699999997269E-3"/>
    <n v="3.7658946837249019E-2"/>
    <n v="-2.4050581961465589E-2"/>
    <n v="-0.17437454048879752"/>
    <n v="0.11758255164326936"/>
    <n v="-0.52201134326967935"/>
    <n v="14.976034171510101"/>
    <n v="-0.1239242628026882"/>
    <n v="-0.16957432434376862"/>
    <n v="-1.8757187999999918E-2"/>
    <n v="1.1195450000000065E-2"/>
    <n v="4.2522949999999893E-2"/>
  </r>
  <r>
    <x v="47"/>
    <x v="1"/>
    <x v="1"/>
    <x v="1"/>
    <x v="0"/>
    <x v="147"/>
    <n v="13.396919999999227"/>
    <n v="-0.79615950429061666"/>
    <n v="4.3724081722928965E-2"/>
    <n v="-0.24315385921173105"/>
    <n v="-9.2417860392646212E-2"/>
    <n v="-0.12175457677539026"/>
    <n v="4.579853830548597E-2"/>
    <n v="1.8589900000004489E-3"/>
    <n v="3.0874754172960373E-2"/>
    <n v="-2.7404170822331597E-2"/>
    <n v="-0.17150133267900269"/>
    <n v="0.10843429632827473"/>
    <n v="-0.52231650754059888"/>
    <n v="14.723777849447517"/>
    <n v="-0.13030322654447035"/>
    <n v="-0.16967999490680175"/>
    <n v="-3.26425679999999E-2"/>
    <n v="1.2609099999999832E-2"/>
    <n v="4.8597749999999829E-2"/>
  </r>
  <r>
    <x v="48"/>
    <x v="1"/>
    <x v="1"/>
    <x v="1"/>
    <x v="0"/>
    <x v="148"/>
    <n v="19.206359999996494"/>
    <n v="-0.75942508805475484"/>
    <n v="5.0087772206852677E-2"/>
    <n v="-0.20123104934510749"/>
    <n v="-7.6666767423405613E-2"/>
    <n v="-0.11087698224189202"/>
    <n v="5.156552671232717E-2"/>
    <n v="1.3242100000004919E-3"/>
    <n v="2.7952547983800535E-2"/>
    <n v="-2.6680348641860974E-2"/>
    <n v="-0.16417474735284099"/>
    <n v="0.10303586188553648"/>
    <n v="-0.5206712693572757"/>
    <n v="14.468723430010622"/>
    <n v="-0.13097899478569097"/>
    <n v="-0.16895913665274653"/>
    <n v="-4.4506481000000042E-2"/>
    <n v="1.3489649999999867E-2"/>
    <n v="5.3757159999999471E-2"/>
  </r>
  <r>
    <x v="49"/>
    <x v="1"/>
    <x v="1"/>
    <x v="1"/>
    <x v="0"/>
    <x v="149"/>
    <n v="23.935440000001108"/>
    <n v="-0.72610150891507796"/>
    <n v="5.5862912907267415E-2"/>
    <n v="-0.16260423298428694"/>
    <n v="-6.6772040546370093E-2"/>
    <n v="-0.10013795347982857"/>
    <n v="5.6684445460786215E-2"/>
    <n v="7.361999999996871E-4"/>
    <n v="2.8760960798646096E-2"/>
    <n v="-2.2052550992346376E-2"/>
    <n v="-0.15262527385673241"/>
    <n v="0.10125862814738262"/>
    <n v="-0.51739867022785324"/>
    <n v="14.225697167180652"/>
    <n v="-0.12616900768963601"/>
    <n v="-0.16740796097608479"/>
    <n v="-5.3858738000000031E-2"/>
    <n v="1.3705179999999942E-2"/>
    <n v="5.7740530000000012E-2"/>
  </r>
  <r>
    <x v="50"/>
    <x v="1"/>
    <x v="1"/>
    <x v="1"/>
    <x v="0"/>
    <x v="150"/>
    <n v="27.411579999999958"/>
    <n v="-0.696373674483175"/>
    <n v="6.0672949203621762E-2"/>
    <n v="-0.1275342926627232"/>
    <n v="-6.2908545208206768E-2"/>
    <n v="-8.9738102849734602E-2"/>
    <n v="6.0830404311107422E-2"/>
    <n v="1.4108999999984384E-4"/>
    <n v="3.2974164895605007E-2"/>
    <n v="-1.3901086077405811E-2"/>
    <n v="-0.13731264158437506"/>
    <n v="0.10278878038678663"/>
    <n v="-0.51286638365241055"/>
    <n v="14.00744162699208"/>
    <n v="-0.11637729206099845"/>
    <n v="-0.1650696593455403"/>
    <n v="-6.0400627000000005E-2"/>
    <n v="1.3178499999999885E-2"/>
    <n v="6.0372059999999617E-2"/>
  </r>
  <r>
    <x v="0"/>
    <x v="1"/>
    <x v="1"/>
    <x v="1"/>
    <x v="1"/>
    <x v="0"/>
    <n v="0"/>
    <n v="0"/>
    <n v="0"/>
    <n v="0"/>
    <n v="0"/>
    <n v="0"/>
    <n v="0"/>
    <n v="0"/>
    <n v="0"/>
    <n v="0"/>
    <n v="0"/>
    <n v="0"/>
    <n v="3.5354701563461433E-3"/>
    <n v="0.22054535214603987"/>
    <n v="0"/>
    <n v="0"/>
    <n v="0"/>
    <n v="0"/>
    <n v="0"/>
  </r>
  <r>
    <x v="1"/>
    <x v="1"/>
    <x v="1"/>
    <x v="1"/>
    <x v="1"/>
    <x v="151"/>
    <n v="26.39426999999705"/>
    <n v="-1.2363739824831188"/>
    <n v="6.0646548973819492E-2"/>
    <n v="-0.22728517406183091"/>
    <n v="-3.8118382500129666E-2"/>
    <n v="-0.16203137495491848"/>
    <n v="8.5395807457966377E-2"/>
    <n v="2.219361999999947E-2"/>
    <n v="0.44924339098977306"/>
    <n v="6.9568177040624235E-2"/>
    <n v="-0.70225209477478012"/>
    <n v="0.83454874067441231"/>
    <n v="0.20914817966988242"/>
    <n v="0.77130674326573168"/>
    <n v="2.3235289348977339E-2"/>
    <n v="-0.37801932791603488"/>
    <n v="-7.885852999999915E-2"/>
    <n v="9.1846259999999944E-2"/>
    <n v="-1.4947530000000014E-2"/>
  </r>
  <r>
    <x v="2"/>
    <x v="1"/>
    <x v="1"/>
    <x v="1"/>
    <x v="1"/>
    <x v="152"/>
    <n v="54.616260000002512"/>
    <n v="-2.0002082977134239"/>
    <n v="0.15117841909959573"/>
    <n v="-0.41905884011380623"/>
    <n v="-9.0802896392905286E-2"/>
    <n v="-0.25665911937031716"/>
    <n v="0.18424364459859177"/>
    <n v="2.9625619999999742E-2"/>
    <n v="0.50518454765395848"/>
    <n v="0.14861263879368813"/>
    <n v="-0.59059310690170452"/>
    <n v="0.8804443385400873"/>
    <n v="0.32509026975489075"/>
    <n v="1.6947780787111899"/>
    <n v="0.19562552631227081"/>
    <n v="-0.27810326258173035"/>
    <n v="-0.15627850999999915"/>
    <n v="0.14262062999999997"/>
    <n v="3.8548579999999992E-2"/>
  </r>
  <r>
    <x v="3"/>
    <x v="1"/>
    <x v="1"/>
    <x v="1"/>
    <x v="1"/>
    <x v="153"/>
    <n v="75.91704000000027"/>
    <n v="-2.4234412699258412"/>
    <n v="0.23878456405128645"/>
    <n v="-0.56771972219530342"/>
    <n v="-0.14986604252563707"/>
    <n v="-0.29123521270254527"/>
    <n v="0.26271603448515535"/>
    <n v="2.1424930000001063E-2"/>
    <n v="0.58519908205709736"/>
    <n v="0.25218676983433941"/>
    <n v="-0.44989169497207104"/>
    <n v="0.94568290762719887"/>
    <n v="0.39077139695178342"/>
    <n v="2.9977464162033396"/>
    <n v="0.39568492965675883"/>
    <n v="-0.18920768855962278"/>
    <n v="-0.20956831999999898"/>
    <n v="0.17300909999999997"/>
    <n v="6.4064250000000003E-2"/>
  </r>
  <r>
    <x v="4"/>
    <x v="1"/>
    <x v="1"/>
    <x v="1"/>
    <x v="1"/>
    <x v="154"/>
    <n v="87.846379999999044"/>
    <n v="-2.6436490348383468"/>
    <n v="0.30345982179615927"/>
    <n v="-0.68348648013590863"/>
    <n v="-0.21214850426179988"/>
    <n v="-0.2956240060028259"/>
    <n v="0.31091506491229826"/>
    <n v="6.6711600000005089E-3"/>
    <n v="0.68108161554762958"/>
    <n v="0.37354600462400356"/>
    <n v="-0.28833937274582722"/>
    <n v="1.0252259992904689"/>
    <n v="0.41962293806572237"/>
    <n v="4.6697809894290732"/>
    <n v="0.5934497478923495"/>
    <n v="-0.13119529775833527"/>
    <n v="-0.23515276999999946"/>
    <n v="0.19462586000000004"/>
    <n v="6.6146460000000157E-2"/>
  </r>
  <r>
    <x v="5"/>
    <x v="1"/>
    <x v="1"/>
    <x v="1"/>
    <x v="1"/>
    <x v="155"/>
    <n v="90.973509999999806"/>
    <n v="-2.7461493090821243"/>
    <n v="0.34435140302135903"/>
    <n v="-0.77675102250386319"/>
    <n v="-0.27586633510980896"/>
    <n v="-0.28746336533614913"/>
    <n v="0.33900008722869135"/>
    <n v="-4.7873300000000896E-3"/>
    <n v="0.78344334367537183"/>
    <n v="0.50258985071591766"/>
    <n v="-0.1180340420091408"/>
    <n v="1.1112252990450378"/>
    <n v="0.41654406050248838"/>
    <n v="6.6925896060987311"/>
    <n v="0.78230730200978815"/>
    <n v="-9.6772304353642813E-2"/>
    <n v="-0.23698199000000003"/>
    <n v="0.21284924999999955"/>
    <n v="5.5608359999999996E-2"/>
  </r>
  <r>
    <x v="6"/>
    <x v="1"/>
    <x v="1"/>
    <x v="1"/>
    <x v="1"/>
    <x v="156"/>
    <n v="87.269540000001143"/>
    <n v="-2.7788942584401566"/>
    <n v="0.36930348027797155"/>
    <n v="-0.85349836199211104"/>
    <n v="-0.33953602544063433"/>
    <n v="-0.27373936900012552"/>
    <n v="0.35805210999981796"/>
    <n v="-1.0064209999999241E-2"/>
    <n v="0.88516226432555634"/>
    <n v="0.63100327215384056"/>
    <n v="5.1116945790519175E-2"/>
    <n v="1.1971638073182023"/>
    <n v="0.38420467377695555"/>
    <n v="9.0440493498595398"/>
    <n v="0.96006508236459176"/>
    <n v="-7.6809609290873215E-2"/>
    <n v="-0.22177877000000012"/>
    <n v="0.22937762"/>
    <n v="4.1940520000000037E-2"/>
  </r>
  <r>
    <x v="7"/>
    <x v="1"/>
    <x v="1"/>
    <x v="1"/>
    <x v="1"/>
    <x v="157"/>
    <n v="79.104409999999916"/>
    <n v="-2.7684799043603436"/>
    <n v="0.38731399963800595"/>
    <n v="-0.91616158543438297"/>
    <n v="-0.40177142868710325"/>
    <n v="-0.25616665004376538"/>
    <n v="0.37586502450974724"/>
    <n v="-1.0240009999999689E-2"/>
    <n v="0.98146738998545757"/>
    <n v="0.75299373139052772"/>
    <n v="0.21229132766042991"/>
    <n v="1.2784263767704696"/>
    <n v="0.32494158521045868"/>
    <n v="11.699540151653288"/>
    <n v="1.1249318775058414"/>
    <n v="-6.5192314225559489E-2"/>
    <n v="-0.19648634000000026"/>
    <n v="0.24431442999999983"/>
    <n v="3.1613500000000211E-2"/>
  </r>
  <r>
    <x v="8"/>
    <x v="1"/>
    <x v="1"/>
    <x v="1"/>
    <x v="1"/>
    <x v="158"/>
    <n v="68.649280000001454"/>
    <n v="-2.7301969276381732"/>
    <n v="0.40520006099620254"/>
    <n v="-0.96548075225523222"/>
    <n v="-0.46131088886042226"/>
    <n v="-0.23477870481185548"/>
    <n v="0.39676493273950175"/>
    <n v="-7.5431099999995199E-3"/>
    <n v="1.0693199532697539"/>
    <n v="0.86483643956942746"/>
    <n v="0.36119098104048231"/>
    <n v="1.3519579551581229"/>
    <n v="0.24116675605334592"/>
    <n v="14.632112745672465"/>
    <n v="1.2752537993207191"/>
    <n v="-5.8424395026723808E-2"/>
    <n v="-0.16692699000000061"/>
    <n v="0.25728884000000007"/>
    <n v="2.8132280000000079E-2"/>
  </r>
  <r>
    <x v="9"/>
    <x v="1"/>
    <x v="1"/>
    <x v="1"/>
    <x v="1"/>
    <x v="159"/>
    <n v="57.588529999997263"/>
    <n v="-2.6735253284334792"/>
    <n v="0.42677909347985654"/>
    <n v="-1.0018598377772858"/>
    <n v="-0.51706864008284059"/>
    <n v="-0.20963986733819606"/>
    <n v="0.4223314335110695"/>
    <n v="-3.976270000000115E-3"/>
    <n v="1.1468540657723292"/>
    <n v="0.96428466926938849"/>
    <n v="0.49530026608957112"/>
    <n v="1.4158341498661242"/>
    <n v="0.1353907248239139"/>
    <n v="17.812282538267809"/>
    <n v="1.4097816583271472"/>
    <n v="-5.4544527994282443E-2"/>
    <n v="-0.1372863900000007"/>
    <n v="0.26794839999999959"/>
    <n v="3.2599709999999935E-2"/>
  </r>
  <r>
    <x v="10"/>
    <x v="1"/>
    <x v="1"/>
    <x v="1"/>
    <x v="1"/>
    <x v="160"/>
    <n v="47.046360000000277"/>
    <n v="-2.604913381024665"/>
    <n v="0.4532076642471683"/>
    <n v="-1.0260269083532836"/>
    <n v="-0.56816337512867188"/>
    <n v="-0.18139572063567977"/>
    <n v="0.45222180185602312"/>
    <n v="-8.8110000000113375E-4"/>
    <n v="1.2130039007628213"/>
    <n v="1.0501131159278643"/>
    <n v="0.61330365906586692"/>
    <n v="1.4689385908634556"/>
    <n v="1.0209742890587847E-2"/>
    <n v="21.207826385203422"/>
    <n v="1.5277798441961643"/>
    <n v="-5.2384046949094376E-2"/>
    <n v="-0.1101193200000003"/>
    <n v="0.27612485000000009"/>
    <n v="4.440464000000019E-2"/>
  </r>
  <r>
    <x v="11"/>
    <x v="1"/>
    <x v="1"/>
    <x v="1"/>
    <x v="1"/>
    <x v="161"/>
    <n v="37.640909999998257"/>
    <n v="-2.5290925543197118"/>
    <n v="0.48372629261557165"/>
    <n v="-1.0391945210946107"/>
    <n v="-0.61392380847745676"/>
    <n v="-0.15124369552439454"/>
    <n v="0.48491829798660291"/>
    <n v="1.0647399999993978E-3"/>
    <n v="1.2672766874620489"/>
    <n v="1.121810179765248"/>
    <n v="0.71469305999714017"/>
    <n v="1.5107479968927251"/>
    <n v="-0.13169042754727078"/>
    <n v="24.783745195793028"/>
    <n v="1.628971155162251"/>
    <n v="-5.1195891071686983E-2"/>
    <n v="-8.6631460000000104E-2"/>
    <n v="0.28184885000000004"/>
    <n v="6.1889369999999777E-2"/>
  </r>
  <r>
    <x v="12"/>
    <x v="1"/>
    <x v="1"/>
    <x v="1"/>
    <x v="1"/>
    <x v="162"/>
    <n v="29.599309999997786"/>
    <n v="-2.4496613784844468"/>
    <n v="0.51645336127972286"/>
    <n v="-1.0429530016177746"/>
    <n v="-0.65388117562213965"/>
    <n v="-0.12067882304532818"/>
    <n v="0.51835297793185742"/>
    <n v="1.6959100000005223E-3"/>
    <n v="1.3096113726400738"/>
    <n v="1.1793795870280288"/>
    <n v="0.79951859145304116"/>
    <n v="1.5411893776805963"/>
    <n v="-0.28752603547007594"/>
    <n v="28.502455285067253"/>
    <n v="1.7134231728127114"/>
    <n v="-5.0498306948043581E-2"/>
    <n v="-6.7062889999999764E-2"/>
    <n v="0.28530388999999934"/>
    <n v="8.2923690000000216E-2"/>
  </r>
  <r>
    <x v="13"/>
    <x v="1"/>
    <x v="1"/>
    <x v="1"/>
    <x v="1"/>
    <x v="163"/>
    <n v="22.8878500000028"/>
    <n v="-2.3693387359984275"/>
    <n v="0.54906757432684472"/>
    <n v="-1.0390659887625664"/>
    <n v="-0.68775491019479329"/>
    <n v="-9.1207832205064676E-2"/>
    <n v="0.55038824477560144"/>
    <n v="1.1783600000009331E-3"/>
    <n v="1.3402838136474582"/>
    <n v="1.2232104709153369"/>
    <n v="0.86823353233624889"/>
    <n v="1.5605394404512252"/>
    <n v="-0.45442316113807335"/>
    <n v="32.324222500550825"/>
    <n v="1.7814469653139264"/>
    <n v="-5.0009375850756932E-2"/>
    <n v="-5.1065579999999555E-2"/>
    <n v="0.28676423000000006"/>
    <n v="0.10534693999999997"/>
  </r>
  <r>
    <x v="14"/>
    <x v="1"/>
    <x v="1"/>
    <x v="1"/>
    <x v="1"/>
    <x v="164"/>
    <n v="17.329839999998512"/>
    <n v="-2.2900918624881972"/>
    <n v="0.57931762207852344"/>
    <n v="-1.0292692117090052"/>
    <n v="-0.71543605356875206"/>
    <n v="-6.4122810075029069E-2"/>
    <n v="0.57914822743485583"/>
    <n v="-1.5111999999983805E-4"/>
    <n v="1.3598353567363608"/>
    <n v="1.2539885983065879"/>
    <n v="0.92159761333259205"/>
    <n v="1.5693486905998144"/>
    <n v="-0.62945050323085505"/>
    <n v="36.207825541741776"/>
    <n v="1.8335353381238928"/>
    <n v="-4.9608043207705066E-2"/>
    <n v="-3.8016189999999506E-2"/>
    <n v="0.28653824999999994"/>
    <n v="0.12726597999999992"/>
  </r>
  <r>
    <x v="15"/>
    <x v="1"/>
    <x v="1"/>
    <x v="1"/>
    <x v="1"/>
    <x v="165"/>
    <n v="12.697410000000673"/>
    <n v="-2.2132345157257927"/>
    <n v="0.6053492422300577"/>
    <n v="-1.0151201177562852"/>
    <n v="-0.73696968827191567"/>
    <n v="-4.0366246676359907E-2"/>
    <n v="0.60320881738149534"/>
    <n v="-1.9076499999992613E-3"/>
    <n v="1.3690154087381723"/>
    <n v="1.2726311281711977"/>
    <n v="0.96061397537294813"/>
    <n v="1.5683793452236028"/>
    <n v="-0.80967465189425436"/>
    <n v="40.111407631838802"/>
    <n v="1.8703379349682248"/>
    <n v="-4.9297554249838615E-2"/>
    <n v="-2.7241559999999221E-2"/>
    <n v="0.28492679999999948"/>
    <n v="0.14721891000000001"/>
  </r>
  <r>
    <x v="16"/>
    <x v="1"/>
    <x v="1"/>
    <x v="1"/>
    <x v="1"/>
    <x v="166"/>
    <n v="8.7732799999976123"/>
    <n v="-2.1395309711535471"/>
    <n v="0.62586798326651483"/>
    <n v="-0.99791217672657861"/>
    <n v="-0.75253702901196817"/>
    <n v="-2.0484566686018724E-2"/>
    <n v="0.62166910126240094"/>
    <n v="-3.7402700000008227E-3"/>
    <n v="1.3687326178050574"/>
    <n v="1.280234266613256"/>
    <n v="0.98648355428683221"/>
    <n v="1.5585524902629322"/>
    <n v="-0.99223065823315082"/>
    <n v="43.993465057898248"/>
    <n v="1.8926593142622128"/>
    <n v="-4.9166436820091697E-2"/>
    <n v="-1.8156820000000962E-2"/>
    <n v="0.28219851000000007"/>
    <n v="0.1642287199999995"/>
  </r>
  <r>
    <x v="17"/>
    <x v="1"/>
    <x v="1"/>
    <x v="1"/>
    <x v="1"/>
    <x v="167"/>
    <n v="5.3847399999976915"/>
    <n v="-2.0693104345425373"/>
    <n v="0.6401741872044342"/>
    <n v="-0.97864807217915573"/>
    <n v="-0.76243691362355426"/>
    <n v="-4.6500120471804074E-3"/>
    <n v="0.63413495039148504"/>
    <n v="-5.377200000000748E-3"/>
    <n v="1.3600118370262093"/>
    <n v="1.2780264142861375"/>
    <n v="1.0005655636397881"/>
    <n v="1.5409010534193079"/>
    <n v="-1.1743988616592982"/>
    <n v="47.81390069093603"/>
    <n v="1.9014650451439907"/>
    <n v="-4.9349655875563503E-2"/>
    <n v="-1.0329559999999738E-2"/>
    <n v="0.27858030999999978"/>
    <n v="0.17777763000000057"/>
  </r>
  <r>
    <x v="18"/>
    <x v="1"/>
    <x v="1"/>
    <x v="1"/>
    <x v="1"/>
    <x v="168"/>
    <n v="2.4155500000015309"/>
    <n v="-2.0025843916067765"/>
    <n v="0.64810894236464467"/>
    <n v="-0.95805543849808439"/>
    <n v="-0.76706672165658407"/>
    <n v="7.2740768638057673E-3"/>
    <n v="0.64064638062728552"/>
    <n v="-6.6419300000009063E-3"/>
    <n v="1.3439547852028388"/>
    <n v="1.2673236750418315"/>
    <n v="1.0043375553845824"/>
    <n v="1.5165267619964062"/>
    <n v="-1.3536791886532784"/>
    <n v="51.535069822727777"/>
    <n v="1.8978830094520838"/>
    <n v="-4.9993764979494593E-2"/>
    <n v="-3.4896800000003281E-3"/>
    <n v="0.2742586800000002"/>
    <n v="0.18773328000000061"/>
  </r>
  <r>
    <x v="19"/>
    <x v="1"/>
    <x v="1"/>
    <x v="1"/>
    <x v="1"/>
    <x v="169"/>
    <n v="-0.19762000000264379"/>
    <n v="-1.9391557139654791"/>
    <n v="0.64994937047855306"/>
    <n v="-0.93662850943425635"/>
    <n v="-0.76690238909642439"/>
    <n v="1.5648616836538842E-2"/>
    <n v="0.64157746232473833"/>
    <n v="-7.4490699999998911E-3"/>
    <n v="1.3217036683130123"/>
    <n v="1.2494858427498201"/>
    <n v="0.99935178114440859"/>
    <n v="1.4865604624358264"/>
    <n v="-1.5278555918759373"/>
    <n v="55.122743416089072"/>
    <n v="1.8831937179938141"/>
    <n v="-5.1227999560088389E-2"/>
    <n v="2.4949699999998742E-3"/>
    <n v="0.26938695000000012"/>
    <n v="0.19425279000000045"/>
  </r>
  <r>
    <x v="20"/>
    <x v="1"/>
    <x v="1"/>
    <x v="1"/>
    <x v="1"/>
    <x v="170"/>
    <n v="-2.4771599999985483"/>
    <n v="-1.878711341627759"/>
    <n v="0.64628471761412065"/>
    <n v="-0.91468008305123361"/>
    <n v="-0.76247789015376766"/>
    <n v="2.0973174181704302E-2"/>
    <n v="0.6375296836494071"/>
    <n v="-7.7882000000001339E-3"/>
    <n v="1.2944069611623421"/>
    <n v="1.2258735785531938"/>
    <n v="0.9871883707212481"/>
    <n v="1.4521261159159415"/>
    <n v="-1.6950450163452868"/>
    <n v="58.546926674568908"/>
    <n v="1.8588066270398551"/>
    <n v="-5.3143584500559005E-2"/>
    <n v="7.6596700000000628E-3"/>
    <n v="0.26409438999999979"/>
    <n v="0.19768486999999918"/>
  </r>
  <r>
    <x v="21"/>
    <x v="1"/>
    <x v="1"/>
    <x v="1"/>
    <x v="1"/>
    <x v="171"/>
    <n v="-4.4203099999976985"/>
    <n v="-1.8208938848241818"/>
    <n v="0.63789450915037182"/>
    <n v="-0.89239277808899065"/>
    <n v="-0.75436463877773807"/>
    <n v="2.3810871815110879E-2"/>
    <n v="0.62923448334593068"/>
    <n v="-7.7027399999998747E-3"/>
    <n v="1.2631879972862636"/>
    <n v="1.197808410281298"/>
    <n v="0.96940697544298793"/>
    <n v="1.4143088573387086"/>
    <n v="-1.8537275573308309"/>
    <n v="61.782483649217809"/>
    <n v="1.8262239124677837"/>
    <n v="-5.5781066312066141E-2"/>
    <n v="1.1987019999999682E-2"/>
    <n v="0.25849417999999968"/>
    <n v="0.19848258000000063"/>
  </r>
  <r>
    <x v="22"/>
    <x v="1"/>
    <x v="1"/>
    <x v="1"/>
    <x v="1"/>
    <x v="172"/>
    <n v="-6.0141899999980524"/>
    <n v="-1.7653515535636211"/>
    <n v="0.6256445291406898"/>
    <n v="-0.86986322956228435"/>
    <n v="-0.74315117082115467"/>
    <n v="2.4729816941682081E-2"/>
    <n v="0.61747199179373879"/>
    <n v="-7.268750000000157E-3"/>
    <n v="1.2291170253143191"/>
    <n v="1.1665372357910986"/>
    <n v="0.94750065070927647"/>
    <n v="1.3741281339605838"/>
    <n v="-2.0027570271503592"/>
    <n v="64.809539132357401"/>
    <n v="1.7869954261382714"/>
    <n v="-5.9125621301381326E-2"/>
    <n v="1.5446009999999649E-2"/>
    <n v="0.25268868999999972"/>
    <n v="0.19713390000000025"/>
  </r>
  <r>
    <x v="23"/>
    <x v="1"/>
    <x v="1"/>
    <x v="1"/>
    <x v="1"/>
    <x v="173"/>
    <n v="-7.2482100000015635"/>
    <n v="-1.7117685475276589"/>
    <n v="0.61040442660735827"/>
    <n v="-0.84713631150206137"/>
    <n v="-0.72942436527935195"/>
    <n v="2.42623454332902E-2"/>
    <n v="0.60301034961327549"/>
    <n v="-6.5765600000003421E-3"/>
    <n v="1.1931874932948672"/>
    <n v="1.1332035211888858"/>
    <n v="0.92285516177899041"/>
    <n v="1.3325165895129887"/>
    <n v="-2.1413528946391258"/>
    <n v="67.613650414569165"/>
    <n v="1.7426690256063582"/>
    <n v="-6.310943483200937E-2"/>
    <n v="1.8020699999999473E-2"/>
    <n v="0.24677170000000012"/>
    <n v="0.19411217000000064"/>
  </r>
  <r>
    <x v="24"/>
    <x v="1"/>
    <x v="1"/>
    <x v="1"/>
    <x v="1"/>
    <x v="174"/>
    <n v="-8.1224000000001979"/>
    <n v="-1.6598798463431708"/>
    <n v="0.59299136673127695"/>
    <n v="-0.82422894436950944"/>
    <n v="-0.71375247152701826"/>
    <n v="2.2880613788278659E-2"/>
    <n v="0.58656451384220265"/>
    <n v="-5.716719999999953E-3"/>
    <n v="1.1562974164804007"/>
    <n v="1.0988259690247748"/>
    <n v="0.89671646736377841"/>
    <n v="1.2903048601021316"/>
    <n v="-2.2690765926365986"/>
    <n v="70.185758854365503"/>
    <n v="1.6947418468676201"/>
    <n v="-6.7619505781935096E-2"/>
    <n v="1.9727609999999757E-2"/>
    <n v="0.24082824999999974"/>
    <n v="0.18984546999999963"/>
  </r>
  <r>
    <x v="25"/>
    <x v="1"/>
    <x v="1"/>
    <x v="1"/>
    <x v="1"/>
    <x v="175"/>
    <n v="-8.6517300000014075"/>
    <n v="-1.6094744161494701"/>
    <n v="0.57413523393050614"/>
    <n v="-0.80114503432521245"/>
    <n v="-0.69667049754301713"/>
    <n v="2.0985236738280122E-2"/>
    <n v="0.56877273557547348"/>
    <n v="-4.7706899999999663E-3"/>
    <n v="1.1192362975433801"/>
    <n v="1.0642851958124089"/>
    <n v="0.87016822539880412"/>
    <n v="1.2482125772639741"/>
    <n v="-2.3857960654091626"/>
    <n v="72.521946767281079"/>
    <n v="1.6446156382285304"/>
    <n v="-7.2509592089220476E-2"/>
    <n v="2.062221000000003E-2"/>
    <n v="0.23493298999999954"/>
    <n v="0.18470189000000109"/>
  </r>
  <r>
    <x v="26"/>
    <x v="1"/>
    <x v="1"/>
    <x v="1"/>
    <x v="1"/>
    <x v="176"/>
    <n v="-8.866730000001553"/>
    <n v="-1.5603911046117358"/>
    <n v="0.55446313427811589"/>
    <n v="-0.77788377305479939"/>
    <n v="-0.67866978828710067"/>
    <n v="1.8903696514582791E-2"/>
    <n v="0.55018642172404153"/>
    <n v="-3.8053900000001306E-3"/>
    <n v="1.0826775668983046"/>
    <n v="1.0303182230512409"/>
    <n v="0.84411938008608356"/>
    <n v="1.2068446595908444"/>
    <n v="-2.4916432081382278"/>
    <n v="74.6230359832945"/>
    <n v="1.5935603644844143"/>
    <n v="-7.7613898340644916E-2"/>
    <n v="2.0796900000000229E-2"/>
    <n v="0.22914793999999974"/>
    <n v="0.17898680999999944"/>
  </r>
  <r>
    <x v="27"/>
    <x v="1"/>
    <x v="1"/>
    <x v="1"/>
    <x v="1"/>
    <x v="177"/>
    <n v="-8.811439999997674"/>
    <n v="-1.5125106216652529"/>
    <n v="0.53449646046761501"/>
    <n v="-0.75444310981309659"/>
    <n v="-0.66018900636062305"/>
    <n v="1.6894995186467199E-2"/>
    <n v="0.53127002306732063"/>
    <n v="-2.8714300000010073E-3"/>
    <n v="1.0471762184656619"/>
    <n v="0.9975194815946109"/>
    <n v="0.81930172511264221"/>
    <n v="1.1666926162086311"/>
    <n v="-2.5869680660376426"/>
    <n v="76.494069547597903"/>
    <n v="1.5426875637501336"/>
    <n v="-8.276113584934075E-2"/>
    <n v="2.0372949999999945E-2"/>
    <n v="0.2235206999999996"/>
    <n v="0.17294782999999897"/>
  </r>
  <r>
    <x v="28"/>
    <x v="1"/>
    <x v="1"/>
    <x v="1"/>
    <x v="1"/>
    <x v="178"/>
    <n v="-8.5394000000014785"/>
    <n v="-1.4657460508637254"/>
    <n v="0.51465774932222264"/>
    <n v="-0.7308205032707682"/>
    <n v="-0.64160948591196476"/>
    <n v="1.5157544601485107E-2"/>
    <n v="0.51240694353205107"/>
    <n v="-2.0036399999992516E-3"/>
    <n v="1.0131711024067069"/>
    <n v="0.96634732983675864"/>
    <n v="0.79627533094321912"/>
    <n v="1.1281395288234686"/>
    <n v="-2.6722936879374215"/>
    <n v="78.143717194163131"/>
    <n v="1.4929339760573868"/>
    <n v="-8.7787113633630565E-2"/>
    <n v="1.9489280000000234E-2"/>
    <n v="0.21808353999999974"/>
    <n v="0.16678375999999995"/>
  </r>
  <r>
    <x v="29"/>
    <x v="1"/>
    <x v="1"/>
    <x v="1"/>
    <x v="1"/>
    <x v="179"/>
    <n v="-8.1090399999993679"/>
    <n v="-1.4200340159989278"/>
    <n v="0.4952814991132426"/>
    <n v="-0.70701242859771973"/>
    <n v="-0.62325354001108169"/>
    <n v="1.3838507627483843E-2"/>
    <n v="0.4939078823026577"/>
    <n v="-1.2231399999992898E-3"/>
    <n v="0.98099101177648862"/>
    <n v="0.9371345941385778"/>
    <n v="0.77544055264202605"/>
    <n v="1.0914679991236298"/>
    <n v="-2.7482737068181717"/>
    <n v="79.583644703594757"/>
    <n v="1.4450554685077277"/>
    <n v="-9.254489829710888E-2"/>
    <n v="1.8290370000000056E-2"/>
    <n v="0.21285343999999998"/>
    <n v="0.16065458000000116"/>
  </r>
  <r>
    <x v="30"/>
    <x v="1"/>
    <x v="1"/>
    <x v="1"/>
    <x v="1"/>
    <x v="180"/>
    <n v="-7.5789000000004307"/>
    <n v="-1.3753272469737232"/>
    <n v="0.47662675861193105"/>
    <n v="-0.68301401553755303"/>
    <n v="-0.60538415555829728"/>
    <n v="1.3042633453963504E-2"/>
    <n v="0.47602015177754531"/>
    <n v="-5.4034000000063864E-4"/>
    <n v="0.95086338885514987"/>
    <n v="0.91010148643602129"/>
    <n v="0.75705417084239723"/>
    <n v="1.0568699132950998"/>
    <n v="-2.8156546889696377"/>
    <n v="80.827877067854772"/>
    <n v="1.3996298741698832"/>
    <n v="-9.6912048094022207E-2"/>
    <n v="1.691523999999972E-2"/>
    <n v="0.20783353000000046"/>
    <n v="0.15469015999999974"/>
  </r>
  <r>
    <x v="31"/>
    <x v="1"/>
    <x v="1"/>
    <x v="1"/>
    <x v="1"/>
    <x v="181"/>
    <n v="-7.0036800000016228"/>
    <n v="-1.3315892568514731"/>
    <n v="0.45888873700319355"/>
    <n v="-0.65881857972286406"/>
    <n v="-0.58820807291195543"/>
    <n v="1.2840075398568018E-2"/>
    <n v="0.45893605095985723"/>
    <n v="4.2119999998924129E-5"/>
    <n v="0.92292517830947496"/>
    <n v="0.88537013334450965"/>
    <n v="0.74124811714670891"/>
    <n v="1.0244572158111032"/>
    <n v="-2.875243610100553"/>
    <n v="81.892182946902508"/>
    <n v="1.3570671785503974"/>
    <n v="-0.10079446187135632"/>
    <n v="1.5488699999999939E-2"/>
    <n v="0.20301510000000009"/>
    <n v="0.14899676000000028"/>
  </r>
  <r>
    <x v="32"/>
    <x v="1"/>
    <x v="1"/>
    <x v="1"/>
    <x v="1"/>
    <x v="182"/>
    <n v="-6.4311100000013539"/>
    <n v="-1.2887909278819221"/>
    <n v="0.44220843288016454"/>
    <n v="-0.63441850011103362"/>
    <n v="-0.57187924167423354"/>
    <n v="1.3272559641785975E-2"/>
    <n v="0.44279927645656247"/>
    <n v="5.2651999999930865E-4"/>
    <n v="0.89723450564185292"/>
    <n v="0.86297914570052647"/>
    <n v="0.72804881521904008"/>
    <n v="0.99427297850289698"/>
    <n v="-2.9278801240353869"/>
    <n v="82.793498418285921"/>
    <n v="1.3176248258997436"/>
    <n v="-0.10412740023278966"/>
    <n v="1.4115420000000017E-2"/>
    <n v="0.19838049999999982"/>
    <n v="0.14366083999999973"/>
  </r>
  <r>
    <x v="33"/>
    <x v="1"/>
    <x v="1"/>
    <x v="1"/>
    <x v="1"/>
    <x v="183"/>
    <n v="-5.9001299999981711"/>
    <n v="-1.2469088653452864"/>
    <n v="0.42668023007041977"/>
    <n v="-0.60980641991000839"/>
    <n v="-0.55650357282506224"/>
    <n v="1.4358041391204779E-2"/>
    <n v="0.42770993298055782"/>
    <n v="9.1793000000089942E-4"/>
    <n v="0.87378268632407607"/>
    <n v="0.84289793999907658"/>
    <n v="0.71739630285660994"/>
    <n v="0.96630296675985772"/>
    <n v="-2.9744132943085755"/>
    <n v="83.549401994273566"/>
    <n v="1.2814266033717159"/>
    <n v="-0.10687402130646895"/>
    <n v="1.287692E-2"/>
    <n v="0.19390609000000045"/>
    <n v="0.13875054000000026"/>
  </r>
  <r>
    <x v="34"/>
    <x v="1"/>
    <x v="1"/>
    <x v="1"/>
    <x v="1"/>
    <x v="184"/>
    <n v="-5.440149999998539"/>
    <n v="-1.2059249824208029"/>
    <n v="0.41235714080454233"/>
    <n v="-0.58497705223451435"/>
    <n v="-0.54214482388482699"/>
    <n v="1.6094172112768312E-2"/>
    <n v="0.41372831597150661"/>
    <n v="1.222639999999553E-3"/>
    <n v="0.85250628849573573"/>
    <n v="0.82504014184916485"/>
    <n v="0.70916212101850284"/>
    <n v="0.94048509877591169"/>
    <n v="-3.0156829412812725"/>
    <n v="84.17764598712121"/>
    <n v="1.2484829291428357"/>
    <n v="-0.10902225138645916"/>
    <n v="1.1831239999999729E-2"/>
    <n v="0.18956519999999977"/>
    <n v="0.13431562999999952"/>
  </r>
  <r>
    <x v="35"/>
    <x v="1"/>
    <x v="1"/>
    <x v="1"/>
    <x v="1"/>
    <x v="185"/>
    <n v="-5.0712299999977404"/>
    <n v="-1.1658266853333044"/>
    <n v="0.39925529574824647"/>
    <n v="-0.55992927642802837"/>
    <n v="-0.52882984348641138"/>
    <n v="1.8460755810245644E-2"/>
    <n v="0.40087787387721452"/>
    <n v="1.4473299999998024E-3"/>
    <n v="0.8332979415468289"/>
    <n v="0.80927561882746524"/>
    <n v="0.70316538738983692"/>
    <n v="0.91671982904120153"/>
    <n v="-3.0525029028664385"/>
    <n v="84.695750437318111"/>
    <n v="1.218711341555867"/>
    <n v="-0.11058055595994931"/>
    <n v="1.101459000000006E-2"/>
    <n v="0.18533073999999969"/>
    <n v="0.13038677000000026"/>
  </r>
  <r>
    <x v="36"/>
    <x v="1"/>
    <x v="1"/>
    <x v="1"/>
    <x v="1"/>
    <x v="186"/>
    <n v="-4.8050100000000384"/>
    <n v="-1.1266073913027808"/>
    <n v="0.38735706987673701"/>
    <n v="-0.53466794396316297"/>
    <n v="-0.51655438954727462"/>
    <n v="2.1421852953440457E-2"/>
    <n v="0.38914899937327885"/>
    <n v="1.5986799999992418E-3"/>
    <n v="0.81601647424418555"/>
    <n v="0.79544141414580327"/>
    <n v="0.69918702112963249"/>
    <n v="0.89487838507502637"/>
    <n v="-3.0856475162142405"/>
    <n v="85.120655874419683"/>
    <n v="1.191956229248059"/>
    <n v="-0.11157336072430413"/>
    <n v="1.0444290000000134E-2"/>
    <n v="0.18117729000000013"/>
    <n v="0.12697486000000091"/>
  </r>
  <r>
    <x v="37"/>
    <x v="1"/>
    <x v="1"/>
    <x v="1"/>
    <x v="1"/>
    <x v="187"/>
    <n v="-4.6460299999998824"/>
    <n v="-1.0882666956106957"/>
    <n v="0.37661492708227495"/>
    <n v="-0.50920540329333353"/>
    <n v="-0.50528871324518887"/>
    <n v="2.4927737491231561E-2"/>
    <n v="0.37850124708591615"/>
    <n v="1.6833599999988014E-3"/>
    <n v="0.80049678234774824"/>
    <n v="0.78335104268989486"/>
    <n v="0.69698196595979756"/>
    <n v="0.87481079568025866"/>
    <n v="-3.1158404442340526"/>
    <n v="85.468436231316375"/>
    <n v="1.1680066043791015"/>
    <n v="-0.11203659910857811"/>
    <n v="1.0122450000000019E-2"/>
    <n v="0.17708255999999978"/>
    <n v="0.12407125000000047"/>
  </r>
  <r>
    <x v="38"/>
    <x v="1"/>
    <x v="1"/>
    <x v="1"/>
    <x v="1"/>
    <x v="188"/>
    <n v="-4.5931999999993423"/>
    <n v="-1.0508101874194042"/>
    <n v="0.36695521738425718"/>
    <n v="-0.48356248048221362"/>
    <n v="-0.49498238320448973"/>
    <n v="2.8917053745614041E-2"/>
    <n v="0.36886897257892848"/>
    <n v="1.7082000000001596E-3"/>
    <n v="0.78655700113967608"/>
    <n v="0.77280280387599376"/>
    <n v="0.69628958097061044"/>
    <n v="0.8563523814302032"/>
    <n v="-3.1437447397403728"/>
    <n v="85.754067073303219"/>
    <n v="1.146612117276935"/>
    <n v="-0.11201359353057994"/>
    <n v="1.0039770000000101E-2"/>
    <n v="0.17302826000000007"/>
    <n v="0.12164892999999982"/>
  </r>
  <r>
    <x v="39"/>
    <x v="1"/>
    <x v="1"/>
    <x v="1"/>
    <x v="1"/>
    <x v="189"/>
    <n v="-4.6412799999998242"/>
    <n v="-1.0142487101756359"/>
    <n v="0.35828329619091992"/>
    <n v="-0.45776865727146232"/>
    <n v="-0.48556884213921681"/>
    <n v="3.3319187429770025E-2"/>
    <n v="0.36016551192288304"/>
    <n v="1.6804500000008882E-3"/>
    <n v="0.7740060736994403"/>
    <n v="0.76358668638540905"/>
    <n v="0.69684234299491887"/>
    <n v="0.83932985685104544"/>
    <n v="-3.1699553572844708"/>
    <n v="85.991247170181111"/>
    <n v="1.1274967727828766"/>
    <n v="-0.11155172029287952"/>
    <n v="1.017889999999997E-2"/>
    <n v="0.16900030000000024"/>
    <n v="0.11966489000000136"/>
  </r>
  <r>
    <x v="40"/>
    <x v="1"/>
    <x v="1"/>
    <x v="1"/>
    <x v="1"/>
    <x v="190"/>
    <n v="-4.7821400000029826"/>
    <n v="-0.97859719306035986"/>
    <n v="0.35048836591780042"/>
    <n v="-0.43186172297964287"/>
    <n v="-0.4769699043348119"/>
    <n v="3.8056946466391572E-2"/>
    <n v="0.35228885938796139"/>
    <n v="1.6077200000005898E-3"/>
    <n v="0.7626493712124649"/>
    <n v="0.75549055557195821"/>
    <n v="0.69837310218638926"/>
    <n v="0.82356665262495188"/>
    <n v="-3.1949932563729244"/>
    <n v="86.192269002938076"/>
    <n v="1.1103706440611205"/>
    <n v="-0.11069967163392924"/>
    <n v="1.0517370000000074E-2"/>
    <n v="0.16498868"/>
    <n v="0.11806341000000012"/>
  </r>
  <r>
    <x v="41"/>
    <x v="1"/>
    <x v="1"/>
    <x v="1"/>
    <x v="1"/>
    <x v="191"/>
    <n v="-5.0058399999979883"/>
    <n v="-0.94387301953412495"/>
    <n v="0.34344954338763056"/>
    <n v="-0.40588676423014558"/>
    <n v="-0.46909926358000842"/>
    <n v="4.3049362327152174E-2"/>
    <n v="0.34512700646887051"/>
    <n v="1.4981300000008191E-3"/>
    <n v="0.7522939924597738"/>
    <n v="0.74830487573238624"/>
    <n v="0.70062109577262444"/>
    <n v="0.80888656676796344"/>
    <n v="-3.2193020897311797"/>
    <n v="86.367933890327393"/>
    <n v="1.0949394881997865"/>
    <n v="-0.10950547228341101"/>
    <n v="1.1029809999999959E-2"/>
    <n v="0.16098694999999996"/>
    <n v="0.11677990999999985"/>
  </r>
  <r>
    <x v="42"/>
    <x v="1"/>
    <x v="1"/>
    <x v="1"/>
    <x v="1"/>
    <x v="192"/>
    <n v="-5.3013700000010431"/>
    <n v="-0.91009423170340664"/>
    <n v="0.33704127369227344"/>
    <n v="-0.37989485894732722"/>
    <n v="-0.46186573074047388"/>
    <n v="4.8214477887476015E-2"/>
    <n v="0.33856389164517164"/>
    <n v="1.3600299999999566E-3"/>
    <n v="0.74275255304721011"/>
    <n v="0.74182723718956289"/>
    <n v="0.70333683069989661"/>
    <n v="0.79511829244764964"/>
    <n v="-3.2432461110050936"/>
    <n v="86.5275110135413"/>
    <n v="1.0809128038894888"/>
    <n v="-0.10801511322312551"/>
    <n v="1.168948999999992E-2"/>
    <n v="0.15699160999999989"/>
    <n v="0.11574498000000016"/>
  </r>
  <r>
    <x v="43"/>
    <x v="1"/>
    <x v="1"/>
    <x v="1"/>
    <x v="1"/>
    <x v="193"/>
    <n v="-5.6572500000002037"/>
    <n v="-0.87727775999609792"/>
    <n v="0.33113836819371745"/>
    <n v="-0.35394149972982625"/>
    <n v="-0.45517636644920589"/>
    <n v="5.3472066241577743E-2"/>
    <n v="0.33248366945308749"/>
    <n v="1.2018099999996923E-3"/>
    <n v="0.73384722899307864"/>
    <n v="0.73586607469968701"/>
    <n v="0.70628611915144468"/>
    <n v="0.78209829124280539"/>
    <n v="-3.2671102261761842"/>
    <n v="86.678731989723602"/>
    <n v="1.0680102871951425"/>
    <n v="-0.10627159118430374"/>
    <n v="1.2469399999999985E-2"/>
    <n v="0.15300134000000021"/>
    <n v="0.11488825000000036"/>
  </r>
  <r>
    <x v="44"/>
    <x v="1"/>
    <x v="1"/>
    <x v="1"/>
    <x v="1"/>
    <x v="194"/>
    <n v="-6.0618499999982305"/>
    <n v="-0.84543841470865466"/>
    <n v="0.32562100144366557"/>
    <n v="-0.32808495881179178"/>
    <n v="-0.44893873400092543"/>
    <n v="5.8745895293066397E-2"/>
    <n v="0.32677560944613937"/>
    <n v="1.0315400000002195E-3"/>
    <n v="0.72541189336512435"/>
    <n v="0.73024296910388919"/>
    <n v="0.70925328231949969"/>
    <n v="0.769673009769134"/>
    <n v="-3.2911023388497718"/>
    <n v="86.827819405473392"/>
    <n v="1.0559670435942525"/>
    <n v="-0.10431452523701479"/>
    <n v="1.3342920000000008E-2"/>
    <n v="0.14901640999999965"/>
    <n v="0.11414177000000011"/>
  </r>
  <r>
    <x v="45"/>
    <x v="1"/>
    <x v="1"/>
    <x v="1"/>
    <x v="1"/>
    <x v="195"/>
    <n v="-6.5036399999989953"/>
    <n v="-0.81458657015238689"/>
    <n v="0.3203781934982608"/>
    <n v="-0.30238484829774315"/>
    <n v="-0.44306320475555605"/>
    <n v="6.3965713937896851E-2"/>
    <n v="0.32133709792749876"/>
    <n v="8.5672000000036608E-4"/>
    <n v="0.71729446918313844"/>
    <n v="0.72479526930220306"/>
    <n v="0.71204345885771403"/>
    <n v="0.75770130415930836"/>
    <n v="-3.3153572428957001"/>
    <n v="86.979544474651789"/>
    <n v="1.0445376215851399"/>
    <n v="-0.10217973140902448"/>
    <n v="1.4284149999999919E-2"/>
    <n v="0.14503811000000019"/>
    <n v="0.11344271999999961"/>
  </r>
  <r>
    <x v="46"/>
    <x v="1"/>
    <x v="1"/>
    <x v="1"/>
    <x v="1"/>
    <x v="196"/>
    <n v="-6.9713799999990442"/>
    <n v="-0.78472822529458419"/>
    <n v="0.31531048955062424"/>
    <n v="-0.27690065107572881"/>
    <n v="-0.4374645444155334"/>
    <n v="6.9068573806396749E-2"/>
    <n v="0.31607590194753232"/>
    <n v="6.8394999999943362E-4"/>
    <n v="0.70935878065947477"/>
    <n v="0.71937825032426517"/>
    <n v="0.71448446306676683"/>
    <n v="0.74605600915254033"/>
    <n v="-3.3399414293733054"/>
    <n v="87.137310521021931"/>
    <n v="1.0334990729333526"/>
    <n v="-9.9899305594564058E-2"/>
    <n v="1.5268210000000081E-2"/>
    <n v="0.14106835000000026"/>
    <n v="0.11273538000000013"/>
  </r>
  <r>
    <x v="47"/>
    <x v="1"/>
    <x v="1"/>
    <x v="1"/>
    <x v="1"/>
    <x v="197"/>
    <n v="-7.4541700000008859"/>
    <n v="-0.75586399708449381"/>
    <n v="0.31033185058841894"/>
    <n v="-0.25169077531729256"/>
    <n v="-0.4320635943206419"/>
    <n v="7.399992398529065E-2"/>
    <n v="0.31091236543030476"/>
    <n v="5.1880999999975863E-4"/>
    <n v="0.70148513792316347"/>
    <n v="0.71386500724863744"/>
    <n v="0.71642792933959143"/>
    <n v="0.73462461342799212"/>
    <n v="-3.364860194483843"/>
    <n v="87.303254693460588"/>
    <n v="1.0226531952802098"/>
    <n v="-9.7501694129376038E-2"/>
    <n v="1.6271380000000037E-2"/>
    <n v="0.13710946999999987"/>
    <n v="0.11197239999999956"/>
  </r>
  <r>
    <x v="48"/>
    <x v="1"/>
    <x v="1"/>
    <x v="1"/>
    <x v="1"/>
    <x v="198"/>
    <n v="-7.9416100000016741"/>
    <n v="-0.72798947967652738"/>
    <n v="0.30537039707401181"/>
    <n v="-0.22681158055058992"/>
    <n v="-0.42678812444463254"/>
    <n v="7.8714018493775129E-2"/>
    <n v="0.30577959489630491"/>
    <n v="3.6570000000041292E-4"/>
    <n v="0.69357098326849886"/>
    <n v="0.70814845647233504"/>
    <n v="0.71774975719827161"/>
    <n v="0.72331020053801875"/>
    <n v="-3.3900644542513736"/>
    <n v="87.478367925651341"/>
    <n v="1.0118278374620315"/>
    <n v="-9.5011781147191776E-2"/>
    <n v="1.7271349999999942E-2"/>
    <n v="0.13316401999999977"/>
    <n v="0.11111532000000063"/>
  </r>
  <r>
    <x v="49"/>
    <x v="1"/>
    <x v="1"/>
    <x v="1"/>
    <x v="1"/>
    <x v="199"/>
    <n v="-8.4238899999982095"/>
    <n v="-0.70109452609712353"/>
    <n v="0.3003686827889096"/>
    <n v="-0.20231689275103104"/>
    <n v="-0.42157393592728853"/>
    <n v="8.3173716821405286E-2"/>
    <n v="0.30062364530747399"/>
    <n v="2.2786999999968582E-4"/>
    <n v="0.6855314548610103"/>
    <n v="0.70214064117000152"/>
    <n v="0.71835022901345358"/>
    <n v="0.7120316896384038"/>
    <n v="-3.4154588928963614"/>
    <n v="87.662625894538166"/>
    <n v="1.0008775527045044"/>
    <n v="-9.245097068174557E-2"/>
    <n v="1.8247381999999916E-2"/>
    <n v="0.12923481000000001"/>
    <n v="0.11013459000000017"/>
  </r>
  <r>
    <x v="50"/>
    <x v="1"/>
    <x v="1"/>
    <x v="1"/>
    <x v="1"/>
    <x v="200"/>
    <n v="-8.8919000000023516"/>
    <n v="-0.67516446456507007"/>
    <n v="0.29528303876984463"/>
    <n v="-0.17825754112661407"/>
    <n v="-0.41636514773308875"/>
    <n v="8.7350899315019603E-2"/>
    <n v="0.29540320782044382"/>
    <n v="1.0745000000034199E-4"/>
    <n v="0.67729863650709543"/>
    <n v="0.69577269783582807"/>
    <n v="0.71815334700449096"/>
    <n v="0.70072333025574807"/>
    <n v="-3.4409104062770646"/>
    <n v="87.855127290543635"/>
    <n v="0.98968363578313401"/>
    <n v="-8.9837929223324231E-2"/>
    <n v="1.918057899999992E-2"/>
    <n v="0.12532491000000062"/>
    <n v="0.10900915000000011"/>
  </r>
  <r>
    <x v="0"/>
    <x v="1"/>
    <x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0"/>
    <x v="0"/>
    <x v="201"/>
    <n v="45.244790000000648"/>
    <n v="-5.3528116045175604"/>
    <n v="0.10025266040705194"/>
    <n v="0.52967158170886819"/>
    <n v="-0.15463884121831306"/>
    <n v="-0.32404517441534386"/>
    <n v="0.14591599957676227"/>
    <n v="4.0864929999999411E-2"/>
    <n v="0.4570747054342128"/>
    <n v="0.12074166654827412"/>
    <n v="-0.59125127393014898"/>
    <n v="0.83131872467516743"/>
    <n v="0.2584030389623404"/>
    <n v="-9.8039221185786118E-8"/>
    <n v="2.9061733759183639E-2"/>
    <n v="-0.41186346267928498"/>
    <n v="-0.13512188999999925"/>
    <n v="0.12159973000000004"/>
    <n v="6.0991590000000068E-3"/>
  </r>
  <r>
    <x v="2"/>
    <x v="1"/>
    <x v="2"/>
    <x v="0"/>
    <x v="0"/>
    <x v="202"/>
    <n v="93.725740000001679"/>
    <n v="-8.4840878006876235"/>
    <n v="0.25695606030293749"/>
    <n v="0.98698699538166679"/>
    <n v="-0.40741494904512621"/>
    <n v="-0.47321961308079974"/>
    <n v="0.3126893845740053"/>
    <n v="4.9793880000000013E-2"/>
    <n v="0.58648298674885968"/>
    <n v="0.30635303699888539"/>
    <n v="-0.31852335609523497"/>
    <n v="0.9328159352817833"/>
    <n v="0.50138004565418726"/>
    <n v="-9.6116881120877906E-8"/>
    <n v="0.2051128970871563"/>
    <n v="-0.42084568769783504"/>
    <n v="-0.26795462000000075"/>
    <n v="0.16557077999999997"/>
    <n v="0.12098935500000005"/>
  </r>
  <r>
    <x v="3"/>
    <x v="1"/>
    <x v="2"/>
    <x v="0"/>
    <x v="0"/>
    <x v="203"/>
    <n v="127.4437399999988"/>
    <n v="-10.221356699899575"/>
    <n v="0.40742734929990476"/>
    <n v="1.3155142265483422"/>
    <n v="-0.72983976355317504"/>
    <n v="-0.49642161414972241"/>
    <n v="0.44829625228681724"/>
    <n v="3.6464270000000076E-2"/>
    <n v="0.76957156300219154"/>
    <n v="0.54288452302868606"/>
    <n v="1.8376227811200962E-3"/>
    <n v="1.0869986834937118"/>
    <n v="0.74755241126380767"/>
    <n v="-9.4232244229885964E-8"/>
    <n v="0.41643512181315234"/>
    <n v="-0.46354000762618419"/>
    <n v="-0.35073365999999939"/>
    <n v="0.16066806000000003"/>
    <n v="0.21503165199999999"/>
  </r>
  <r>
    <x v="4"/>
    <x v="1"/>
    <x v="2"/>
    <x v="0"/>
    <x v="0"/>
    <x v="204"/>
    <n v="140.98293999999805"/>
    <n v="-11.155550599667485"/>
    <n v="0.52273562855047473"/>
    <n v="1.5281815715047387"/>
    <n v="-1.0939199747264983"/>
    <n v="-0.45921809762626831"/>
    <n v="0.53826611489500298"/>
    <n v="1.3844269999999104E-2"/>
    <n v="0.9701669415103753"/>
    <n v="0.79449958176687208"/>
    <n v="0.3310016204683075"/>
    <n v="1.2616061753715657"/>
    <n v="0.98343714956983241"/>
    <n v="-1.8476907781561636E-7"/>
    <n v="0.63598984352379873"/>
    <n v="-0.52103949146167228"/>
    <n v="-0.37466904000000023"/>
    <n v="0.12669773000000029"/>
    <n v="0.27614666599999999"/>
  </r>
  <r>
    <x v="5"/>
    <x v="1"/>
    <x v="2"/>
    <x v="0"/>
    <x v="0"/>
    <x v="205"/>
    <n v="135.68411999999807"/>
    <n v="-11.628422885367229"/>
    <n v="0.59699163107651554"/>
    <n v="1.6578348998594894"/>
    <n v="-1.4706581803436758"/>
    <n v="-0.3993318627572795"/>
    <n v="0.58995719845560401"/>
    <n v="-6.2673799999996005E-3"/>
    <n v="1.1613542180909597"/>
    <n v="1.0318503807048129"/>
    <n v="0.63722690963978756"/>
    <n v="1.4301103622574196"/>
    <n v="1.1928211178347636"/>
    <n v="-1.8114615363273856E-7"/>
    <n v="0.85249232231667804"/>
    <n v="-0.56806189879023972"/>
    <n v="-0.34838590000000058"/>
    <n v="7.6187900000000003E-2"/>
    <n v="0.30665740899999994"/>
  </r>
  <r>
    <x v="6"/>
    <x v="1"/>
    <x v="2"/>
    <x v="0"/>
    <x v="0"/>
    <x v="206"/>
    <n v="116.03720999999859"/>
    <n v="-11.831541924531397"/>
    <n v="0.63458337576423052"/>
    <n v="1.7373563754478072"/>
    <n v="-1.8341851967402456"/>
    <n v="-0.33528940851105249"/>
    <n v="0.61237639275069089"/>
    <n v="-1.9781269999999407E-2"/>
    <n v="1.3274729033712962"/>
    <n v="1.2374587117949476"/>
    <n v="0.90192949014780144"/>
    <n v="1.5764001402632566"/>
    <n v="1.3655949354701491"/>
    <n v="-2.6639142003404004E-7"/>
    <n v="1.0558068864376269"/>
    <n v="-0.5932396453677935"/>
    <n v="-0.28690848000000047"/>
    <n v="1.768590999999993E-2"/>
    <n v="0.31253367399999998"/>
  </r>
  <r>
    <x v="7"/>
    <x v="1"/>
    <x v="2"/>
    <x v="0"/>
    <x v="0"/>
    <x v="207"/>
    <n v="87.40882000000056"/>
    <n v="-11.871910597783675"/>
    <n v="0.64300573553683904"/>
    <n v="1.7924718869753997"/>
    <n v="-2.164816469872255"/>
    <n v="-0.27527698254377064"/>
    <n v="0.6128923191114577"/>
    <n v="-2.6823959999999758E-2"/>
    <n v="1.4615076550924311"/>
    <n v="1.4037130789629426"/>
    <n v="1.1175237337839317"/>
    <n v="1.6929888226079992"/>
    <n v="1.4983454089750881"/>
    <n v="-1.7411204700223948E-7"/>
    <n v="1.2366609499513626"/>
    <n v="-0.59643016999145759"/>
    <n v="-0.20574652999999915"/>
    <n v="-4.2655800000000049E-2"/>
    <n v="0.30030905299999994"/>
  </r>
  <r>
    <x v="8"/>
    <x v="1"/>
    <x v="2"/>
    <x v="0"/>
    <x v="0"/>
    <x v="208"/>
    <n v="54.761210000000574"/>
    <n v="-11.809649343805816"/>
    <n v="0.62993792474332899"/>
    <n v="1.8404224649049006"/>
    <n v="-2.4499098699652277"/>
    <n v="-0.222278386717778"/>
    <n v="0.59753139936200572"/>
    <n v="-2.8871010000000585E-2"/>
    <n v="1.5619879164472161"/>
    <n v="1.5294841013282046"/>
    <n v="1.2836188735858567"/>
    <n v="1.7780886053143208"/>
    <n v="1.5924226148646747"/>
    <n v="-2.5604711684223957E-7"/>
    <n v="1.3883393606065608"/>
    <n v="-0.58272252478847042"/>
    <n v="-0.11805676999999959"/>
    <n v="-0.10051131000000033"/>
    <n v="0.27609861500000005"/>
  </r>
  <r>
    <x v="9"/>
    <x v="1"/>
    <x v="2"/>
    <x v="0"/>
    <x v="0"/>
    <x v="209"/>
    <n v="22.069350000001577"/>
    <n v="-11.679001568301416"/>
    <n v="0.60228433029327899"/>
    <n v="1.8911319088694034"/>
    <n v="-2.6831723244140071"/>
    <n v="-0.17674584052679299"/>
    <n v="0.57142553662850037"/>
    <n v="-2.7499190000000728E-2"/>
    <n v="1.630607157376418"/>
    <n v="1.6173122026567066"/>
    <n v="1.4038370230922581"/>
    <n v="1.8331988275743338"/>
    <n v="1.6518337975677921"/>
    <n v="-1.6735104413356794E-7"/>
    <n v="1.5074504923707766"/>
    <n v="-0.55825375175030389"/>
    <n v="-3.3665369999999473E-2"/>
    <n v="-0.15308532000000014"/>
    <n v="0.24516679699999999"/>
  </r>
  <r>
    <x v="10"/>
    <x v="1"/>
    <x v="2"/>
    <x v="0"/>
    <x v="0"/>
    <x v="210"/>
    <n v="-7.8294399999977031"/>
    <n v="-11.49992311213145"/>
    <n v="0.5658829907172036"/>
    <n v="1.9491112746374162"/>
    <n v="-2.863272296476238"/>
    <n v="-0.1379697518533396"/>
    <n v="0.53892321966282353"/>
    <n v="-2.4032499999999957E-2"/>
    <n v="1.6706693333247591"/>
    <n v="1.6715221674151959"/>
    <n v="1.4836815201051401"/>
    <n v="1.8614830036839169"/>
    <n v="1.6816894821839456"/>
    <n v="-2.4610449234074849E-7"/>
    <n v="1.5936857001414007"/>
    <n v="-0.52820773424976375"/>
    <n v="4.0902950000000493E-2"/>
    <n v="-0.1988272900000001"/>
    <n v="0.21170435800000001"/>
  </r>
  <r>
    <x v="11"/>
    <x v="1"/>
    <x v="2"/>
    <x v="0"/>
    <x v="0"/>
    <x v="211"/>
    <n v="-33.155770000001212"/>
    <n v="-11.284477972507522"/>
    <n v="0.52540332147323898"/>
    <n v="2.0152758587707931"/>
    <n v="-2.9923509109223922"/>
    <n v="-0.10480278689236622"/>
    <n v="0.50352928870562863"/>
    <n v="-1.9505860000000597E-2"/>
    <n v="1.6861575645019"/>
    <n v="1.6970945753300937"/>
    <n v="1.5292723036976597"/>
    <n v="1.8667870804996989"/>
    <n v="1.6872582788949098"/>
    <n v="-2.4127890796421525E-7"/>
    <n v="1.6490633488188688"/>
    <n v="-0.49624242310882805"/>
    <n v="0.10194337999999969"/>
    <n v="-0.23712611999999988"/>
    <n v="0.17876027000000008"/>
  </r>
  <r>
    <x v="12"/>
    <x v="1"/>
    <x v="2"/>
    <x v="0"/>
    <x v="0"/>
    <x v="212"/>
    <n v="-53.008910000000469"/>
    <n v="-11.040397957108606"/>
    <n v="0.48432727318388213"/>
    <n v="2.0883823829394688"/>
    <n v="-3.0747287966441772"/>
    <n v="-7.6051912487939966E-2"/>
    <n v="0.46785309540857689"/>
    <n v="-1.4695800000000259E-2"/>
    <n v="1.6811963644175698"/>
    <n v="1.699035864768117"/>
    <n v="1.546651751698036"/>
    <n v="1.8530797547487987"/>
    <n v="1.6734703140575791"/>
    <n v="-2.3654795899830106E-7"/>
    <n v="1.6770661372323081"/>
    <n v="-0.46461071914297714"/>
    <n v="0.14795150999999951"/>
    <n v="-0.26802058999999995"/>
    <n v="0.14830578100000005"/>
  </r>
  <r>
    <x v="13"/>
    <x v="1"/>
    <x v="2"/>
    <x v="0"/>
    <x v="0"/>
    <x v="213"/>
    <n v="-67.161770000002434"/>
    <n v="-10.773083657556636"/>
    <n v="0.44501298009058665"/>
    <n v="2.1660569485400405"/>
    <n v="-3.115904632773836"/>
    <n v="-5.0681280313080723E-2"/>
    <n v="0.43363861230560907"/>
    <n v="-1.0149980000000169E-2"/>
    <n v="1.6597474406581991"/>
    <n v="1.6820440950212401"/>
    <n v="1.5414254581339604"/>
    <n v="1.8241461042353802"/>
    <n v="1.6446994362311784"/>
    <n v="-2.3190975806386405E-7"/>
    <n v="1.6818910498253903"/>
    <n v="-0.43451243804584205"/>
    <n v="0.17901936999999979"/>
    <n v="-0.29195693999999989"/>
    <n v="0.121392746"/>
  </r>
  <r>
    <x v="14"/>
    <x v="1"/>
    <x v="2"/>
    <x v="0"/>
    <x v="0"/>
    <x v="214"/>
    <n v="-75.866720000001806"/>
    <n v="-10.486729914971093"/>
    <n v="0.40883649024234803"/>
    <n v="2.2454835738985102"/>
    <n v="-3.1218359420615349"/>
    <n v="-2.7897587755143505E-2"/>
    <n v="0.40187595975784696"/>
    <n v="-6.213189999999813E-3"/>
    <n v="1.6254397230671236"/>
    <n v="1.6503404635688224"/>
    <n v="1.5185910149625004"/>
    <n v="1.7834251377411015"/>
    <n v="1.6046962289653077"/>
    <n v="-2.2736250659960433E-7"/>
    <n v="1.6678890644530542"/>
    <n v="-0.40645262563960838"/>
    <n v="0.19631053999999981"/>
    <n v="-0.30960561999999991"/>
    <n v="9.8360745999999999E-2"/>
  </r>
  <r>
    <x v="15"/>
    <x v="1"/>
    <x v="2"/>
    <x v="0"/>
    <x v="0"/>
    <x v="215"/>
    <n v="-79.687880000001314"/>
    <n v="-10.184942703509947"/>
    <n v="0.37638734991065625"/>
    <n v="2.3238419341449656"/>
    <n v="-3.0984528733102756"/>
    <n v="-7.1603430448652361E-3"/>
    <n v="0.37296322577027308"/>
    <n v="-3.0574099999999826E-3"/>
    <n v="1.5814808441206862"/>
    <n v="1.6075972162216123"/>
    <n v="1.4824700427625848"/>
    <n v="1.7339332005284147"/>
    <n v="1.5565989154952442"/>
    <n v="-2.2290441714645226E-7"/>
    <n v="1.639194005517508"/>
    <n v="-0.38052181670092944"/>
    <n v="0.20163194000000079"/>
    <n v="-0.32173384999999999"/>
    <n v="7.9052634000000011E-2"/>
  </r>
  <r>
    <x v="16"/>
    <x v="1"/>
    <x v="2"/>
    <x v="0"/>
    <x v="0"/>
    <x v="216"/>
    <n v="-79.364859999997861"/>
    <n v="-9.8710520117541662"/>
    <n v="0.34768478844668937"/>
    <n v="2.3985687806651557"/>
    <n v="-3.0513490834318535"/>
    <n v="1.1850911515831619E-2"/>
    <n v="0.34688048785587178"/>
    <n v="-7.1834999999936811E-4"/>
    <n v="1.5306214857533806"/>
    <n v="1.5569207823098008"/>
    <n v="1.4367028922525726"/>
    <n v="1.6782375330498311"/>
    <n v="1.5029767486477885"/>
    <n v="-2.1853374665425918E-7"/>
    <n v="1.5995070259743782"/>
    <n v="-0.35659026692663742"/>
    <n v="0.19710129999999937"/>
    <n v="-0.32912359999999996"/>
    <n v="6.3009866999999983E-2"/>
  </r>
  <r>
    <x v="17"/>
    <x v="1"/>
    <x v="2"/>
    <x v="0"/>
    <x v="0"/>
    <x v="217"/>
    <n v="-75.707580000002054"/>
    <n v="-9.5482426385712582"/>
    <n v="0.32238357898850545"/>
    <n v="2.4674990733354107"/>
    <n v="-2.9856012984551428"/>
    <n v="2.9289884974992297E-2"/>
    <n v="0.32335131489147351"/>
    <n v="8.6455000000013049E-4"/>
    <n v="1.4751548322643471"/>
    <n v="1.5008718250152819"/>
    <n v="1.3842802153809064"/>
    <n v="1.6184645478942272"/>
    <n v="1.4458908786659341"/>
    <n v="-2.1424875207287641E-7"/>
    <n v="1.5519965008599979"/>
    <n v="-0.33442908340372002"/>
    <n v="0.18490117"/>
    <n v="-0.33252253999999992"/>
    <n v="4.9631641000000018E-2"/>
  </r>
  <r>
    <x v="18"/>
    <x v="1"/>
    <x v="2"/>
    <x v="0"/>
    <x v="0"/>
    <x v="218"/>
    <n v="-69.519520000001648"/>
    <n v="-9.2195788980513615"/>
    <n v="0.29994887272215554"/>
    <n v="2.5289253864578587"/>
    <n v="-2.9056793939671866"/>
    <n v="4.5200427729485959E-2"/>
    <n v="0.3019741971859391"/>
    <n v="1.8096900000000304E-3"/>
    <n v="1.4169410902238111"/>
    <n v="1.4415076521702819"/>
    <n v="1.327599002864388"/>
    <n v="1.5563283281462503"/>
    <n v="1.3869589355568479"/>
    <n v="-2.1004781247668802E-7"/>
    <n v="1.4992761066701776"/>
    <n v="-0.31378148536922446"/>
    <n v="0.16710794999999917"/>
    <n v="-0.33261742000000005"/>
    <n v="3.8292311000000072E-2"/>
  </r>
  <r>
    <x v="19"/>
    <x v="1"/>
    <x v="2"/>
    <x v="0"/>
    <x v="0"/>
    <x v="219"/>
    <n v="-61.545760000000882"/>
    <n v="-8.8879744607462392"/>
    <n v="0.27978996658659661"/>
    <n v="2.5816023933866505"/>
    <n v="-2.8154195133067494"/>
    <n v="5.9567135267024618E-2"/>
    <n v="0.28231957441793298"/>
    <n v="2.2606899999999541E-3"/>
    <n v="1.3574475076651993"/>
    <n v="1.3804384076196996"/>
    <n v="1.268532551902557"/>
    <n v="1.4931736767510806"/>
    <n v="1.3274206924398291"/>
    <n v="-2.0592922922446633E-7"/>
    <n v="1.4434322796113008"/>
    <n v="-0.29440158196925026"/>
    <n v="0.14558325999999983"/>
    <n v="-0.33002188999999987"/>
    <n v="2.8418780999999935E-2"/>
  </r>
  <r>
    <x v="20"/>
    <x v="1"/>
    <x v="2"/>
    <x v="0"/>
    <x v="0"/>
    <x v="220"/>
    <n v="-52.441439999998693"/>
    <n v="-8.5561401732541462"/>
    <n v="0.26135070334960542"/>
    <n v="2.6247159794905883"/>
    <n v="-2.7180390180063907"/>
    <n v="7.2354550455977495E-2"/>
    <n v="0.26399278755622202"/>
    <n v="2.3617399999995015E-3"/>
    <n v="1.2977974195437891"/>
    <n v="1.3188896188384591"/>
    <n v="1.208505899193657"/>
    <n v="1.4300248457179698"/>
    <n v="1.2682010825337375"/>
    <n v="-2.0189140359505586E-7"/>
    <n v="1.3860793815595684"/>
    <n v="-0.27607168289923711"/>
    <n v="0.12191548000000108"/>
    <n v="-0.3252730199999998"/>
    <n v="1.9533740000000042E-2"/>
  </r>
  <r>
    <x v="21"/>
    <x v="1"/>
    <x v="2"/>
    <x v="0"/>
    <x v="0"/>
    <x v="221"/>
    <n v="-42.756570000001375"/>
    <n v="-8.2265312700986133"/>
    <n v="0.24416233654285247"/>
    <n v="2.6578313348297078"/>
    <n v="-2.6161782490668917"/>
    <n v="8.353367204096962E-2"/>
    <n v="0.24666940298530005"/>
    <n v="2.2413700000001313E-3"/>
    <n v="1.2388221878228522"/>
    <n v="1.2577658021605709"/>
    <n v="1.1485717164259723"/>
    <n v="1.3676370159586337"/>
    <n v="1.209967948176649"/>
    <n v="-1.9793274796953142E-7"/>
    <n v="1.3284272594475732"/>
    <n v="-0.25861063887053781"/>
    <n v="9.7399420000000847E-2"/>
    <n v="-0.31883304999999995"/>
    <n v="1.1272422000000067E-2"/>
  </r>
  <r>
    <x v="22"/>
    <x v="1"/>
    <x v="2"/>
    <x v="0"/>
    <x v="0"/>
    <x v="222"/>
    <n v="-32.932930000002671"/>
    <n v="-7.901305945730341"/>
    <n v="0.2278661601233134"/>
    <n v="2.6808304410046446"/>
    <n v="-2.5119579010987714"/>
    <n v="9.3096967753236726E-2"/>
    <n v="0.2301070979092934"/>
    <n v="2.0038E-3"/>
    <n v="1.1811129413335397"/>
    <n v="1.197710053982437"/>
    <n v="1.0894809460612942"/>
    <n v="1.3065450561674075"/>
    <n v="1.1531837901770592"/>
    <n v="-1.9405170803565852E-7"/>
    <n v="1.2713512008359684"/>
    <n v="-0.24187269553516133"/>
    <n v="7.3043429999999909E-2"/>
    <n v="-0.31109393000000007"/>
    <n v="3.3807579999999698E-3"/>
  </r>
  <r>
    <x v="23"/>
    <x v="1"/>
    <x v="2"/>
    <x v="0"/>
    <x v="0"/>
    <x v="223"/>
    <n v="-23.309559999997873"/>
    <n v="-7.5823006568837332"/>
    <n v="0.21221391496482056"/>
    <n v="2.6938472564770333"/>
    <n v="-2.4070437448208137"/>
    <n v="0.1010640884129943"/>
    <n v="0.21414410667663919"/>
    <n v="1.7261399999995986E-3"/>
    <n v="1.1250675525077414"/>
    <n v="1.1391589401516855"/>
    <n v="1.0317465623734812"/>
    <n v="1.2471088926905294"/>
    <n v="1.0981509948928547"/>
    <n v="-2.5366236888757498E-7"/>
    <n v="1.2154581992005475"/>
    <n v="-0.22574493475661095"/>
    <n v="4.9594310000000696E-2"/>
    <n v="-0.30238341999999985"/>
    <n v="-4.2980680000000507E-3"/>
  </r>
  <r>
    <x v="24"/>
    <x v="1"/>
    <x v="2"/>
    <x v="0"/>
    <x v="0"/>
    <x v="224"/>
    <n v="-14.133480000000418"/>
    <n v="-7.2710231495614508"/>
    <n v="0.19705497938526939"/>
    <n v="2.697206001360053"/>
    <n v="-2.3027127161747041"/>
    <n v="0.10748107421683084"/>
    <n v="0.19868695267257763"/>
    <n v="1.4597599999999211E-3"/>
    <n v="1.0709336014116833"/>
    <n v="1.082389378678239"/>
    <n v="0.97569805419610578"/>
    <n v="1.1895525899013881"/>
    <n v="1.0450492220724472"/>
    <n v="-2.4868859194171478E-7"/>
    <n v="1.1611458078495396"/>
    <n v="-0.21014303338363627"/>
    <n v="2.7572369999999402E-2"/>
    <n v="-0.29297172999999987"/>
    <n v="-1.184290300000005E-2"/>
  </r>
  <r>
    <x v="25"/>
    <x v="1"/>
    <x v="2"/>
    <x v="0"/>
    <x v="0"/>
    <x v="225"/>
    <n v="-5.5732799999968847"/>
    <n v="-6.9686612405061137"/>
    <n v="0.18231578235501367"/>
    <n v="2.6913660382654747"/>
    <n v="-2.1999163919752873"/>
    <n v="0.1124156673647736"/>
    <n v="0.18369525492689665"/>
    <n v="1.2340700000001981E-3"/>
    <n v="1.0188436480408347"/>
    <n v="1.0275577445331585"/>
    <n v="0.92152710644726188"/>
    <n v="1.1339971951022987"/>
    <n v="0.99396637705086999"/>
    <n v="-2.4381235919079813E-7"/>
    <n v="1.1086522957309164"/>
    <n v="-0.19500563154125627"/>
    <n v="7.3106000000003335E-3"/>
    <n v="-0.28307832000000027"/>
    <n v="-1.927548799999998E-2"/>
  </r>
  <r>
    <x v="26"/>
    <x v="1"/>
    <x v="2"/>
    <x v="0"/>
    <x v="0"/>
    <x v="226"/>
    <n v="2.2665500000002794"/>
    <n v="-6.6761040841454511"/>
    <n v="0.16797840505469175"/>
    <n v="2.6768753059220218"/>
    <n v="-2.0993394960993284"/>
    <n v="0.11595088703504342"/>
    <n v="0.16916476027462046"/>
    <n v="1.0614600000000141E-3"/>
    <n v="0.96884573111810646"/>
    <n v="0.97473224502597766"/>
    <n v="0.86932457741044633"/>
    <n v="1.0804885405214737"/>
    <n v="0.94492349699777378"/>
    <n v="-2.3903171664230172E-7"/>
    <n v="1.0580978825529108"/>
    <n v="-0.18029107795165533"/>
    <n v="-1.1006410000000133E-2"/>
    <n v="-0.27287861999999996"/>
    <n v="-2.658001399999995E-2"/>
  </r>
  <r>
    <x v="27"/>
    <x v="1"/>
    <x v="2"/>
    <x v="0"/>
    <x v="0"/>
    <x v="227"/>
    <n v="9.3316799999993236"/>
    <n v="-6.393971630175721"/>
    <n v="0.1540593345051855"/>
    <n v="2.65433312133454"/>
    <n v="-2.0014518405447324"/>
    <n v="0.11817835986824843"/>
    <n v="0.15511252940656473"/>
    <n v="9.4238000000052002E-4"/>
    <n v="0.920927265812721"/>
    <n v="0.92391838447045682"/>
    <n v="0.81910942218124116"/>
    <n v="1.0290183439562783"/>
    <n v="0.89789427537214639"/>
    <n v="-2.343448102237744E-7"/>
    <n v="1.0095173928428292"/>
    <n v="-0.16597217731528779"/>
    <n v="-2.7306850000000105E-2"/>
    <n v="-0.2625102800000001"/>
    <n v="-3.3719651999999933E-2"/>
  </r>
  <r>
    <x v="28"/>
    <x v="1"/>
    <x v="2"/>
    <x v="0"/>
    <x v="0"/>
    <x v="228"/>
    <n v="15.605579999999463"/>
    <n v="-6.122649214368991"/>
    <n v="0.14059245116264663"/>
    <n v="2.6243615828793976"/>
    <n v="-1.9065533186874206"/>
    <n v="0.11919257459975796"/>
    <n v="0.1415644373739422"/>
    <n v="8.6989000000065042E-4"/>
    <n v="0.87503429949431499"/>
    <n v="0.87507835351980923"/>
    <n v="0.77085137056094322"/>
    <n v="0.97954192147622354"/>
    <n v="0.85282001908519867"/>
    <n v="-2.297498191694558E-7"/>
    <n v="0.96288636047021647"/>
    <n v="-0.15203347053612815"/>
    <n v="-4.1600719999999869E-2"/>
    <n v="-0.25207905000000019"/>
    <n v="-4.0649329999999963E-2"/>
  </r>
  <r>
    <x v="29"/>
    <x v="1"/>
    <x v="2"/>
    <x v="0"/>
    <x v="0"/>
    <x v="229"/>
    <n v="21.098840000002383"/>
    <n v="-5.8623233396429715"/>
    <n v="0.12761577798612311"/>
    <n v="2.5875849563053999"/>
    <n v="-1.8148122063457728"/>
    <n v="0.11908653346739406"/>
    <n v="0.12854693048161003"/>
    <n v="8.3342000000014016E-4"/>
    <n v="0.83108579492081613"/>
    <n v="0.82814679917717626"/>
    <n v="0.72448807201324072"/>
    <n v="0.93199022676924148"/>
    <n v="0.80962108006861211"/>
    <n v="-2.8155615616753948E-7"/>
    <n v="0.91813993234526325"/>
    <n v="-0.13846842387104097"/>
    <n v="-5.3954389999999464E-2"/>
    <n v="-0.24166416000000018"/>
    <n v="-4.7324661000000025E-2"/>
  </r>
  <r>
    <x v="30"/>
    <x v="1"/>
    <x v="2"/>
    <x v="0"/>
    <x v="0"/>
    <x v="230"/>
    <n v="25.840570000000298"/>
    <n v="-5.6130169149877336"/>
    <n v="0.11516285230050993"/>
    <n v="2.5446158031617649"/>
    <n v="-1.7262968352460106"/>
    <n v="0.1179488795576944"/>
    <n v="0.11608065336807805"/>
    <n v="8.215300000002923E-4"/>
    <n v="0.78898531838085262"/>
    <n v="0.7830414471706959"/>
    <n v="0.67993795761120968"/>
    <n v="0.8862807462824529"/>
    <n v="0.76820597787790046"/>
    <n v="-2.2082835560155445E-7"/>
    <n v="0.87518813314841903"/>
    <n v="-0.12527747467823147"/>
    <n v="-6.4470560000000343E-2"/>
    <n v="-0.23132322000000011"/>
    <n v="-5.3707411999999975E-2"/>
  </r>
  <r>
    <x v="31"/>
    <x v="1"/>
    <x v="2"/>
    <x v="0"/>
    <x v="0"/>
    <x v="231"/>
    <n v="29.871699999999691"/>
    <n v="-5.3746216505647926"/>
    <n v="0.10325795462182707"/>
    <n v="2.4960462124202332"/>
    <n v="-1.6410018235556767"/>
    <n v="0.11586257507574249"/>
    <n v="0.10417797818682573"/>
    <n v="8.237199999996947E-4"/>
    <n v="0.74862912409268123"/>
    <n v="0.73967182766365713"/>
    <n v="0.63710966746690634"/>
    <n v="0.84232367242838002"/>
    <n v="0.72847729182514698"/>
    <n v="-2.1649838588544412E-7"/>
    <n v="0.83392671635373894"/>
    <n v="-0.11246594273037758"/>
    <n v="-7.3273170000000276E-2"/>
    <n v="-0.22109653000000029"/>
    <n v="-5.9768158999999946E-2"/>
  </r>
  <r>
    <x v="32"/>
    <x v="1"/>
    <x v="2"/>
    <x v="0"/>
    <x v="0"/>
    <x v="232"/>
    <n v="33.239979999998468"/>
    <n v="-5.1469271941001811"/>
    <n v="9.1913948463107076E-2"/>
    <n v="2.4424429759536403"/>
    <n v="-1.5588692319878583"/>
    <n v="0.11290471306448779"/>
    <n v="9.2842593850073207E-2"/>
    <n v="8.3151999999975246E-4"/>
    <n v="0.70991184914230843"/>
    <n v="0.69794543104875206"/>
    <n v="0.59590910410520781"/>
    <n v="0.80002797626119726"/>
    <n v="0.69033705194305739"/>
    <n v="-2.6531664643059116E-7"/>
    <n v="0.79424474395397571"/>
    <n v="-0.10004338443289074"/>
    <n v="-8.0496520000000737E-2"/>
    <n v="-0.21101092000000016"/>
    <n v="-6.5486815000000143E-2"/>
  </r>
  <r>
    <x v="33"/>
    <x v="1"/>
    <x v="2"/>
    <x v="0"/>
    <x v="0"/>
    <x v="233"/>
    <n v="35.996339999997872"/>
    <n v="-4.9296460394949619"/>
    <n v="8.1132957046969878E-2"/>
    <n v="2.3843455544225955"/>
    <n v="-1.4798055105314845"/>
    <n v="0.10914706440747768"/>
    <n v="8.2069748789725949E-2"/>
    <n v="8.3886000000060745E-4"/>
    <n v="0.67273149005131483"/>
    <n v="0.65777210455633117"/>
    <n v="0.55624442191575252"/>
    <n v="0.75930514565847318"/>
    <n v="0.65369007816478142"/>
    <n v="-2.601143633818026E-7"/>
    <n v="0.75603159581032475"/>
    <n v="-8.8022043378288561E-2"/>
    <n v="-8.6277760000000314E-2"/>
    <n v="-0.20108305000000015"/>
    <n v="-7.0851778000000087E-2"/>
  </r>
  <r>
    <x v="34"/>
    <x v="1"/>
    <x v="2"/>
    <x v="0"/>
    <x v="0"/>
    <x v="234"/>
    <n v="38.192540000000008"/>
    <n v="-4.7224346245202442"/>
    <n v="7.0908220222198892E-2"/>
    <n v="2.3222658596492085"/>
    <n v="-1.4036950145862592"/>
    <n v="0.10465742193221939"/>
    <n v="7.1848414493458357E-2"/>
    <n v="8.4201999999977684E-4"/>
    <n v="0.63699192341379884"/>
    <n v="0.61906698326263943"/>
    <n v="0.51802948564518836"/>
    <n v="0.72007132915246075"/>
    <n v="0.61844653431646357"/>
    <n v="-2.5501407652228636E-7"/>
    <n v="0.71918004559363702"/>
    <n v="-7.6415935847151673E-2"/>
    <n v="-9.075206999999974E-2"/>
    <n v="-0.19132224000000009"/>
    <n v="-7.5858282000000082E-2"/>
  </r>
  <r>
    <x v="35"/>
    <x v="1"/>
    <x v="2"/>
    <x v="0"/>
    <x v="0"/>
    <x v="235"/>
    <n v="39.879460000000108"/>
    <n v="-4.5249105457604415"/>
    <n v="6.1226183497886666E-2"/>
    <n v="2.2566888494069959"/>
    <n v="-1.3304104806107331"/>
    <n v="9.9500553191034236E-2"/>
    <n v="6.2163248485735956E-2"/>
    <n v="8.3933000000063762E-4"/>
    <n v="0.60260497644939459"/>
    <n v="0.58175262467081712"/>
    <n v="0.48118637111140838"/>
    <n v="0.6822496745092721"/>
    <n v="0.58452377798754451"/>
    <n v="-2.5001380965505859E-7"/>
    <n v="0.68359037885308283"/>
    <n v="-6.5240270100852538E-2"/>
    <n v="-9.4049610000000727E-2"/>
    <n v="-0.18173284999999997"/>
    <n v="-8.0506463999999861E-2"/>
  </r>
  <r>
    <x v="36"/>
    <x v="1"/>
    <x v="2"/>
    <x v="0"/>
    <x v="0"/>
    <x v="236"/>
    <n v="41.106239999997342"/>
    <n v="-4.3366664739546312"/>
    <n v="5.206958717820509E-2"/>
    <n v="2.1880739141824757"/>
    <n v="-1.259821159148089"/>
    <n v="9.3740072277248565E-2"/>
    <n v="5.2996866424814826E-2"/>
    <n v="8.3064000000049321E-4"/>
    <n v="0.56949159499886104"/>
    <n v="0.54576043132970042"/>
    <n v="0.44564686356547423"/>
    <n v="0.64577100330849291"/>
    <n v="0.55184753243942009"/>
    <n v="-2.4511157548090523E-7"/>
    <n v="0.6491718578257144"/>
    <n v="-5.4510846056810003E-2"/>
    <n v="-9.629388000000072E-2"/>
    <n v="-0.17231615000000006"/>
    <n v="-8.4799491999999921E-2"/>
  </r>
  <r>
    <x v="37"/>
    <x v="1"/>
    <x v="2"/>
    <x v="0"/>
    <x v="0"/>
    <x v="237"/>
    <n v="41.91961000000083"/>
    <n v="-4.1572813038960099"/>
    <n v="4.3419436330816019E-2"/>
    <n v="2.1168561358868798"/>
    <n v="-1.1917988996822948"/>
    <n v="8.7438709168807804E-2"/>
    <n v="4.4331301836120218E-2"/>
    <n v="8.1685000000025765E-4"/>
    <n v="0.53758250210489411"/>
    <n v="0.51103134324992361"/>
    <n v="0.41135311673194952"/>
    <n v="0.61057471043661771"/>
    <n v="0.5203524080032107"/>
    <n v="-2.4030546441622391E-7"/>
    <n v="0.61584462601063095"/>
    <n v="-4.4242881733558281E-2"/>
    <n v="-9.7600850000000017E-2"/>
    <n v="-0.16307188"/>
    <n v="-8.8741982999999969E-2"/>
  </r>
  <r>
    <x v="38"/>
    <x v="1"/>
    <x v="2"/>
    <x v="0"/>
    <x v="0"/>
    <x v="238"/>
    <n v="42.363639999999577"/>
    <n v="-3.9863289125778745"/>
    <n v="3.5257336536065331E-2"/>
    <n v="2.0434475967020083"/>
    <n v="-1.1262225487931876"/>
    <n v="8.0659680227679331E-2"/>
    <n v="3.6149635102944444E-2"/>
    <n v="7.9942999999943476E-4"/>
    <n v="0.506818267537823"/>
    <n v="0.47751565447686772"/>
    <n v="0.37825800024011702"/>
    <n v="0.57660862888542219"/>
    <n v="0.48998218393185855"/>
    <n v="-2.8271230911869338E-7"/>
    <n v="0.58354024118123515"/>
    <n v="-3.4451042235628115E-2"/>
    <n v="-9.8078629999999445E-2"/>
    <n v="-0.15399938999999979"/>
    <n v="-9.233882300000007E-2"/>
  </r>
  <r>
    <x v="39"/>
    <x v="1"/>
    <x v="2"/>
    <x v="0"/>
    <x v="0"/>
    <x v="239"/>
    <n v="42.47957999999926"/>
    <n v="-3.8233843309214532"/>
    <n v="2.7566279720359077E-2"/>
    <n v="1.9682384660732133"/>
    <n v="-1.0629810438431253"/>
    <n v="7.3466629706642195E-2"/>
    <n v="2.8436865750491869E-2"/>
    <n v="7.8000999999966458E-4"/>
    <n v="0.47714890568435475"/>
    <n v="0.44517326528712431"/>
    <n v="0.3463249840405247"/>
    <n v="0.54382886802157859"/>
    <n v="0.46068969052517339"/>
    <n v="-2.7716893225004924E-7"/>
    <n v="0.55220183147417501"/>
    <n v="-2.5148853984446884E-2"/>
    <n v="-9.7827470000000361E-2"/>
    <n v="-0.14509849999999985"/>
    <n v="-9.559441599999996E-2"/>
  </r>
  <r>
    <x v="40"/>
    <x v="1"/>
    <x v="2"/>
    <x v="0"/>
    <x v="0"/>
    <x v="240"/>
    <n v="42.305819999997766"/>
    <n v="-3.6680300169197211"/>
    <n v="2.0331888407620902E-2"/>
    <n v="1.8915978658955446"/>
    <n v="-1.0019751514688147"/>
    <n v="6.5924099057834695E-2"/>
    <n v="2.1180259390929379E-2"/>
    <n v="7.6013000000069164E-4"/>
    <n v="0.44853351751603654"/>
    <n v="0.41397281579911294"/>
    <n v="0.31552716594487329"/>
    <n v="0.51219949322740543"/>
    <n v="0.43243616180139721"/>
    <n v="-2.7173423511328565E-7"/>
    <n v="0.521784052097507"/>
    <n v="-1.6347707944386336E-2"/>
    <n v="-9.6939780000000753E-2"/>
    <n v="-0.13636999999999988"/>
    <n v="-9.8512329999999981E-2"/>
  </r>
  <r>
    <x v="41"/>
    <x v="1"/>
    <x v="2"/>
    <x v="0"/>
    <x v="0"/>
    <x v="241"/>
    <n v="41.877880000000005"/>
    <n v="-3.5198584948822331"/>
    <n v="1.3542463834870233E-2"/>
    <n v="1.813874563398743"/>
    <n v="-0.94311864655094446"/>
    <n v="5.8096888489056475E-2"/>
    <n v="1.4369401380243119E-2"/>
    <n v="7.4099999999993615E-4"/>
    <n v="0.42093943926162503"/>
    <n v="0.38389100518363417"/>
    <n v="0.28584666849988949"/>
    <n v="0.48169166902440885"/>
    <n v="0.40519084113161963"/>
    <n v="-2.6640613048911632E-7"/>
    <n v="0.49225260100107526"/>
    <n v="-8.0573669860140029E-3"/>
    <n v="-9.5500380000000662E-2"/>
    <n v="-0.12781602999999975"/>
    <n v="-0.10109526599999999"/>
  </r>
  <r>
    <x v="42"/>
    <x v="1"/>
    <x v="2"/>
    <x v="0"/>
    <x v="0"/>
    <x v="242"/>
    <n v="41.22845000000234"/>
    <n v="-3.3784765359039293"/>
    <n v="7.1887495622258157E-3"/>
    <n v="1.7353974772142289"/>
    <n v="-0.88633830842453909"/>
    <n v="5.0049650088879183E-2"/>
    <n v="7.9961047627419291E-3"/>
    <n v="7.2348000000055368E-4"/>
    <n v="0.3943411816405229"/>
    <n v="0.35491155130753516"/>
    <n v="0.25727348849104992"/>
    <n v="0.45228286003684559"/>
    <n v="0.37892976155129432"/>
    <n v="-2.6118247564710373E-7"/>
    <n v="0.46358318003079102"/>
    <n v="-2.8521287286364938E-4"/>
    <n v="-9.3586650000000715E-2"/>
    <n v="-0.11944022999999977"/>
    <n v="-0.10334527300000004"/>
  </r>
  <r>
    <x v="43"/>
    <x v="1"/>
    <x v="2"/>
    <x v="0"/>
    <x v="0"/>
    <x v="243"/>
    <n v="40.3874599999981"/>
    <n v="-3.2435060610133459"/>
    <n v="1.2636715949199129E-3"/>
    <n v="1.6564761111613979"/>
    <n v="-0.83157337787953534"/>
    <n v="4.1846435285219918E-2"/>
    <n v="2.0536405536120128E-3"/>
    <n v="7.0798000000038552E-4"/>
    <n v="0.36871975180980954"/>
    <n v="0.32702418852692539"/>
    <n v="0.2298039620882264"/>
    <n v="0.42395596195097252"/>
    <n v="0.35363501278988796"/>
    <n v="-2.987381342300921E-7"/>
    <n v="0.43576024108125111"/>
    <n v="6.9640738470599928E-3"/>
    <n v="-9.1268819999999751E-2"/>
    <n v="-0.11124763999999995"/>
    <n v="-0.10526409900000008"/>
  </r>
  <r>
    <x v="44"/>
    <x v="1"/>
    <x v="2"/>
    <x v="0"/>
    <x v="0"/>
    <x v="244"/>
    <n v="39.382050000000163"/>
    <n v="-3.1145867956585471"/>
    <n v="-4.2384507538018035E-3"/>
    <n v="1.5774009925033861"/>
    <n v="-0.77877517631280702"/>
    <n v="3.3550205535237687E-2"/>
    <n v="-3.4634636966401899E-3"/>
    <n v="6.945800000004998E-4"/>
    <n v="0.34406117719349982"/>
    <n v="0.30022332335988278"/>
    <n v="0.20343978525878548"/>
    <n v="0.39669833300430835"/>
    <n v="0.32929368132641468"/>
    <n v="-2.928805087343278E-7"/>
    <n v="0.40877631691216276"/>
    <n v="1.3687974441478623E-2"/>
    <n v="-8.8610149999999999E-2"/>
    <n v="-0.10324466999999983"/>
    <n v="-0.10685361500000004"/>
  </r>
  <r>
    <x v="45"/>
    <x v="1"/>
    <x v="2"/>
    <x v="0"/>
    <x v="0"/>
    <x v="245"/>
    <n v="38.236800000002404"/>
    <n v="-2.9913759844428456"/>
    <n v="-9.3223632794403599E-3"/>
    <n v="1.4984439932530513"/>
    <n v="-0.72790506840656466"/>
    <n v="2.5221512341921937E-2"/>
    <n v="-8.5602637720616492E-3"/>
    <n v="6.8304000000046772E-4"/>
    <n v="0.32035570304234096"/>
    <n v="0.27450718593298173"/>
    <n v="0.17818637280571092"/>
    <n v="0.37050066224386669"/>
    <n v="0.30589679904944322"/>
    <n v="-2.8713776911715172E-7"/>
    <n v="0.38263001612552916"/>
    <n v="1.9886675022373623E-2"/>
    <n v="-8.5667369999999077E-2"/>
    <n v="-9.5438819999999966E-2"/>
    <n v="-0.10811624299999992"/>
  </r>
  <r>
    <x v="46"/>
    <x v="1"/>
    <x v="2"/>
    <x v="0"/>
    <x v="0"/>
    <x v="246"/>
    <n v="36.973750000001019"/>
    <n v="-2.8735497365080298"/>
    <n v="-1.3992674597929078E-2"/>
    <n v="1.419858742890967"/>
    <n v="-0.67893381481899384"/>
    <n v="1.6918588143410851E-2"/>
    <n v="-1.3241960237431183E-2"/>
    <n v="6.7291999999996577E-4"/>
    <n v="0.29759673371256845"/>
    <n v="0.24987636809168379"/>
    <n v="0.15405158015651121"/>
    <n v="0.34535626900595862"/>
    <n v="0.28343814767122222"/>
    <n v="-3.2172299269106475E-7"/>
    <n v="0.35732511615025331"/>
    <n v="2.5562943565704543E-2"/>
    <n v="-8.2490939999999013E-2"/>
    <n v="-8.7838489999999755E-2"/>
    <n v="-0.10905533300000006"/>
  </r>
  <r>
    <x v="47"/>
    <x v="1"/>
    <x v="2"/>
    <x v="0"/>
    <x v="0"/>
    <x v="247"/>
    <n v="35.612550000001647"/>
    <n v="-2.7608026050476742"/>
    <n v="-1.8254531223038661E-2"/>
    <n v="1.3418810490340105"/>
    <n v="-0.63183915915518973"/>
    <n v="8.6963517152094383E-3"/>
    <n v="-1.7514180738820162E-2"/>
    <n v="6.6363999999957679E-4"/>
    <n v="0.27577975682593348"/>
    <n v="0.22633286641500217"/>
    <n v="0.13104474870726524"/>
    <n v="0.3212599920361825"/>
    <n v="0.26191369346304505"/>
    <n v="-3.1541469436291436E-7"/>
    <n v="0.33286907067100469"/>
    <n v="3.0721681733369977E-2"/>
    <n v="-7.9125499999999072E-2"/>
    <n v="-8.0452660000000092E-2"/>
    <n v="-0.10967545700000005"/>
  </r>
  <r>
    <x v="48"/>
    <x v="1"/>
    <x v="2"/>
    <x v="0"/>
    <x v="0"/>
    <x v="248"/>
    <n v="34.170650000000023"/>
    <n v="-2.652847371155731"/>
    <n v="-2.2113810323798333E-2"/>
    <n v="1.2647293748614397"/>
    <n v="-0.58660506352471442"/>
    <n v="6.058372040929072E-4"/>
    <n v="-2.1383644424133319E-2"/>
    <n v="6.5458000000073735E-4"/>
    <n v="0.25490156811516229"/>
    <n v="0.20387918358131252"/>
    <n v="0.10917518921660374"/>
    <n v="0.29820742492647767"/>
    <n v="0.24132033735504432"/>
    <n v="-3.0923007487970722E-7"/>
    <n v="0.30927164511391769"/>
    <n v="3.5370163868075899E-2"/>
    <n v="-7.5610289999999969E-2"/>
    <n v="-7.3290640000000032E-2"/>
    <n v="-0.10998262200000009"/>
  </r>
  <r>
    <x v="49"/>
    <x v="1"/>
    <x v="2"/>
    <x v="0"/>
    <x v="0"/>
    <x v="249"/>
    <n v="32.663440000000264"/>
    <n v="-2.5494147797241462"/>
    <n v="-2.5577716005531492E-2"/>
    <n v="1.1886053153440157"/>
    <n v="-0.5432194446729377"/>
    <n v="-7.3053353704999324E-3"/>
    <n v="-2.4858078280021179E-2"/>
    <n v="6.4513999999959992E-4"/>
    <n v="0.23495927211065748"/>
    <n v="0.1825174495022619"/>
    <n v="8.8451362676833512E-2"/>
    <n v="0.2761941945703672"/>
    <n v="0.22165529189248634"/>
    <n v="-3.0316675836417062E-7"/>
    <n v="0.2865439218634469"/>
    <n v="3.9517638149844103E-2"/>
    <n v="-7.1979669999999718E-2"/>
    <n v="-6.6361740000000016E-2"/>
    <n v="-0.10998437900000008"/>
  </r>
  <r>
    <x v="50"/>
    <x v="1"/>
    <x v="2"/>
    <x v="0"/>
    <x v="0"/>
    <x v="250"/>
    <n v="31.104459999998653"/>
    <n v="-2.4502522970872964"/>
    <n v="-2.8654880760092816E-2"/>
    <n v="1.1136941134834766"/>
    <n v="-0.50167309736085519"/>
    <n v="-1.4994420662761687E-2"/>
    <n v="-2.7946789527522053E-2"/>
    <n v="6.3480000000032399E-4"/>
    <n v="0.21594991210016623"/>
    <n v="0.16224867761049921"/>
    <n v="6.8880265915849392E-2"/>
    <n v="0.25521543065174512"/>
    <n v="0.20291556229710128"/>
    <n v="-2.9722229122342014E-7"/>
    <n v="0.26469714177479453"/>
    <n v="4.3175043345122788E-2"/>
    <n v="-6.8263609999999475E-2"/>
    <n v="-5.96750699999999E-2"/>
    <n v="-0.10968984299999998"/>
  </r>
  <r>
    <x v="0"/>
    <x v="1"/>
    <x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0"/>
    <x v="1"/>
    <x v="251"/>
    <n v="50.85396000000037"/>
    <n v="-5.2924871377277523"/>
    <n v="0.11062499142562299"/>
    <n v="0.55604839577043652"/>
    <n v="-4.7776923790276982E-2"/>
    <n v="-0.32656041168975802"/>
    <n v="0.16117439477967288"/>
    <n v="4.5230640000000488E-2"/>
    <n v="0.46210450935086911"/>
    <n v="0.12691882340496452"/>
    <n v="-0.58414980334888789"/>
    <n v="0.83650156780734619"/>
    <n v="0.2661334311116148"/>
    <n v="-9.8039221185786118E-8"/>
    <n v="3.2975535792090227E-2"/>
    <n v="-0.41555704875536614"/>
    <n v="-0.15186893000000007"/>
    <n v="0.15023608000000016"/>
    <n v="2.0685905999999997E-2"/>
  </r>
  <r>
    <x v="2"/>
    <x v="1"/>
    <x v="2"/>
    <x v="0"/>
    <x v="1"/>
    <x v="252"/>
    <n v="113.12977000000319"/>
    <n v="-8.3153034319340406"/>
    <n v="0.2967002279952391"/>
    <n v="1.0717759388107373"/>
    <n v="-0.12847674834118861"/>
    <n v="-0.46756171068427221"/>
    <n v="0.36499779007608257"/>
    <n v="6.0987370000001317E-2"/>
    <n v="0.60677979564898177"/>
    <n v="0.33124999968159319"/>
    <n v="-0.28963350578694591"/>
    <n v="0.95349096409698131"/>
    <n v="0.53041772344248894"/>
    <n v="-9.6116881120877906E-8"/>
    <n v="0.22242689624420997"/>
    <n v="-0.43358090297577201"/>
    <n v="-0.32430927999999998"/>
    <n v="0.23941409000000011"/>
    <n v="0.16908795399999998"/>
  </r>
  <r>
    <x v="3"/>
    <x v="1"/>
    <x v="2"/>
    <x v="0"/>
    <x v="1"/>
    <x v="253"/>
    <n v="169.38344000000143"/>
    <n v="-9.9029435584080954"/>
    <n v="0.50019230290461181"/>
    <n v="1.4882689211749511"/>
    <n v="-0.2356590824163618"/>
    <n v="-0.46820155661501106"/>
    <n v="0.56145886759926267"/>
    <n v="5.4602019999999696E-2"/>
    <n v="0.81953735588207177"/>
    <n v="0.60399337245102824"/>
    <n v="7.3064940948297519E-2"/>
    <n v="1.1375500351720635"/>
    <n v="0.81491780911013834"/>
    <n v="-1.8846447735754168E-7"/>
    <n v="0.46237646353601836"/>
    <n v="-0.49054908431621636"/>
    <n v="-0.46976004000000016"/>
    <n v="0.29092881999999987"/>
    <n v="0.31594754399999991"/>
  </r>
  <r>
    <x v="4"/>
    <x v="1"/>
    <x v="2"/>
    <x v="0"/>
    <x v="1"/>
    <x v="254"/>
    <n v="213.19642000000022"/>
    <n v="-10.652320449462604"/>
    <n v="0.6925444274178405"/>
    <n v="1.8116971489454459"/>
    <n v="-0.36267435777594947"/>
    <n v="-0.39227065051518073"/>
    <n v="0.73437688352262498"/>
    <n v="3.721803999999912E-2"/>
    <n v="1.0668102265793511"/>
    <n v="0.91235583508801898"/>
    <n v="0.46870031891319552"/>
    <n v="1.3589485342731411"/>
    <n v="1.107892708753444"/>
    <n v="-1.8476907781561636E-7"/>
    <n v="0.7304724353349501"/>
    <n v="-0.56629608335716508"/>
    <n v="-0.57562308999999923"/>
    <n v="0.31949131999999997"/>
    <n v="0.44661675399999995"/>
  </r>
  <r>
    <x v="5"/>
    <x v="1"/>
    <x v="2"/>
    <x v="0"/>
    <x v="1"/>
    <x v="255"/>
    <n v="243.7586999999985"/>
    <n v="-10.91344728946444"/>
    <n v="0.86445727242114856"/>
    <n v="2.0657466103126243"/>
    <n v="-0.50195804680236433"/>
    <n v="-0.27790863608978533"/>
    <n v="0.88642121020288123"/>
    <n v="1.9511600000000906E-2"/>
    <n v="1.3224506685247217"/>
    <n v="1.2278099507147866"/>
    <n v="0.8664999825506392"/>
    <n v="1.591849700174941"/>
    <n v="1.393070227868809"/>
    <n v="-2.7171924710245321E-7"/>
    <n v="1.0182106383574308"/>
    <n v="-0.63366654634057218"/>
    <n v="-0.64402761999999969"/>
    <n v="0.33260243000000012"/>
    <n v="0.55863744700000006"/>
  </r>
  <r>
    <x v="6"/>
    <x v="1"/>
    <x v="2"/>
    <x v="0"/>
    <x v="1"/>
    <x v="256"/>
    <n v="262.77330000000075"/>
    <n v="-10.888357166593787"/>
    <n v="1.014169728622627"/>
    <n v="2.2735501084934384"/>
    <n v="-0.64612618520155651"/>
    <n v="-0.1462862779568308"/>
    <n v="1.0200174014704411"/>
    <n v="5.1879400000010012E-3"/>
    <n v="1.5697603342690991"/>
    <n v="1.5315097225544694"/>
    <n v="1.2462794631889373"/>
    <n v="1.8190234019369589"/>
    <n v="1.6585139616743572"/>
    <n v="-2.6639142003404004E-7"/>
    <n v="1.3159234937733189"/>
    <n v="-0.67926236151318875"/>
    <n v="-0.68225598000000032"/>
    <n v="0.33456814999999995"/>
    <n v="0.65197668200000003"/>
  </r>
  <r>
    <x v="7"/>
    <x v="1"/>
    <x v="2"/>
    <x v="0"/>
    <x v="1"/>
    <x v="257"/>
    <n v="272.70660000000134"/>
    <n v="-10.695445254238567"/>
    <n v="1.1416077484788234"/>
    <n v="2.452050252434157"/>
    <n v="-0.78888219795220094"/>
    <n v="-9.7931128290262848E-3"/>
    <n v="1.1352768550268344"/>
    <n v="-5.6102399999993779E-3"/>
    <n v="1.799176617395104"/>
    <n v="1.8126547155190798"/>
    <n v="1.5967057348304836"/>
    <n v="2.0303601401849614"/>
    <n v="1.8975366847768571"/>
    <n v="-2.6116805385001385E-7"/>
    <n v="1.6125212489737084"/>
    <n v="-0.7011131455946007"/>
    <n v="-0.69819745000000011"/>
    <n v="0.32850757999999985"/>
    <n v="0.72698663550000009"/>
  </r>
  <r>
    <x v="8"/>
    <x v="1"/>
    <x v="2"/>
    <x v="0"/>
    <x v="1"/>
    <x v="258"/>
    <n v="275.92697000000044"/>
    <n v="-10.405809464197846"/>
    <n v="1.2467458943156595"/>
    <n v="2.6116471068378555"/>
    <n v="-0.92537414410712726"/>
    <n v="0.1237321805833913"/>
    <n v="1.2313535532028963"/>
    <n v="-1.3627149999999311E-2"/>
    <n v="2.0056172724635335"/>
    <n v="2.0656551989296723"/>
    <n v="1.9121401038304953"/>
    <n v="2.2204057197049432"/>
    <n v="2.1072633664774409"/>
    <n v="-3.4139615578965277E-7"/>
    <n v="1.8975522259871314"/>
    <n v="-0.70291476360486715"/>
    <n v="-0.69853038000000089"/>
    <n v="0.31694960999999988"/>
    <n v="0.78427751979999993"/>
  </r>
  <r>
    <x v="9"/>
    <x v="1"/>
    <x v="2"/>
    <x v="0"/>
    <x v="1"/>
    <x v="259"/>
    <n v="274.38545999999769"/>
    <n v="-10.063249006039198"/>
    <n v="1.3296607088309598"/>
    <n v="2.7577250872237391"/>
    <n v="-1.0521499684296831"/>
    <n v="0.24912922654811709"/>
    <n v="1.3076367221722451"/>
    <n v="-1.9483659999999792E-2"/>
    <n v="2.1865735416966681"/>
    <n v="2.2879110451237805"/>
    <n v="2.1901515890433432"/>
    <n v="2.3864349628085257"/>
    <n v="2.2870432481551406"/>
    <n v="-3.3470209936936612E-7"/>
    <n v="2.1625363414528254"/>
    <n v="-0.68993824328753561"/>
    <n v="-0.68831701999999972"/>
    <n v="0.30192320999999978"/>
    <n v="0.82482953221999999"/>
  </r>
  <r>
    <x v="10"/>
    <x v="1"/>
    <x v="2"/>
    <x v="0"/>
    <x v="1"/>
    <x v="260"/>
    <n v="269.57612999999765"/>
    <n v="-9.6952534557216641"/>
    <n v="1.3908728061237996"/>
    <n v="2.8924518392703824"/>
    <n v="-1.1669252040403366"/>
    <n v="0.36308995238645281"/>
    <n v="1.364247320743428"/>
    <n v="-2.3541180000000161E-2"/>
    <n v="2.3409879846997717"/>
    <n v="2.4784585048450714"/>
    <n v="2.4300152132114894"/>
    <n v="2.5272648827145083"/>
    <n v="2.437344783129225"/>
    <n v="-3.2813930461728091E-7"/>
    <n v="2.4013567228454935"/>
    <n v="-0.66701081473333756"/>
    <n v="-0.67120077000000089"/>
    <n v="0.28496089999999996"/>
    <n v="0.84999464920000012"/>
  </r>
  <r>
    <x v="11"/>
    <x v="1"/>
    <x v="2"/>
    <x v="0"/>
    <x v="1"/>
    <x v="261"/>
    <n v="262.6073400000023"/>
    <n v="-9.3191550594266648"/>
    <n v="1.4315013671508225"/>
    <n v="3.0162191439824904"/>
    <n v="-1.2683117953289136"/>
    <n v="0.46371179863406997"/>
    <n v="1.4020587880521518"/>
    <n v="-2.6022330000000093E-2"/>
    <n v="2.4686693845186403"/>
    <n v="2.6372640668850034"/>
    <n v="2.6319483686616074"/>
    <n v="2.6426175654796769"/>
    <n v="2.5591492173604236"/>
    <n v="-4.021315169744355E-7"/>
    <n v="2.610093571113703"/>
    <n v="-0.63785457486189578"/>
    <n v="-0.64976304000000096"/>
    <n v="0.26713984000000002"/>
    <n v="0.86139717609999988"/>
  </r>
  <r>
    <x v="12"/>
    <x v="1"/>
    <x v="2"/>
    <x v="0"/>
    <x v="1"/>
    <x v="262"/>
    <n v="254.29494999999952"/>
    <n v="-8.945718005917092"/>
    <n v="1.4532030646705385"/>
    <n v="3.128597975354408"/>
    <n v="-1.3555815627124601"/>
    <n v="0.55016721639451482"/>
    <n v="1.4225067230426047"/>
    <n v="-2.7125010000000893E-2"/>
    <n v="2.5700084163761128"/>
    <n v="2.7648960137058198"/>
    <n v="2.7967728191946373"/>
    <n v="2.732806080617145"/>
    <n v="2.6536816580668532"/>
    <n v="-3.1539726386142775E-7"/>
    <n v="2.7866430647562224"/>
    <n v="-0.60508974850145281"/>
    <n v="-0.62584460000000008"/>
    <n v="0.24916421"/>
    <n v="0.86079884640000004"/>
  </r>
  <r>
    <x v="13"/>
    <x v="1"/>
    <x v="2"/>
    <x v="0"/>
    <x v="1"/>
    <x v="263"/>
    <n v="245.24127999999837"/>
    <n v="-8.5813593586090757"/>
    <n v="1.4579947061923226"/>
    <n v="3.2288883887197972"/>
    <n v="-1.4284856192970707"/>
    <n v="0.62241621577205919"/>
    <n v="1.427357897683712"/>
    <n v="-2.7071050000000707E-2"/>
    <n v="2.6458332886907021"/>
    <n v="2.862373842319732"/>
    <n v="2.925773561158862"/>
    <n v="2.7985786399444379"/>
    <n v="2.7223197547047828"/>
    <n v="-4.6381951612772809E-7"/>
    <n v="2.9303120408890049"/>
    <n v="-0.57046967973251039"/>
    <n v="-0.60077605000000012"/>
    <n v="0.23146284999999989"/>
    <n v="0.84997478500000012"/>
  </r>
  <r>
    <x v="14"/>
    <x v="1"/>
    <x v="2"/>
    <x v="0"/>
    <x v="1"/>
    <x v="264"/>
    <n v="235.89148999999816"/>
    <n v="-8.2296084080972101"/>
    <n v="1.448055128234893"/>
    <n v="3.3163953019158088"/>
    <n v="-1.4871259329757525"/>
    <n v="0.68095694056993228"/>
    <n v="1.4185131116693839"/>
    <n v="-2.6106039999999886E-2"/>
    <n v="2.6973216118492793"/>
    <n v="2.9310867199477508"/>
    <n v="3.0206278324427904"/>
    <n v="2.8410286629182213"/>
    <n v="2.7665759302312631"/>
    <n v="-3.7893750359785372E-7"/>
    <n v="3.0414660576142838"/>
    <n v="-0.53513939859762827"/>
    <n v="-0.57552525999999959"/>
    <n v="0.21427930000000006"/>
    <n v="0.83062049650000014"/>
  </r>
  <r>
    <x v="15"/>
    <x v="1"/>
    <x v="2"/>
    <x v="0"/>
    <x v="1"/>
    <x v="265"/>
    <n v="226.57099999999991"/>
    <n v="-7.8921099652356608"/>
    <n v="1.425559956330047"/>
    <n v="3.3905451814576049"/>
    <n v="-1.5318659997219597"/>
    <n v="0.72662169417681"/>
    <n v="1.3978654437378779"/>
    <n v="-2.4478310000000669E-2"/>
    <n v="2.7259302266492647"/>
    <n v="2.9727291044949977"/>
    <n v="3.0833459396926832"/>
    <n v="2.8615252874987007"/>
    <n v="2.7880924733303614"/>
    <n v="-4.4580884539513477E-7"/>
    <n v="3.1212471955628596"/>
    <n v="-0.49984203790202075"/>
    <n v="-0.55078700999999919"/>
    <n v="0.19774314000000001"/>
    <n v="0.80429278059999998"/>
  </r>
  <r>
    <x v="16"/>
    <x v="1"/>
    <x v="2"/>
    <x v="0"/>
    <x v="1"/>
    <x v="266"/>
    <n v="217.51035999999658"/>
    <n v="-7.5693278253362468"/>
    <n v="1.3925667472552528"/>
    <n v="3.4509218091748783"/>
    <n v="-1.5632675645582461"/>
    <n v="0.76042199200228033"/>
    <n v="1.3672124315883716"/>
    <n v="-2.2416690000000294E-2"/>
    <n v="2.7333282025981287"/>
    <n v="2.9892352201287942"/>
    <n v="3.1162057264213505"/>
    <n v="2.861650925211312"/>
    <n v="2.7886315900035097"/>
    <n v="-4.3706747110405786E-7"/>
    <n v="3.1713537237096689"/>
    <n v="-0.46506155466338184"/>
    <n v="-0.52703932999999958"/>
    <n v="0.18192043999999996"/>
    <n v="0.77237965770000006"/>
  </r>
  <r>
    <x v="17"/>
    <x v="1"/>
    <x v="2"/>
    <x v="0"/>
    <x v="1"/>
    <x v="267"/>
    <n v="208.86287000000084"/>
    <n v="-7.2610361714812939"/>
    <n v="1.3509499909601486"/>
    <n v="3.4972679125938599"/>
    <n v="-1.5820435217213324"/>
    <n v="0.78343961722240341"/>
    <n v="1.3282073769197655"/>
    <n v="-2.0115329999999265E-2"/>
    <n v="2.721334215633564"/>
    <n v="2.9827132824736147"/>
    <n v="3.1216810991254285"/>
    <n v="2.8431392107971742"/>
    <n v="2.7700506003812908"/>
    <n v="-4.2849752635021332E-7"/>
    <n v="3.1938680725200674"/>
    <n v="-0.43111486809981336"/>
    <n v="-0.50458316999999897"/>
    <n v="0.16684587000000001"/>
    <n v="0.73609191149999997"/>
  </r>
  <r>
    <x v="18"/>
    <x v="1"/>
    <x v="2"/>
    <x v="0"/>
    <x v="1"/>
    <x v="268"/>
    <n v="200.71853000000192"/>
    <n v="-6.9666535458126617"/>
    <n v="1.3023741463952243"/>
    <n v="3.5294753159265335"/>
    <n v="-1.5890202388238017"/>
    <n v="0.79675555474776338"/>
    <n v="1.282340687384953"/>
    <n v="-1.7727169999999515E-2"/>
    <n v="2.691856596320541"/>
    <n v="2.9553794278984524"/>
    <n v="3.1023694138078595"/>
    <n v="2.8078174115764298"/>
    <n v="2.7342691003480191"/>
    <n v="-4.2009562495337605E-7"/>
    <n v="3.1911213969910923"/>
    <n v="-0.39820892377361305"/>
    <n v="-0.48357467999999987"/>
    <n v="0.15254116999999998"/>
    <n v="0.69646915900000006"/>
  </r>
  <r>
    <x v="19"/>
    <x v="1"/>
    <x v="2"/>
    <x v="0"/>
    <x v="1"/>
    <x v="269"/>
    <n v="193.11620000000039"/>
    <n v="-6.6854600878744179"/>
    <n v="1.2482924593576472"/>
    <n v="3.5475742664982546"/>
    <n v="-1.5851059689330538"/>
    <n v="0.80140846097263019"/>
    <n v="1.2309380692142824"/>
    <n v="-1.5364299999999498E-2"/>
    <n v="2.6468414408014285"/>
    <n v="2.9094984018450454"/>
    <n v="3.0609230318222602"/>
    <n v="2.7575551711221502"/>
    <n v="2.6832322927966779"/>
    <n v="-4.1185845844893265E-7"/>
    <n v="3.1655861275690533"/>
    <n v="-0.36647594881985546"/>
    <n v="-0.4640541600000006"/>
    <n v="0.13902416999999995"/>
    <n v="0.65439463199999992"/>
  </r>
  <r>
    <x v="20"/>
    <x v="1"/>
    <x v="2"/>
    <x v="0"/>
    <x v="1"/>
    <x v="270"/>
    <n v="186.05473999999958"/>
    <n v="-6.4167287763667646"/>
    <n v="1.1899616849753603"/>
    <n v="3.5517239871575956"/>
    <n v="-1.5712633298360479"/>
    <n v="0.79837333458780968"/>
    <n v="1.1751702183013357"/>
    <n v="-1.3102550000000657E-2"/>
    <n v="2.5882270073862124"/>
    <n v="2.8473307928737368"/>
    <n v="2.9999901645240135"/>
    <n v="2.69421945528594"/>
    <n v="2.6188742581078062"/>
    <n v="-4.0378280719011173E-7"/>
    <n v="3.1197906172290457"/>
    <n v="-0.33599697091565295"/>
    <n v="-0.44597314999999943"/>
    <n v="0.1263120900000001"/>
    <n v="0.61061424199999992"/>
  </r>
  <r>
    <x v="21"/>
    <x v="1"/>
    <x v="2"/>
    <x v="0"/>
    <x v="1"/>
    <x v="271"/>
    <n v="179.50310000000172"/>
    <n v="-6.1597960318998668"/>
    <n v="1.1284639239627303"/>
    <n v="3.5422046082919323"/>
    <n v="-1.5484852424928808"/>
    <n v="0.788554048681811"/>
    <n v="1.116066668053417"/>
    <n v="-1.0988100000000611E-2"/>
    <n v="2.5179076499799002"/>
    <n v="2.7710901508487096"/>
    <n v="2.922164229108537"/>
    <n v="2.6196378888931449"/>
    <n v="2.5430848269851314"/>
    <n v="-4.6184306379259965E-7"/>
    <n v="3.0562522727096475"/>
    <n v="-0.30681572648065814"/>
    <n v="-0.42921920999999946"/>
    <n v="0.11442156000000016"/>
    <n v="0.56575683500000007"/>
  </r>
  <r>
    <x v="22"/>
    <x v="1"/>
    <x v="2"/>
    <x v="0"/>
    <x v="1"/>
    <x v="272"/>
    <n v="173.4095699999998"/>
    <n v="-5.9140912733408051"/>
    <n v="1.0647309872413357"/>
    <n v="3.5194092960872503"/>
    <n v="-1.5177737184061679"/>
    <n v="0.77278368620912197"/>
    <n v="1.0545328043134683"/>
    <n v="-9.0445200000011106E-3"/>
    <n v="2.4377042296412466"/>
    <n v="2.6829087447532984"/>
    <n v="2.8299448911062397"/>
    <n v="2.5355707812868111"/>
    <n v="2.4576827587510008"/>
    <n v="-4.5278731874986988E-7"/>
    <n v="2.9774258439226209"/>
    <n v="-0.27895063901669515"/>
    <n v="-0.41363809000000001"/>
    <n v="0.10336727999999996"/>
    <n v="0.52035357199999999"/>
  </r>
  <r>
    <x v="23"/>
    <x v="1"/>
    <x v="2"/>
    <x v="0"/>
    <x v="1"/>
    <x v="273"/>
    <n v="167.70967000000019"/>
    <n v="-5.6791404314271654"/>
    <n v="0.99956783228138946"/>
    <n v="3.4838358643496159"/>
    <n v="-1.4801220440850194"/>
    <n v="0.75182910776885326"/>
    <n v="0.99136507351147429"/>
    <n v="-7.2793100000009825E-3"/>
    <n v="2.3493430228112455"/>
    <n v="2.5848115791477166"/>
    <n v="2.7257080213482165"/>
    <n v="2.4436885544098841"/>
    <n v="2.3643934451409887"/>
    <n v="-4.4390915387992891E-7"/>
    <n v="2.8856648057366874"/>
    <n v="-0.25240251728055885"/>
    <n v="-0.39905249000000004"/>
    <n v="9.3160110000000199E-2"/>
    <n v="0.47485519399999998"/>
  </r>
  <r>
    <x v="24"/>
    <x v="1"/>
    <x v="2"/>
    <x v="0"/>
    <x v="1"/>
    <x v="274"/>
    <n v="162.33276999999725"/>
    <n v="-5.4545547379158732"/>
    <n v="0.93367276648286257"/>
    <n v="3.4360769012309555"/>
    <n v="-1.4364996295387344"/>
    <n v="0.72639729957508781"/>
    <n v="0.92726574533945616"/>
    <n v="-5.689350000000204E-3"/>
    <n v="2.2544396955609614"/>
    <n v="2.4786983639992322"/>
    <n v="2.6116839024233895"/>
    <n v="2.3455566473489009"/>
    <n v="2.2648332001426574"/>
    <n v="-4.9737718388342955E-7"/>
    <n v="2.7831934079170173"/>
    <n v="-0.22715899725883615"/>
    <n v="-0.38527743999999947"/>
    <n v="8.3805460000000234E-2"/>
    <n v="0.42964658599999994"/>
  </r>
  <r>
    <x v="25"/>
    <x v="1"/>
    <x v="2"/>
    <x v="0"/>
    <x v="1"/>
    <x v="275"/>
    <n v="157.20736000000034"/>
    <n v="-5.2400123699658181"/>
    <n v="0.86765450317378701"/>
    <n v="3.3768087606948827"/>
    <n v="-1.3878397904049766"/>
    <n v="0.69714149640620615"/>
    <n v="0.86285437518602848"/>
    <n v="-4.2652300000001198E-3"/>
    <n v="2.1544899846099641"/>
    <n v="2.3663310343257304"/>
    <n v="2.4899435864249586"/>
    <n v="2.2426256490069907"/>
    <n v="2.1604988618102006"/>
    <n v="-4.8762469617713577E-7"/>
    <n v="2.6720879647781581"/>
    <n v="-0.20320015098850286"/>
    <n v="-0.37213211000000079"/>
    <n v="7.5302090000000169E-2"/>
    <n v="0.38505848600000009"/>
  </r>
  <r>
    <x v="26"/>
    <x v="1"/>
    <x v="2"/>
    <x v="0"/>
    <x v="1"/>
    <x v="276"/>
    <n v="152.26499999999942"/>
    <n v="-5.0352378945500149"/>
    <n v="0.80204588810641742"/>
    <n v="3.3067793534944157"/>
    <n v="-1.3350303220534876"/>
    <n v="0.66466678162460102"/>
    <n v="0.79867805388778024"/>
    <n v="-2.9944300000001034E-3"/>
    <n v="2.0508635318818413"/>
    <n v="2.2493271396224701"/>
    <n v="2.3623905710953075"/>
    <n v="2.1362254017708082"/>
    <n v="2.0527613241659415"/>
    <n v="-4.7806342218237319E-7"/>
    <n v="2.5542648856092809"/>
    <n v="-0.18050046647726248"/>
    <n v="-0.35944831000000038"/>
    <n v="6.7641360000000178E-2"/>
    <n v="0.34137651700000005"/>
  </r>
  <r>
    <x v="27"/>
    <x v="1"/>
    <x v="2"/>
    <x v="0"/>
    <x v="1"/>
    <x v="277"/>
    <n v="147.44314999999915"/>
    <n v="-4.8399832053154572"/>
    <n v="0.73731352526487104"/>
    <n v="3.2267949995640866"/>
    <n v="-1.2789062075087454"/>
    <n v="0.62953445438624911"/>
    <n v="0.73521887596021962"/>
    <n v="-1.8635500000002692E-3"/>
    <n v="1.9448023234801104"/>
    <n v="2.1291571699748157"/>
    <n v="2.2307575981178829"/>
    <n v="2.0275629530381867"/>
    <n v="1.9428632372954002"/>
    <n v="-4.1010342899383545E-7"/>
    <n v="2.4314755681715816"/>
    <n v="-0.15903167162671927"/>
    <n v="-0.34707615000000025"/>
    <n v="6.080714000000001E-2"/>
    <n v="0.29884786299999994"/>
  </r>
  <r>
    <x v="28"/>
    <x v="1"/>
    <x v="2"/>
    <x v="0"/>
    <x v="1"/>
    <x v="278"/>
    <n v="142.68693999999959"/>
    <n v="-4.6540109973598582"/>
    <n v="0.67386561955660174"/>
    <n v="3.137707325209238"/>
    <n v="-1.220244690488681"/>
    <n v="0.59226533190637198"/>
    <n v="0.67289995131118996"/>
    <n v="-8.596599999993737E-4"/>
    <n v="1.8374213145779805"/>
    <n v="2.0071451435802468"/>
    <n v="2.0966072524193802"/>
    <n v="1.9177230696459491"/>
    <n v="1.8319193233230946"/>
    <n v="-4.5949963833891161E-7"/>
    <n v="2.3053042593651485"/>
    <n v="-0.13876351729964487"/>
    <n v="-0.33488727999999995"/>
    <n v="5.4776050000000104E-2"/>
    <n v="0.25768605699999991"/>
  </r>
  <r>
    <x v="29"/>
    <x v="1"/>
    <x v="2"/>
    <x v="0"/>
    <x v="1"/>
    <x v="279"/>
    <n v="137.95006999999896"/>
    <n v="-4.4770819404240436"/>
    <n v="0.61205734012155233"/>
    <n v="3.0403998328478732"/>
    <n v="-1.1597621651424417"/>
    <n v="0.55334203040562358"/>
    <n v="0.61208984768412744"/>
    <n v="2.8990000000561622E-5"/>
    <n v="1.7297118399257627"/>
    <n v="1.8844721050213398"/>
    <n v="1.961335580795609"/>
    <n v="1.8076712471621903"/>
    <n v="1.7209196296510854"/>
    <n v="-4.5048984542717108E-7"/>
    <n v="2.1771712452701486"/>
    <n v="-0.11966511708344507"/>
    <n v="-0.32277616000000037"/>
    <n v="4.9518080000000159E-2"/>
    <n v="0.21807431300000002"/>
  </r>
  <r>
    <x v="30"/>
    <x v="1"/>
    <x v="2"/>
    <x v="0"/>
    <x v="1"/>
    <x v="280"/>
    <n v="133.1951799999988"/>
    <n v="-4.308945566463029"/>
    <n v="0.55219461646647261"/>
    <n v="2.9357754006900771"/>
    <n v="-1.0981125175075102"/>
    <n v="0.51321045434300494"/>
    <n v="0.55310625892899257"/>
    <n v="8.1257000000001245E-4"/>
    <n v="1.6225461625002824"/>
    <n v="1.7621806769962944"/>
    <n v="1.8261780570509645"/>
    <n v="1.6982581576125311"/>
    <n v="1.6107336673615524"/>
    <n v="-4.416567112031089E-7"/>
    <n v="2.0483369813253605"/>
    <n v="-0.10170594702247904"/>
    <n v="-0.31066002000000037"/>
    <n v="4.4997400000000229E-2"/>
    <n v="0.18016784200000011"/>
  </r>
  <r>
    <x v="31"/>
    <x v="1"/>
    <x v="2"/>
    <x v="0"/>
    <x v="1"/>
    <x v="281"/>
    <n v="128.39358999999968"/>
    <n v="-4.1493343361566843"/>
    <n v="0.49453740370726251"/>
    <n v="2.8247442111415166"/>
    <n v="-1.0358868946265476"/>
    <n v="0.47228097328244623"/>
    <n v="0.49621913164432652"/>
    <n v="1.499790000000778E-3"/>
    <n v="1.5166833462075591"/>
    <n v="1.6411822572908408"/>
    <n v="1.6922165000231359"/>
    <n v="1.5902249254999834"/>
    <n v="1.5021165228698008"/>
    <n v="-4.3299677177088824E-7"/>
    <n v="1.9199094048260923"/>
    <n v="-8.485516303982088E-2"/>
    <n v="-0.29847756000000031"/>
    <n v="4.11733600000002E-2"/>
    <n v="0.14409551700000001"/>
  </r>
  <r>
    <x v="32"/>
    <x v="1"/>
    <x v="2"/>
    <x v="0"/>
    <x v="1"/>
    <x v="282"/>
    <n v="123.52484000000186"/>
    <n v="-3.9979607065020462"/>
    <n v="0.43930172791075695"/>
    <n v="2.7082131444240432"/>
    <n v="-0.97361452588421438"/>
    <n v="0.43092905377397628"/>
    <n v="0.44165300002847463"/>
    <n v="2.0979800000001103E-3"/>
    <n v="1.4127763013368932"/>
    <n v="1.5222642573768264"/>
    <n v="1.5603881889084681"/>
    <n v="1.4842099440658396"/>
    <n v="1.3957157508860618"/>
    <n v="-4.7756997245684829E-7"/>
    <n v="1.7928518024753703"/>
    <n v="-6.9082694662847555E-2"/>
    <n v="-0.28618723000000124"/>
    <n v="3.8001539999999931E-2"/>
    <n v="0.10996116999999993"/>
  </r>
  <r>
    <x v="33"/>
    <x v="1"/>
    <x v="2"/>
    <x v="0"/>
    <x v="1"/>
    <x v="283"/>
    <n v="118.57589999999982"/>
    <n v="-3.8545164360645146"/>
    <n v="0.38666243424581026"/>
    <n v="2.5870760083366084"/>
    <n v="-0.91176430994995838"/>
    <n v="0.38949605091580519"/>
    <n v="0.38958980505758856"/>
    <n v="2.6134100000005378E-3"/>
    <n v="1.3113788917151536"/>
    <n v="1.4060981317413734"/>
    <n v="1.4314948122770677"/>
    <n v="1.3807556062449988"/>
    <n v="1.292078457985335"/>
    <n v="-4.6820586296902889E-7"/>
    <n v="1.6679919479629435"/>
    <n v="-5.4358869222326245E-2"/>
    <n v="-0.27376500000000081"/>
    <n v="3.5434720000000058E-2"/>
    <n v="7.7844755000000015E-2"/>
  </r>
  <r>
    <x v="34"/>
    <x v="1"/>
    <x v="2"/>
    <x v="0"/>
    <x v="1"/>
    <x v="284"/>
    <n v="113.54032000000007"/>
    <n v="-3.7186735732672394"/>
    <n v="0.33675497577025926"/>
    <n v="2.4622052491241053"/>
    <n v="-0.85074720130655646"/>
    <n v="0.34828988915445169"/>
    <n v="0.34017144785951636"/>
    <n v="3.0515600000002863E-3"/>
    <n v="1.2129533641809909"/>
    <n v="1.2932481166650245"/>
    <n v="1.3062123171908357"/>
    <n v="1.2803152828448239"/>
    <n v="1.1916590253269632"/>
    <n v="-4.590253399605615E-7"/>
    <n v="1.5460316077797298"/>
    <n v="-4.0654538140150187E-2"/>
    <n v="-0.26120204000000119"/>
    <n v="3.342391000000014E-2"/>
    <n v="4.7803512000000034E-2"/>
  </r>
  <r>
    <x v="35"/>
    <x v="1"/>
    <x v="2"/>
    <x v="0"/>
    <x v="1"/>
    <x v="285"/>
    <n v="108.41741000000184"/>
    <n v="-3.5900867508139811"/>
    <n v="0.28967802212729321"/>
    <n v="2.3344448432668585"/>
    <n v="-0.79091895289109537"/>
    <n v="0.30758607927101611"/>
    <n v="0.29350235964002991"/>
    <n v="3.4174200000000599E-3"/>
    <n v="1.1178782281178856"/>
    <n v="1.1841797880395299"/>
    <n v="1.1851010877267587"/>
    <n v="1.1832609884885326"/>
    <n v="1.0948268052413779"/>
    <n v="-4.5002483961553708E-7"/>
    <n v="1.4275565635059273"/>
    <n v="-2.7940994559272347E-2"/>
    <n v="-0.24850231000000111"/>
    <n v="3.1919199999999939E-2"/>
    <n v="1.9873232999999962E-2"/>
  </r>
  <r>
    <x v="36"/>
    <x v="1"/>
    <x v="2"/>
    <x v="0"/>
    <x v="1"/>
    <x v="286"/>
    <n v="103.21130999999878"/>
    <n v="-3.46839629074297"/>
    <n v="0.24549595579348438"/>
    <n v="2.2046045087910526"/>
    <n v="-0.73258336089867537"/>
    <n v="0.26762831604436599"/>
    <n v="0.24965217160968223"/>
    <n v="3.7156499999996262E-3"/>
    <n v="1.0264557976304989"/>
    <n v="1.0792687618773167"/>
    <n v="1.0686157216081904"/>
    <n v="1.0898904769081064"/>
    <n v="1.0018741461357505"/>
    <n v="-4.4120084252696756E-7"/>
    <n v="1.3130462233948981"/>
    <n v="-1.6190177743913292E-2"/>
    <n v="-0.23568044000000093"/>
    <n v="3.08705900000001E-2"/>
    <n v="-5.9303390000001177E-3"/>
  </r>
  <r>
    <x v="37"/>
    <x v="1"/>
    <x v="2"/>
    <x v="0"/>
    <x v="1"/>
    <x v="287"/>
    <n v="97.930140000000392"/>
    <n v="-3.3532314232507909"/>
    <n v="0.20424168154089539"/>
    <n v="2.0734548948910581"/>
    <n v="-0.67599566448801607"/>
    <n v="0.22863061566307241"/>
    <n v="0.2086591266518889"/>
    <n v="3.950819999999633E-3"/>
    <n v="0.93891934920857789"/>
    <n v="0.9788089019536983"/>
    <n v="0.95711470042803004"/>
    <n v="1.0004342319748449"/>
    <n v="0.91302364783598655"/>
    <n v="-4.3254985149232539E-7"/>
    <n v="1.202883697227386"/>
    <n v="-5.3741041034949255E-3"/>
    <n v="-0.22275955000000125"/>
    <n v="3.0228659999999991E-2"/>
    <n v="-2.9609966000000015E-2"/>
  </r>
  <r>
    <x v="38"/>
    <x v="1"/>
    <x v="2"/>
    <x v="0"/>
    <x v="1"/>
    <x v="288"/>
    <n v="92.585319999998319"/>
    <n v="-3.2442142066738011"/>
    <n v="0.16591940419357076"/>
    <n v="1.9417240443825756"/>
    <n v="-0.6213661663235559"/>
    <n v="0.19077791202994909"/>
    <n v="0.17053263660391504"/>
    <n v="4.1274699999996334E-3"/>
    <n v="0.85544057106081706"/>
    <n v="0.88302094712953139"/>
    <n v="0.85087010087547821"/>
    <n v="0.9150625247348998"/>
    <n v="0.82843551451998731"/>
    <n v="-4.7118717816374556E-7"/>
    <n v="1.0973652361646824"/>
    <n v="4.5350399379584516E-3"/>
    <n v="-0.20976951000000049"/>
    <n v="2.994515000000024E-2"/>
    <n v="-5.1185247999999996E-2"/>
  </r>
  <r>
    <x v="39"/>
    <x v="1"/>
    <x v="2"/>
    <x v="0"/>
    <x v="1"/>
    <x v="289"/>
    <n v="87.190760000001319"/>
    <n v="-3.1409631267936056"/>
    <n v="0.13050773027298845"/>
    <n v="1.8100946515485994"/>
    <n v="-0.5688638200260554"/>
    <n v="0.15422805578406695"/>
    <n v="0.13525647880725522"/>
    <n v="4.2501700000002751E-3"/>
    <n v="0.77613639090339248"/>
    <n v="0.79206002252512064"/>
    <n v="0.75007692026851647"/>
    <n v="0.83389202198134171"/>
    <n v="0.74821485491531892"/>
    <n v="-4.6194823521972239E-7"/>
    <n v="0.99670925020061141"/>
    <n v="1.3564530428578081E-2"/>
    <n v="-0.19674521999999972"/>
    <n v="2.9973449999999915E-2"/>
    <n v="-7.0690860000000022E-2"/>
  </r>
  <r>
    <x v="40"/>
    <x v="1"/>
    <x v="2"/>
    <x v="0"/>
    <x v="1"/>
    <x v="290"/>
    <n v="81.762399999999616"/>
    <n v="-3.0430965168461666"/>
    <n v="9.7962835279452598E-2"/>
    <n v="1.6792023339504913"/>
    <n v="-0.51861998479109106"/>
    <n v="0.1191135348597383"/>
    <n v="0.10279200752669748"/>
    <n v="4.323579999999938E-3"/>
    <n v="0.70107535576826585"/>
    <n v="0.70602359049276586"/>
    <n v="0.65486146546736013"/>
    <n v="0.7569917876393939"/>
    <n v="0.67241789967944499"/>
    <n v="-4.5289041405993657E-7"/>
    <n v="0.90106538596896879"/>
    <n v="2.1741851609369256E-2"/>
    <n v="-0.18372524999999973"/>
    <n v="3.0268950000000155E-2"/>
    <n v="-8.8174742000000056E-2"/>
  </r>
  <r>
    <x v="41"/>
    <x v="1"/>
    <x v="2"/>
    <x v="0"/>
    <x v="1"/>
    <x v="291"/>
    <n v="76.317530000000261"/>
    <n v="-2.9502352610516813"/>
    <n v="6.8221322330330736E-2"/>
    <n v="1.5496344736049439"/>
    <n v="-0.47073193431463878"/>
    <n v="8.554355353960208E-2"/>
    <n v="7.3081190896573389E-2"/>
    <n v="4.3523700000006049E-3"/>
    <n v="0.63028359161145797"/>
    <n v="0.62495791060730443"/>
    <n v="0.56528982025716434"/>
    <n v="0.68438952122624741"/>
    <n v="0.60105861766475144"/>
    <n v="-4.8841123367893147E-7"/>
    <n v="0.81052269406616251"/>
    <n v="2.9094381106498091E-2"/>
    <n v="-0.17075057999999949"/>
    <n v="3.0789340000000193E-2"/>
    <n v="-0.10369627100000003"/>
  </r>
  <r>
    <x v="42"/>
    <x v="1"/>
    <x v="2"/>
    <x v="0"/>
    <x v="1"/>
    <x v="292"/>
    <n v="70.874410000000353"/>
    <n v="-2.8620066616051321"/>
    <n v="4.1203288798730142E-2"/>
    <n v="1.4219298529449365"/>
    <n v="-0.42526650320688919"/>
    <n v="5.3605221271713077E-2"/>
    <n v="4.6049404733139454E-2"/>
    <n v="4.3412399999998019E-3"/>
    <n v="0.56375075137462538"/>
    <n v="0.54886530864526328"/>
    <n v="0.48137540808772528"/>
    <n v="0.61607674506121146"/>
    <n v="0.53411441937705195"/>
    <n v="-4.7883453868635684E-7"/>
    <n v="0.72511719526151541"/>
    <n v="3.5649510094426518E-2"/>
    <n v="-0.15786354999999946"/>
    <n v="3.1494850000000213E-2"/>
    <n v="-0.11732447100000001"/>
  </r>
  <r>
    <x v="43"/>
    <x v="1"/>
    <x v="2"/>
    <x v="0"/>
    <x v="1"/>
    <x v="293"/>
    <n v="65.451870000000781"/>
    <n v="-2.778046118348021"/>
    <n v="1.6815220490062899E-2"/>
    <n v="1.2965787665746964"/>
    <n v="-0.38226335504909503"/>
    <n v="2.3366049305151293E-2"/>
    <n v="2.1608388857718985E-2"/>
    <n v="4.2948400000006326E-3"/>
    <n v="0.50143505964448387"/>
    <n v="0.47770970405081048"/>
    <n v="0.40308645612960881"/>
    <n v="0.55201398496276255"/>
    <n v="0.47153128789356735"/>
    <n v="-5.1212251106491635E-7"/>
    <n v="0.64483947248801243"/>
    <n v="4.1434752042146528E-2"/>
    <n v="-0.14510699000000044"/>
    <n v="3.2348349999999915E-2"/>
    <n v="-0.12913627699999985"/>
  </r>
  <r>
    <x v="44"/>
    <x v="1"/>
    <x v="2"/>
    <x v="0"/>
    <x v="1"/>
    <x v="294"/>
    <n v="60.068909999998141"/>
    <n v="-2.6979995325175588"/>
    <n v="-5.0474283265322661E-3"/>
    <n v="1.1740236012140581"/>
    <n v="-0.34173831658180776"/>
    <n v="-5.124392638655717E-3"/>
    <n v="-3.4132825723620641E-4"/>
    <n v="4.2177399999995813E-3"/>
    <n v="0.44326825860909747"/>
    <n v="0.41142269037826029"/>
    <n v="0.33035235933009943"/>
    <n v="0.4921355820189488"/>
    <n v="0.41322909423462395"/>
    <n v="-5.0208086577185895E-7"/>
    <n v="0.56964123299669822"/>
    <n v="4.6477616848328296E-2"/>
    <n v="-0.13252343999999999"/>
    <n v="3.3315440000000057E-2"/>
    <n v="-0.13921489400000009"/>
  </r>
  <r>
    <x v="45"/>
    <x v="1"/>
    <x v="2"/>
    <x v="0"/>
    <x v="1"/>
    <x v="295"/>
    <n v="54.744469999997818"/>
    <n v="-2.6215255738153087"/>
    <n v="-2.4497587283511812E-2"/>
    <n v="1.0546598824287434"/>
    <n v="-0.30368620529221957"/>
    <n v="-3.1832757025240799E-2"/>
    <n v="-1.990778163690754E-2"/>
    <n v="4.1143199999996161E-3"/>
    <n v="0.3891599395054568"/>
    <n v="0.34990865860715648"/>
    <n v="0.26306970857790102"/>
    <n v="0.43635377890194338"/>
    <n v="0.35910576354205581"/>
    <n v="-4.9223616294113981E-7"/>
    <n v="0.49944115948619139"/>
    <n v="5.0806113125378971E-2"/>
    <n v="-0.12015452999999954"/>
    <n v="3.4364519999999926E-2"/>
    <n v="-0.14764826899999994"/>
  </r>
  <r>
    <x v="46"/>
    <x v="1"/>
    <x v="2"/>
    <x v="0"/>
    <x v="1"/>
    <x v="296"/>
    <n v="49.49706999999762"/>
    <n v="-2.5482965830598503"/>
    <n v="-4.1654546517033708E-2"/>
    <n v="0.93883748333796202"/>
    <n v="-0.26808414875970632"/>
    <n v="-5.6740232297303184E-2"/>
    <n v="-3.7205561047704006E-2"/>
    <n v="3.9888000000001811E-3"/>
    <n v="0.33900155578074909"/>
    <n v="0.29304921864337086"/>
    <n v="0.20110823054340088"/>
    <n v="0.38456259698926853"/>
    <n v="0.30904154556923302"/>
    <n v="-5.2279984785741362E-7"/>
    <n v="0.43413080100331847"/>
    <n v="5.4447944814550731E-2"/>
    <n v="-0.10804041999999958"/>
    <n v="3.5466749999999922E-2"/>
    <n v="-0.154527682"/>
  </r>
  <r>
    <x v="47"/>
    <x v="1"/>
    <x v="2"/>
    <x v="0"/>
    <x v="1"/>
    <x v="297"/>
    <n v="44.344740000000456"/>
    <n v="-2.4780003995884314"/>
    <n v="-5.6641700165271924E-2"/>
    <n v="0.82686229063775318"/>
    <n v="-0.23489360459684194"/>
    <n v="-7.9840586665380631E-2"/>
    <n v="-5.2353597465071289E-2"/>
    <n v="3.845130000000585E-3"/>
    <n v="0.29266989735625693"/>
    <n v="0.24070765357218082"/>
    <n v="0.1443151115348984"/>
    <n v="0.33664158288260193"/>
    <n v="0.26290263627095634"/>
    <n v="-5.1254887001306315E-7"/>
    <n v="0.37357964539848076"/>
    <n v="5.7431405771835031E-2"/>
    <n v="-9.6219380000001076E-2"/>
    <n v="3.6596020000000118E-2"/>
    <n v="-0.15994648499999992"/>
  </r>
  <r>
    <x v="48"/>
    <x v="1"/>
    <x v="2"/>
    <x v="0"/>
    <x v="1"/>
    <x v="298"/>
    <n v="39.304720000000088"/>
    <n v="-2.4103412731546148"/>
    <n v="-6.9584809455069951E-2"/>
    <n v="0.71899789339722187"/>
    <n v="-0.20406340910624765"/>
    <n v="-0.10113934892286292"/>
    <n v="-6.5473595958343012E-2"/>
    <n v="3.6869900000000011E-3"/>
    <n v="0.25003045926004219"/>
    <n v="0.19273271404385284"/>
    <n v="9.2520172445786919E-2"/>
    <n v="0.29245864368145913"/>
    <n v="0.22054424967350439"/>
    <n v="-5.4115264491727544E-7"/>
    <n v="0.31763917722806845"/>
    <n v="5.9784732677470309E-2"/>
    <n v="-8.472746000000031E-2"/>
    <n v="3.772888000000002E-2"/>
    <n v="-0.16399896699999997"/>
  </r>
  <r>
    <x v="49"/>
    <x v="1"/>
    <x v="2"/>
    <x v="0"/>
    <x v="1"/>
    <x v="299"/>
    <n v="34.393350000002101"/>
    <n v="-2.3450402392671821"/>
    <n v="-8.0610499100997046E-2"/>
    <n v="0.61546759248507499"/>
    <n v="-0.17553157640649575"/>
    <n v="-0.12065153754879931"/>
    <n v="-7.6688431127336365E-2"/>
    <n v="3.5177699999999756E-3"/>
    <n v="0.21094016576832519"/>
    <n v="0.14896189205702015"/>
    <n v="4.553932167805641E-2"/>
    <n v="0.25187298246767131"/>
    <n v="0.18181376130244065"/>
    <n v="-5.3054182158618346E-7"/>
    <n v="0.26614730342615633"/>
    <n v="6.1536269179573999E-2"/>
    <n v="-7.3598100000001054E-2"/>
    <n v="3.8844480000000195E-2"/>
    <n v="-0.16677937399999995"/>
  </r>
  <r>
    <x v="50"/>
    <x v="1"/>
    <x v="2"/>
    <x v="0"/>
    <x v="1"/>
    <x v="300"/>
    <n v="29.625930000001972"/>
    <n v="-2.2818359810997668"/>
    <n v="-8.9844870517197251E-2"/>
    <n v="0.51645641389119756"/>
    <n v="-0.14922752016637286"/>
    <n v="-0.1384010458406193"/>
    <n v="-8.6120709291048758E-2"/>
    <n v="3.3405299999997307E-3"/>
    <n v="0.17524984963859236"/>
    <n v="0.10922447825434389"/>
    <n v="3.1781980913470065E-3"/>
    <n v="0.21473743038173954"/>
    <n v="0.14655288762552843"/>
    <n v="-5.201390207432155E-7"/>
    <n v="0.21893168561328835"/>
    <n v="6.271470261178802E-2"/>
    <n v="-6.2861990000000201E-2"/>
    <n v="3.9924399999999999E-2"/>
    <n v="-0.16838105200000006"/>
  </r>
  <r>
    <x v="0"/>
    <x v="1"/>
    <x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1"/>
    <x v="0"/>
    <x v="301"/>
    <n v="21.646510000002309"/>
    <n v="-1.2805375402027419"/>
    <n v="4.8632123244107817E-2"/>
    <n v="-0.24605596805665764"/>
    <n v="-0.12135939460202749"/>
    <n v="-0.16099843354769883"/>
    <n v="6.8217858506058882E-2"/>
    <n v="1.7541189999999152E-2"/>
    <n v="0.44182284270408712"/>
    <n v="6.2381372487840814E-2"/>
    <n v="-0.70394990127065071"/>
    <n v="0.82423852860367131"/>
    <n v="0.20274196058553962"/>
    <n v="-9.8039221185786118E-8"/>
    <n v="1.3694291990296037E-2"/>
    <n v="-0.36637949859186225"/>
    <n v="-6.4654659999999198E-2"/>
    <n v="6.7815019999999809E-2"/>
    <n v="-2.7863493000000045E-2"/>
  </r>
  <r>
    <x v="2"/>
    <x v="1"/>
    <x v="2"/>
    <x v="1"/>
    <x v="0"/>
    <x v="302"/>
    <n v="39.83694000000105"/>
    <n v="-2.1123640308416847"/>
    <n v="0.11105516999918574"/>
    <n v="-0.47391913069999569"/>
    <n v="-0.27855278420134688"/>
    <n v="-0.26560375177152595"/>
    <n v="0.13309847161162569"/>
    <n v="1.9729549999999985E-2"/>
    <n v="0.47939600107707037"/>
    <n v="0.12020463271797954"/>
    <n v="-0.61110140213167519"/>
    <n v="0.84843146785040791"/>
    <n v="0.32403623575159024"/>
    <n v="-9.6116881120877906E-8"/>
    <n v="0.15836851914914352"/>
    <n v="-0.2596746145031692"/>
    <n v="-0.11333890999999929"/>
    <n v="8.7104309999999976E-2"/>
    <n v="1.3957200000001141E-4"/>
  </r>
  <r>
    <x v="3"/>
    <x v="1"/>
    <x v="2"/>
    <x v="1"/>
    <x v="0"/>
    <x v="303"/>
    <n v="47.016090000000986"/>
    <n v="-2.6096229839520313"/>
    <n v="0.15477205676215355"/>
    <n v="-0.6690656240615378"/>
    <n v="-0.43814265717131429"/>
    <n v="-0.32068167117395019"/>
    <n v="0.16337465087052916"/>
    <n v="7.6972999999994074E-3"/>
    <n v="0.52581972570333591"/>
    <n v="0.18451067051037384"/>
    <n v="-0.50953083559580614"/>
    <n v="0.87638087832320188"/>
    <n v="0.40743567669350167"/>
    <n v="-9.4232244229885964E-8"/>
    <n v="0.30802090990209585"/>
    <n v="-0.1635181599996427"/>
    <n v="-0.12767558000000012"/>
    <n v="8.3834709999999757E-2"/>
    <n v="-8.6041449999999312E-3"/>
  </r>
  <r>
    <x v="4"/>
    <x v="1"/>
    <x v="2"/>
    <x v="1"/>
    <x v="0"/>
    <x v="304"/>
    <n v="42.461719999999332"/>
    <n v="-2.900248040093456"/>
    <n v="0.16297033952621387"/>
    <n v="-0.83536671794436357"/>
    <n v="-0.58522308114663524"/>
    <n v="-0.35419402602318018"/>
    <n v="0.15328889268340085"/>
    <n v="-8.6634500000001835E-3"/>
    <n v="0.57158381071829023"/>
    <n v="0.24725327775323436"/>
    <n v="-0.40950446148189101"/>
    <n v="0.90238227788357328"/>
    <n v="0.46699277584845156"/>
    <n v="-1.8476907781561636E-7"/>
    <n v="0.43154105592948522"/>
    <n v="-9.7317685468645276E-2"/>
    <n v="-0.10930428999999936"/>
    <n v="7.1889760000000066E-2"/>
    <n v="-4.5771380999999958E-2"/>
  </r>
  <r>
    <x v="5"/>
    <x v="1"/>
    <x v="2"/>
    <x v="1"/>
    <x v="0"/>
    <x v="305"/>
    <n v="28.480309999999008"/>
    <n v="-3.0647363444485931"/>
    <n v="0.13868787706625696"/>
    <n v="-0.97844453702849998"/>
    <n v="-0.71170599354881681"/>
    <n v="-0.38182583331074493"/>
    <n v="0.11660426765243148"/>
    <n v="-1.9768720000000461E-2"/>
    <n v="0.6082092877251144"/>
    <n v="0.29960633153149896"/>
    <n v="-0.32203494351843442"/>
    <n v="0.91992732361649843"/>
    <n v="0.5066161801445368"/>
    <n v="-1.8114615363273856E-7"/>
    <n v="0.5239123257186673"/>
    <n v="-5.3699420700437095E-2"/>
    <n v="-6.6936890000000859E-2"/>
    <n v="5.8087559999999913E-2"/>
    <n v="-9.7763366000000115E-2"/>
  </r>
  <r>
    <x v="6"/>
    <x v="1"/>
    <x v="2"/>
    <x v="1"/>
    <x v="0"/>
    <x v="306"/>
    <n v="8.5471299999990151"/>
    <n v="-3.1488137718440945"/>
    <n v="9.3434453505292225E-2"/>
    <n v="-1.1010558833944861"/>
    <n v="-0.81293466320648822"/>
    <n v="-0.40858489340187543"/>
    <n v="6.7424279389571851E-2"/>
    <n v="-2.3295239999999995E-2"/>
    <n v="0.63123363567534341"/>
    <n v="0.33654417213364596"/>
    <n v="-0.25345580190789807"/>
    <n v="0.92538756367772645"/>
    <n v="0.52798227714261348"/>
    <n v="-2.6639142003404004E-7"/>
    <n v="0.58650960179620348"/>
    <n v="-2.3952014539874167E-2"/>
    <n v="-1.1119120000001315E-2"/>
    <n v="4.5287989999999792E-2"/>
    <n v="-0.15310991200000007"/>
  </r>
  <r>
    <x v="7"/>
    <x v="1"/>
    <x v="2"/>
    <x v="1"/>
    <x v="0"/>
    <x v="307"/>
    <n v="-13.809150000000955"/>
    <n v="-3.1782826712011492"/>
    <n v="3.9468219000049487E-2"/>
    <n v="-1.2037105316944241"/>
    <n v="-0.88686798287942459"/>
    <n v="-0.43415976660028388"/>
    <n v="1.6229408625334507E-2"/>
    <n v="-2.0823740000000535E-2"/>
    <n v="0.63965575543392106"/>
    <n v="0.35681780520790962"/>
    <n v="-0.20543766319862655"/>
    <n v="0.91799177750688798"/>
    <n v="0.53312609009912304"/>
    <n v="-1.7411204700223948E-7"/>
    <n v="0.62234535825356208"/>
    <n v="-2.700998280591449E-3"/>
    <n v="4.8471249999999799E-2"/>
    <n v="3.4515430000000083E-2"/>
    <n v="-0.20378979700000008"/>
  </r>
  <r>
    <x v="8"/>
    <x v="1"/>
    <x v="2"/>
    <x v="1"/>
    <x v="0"/>
    <x v="308"/>
    <n v="-35.637010000002192"/>
    <n v="-3.1684657924030746"/>
    <n v="-1.3486549540797643E-2"/>
    <n v="-1.2862462162666621"/>
    <n v="-0.9337373473536581"/>
    <n v="-0.45655480974375884"/>
    <n v="-3.0155074028370699E-2"/>
    <n v="-1.494328000000017E-2"/>
    <n v="0.63469154103577008"/>
    <n v="0.36176273223105238"/>
    <n v="-0.17644436825809962"/>
    <n v="0.8989069813142736"/>
    <n v="0.52483589377370077"/>
    <n v="-2.5604711684223957E-7"/>
    <n v="0.63516183157830142"/>
    <n v="1.2733139184284425E-2"/>
    <n v="0.10433916999999931"/>
    <n v="2.6012699999999889E-2"/>
    <n v="-0.24494817099999996"/>
  </r>
  <r>
    <x v="9"/>
    <x v="1"/>
    <x v="2"/>
    <x v="1"/>
    <x v="0"/>
    <x v="309"/>
    <n v="-54.830239999999321"/>
    <n v="-3.1293751810289372"/>
    <n v="-5.9015982491894547E-2"/>
    <n v="-1.348900483158022"/>
    <n v="-0.95561252628043603"/>
    <n v="-0.47389229738497018"/>
    <n v="-6.7844661742266776E-2"/>
    <n v="-7.9179200000001337E-3"/>
    <n v="0.61870671554973278"/>
    <n v="0.3541089702296274"/>
    <n v="-0.1632009974845583"/>
    <n v="0.87033969114149734"/>
    <n v="0.50633274289986208"/>
    <n v="-2.5102657730258215E-7"/>
    <n v="0.62917332557446137"/>
    <n v="2.3613226078200711E-2"/>
    <n v="0.15156006999999944"/>
    <n v="1.9698599999999969E-2"/>
    <n v="-0.27427744700000006"/>
  </r>
  <r>
    <x v="10"/>
    <x v="1"/>
    <x v="2"/>
    <x v="1"/>
    <x v="0"/>
    <x v="310"/>
    <n v="-70.15143999999782"/>
    <n v="-3.0683174016043813"/>
    <n v="-9.3715981964126449E-2"/>
    <n v="-1.3927207647838169"/>
    <n v="-0.95585080824879265"/>
    <n v="-0.48507374541192361"/>
    <n v="-9.5172038998581066E-2"/>
    <n v="-1.3061400000000112E-3"/>
    <n v="0.59448188303974359"/>
    <n v="0.33710424913315773"/>
    <n v="-0.16178671215970608"/>
    <n v="0.83487863504358995"/>
    <n v="0.48084895955262663"/>
    <n v="-2.4610449234074849E-7"/>
    <n v="0.6087782211668058"/>
    <n v="3.063632231417035E-2"/>
    <n v="0.18760017000000045"/>
    <n v="1.5355749999999835E-2"/>
    <n v="-0.29137805399999989"/>
  </r>
  <r>
    <x v="11"/>
    <x v="1"/>
    <x v="2"/>
    <x v="1"/>
    <x v="0"/>
    <x v="311"/>
    <n v="-81.11612999999852"/>
    <n v="-2.991116607412958"/>
    <n v="-0.1165368642738307"/>
    <n v="-1.4195309154516833"/>
    <n v="-0.93852931324769351"/>
    <n v="-0.48985896356388281"/>
    <n v="-0.11206585347811604"/>
    <n v="4.0115199999996021E-3"/>
    <n v="0.56476154704407922"/>
    <n v="0.31395356670358421"/>
    <n v="-0.16833370113219503"/>
    <n v="0.79507505540292733"/>
    <n v="0.45131268563636251"/>
    <n v="-3.217052180204405E-7"/>
    <n v="0.57823161205330376"/>
    <n v="3.4336992270866951E-2"/>
    <n v="0.21185452000000021"/>
    <n v="1.2709710000000096E-2"/>
    <n v="-0.29717193299999989"/>
  </r>
  <r>
    <x v="12"/>
    <x v="1"/>
    <x v="2"/>
    <x v="1"/>
    <x v="0"/>
    <x v="312"/>
    <n v="-87.815660000000207"/>
    <n v="-2.9026417898411427"/>
    <n v="-0.12808054927335721"/>
    <n v="-1.4316883589216123"/>
    <n v="-0.90794653330534825"/>
    <n v="-0.48869649898177769"/>
    <n v="-0.11952257837745117"/>
    <n v="7.678980000000446E-3"/>
    <n v="0.5320025732190814"/>
    <n v="0.28750077514791972"/>
    <n v="-0.17942012333879154"/>
    <n v="0.75320297872725206"/>
    <n v="0.42017176916919752"/>
    <n v="-2.3654795899830106E-7"/>
    <n v="0.54136577618186799"/>
    <n v="3.5224125649979676E-2"/>
    <n v="0.22509684999999918"/>
    <n v="1.1466450000000017E-2"/>
    <n v="-0.29339145499999997"/>
  </r>
  <r>
    <x v="13"/>
    <x v="1"/>
    <x v="2"/>
    <x v="1"/>
    <x v="0"/>
    <x v="313"/>
    <n v="-90.72961000000214"/>
    <n v="-2.8070084972374398"/>
    <n v="-0.12997026716353721"/>
    <n v="-1.4317888633578413"/>
    <n v="-0.86823669791246116"/>
    <n v="-0.48248032755237036"/>
    <n v="-0.11916118667453235"/>
    <n v="9.6989300000002721E-3"/>
    <n v="0.498250614258966"/>
    <n v="0.26007852090219608"/>
    <n v="-0.19225388404102706"/>
    <n v="0.71114044704256862"/>
    <n v="0.38932816728272091"/>
    <n v="-3.0921302185404898E-7"/>
    <n v="0.50140970619714231"/>
    <n v="3.3801021951251897E-2"/>
    <n v="0.22895547000000016"/>
    <n v="1.1333059999999937E-2"/>
    <n v="-0.28215743800000004"/>
  </r>
  <r>
    <x v="14"/>
    <x v="1"/>
    <x v="2"/>
    <x v="1"/>
    <x v="0"/>
    <x v="314"/>
    <n v="-90.556440000000293"/>
    <n v="-2.7076455864345261"/>
    <n v="-0.12433482521420069"/>
    <n v="-1.422402869411632"/>
    <n v="-0.82310619459502465"/>
    <n v="-0.47231741562390184"/>
    <n v="-0.11286467021677238"/>
    <n v="1.0291530000000604E-2"/>
    <n v="0.46509964071674847"/>
    <n v="0.23346484059032502"/>
    <n v="-0.20471955028834588"/>
    <n v="0.67033181798090702"/>
    <n v="0.36014994120792121"/>
    <n v="-2.2736250659960433E-7"/>
    <n v="0.46091254425744133"/>
    <n v="3.054779560476284E-2"/>
    <n v="0.22547227000000031"/>
    <n v="1.2030279999999949E-2"/>
    <n v="-0.26565434300000001"/>
  </r>
  <r>
    <x v="15"/>
    <x v="1"/>
    <x v="2"/>
    <x v="1"/>
    <x v="0"/>
    <x v="315"/>
    <n v="-88.076100000002043"/>
    <n v="-2.6073209696268029"/>
    <n v="-0.11341609698169997"/>
    <n v="-1.4058785601150592"/>
    <n v="-0.77568092050238624"/>
    <n v="-0.45934207953451933"/>
    <n v="-0.10250953691193221"/>
    <n v="9.7847299999995196E-3"/>
    <n v="0.43370326932024028"/>
    <n v="0.20890758124392228"/>
    <n v="-0.21534268303983195"/>
    <n v="0.631800952191508"/>
    <n v="0.33352623432165718"/>
    <n v="-2.9720588212711618E-7"/>
    <n v="0.4217516799462917"/>
    <n v="2.5902098224017678E-2"/>
    <n v="0.2167659200000005"/>
    <n v="1.3300490000000068E-2"/>
    <n v="-0.24590223999999999"/>
  </r>
  <r>
    <x v="16"/>
    <x v="1"/>
    <x v="2"/>
    <x v="1"/>
    <x v="0"/>
    <x v="316"/>
    <n v="-84.048759999997856"/>
    <n v="-2.5081694836830537"/>
    <n v="-9.929858075852227E-2"/>
    <n v="-1.3842188014614121"/>
    <n v="-0.72844455538920716"/>
    <n v="-0.4445864571330449"/>
    <n v="-8.9783915953733917E-2"/>
    <n v="8.534929999999552E-3"/>
    <n v="0.40481933688663041"/>
    <n v="0.1871876275483686"/>
    <n v="-0.22320847148096234"/>
    <n v="0.59619625643712038"/>
    <n v="0.30994669999870883"/>
    <n v="-2.1853374665425918E-7"/>
    <n v="0.38519790368387596"/>
    <n v="2.0248182089899203E-2"/>
    <n v="0.20479898999999913"/>
    <n v="1.491269999999989E-2"/>
    <n v="-0.22461764699999998"/>
  </r>
  <r>
    <x v="17"/>
    <x v="1"/>
    <x v="2"/>
    <x v="1"/>
    <x v="0"/>
    <x v="317"/>
    <n v="-79.148130000001402"/>
    <n v="-2.4117389956775703"/>
    <n v="-8.3744783193739902E-2"/>
    <n v="-1.359024594855196"/>
    <n v="-0.68324492637736878"/>
    <n v="-0.42890523252476775"/>
    <n v="-7.6080786505006159E-2"/>
    <n v="6.8739200000000888E-3"/>
    <n v="0.37886980865298181"/>
    <n v="0.16870112262061809"/>
    <n v="-0.22785792116374326"/>
    <n v="0.56385140990351523"/>
    <n v="0.28958649103583145"/>
    <n v="-2.1424875207287641E-7"/>
    <n v="0.35201175479686597"/>
    <n v="1.391294749701899E-2"/>
    <n v="0.19123753999999993"/>
    <n v="1.6665719999999981E-2"/>
    <n v="-0.20314877499999998"/>
  </r>
  <r>
    <x v="18"/>
    <x v="1"/>
    <x v="2"/>
    <x v="1"/>
    <x v="0"/>
    <x v="318"/>
    <n v="-73.924699999999575"/>
    <n v="-2.3190565510376127"/>
    <n v="-6.8120112035163771E-2"/>
    <n v="-1.331491499507842"/>
    <n v="-0.64134714861819875"/>
    <n v="-0.41294475520917695"/>
    <n v="-6.2457725743414461E-2"/>
    <n v="5.0779599999994929E-3"/>
    <n v="0.35601038661505768"/>
    <n v="0.15354698091656349"/>
    <n v="-0.22918050689202385"/>
    <n v="0.53485356566846942"/>
    <n v="0.27239035266335421"/>
    <n v="-2.1004781247668802E-7"/>
    <n v="0.32255111277532666"/>
    <n v="7.1679277822367382E-3"/>
    <n v="0.17738608999999933"/>
    <n v="1.8389820000000098E-2"/>
    <n v="-0.18246773399999988"/>
  </r>
  <r>
    <x v="19"/>
    <x v="1"/>
    <x v="2"/>
    <x v="1"/>
    <x v="0"/>
    <x v="319"/>
    <n v="-68.792639999999665"/>
    <n v="-2.2307099038034184"/>
    <n v="-5.3383001846873945E-2"/>
    <n v="-1.3024438783270309"/>
    <n v="-0.60351479201105063"/>
    <n v="-0.39714536190962324"/>
    <n v="-4.9642366649071956E-2"/>
    <n v="3.3541299999995111E-3"/>
    <n v="0.33619765421128989"/>
    <n v="0.14161059666277787"/>
    <n v="-0.22731278097546381"/>
    <n v="0.50910928761298546"/>
    <n v="0.25814704485764839"/>
    <n v="-2.0592922922446633E-7"/>
    <n v="0.29687564072280459"/>
    <n v="2.3344941437741795E-4"/>
    <n v="0.16417925000000028"/>
    <n v="1.9947320000000129E-2"/>
    <n v="-0.16320199799999996"/>
  </r>
  <r>
    <x v="20"/>
    <x v="1"/>
    <x v="2"/>
    <x v="1"/>
    <x v="0"/>
    <x v="320"/>
    <n v="-64.034090000001015"/>
    <n v="-2.1469363036946021"/>
    <n v="-4.0121598635678435E-2"/>
    <n v="-1.2723922216107186"/>
    <n v="-0.57010397812436997"/>
    <n v="-0.38176558492312163"/>
    <n v="-3.8069908514959394E-2"/>
    <n v="1.8394500000004643E-3"/>
    <n v="0.31925147573812485"/>
    <n v="0.13263733292310231"/>
    <n v="-0.22255020586694485"/>
    <n v="0.48640402781847669"/>
    <n v="0.24655240168429682"/>
    <n v="-2.0189140359505586E-7"/>
    <n v="0.27483992612957753"/>
    <n v="-6.7159425307772302E-3"/>
    <n v="0.1522119200000005"/>
    <n v="2.1232070000000089E-2"/>
    <n v="-0.14568895100000001"/>
  </r>
  <r>
    <x v="21"/>
    <x v="1"/>
    <x v="2"/>
    <x v="1"/>
    <x v="0"/>
    <x v="321"/>
    <n v="-59.814590000001772"/>
    <n v="-2.0677111226513167"/>
    <n v="-2.8616109861023808E-2"/>
    <n v="-1.2416008520252042"/>
    <n v="-0.54115886539983782"/>
    <n v="-0.36691812774911625"/>
    <n v="-2.7937601555383385E-2"/>
    <n v="6.082099999998869E-4"/>
    <n v="0.3049078056755139"/>
    <n v="0.12629323086348343"/>
    <n v="-0.21527574338195965"/>
    <n v="0.46645200073178739"/>
    <n v="0.2372587480824917"/>
    <n v="-1.9793274796953142E-7"/>
    <n v="0.25617070339565284"/>
    <n v="-1.354609580711541E-2"/>
    <n v="0.1417924600000009"/>
    <n v="2.2167860000000053E-2"/>
    <n v="-0.13004037499999999"/>
  </r>
  <r>
    <x v="22"/>
    <x v="1"/>
    <x v="2"/>
    <x v="1"/>
    <x v="0"/>
    <x v="322"/>
    <n v="-56.204720000001544"/>
    <n v="-1.9928297574373643"/>
    <n v="-1.891230729881288E-2"/>
    <n v="-1.2101568430363585"/>
    <n v="-0.5165005318704341"/>
    <n v="-0.35260958644541818"/>
    <n v="-1.9264776822047747E-2"/>
    <n v="-3.1590999999969727E-4"/>
    <n v="0.29286103020265131"/>
    <n v="0.12221215004006858"/>
    <n v="-0.20590568229436057"/>
    <n v="0.44893604467919346"/>
    <n v="0.22991201370736736"/>
    <n v="-1.9405170803565852E-7"/>
    <n v="0.24052718842633158"/>
    <n v="-2.0156567244289381E-2"/>
    <n v="0.13300581000000034"/>
    <n v="2.2705959999999928E-2"/>
    <n v="-0.11620706500000011"/>
  </r>
  <r>
    <x v="23"/>
    <x v="1"/>
    <x v="2"/>
    <x v="1"/>
    <x v="0"/>
    <x v="323"/>
    <n v="-53.203539999998611"/>
    <n v="-1.9219782430003884"/>
    <n v="-1.0894701703367815E-2"/>
    <n v="-1.1780329318298199"/>
    <n v="-0.49580429665050385"/>
    <n v="-0.33877838837060859"/>
    <n v="-1.1950454787090781E-2"/>
    <n v="-9.4625999999958799E-4"/>
    <n v="0.28279567950182383"/>
    <n v="0.12002941712316861"/>
    <n v="-0.1948506832620045"/>
    <n v="0.43353637982663784"/>
    <n v="0.22417639932597044"/>
    <n v="-2.5366236888757498E-7"/>
    <n v="0.22754519209933211"/>
    <n v="-2.6476170037736946E-2"/>
    <n v="0.12577708999999965"/>
    <n v="2.2821950000000146E-2"/>
    <n v="-0.10403708499999997"/>
  </r>
  <r>
    <x v="24"/>
    <x v="1"/>
    <x v="2"/>
    <x v="1"/>
    <x v="0"/>
    <x v="324"/>
    <n v="-50.761309999998048"/>
    <n v="-1.854790216061486"/>
    <n v="-4.3509700997534928E-3"/>
    <n v="-1.1451405582963536"/>
    <n v="-0.47866294336286197"/>
    <n v="-0.32532740035661201"/>
    <n v="-5.8237014928019804E-3"/>
    <n v="-1.3199800000002204E-3"/>
    <n v="0.27440846646444861"/>
    <n v="0.11940335224291942"/>
    <n v="-0.18249148301404672"/>
    <n v="0.41994986048734528"/>
    <n v="0.21974969762779129"/>
    <n v="-2.4868859194171478E-7"/>
    <n v="0.21686713290771653"/>
    <n v="-3.2457284178522006E-2"/>
    <n v="0.11992953999999945"/>
    <n v="2.2511999999999879E-2"/>
    <n v="-9.3324049000000076E-2"/>
  </r>
  <r>
    <x v="25"/>
    <x v="1"/>
    <x v="2"/>
    <x v="1"/>
    <x v="0"/>
    <x v="325"/>
    <n v="-48.799159999998665"/>
    <n v="-1.7908897802721091"/>
    <n v="9.750891069915113E-4"/>
    <n v="-1.1113710407994803"/>
    <n v="-0.46463546299344571"/>
    <n v="-0.31214935952951217"/>
    <n v="-6.8367589399764839E-4"/>
    <n v="-1.4866099999996663E-3"/>
    <n v="0.26742185542101282"/>
    <n v="0.12002863583335799"/>
    <n v="-0.169165113378833"/>
    <n v="0.40790195867612677"/>
    <n v="0.21636998793903572"/>
    <n v="-2.4381235919079813E-7"/>
    <n v="0.20816046229341634"/>
    <n v="-3.8071573522813207E-2"/>
    <n v="0.11523264999999949"/>
    <n v="2.1788979999999916E-2"/>
    <n v="-8.38440250000001E-2"/>
  </r>
  <r>
    <x v="26"/>
    <x v="1"/>
    <x v="2"/>
    <x v="1"/>
    <x v="0"/>
    <x v="326"/>
    <n v="-47.225210000000516"/>
    <n v="-1.7299208664010579"/>
    <n v="5.3439938568988765E-3"/>
    <n v="-1.076625144153065"/>
    <n v="-0.45328221151164083"/>
    <n v="-0.29914484958275533"/>
    <n v="3.6712266289429252E-3"/>
    <n v="-1.4991399999997324E-3"/>
    <n v="0.26159122773403709"/>
    <n v="0.12164108759717962"/>
    <n v="-0.15515990707689609"/>
    <n v="0.39715184917101798"/>
    <n v="0.21381769215431667"/>
    <n v="-2.3903171664230172E-7"/>
    <n v="0.20112715148310478"/>
    <n v="-4.3305247894798171E-2"/>
    <n v="0.11143948999999959"/>
    <n v="2.06785000000001E-2"/>
    <n v="-7.538135200000004E-2"/>
  </r>
  <r>
    <x v="27"/>
    <x v="1"/>
    <x v="2"/>
    <x v="1"/>
    <x v="0"/>
    <x v="327"/>
    <n v="-45.946429999999964"/>
    <n v="-1.6715652084800192"/>
    <n v="8.9944534044095192E-3"/>
    <n v="-1.0408316483470959"/>
    <n v="-0.4441881126870717"/>
    <n v="-0.2862334075621642"/>
    <n v="7.4237160768486632E-3"/>
    <n v="-1.407609999999615E-3"/>
    <n v="0.25670693679833434"/>
    <n v="0.12401803069879147"/>
    <n v="-0.14071574327459979"/>
    <n v="0.38749378341786933"/>
    <n v="0.21191303829415364"/>
    <n v="-1.7575861877006105E-7"/>
    <n v="0.19550698044177306"/>
    <n v="-4.8155883327283266E-2"/>
    <n v="0.10831299999999877"/>
    <n v="1.9215280000000126E-2"/>
    <n v="-6.7744622000000088E-2"/>
  </r>
  <r>
    <x v="28"/>
    <x v="1"/>
    <x v="2"/>
    <x v="1"/>
    <x v="0"/>
    <x v="328"/>
    <n v="-44.876759999999194"/>
    <n v="-1.615550678070532"/>
    <n v="1.2128046489734423E-2"/>
    <n v="-1.003957074940065"/>
    <n v="-0.43697636101680537"/>
    <n v="-0.27335879660167484"/>
    <n v="1.0727338803095954E-2"/>
    <n v="-1.2552200000001679E-3"/>
    <n v="0.25259309863359114"/>
    <n v="0.12697531637024806"/>
    <n v="-0.12602857472494566"/>
    <n v="0.37875469864949718"/>
    <n v="0.21051143223334012"/>
    <n v="-2.297498191694558E-7"/>
    <n v="0.19107667494404623"/>
    <n v="-5.2629148860761088E-2"/>
    <n v="0.10564266999999877"/>
    <n v="1.7439810000000056E-2"/>
    <n v="-6.0774690000000089E-2"/>
  </r>
  <r>
    <x v="29"/>
    <x v="1"/>
    <x v="2"/>
    <x v="1"/>
    <x v="0"/>
    <x v="329"/>
    <n v="-43.941939999996976"/>
    <n v="-1.5616530213302671"/>
    <n v="1.4903088123263686E-2"/>
    <n v="-0.96600845558175719"/>
    <n v="-0.43131460402514588"/>
    <n v="-0.26048983475973619"/>
    <n v="1.3701948048461254E-2"/>
    <n v="-1.076340000000231E-3"/>
    <n v="0.24910444111168051"/>
    <n v="0.13036246956268371"/>
    <n v="-0.1112557874261344"/>
    <n v="0.37079109576685365"/>
    <n v="0.20949816234325791"/>
    <n v="-2.2524491161135529E-7"/>
    <n v="0.18764650801632587"/>
    <n v="-5.6736343202756778E-2"/>
    <n v="0.1032531199999992"/>
    <n v="1.539556999999997E-2"/>
    <n v="-5.4346708000000028E-2"/>
  </r>
  <r>
    <x v="30"/>
    <x v="1"/>
    <x v="2"/>
    <x v="1"/>
    <x v="0"/>
    <x v="330"/>
    <n v="-43.081569999998464"/>
    <n v="-1.5096926658837329"/>
    <n v="1.7434920847758661E-2"/>
    <n v="-0.92703128688811365"/>
    <n v="-0.42691604287704576"/>
    <n v="-0.2476183557020617"/>
    <n v="1.6434825835620614E-2"/>
    <n v="-8.9612999999988396E-4"/>
    <n v="0.24612197970490524"/>
    <n v="0.13405733094629113"/>
    <n v="-9.6523466637055133E-2"/>
    <n v="0.36348407980040243"/>
    <n v="0.20878244438073956"/>
    <n v="-2.2082835560155445E-7"/>
    <n v="0.18505564599251567"/>
    <n v="-6.0491979255905548E-2"/>
    <n v="0.1010066599999998"/>
    <n v="1.3126689999999955E-2"/>
    <n v="-4.8368088999999927E-2"/>
  </r>
  <r>
    <x v="31"/>
    <x v="1"/>
    <x v="2"/>
    <x v="1"/>
    <x v="0"/>
    <x v="331"/>
    <n v="-42.249360000001616"/>
    <n v="-1.4595288464376743"/>
    <n v="1.9800018643434392E-2"/>
    <n v="-0.88710430627915171"/>
    <n v="-0.42353682610930532"/>
    <n v="-0.23475516815715247"/>
    <n v="1.8984027041479834E-2"/>
    <n v="-7.311900000001037E-4"/>
    <n v="0.24354867009857006"/>
    <n v="0.13796062040580814"/>
    <n v="-8.1932082613567214E-2"/>
    <n v="0.35673548836476776"/>
    <n v="0.20829228659222654"/>
    <n v="-2.1649838588544412E-7"/>
    <n v="0.18316747048452431"/>
    <n v="-6.3912629267126597E-2"/>
    <n v="9.8801659999998848E-2"/>
    <n v="1.0676269999999877E-2"/>
    <n v="-4.2774049000000001E-2"/>
  </r>
  <r>
    <x v="32"/>
    <x v="1"/>
    <x v="2"/>
    <x v="1"/>
    <x v="0"/>
    <x v="332"/>
    <n v="-41.412019999999757"/>
    <n v="-1.4110524431500737"/>
    <n v="2.2043435744500961E-2"/>
    <n v="-0.84633295451602697"/>
    <n v="-0.42097182688434209"/>
    <n v="-0.22192536662112294"/>
    <n v="2.1383963383114768E-2"/>
    <n v="-5.9089999999983878E-4"/>
    <n v="0.24130512270412741"/>
    <n v="0.14199110405261894"/>
    <n v="-6.7562407588950268E-2"/>
    <n v="0.35046334443622484"/>
    <n v="0.20796999588752474"/>
    <n v="-2.1225331492402688E-7"/>
    <n v="0.18186534768449558"/>
    <n v="-6.7015510736090356E-2"/>
    <n v="9.6568239999998695E-2"/>
    <n v="8.0850300000000902E-3"/>
    <n v="-3.7522052999999951E-2"/>
  </r>
  <r>
    <x v="33"/>
    <x v="1"/>
    <x v="2"/>
    <x v="1"/>
    <x v="0"/>
    <x v="333"/>
    <n v="-40.547429999998712"/>
    <n v="-1.3641787789757776"/>
    <n v="2.4185587702207911E-2"/>
    <n v="-0.80484213895919421"/>
    <n v="-0.41904930630580761"/>
    <n v="-0.20916349502749787"/>
    <n v="2.3651010884639945E-2"/>
    <n v="-4.7895999999991723E-4"/>
    <n v="0.23932581586452173"/>
    <n v="0.14608147525072557"/>
    <n v="-5.3480085418022849E-2"/>
    <n v="0.34459857291022633"/>
    <n v="0.20776842909644433"/>
    <n v="-2.0809149958722628E-7"/>
    <n v="0.18104896567665563"/>
    <n v="-6.9817559233054105E-2"/>
    <n v="9.4262809999999531E-2"/>
    <n v="5.3905899999998064E-3"/>
    <n v="-3.2586119000000031E-2"/>
  </r>
  <r>
    <x v="34"/>
    <x v="1"/>
    <x v="2"/>
    <x v="1"/>
    <x v="0"/>
    <x v="334"/>
    <n v="-39.642459999999119"/>
    <n v="-1.3188409059247563"/>
    <n v="2.6230226391188438E-2"/>
    <n v="-0.76276968326081107"/>
    <n v="-0.41762561817242361"/>
    <n v="-0.19650928425769543"/>
    <n v="2.5789390241737209E-2"/>
    <n v="-3.9500999999969588E-4"/>
    <n v="0.2375558181006987"/>
    <n v="0.15017519176721006"/>
    <n v="-3.9739150400253109E-2"/>
    <n v="0.33908202449255409"/>
    <n v="0.20764837857811802"/>
    <n v="-2.5501407652228636E-7"/>
    <n v="0.18063068842921748"/>
    <n v="-7.2334926190587012E-2"/>
    <n v="9.1862229999999101E-2"/>
    <n v="2.6269100000000239E-3"/>
    <n v="-2.7951610000000009E-2"/>
  </r>
  <r>
    <x v="35"/>
    <x v="1"/>
    <x v="2"/>
    <x v="1"/>
    <x v="0"/>
    <x v="335"/>
    <n v="-38.690890000001673"/>
    <n v="-1.2749840292282766"/>
    <n v="2.8170351640199875E-2"/>
    <n v="-0.72026036860290965"/>
    <n v="-0.41658022102847303"/>
    <n v="-0.18400430113381105"/>
    <n v="2.7795221215631827E-2"/>
    <n v="-3.3611000000016711E-4"/>
    <n v="0.23594892945379975"/>
    <n v="0.15422426641822362"/>
    <n v="-2.6384606971197044E-2"/>
    <n v="0.3338624363845355"/>
    <n v="0.20757651268641375"/>
    <n v="-2.0001104106270873E-7"/>
    <n v="0.18053383022909042"/>
    <n v="-7.4582712479498436E-2"/>
    <n v="8.9358349999998921E-2"/>
    <n v="-1.7580999999988745E-4"/>
    <n v="-2.3610881999999896E-2"/>
  </r>
  <r>
    <x v="36"/>
    <x v="1"/>
    <x v="2"/>
    <x v="1"/>
    <x v="0"/>
    <x v="336"/>
    <n v="-37.691450000002078"/>
    <n v="-1.2325610187807978"/>
    <n v="2.9993649979553894E-2"/>
    <n v="-0.67746123480364462"/>
    <n v="-0.4158113924216944"/>
    <n v="-0.17168856385234577"/>
    <n v="2.9661154248272759E-2"/>
    <n v="-2.9789000000057797E-4"/>
    <n v="0.23446500623403033"/>
    <n v="0.15818692144935476"/>
    <n v="-1.3454811603452743E-2"/>
    <n v="0.32889458364344648"/>
    <n v="0.20752366566469949"/>
    <n v="-1.9608927814829258E-7"/>
    <n v="0.18069054661036255"/>
    <n v="-7.6574363149006786E-2"/>
    <n v="8.6753349999998952E-2"/>
    <n v="-2.9911100000001856E-3"/>
    <n v="-1.9559911999999895E-2"/>
  </r>
  <r>
    <x v="37"/>
    <x v="1"/>
    <x v="2"/>
    <x v="1"/>
    <x v="0"/>
    <x v="337"/>
    <n v="-36.646179999999731"/>
    <n v="-1.1915293403984784"/>
    <n v="3.1686059359481433E-2"/>
    <n v="-0.63451796304937469"/>
    <n v="-0.41523270651049327"/>
    <n v="-0.15959983876278061"/>
    <n v="3.1378530570269625E-2"/>
    <n v="-2.7556999999955867E-4"/>
    <n v="0.23306929094282225"/>
    <n v="0.16202687301700713"/>
    <n v="-9.821284354782911E-4"/>
    <n v="0.32413814162493004"/>
    <n v="0.20746440729415561"/>
    <n v="-1.9224438707610148E-7"/>
    <n v="0.18104085733638975"/>
    <n v="-7.8322237891970126E-2"/>
    <n v="8.4055859999999927E-2"/>
    <n v="-5.7960999999998736E-3"/>
    <n v="-1.5795904999999985E-2"/>
  </r>
  <r>
    <x v="38"/>
    <x v="1"/>
    <x v="2"/>
    <x v="1"/>
    <x v="0"/>
    <x v="338"/>
    <n v="-35.559150000000955"/>
    <n v="-1.1518484037254639"/>
    <n v="3.3234701098816544E-2"/>
    <n v="-0.59157218912814225"/>
    <n v="-0.41477006864945043"/>
    <n v="-0.14777119060397359"/>
    <n v="3.2939434500378617E-2"/>
    <n v="-2.6454999999953044E-4"/>
    <n v="0.23173108351353111"/>
    <n v="0.16571229288329103"/>
    <n v="1.1005707584632596E-2"/>
    <n v="0.31955693560146159"/>
    <n v="0.20737598335451857"/>
    <n v="-2.3559358908187278E-7"/>
    <n v="0.18153110049052845"/>
    <n v="-7.9837172925578681E-2"/>
    <n v="8.1278199999999801E-2"/>
    <n v="-8.5710999999998733E-3"/>
    <n v="-1.2315755000000088E-2"/>
  </r>
  <r>
    <x v="39"/>
    <x v="1"/>
    <x v="2"/>
    <x v="1"/>
    <x v="0"/>
    <x v="339"/>
    <n v="-34.43550999999934"/>
    <n v="-1.1134790204238465"/>
    <n v="3.4629031791544307E-2"/>
    <n v="-0.54875989345843923"/>
    <n v="-0.4143595624188201"/>
    <n v="-0.13623174344218336"/>
    <n v="3.4337932490036138E-2"/>
    <n v="-2.6077999999984947E-4"/>
    <n v="0.23042305309661781"/>
    <n v="0.16921500595838967"/>
    <n v="2.2485144918538147E-2"/>
    <n v="0.31511834952009377"/>
    <n v="0.20723824147559355"/>
    <n v="-2.3097410650763095E-7"/>
    <n v="0.1821140903966123"/>
    <n v="-8.1128663906926413E-2"/>
    <n v="7.8434279999999024E-2"/>
    <n v="-1.1299379999999901E-2"/>
    <n v="-9.1152060000000354E-3"/>
  </r>
  <r>
    <x v="40"/>
    <x v="1"/>
    <x v="2"/>
    <x v="1"/>
    <x v="0"/>
    <x v="340"/>
    <n v="-33.280920000001061"/>
    <n v="-1.0763819382964446"/>
    <n v="3.5861579598028825E-2"/>
    <n v="-0.50621033207932653"/>
    <n v="-0.41394582323570628"/>
    <n v="-0.12500577994913886"/>
    <n v="3.5570190882205921E-2"/>
    <n v="-2.6104000000054528E-4"/>
    <n v="0.22912097418481547"/>
    <n v="0.17251062341647749"/>
    <n v="3.3436536928976857E-2"/>
    <n v="0.3107929217190275"/>
    <n v="0.20703319166679446"/>
    <n v="-2.2644520702996829E-7"/>
    <n v="0.18274769542461211"/>
    <n v="-8.2205247289746097E-2"/>
    <n v="7.5538339999998982E-2"/>
    <n v="-1.3966740000000144E-2"/>
    <n v="-6.1885339999999747E-3"/>
  </r>
  <r>
    <x v="41"/>
    <x v="1"/>
    <x v="2"/>
    <x v="1"/>
    <x v="0"/>
    <x v="341"/>
    <n v="-32.101020000001881"/>
    <n v="-1.0405179180786428"/>
    <n v="3.6928196257779433E-2"/>
    <n v="-0.46404553056300646"/>
    <n v="-0.41348025953231726"/>
    <n v="-0.11411352650825268"/>
    <n v="3.6634710905092405E-2"/>
    <n v="-2.6291999999927818E-4"/>
    <n v="0.22780321230571055"/>
    <n v="0.17557766570799327"/>
    <n v="4.3843521717779055E-2"/>
    <n v="0.30655410637245861"/>
    <n v="0.20674500687498654"/>
    <n v="-2.2200510318981515E-7"/>
    <n v="0.18339495221468827"/>
    <n v="-8.3074121730930539E-2"/>
    <n v="7.2604159999999085E-2"/>
    <n v="-1.6561199999999901E-2"/>
    <n v="-3.5285750000000823E-3"/>
  </r>
  <r>
    <x v="42"/>
    <x v="1"/>
    <x v="2"/>
    <x v="1"/>
    <x v="0"/>
    <x v="342"/>
    <n v="-30.901319999997213"/>
    <n v="-1.0058479004052767"/>
    <n v="3.7827657266586989E-2"/>
    <n v="-0.42238016886897434"/>
    <n v="-0.41292097053798882"/>
    <n v="-0.10357127313482817"/>
    <n v="3.7532125021733087E-2"/>
    <n v="-2.6476000000025257E-4"/>
    <n v="0.22645043065316894"/>
    <n v="0.17839764327076679"/>
    <n v="5.3693240487029392E-2"/>
    <n v="0.30237770009531317"/>
    <n v="0.2063596216153929"/>
    <n v="-2.6118247564710373E-7"/>
    <n v="0.18402335971965389"/>
    <n v="-8.3742157842403575E-2"/>
    <n v="6.9644749999998867E-2"/>
    <n v="-1.9072679999999897E-2"/>
    <n v="-1.1269639999998693E-3"/>
  </r>
  <r>
    <x v="43"/>
    <x v="1"/>
    <x v="2"/>
    <x v="1"/>
    <x v="0"/>
    <x v="343"/>
    <n v="-29.687040000000707"/>
    <n v="-0.97233314858442554"/>
    <n v="3.856099388130918E-2"/>
    <n v="-0.38132163848693112"/>
    <n v="-0.4122309993337514"/>
    <n v="-9.3392250040957858E-2"/>
    <n v="3.8264542163912729E-2"/>
    <n v="-2.6558000000009852E-4"/>
    <n v="0.22504561892298103"/>
    <n v="0.18095490141611936"/>
    <n v="6.297553337648587E-2"/>
    <n v="0.29824234935145189"/>
    <n v="0.2058649241195587"/>
    <n v="-2.5606124998134305E-7"/>
    <n v="0.18460456668634162"/>
    <n v="-8.4215092484551946E-2"/>
    <n v="6.6672159999998926E-2"/>
    <n v="-2.1492689999999884E-2"/>
    <n v="1.0255359999999242E-3"/>
  </r>
  <r>
    <x v="44"/>
    <x v="1"/>
    <x v="2"/>
    <x v="1"/>
    <x v="0"/>
    <x v="344"/>
    <n v="-28.463089999997464"/>
    <n v="-0.93993555142354301"/>
    <n v="3.9131179447293718E-2"/>
    <n v="-0.3409701949211863"/>
    <n v="-0.4113782558603285"/>
    <n v="-8.3586601994056764E-2"/>
    <n v="3.8835513865076443E-2"/>
    <n v="-2.6488999999990659E-4"/>
    <n v="0.22357356381266236"/>
    <n v="0.18323592510904874"/>
    <n v="7.1683259398769295E-2"/>
    <n v="0.29412848019227944"/>
    <n v="0.20525024743092146"/>
    <n v="-2.5104042178369923E-7"/>
    <n v="0.18511368087046343"/>
    <n v="-8.4498591590376204E-2"/>
    <n v="6.3697579999999476E-2"/>
    <n v="-2.3814100000000074E-2"/>
    <n v="2.938700000000051E-3"/>
  </r>
  <r>
    <x v="45"/>
    <x v="1"/>
    <x v="2"/>
    <x v="1"/>
    <x v="0"/>
    <x v="345"/>
    <n v="-27.234099999997852"/>
    <n v="-0.90861747891133327"/>
    <n v="3.9542411151960444E-2"/>
    <n v="-0.30141916035504313"/>
    <n v="-0.41033483288070993"/>
    <n v="-7.4162663500243475E-2"/>
    <n v="3.9249330399093729E-2"/>
    <n v="-2.6256000000002278E-4"/>
    <n v="0.22202090565373034"/>
    <n v="0.18522986222557769"/>
    <n v="7.9811540363095013E-2"/>
    <n v="0.29001886036081892"/>
    <n v="0.20450644577121313"/>
    <n v="-2.461180814705699E-7"/>
    <n v="0.18552933626243551"/>
    <n v="-8.4597606005909487E-2"/>
    <n v="6.0731449999999743E-2"/>
    <n v="-2.6030930000000077E-2"/>
    <n v="4.6225340000000809E-3"/>
  </r>
  <r>
    <x v="46"/>
    <x v="1"/>
    <x v="2"/>
    <x v="1"/>
    <x v="0"/>
    <x v="346"/>
    <n v="-26.004499999999098"/>
    <n v="-0.8783426959009355"/>
    <n v="3.9799570302134768E-2"/>
    <n v="-0.26275515900523461"/>
    <n v="-0.40907638325197171"/>
    <n v="-6.5126684343908003E-2"/>
    <n v="3.9510784175078584E-2"/>
    <n v="-2.5869000000039444E-4"/>
    <n v="0.22037597950330667"/>
    <n v="0.18692768771733093"/>
    <n v="8.7357803036902659E-2"/>
    <n v="0.28589796127107547"/>
    <n v="0.20362575397872007"/>
    <n v="-2.8150761721690287E-7"/>
    <n v="0.18583270537071428"/>
    <n v="-8.4517224009827974E-2"/>
    <n v="5.7783499999999877E-2"/>
    <n v="-2.8138169999999962E-2"/>
    <n v="6.0870499999999064E-3"/>
  </r>
  <r>
    <x v="47"/>
    <x v="1"/>
    <x v="2"/>
    <x v="1"/>
    <x v="0"/>
    <x v="347"/>
    <n v="-24.778470000001107"/>
    <n v="-0.84907607315115596"/>
    <n v="3.9908082314887849E-2"/>
    <n v="-0.22505822334646375"/>
    <n v="-0.40758214345882893"/>
    <n v="-5.6483212081581691E-2"/>
    <n v="3.9625129099096768E-2"/>
    <n v="-2.5352999999950221E-4"/>
    <n v="0.21862842915012504"/>
    <n v="0.18832220307247738"/>
    <n v="9.4321568721378313E-2"/>
    <n v="0.28175209462024675"/>
    <n v="0.20260149918287507"/>
    <n v="-2.759878547919925E-7"/>
    <n v="0.18600768722394356"/>
    <n v="-8.4262233985299417E-2"/>
    <n v="5.4862949999999466E-2"/>
    <n v="-3.0131660000000046E-2"/>
    <n v="7.3421080000000277E-3"/>
  </r>
  <r>
    <x v="48"/>
    <x v="1"/>
    <x v="2"/>
    <x v="1"/>
    <x v="0"/>
    <x v="348"/>
    <n v="-23.560020000000804"/>
    <n v="-0.8207832523506764"/>
    <n v="3.9873553117431015E-2"/>
    <n v="-0.18840198331975255"/>
    <n v="-0.40583385785669668"/>
    <n v="-4.823604444678109E-2"/>
    <n v="3.9597462284457485E-2"/>
    <n v="-2.4732999999999006E-4"/>
    <n v="0.21676947860951312"/>
    <n v="0.18940806609897276"/>
    <n v="0.10070406298317014"/>
    <n v="0.27756909986698108"/>
    <n v="0.20142814884798188"/>
    <n v="-2.7057632800975284E-7"/>
    <n v="0.18604022473194259"/>
    <n v="-8.3837519587681708E-2"/>
    <n v="5.1978459999998949E-2"/>
    <n v="-3.2007960000000196E-2"/>
    <n v="8.3973390000000384E-3"/>
  </r>
  <r>
    <x v="49"/>
    <x v="1"/>
    <x v="2"/>
    <x v="1"/>
    <x v="0"/>
    <x v="349"/>
    <n v="-22.352979999999661"/>
    <n v="-0.79343162320389959"/>
    <n v="3.9701576776685066E-2"/>
    <n v="-0.15285371589119912"/>
    <n v="-0.40381636187215575"/>
    <n v="-4.0387003007225086E-2"/>
    <n v="3.9433250089171423E-2"/>
    <n v="-2.4037000000004527E-4"/>
    <n v="0.21479129356627435"/>
    <n v="0.19018131562462681"/>
    <n v="0.10650827758178494"/>
    <n v="0.27333821229691413"/>
    <n v="0.20010104547811824"/>
    <n v="-2.6527091634420685E-7"/>
    <n v="0.18591834586181299"/>
    <n v="-8.3248027558180393E-2"/>
    <n v="4.9138259999999268E-2"/>
    <n v="-3.3764249999999885E-2"/>
    <n v="9.2621129999999677E-3"/>
  </r>
  <r>
    <x v="50"/>
    <x v="1"/>
    <x v="2"/>
    <x v="1"/>
    <x v="0"/>
    <x v="350"/>
    <n v="-21.1610299999993"/>
    <n v="-0.76698941865145365"/>
    <n v="3.9397726071133121E-2"/>
    <n v="-0.11847439270816773"/>
    <n v="-0.40151656770972544"/>
    <n v="-3.2937614962869066E-2"/>
    <n v="3.9137780142373124E-2"/>
    <n v="-2.3286000000038998E-4"/>
    <n v="0.21268734009189938"/>
    <n v="0.19063950089923676"/>
    <n v="0.11173868201306281"/>
    <n v="0.26904997730492486"/>
    <n v="0.19861642749552377"/>
    <n v="-2.6006952147383799E-7"/>
    <n v="0.18563154606734411"/>
    <n v="-8.2499046757977812E-2"/>
    <n v="4.6350059999999971E-2"/>
    <n v="-3.5398320000000136E-2"/>
    <n v="9.9455709999999795E-3"/>
  </r>
  <r>
    <x v="0"/>
    <x v="1"/>
    <x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2"/>
    <x v="1"/>
    <x v="1"/>
    <x v="351"/>
    <n v="25.97642000000269"/>
    <n v="-1.2319328389871931"/>
    <n v="5.6696538190470491E-2"/>
    <n v="-0.22577238327313731"/>
    <n v="-3.7477469295144061E-2"/>
    <n v="-0.16289956129038607"/>
    <n v="8.0078550027939954E-2"/>
    <n v="2.0938789999999652E-2"/>
    <n v="0.44567754858266806"/>
    <n v="6.7159215620415935E-2"/>
    <n v="-0.69848019539364703"/>
    <n v="0.82827156781541955"/>
    <n v="0.20877303901101207"/>
    <n v="-9.8039221185786118E-8"/>
    <n v="1.6639952938590774E-2"/>
    <n v="-0.3693270701455531"/>
    <n v="-7.7585619999999411E-2"/>
    <n v="9.0328610000000101E-2"/>
    <n v="-1.6297927000000038E-2"/>
  </r>
  <r>
    <x v="2"/>
    <x v="1"/>
    <x v="2"/>
    <x v="1"/>
    <x v="1"/>
    <x v="352"/>
    <n v="53.29008000000249"/>
    <n v="-1.9922069404502474"/>
    <n v="0.13919342557924264"/>
    <n v="-0.41530783140996119"/>
    <n v="-8.8009387446008613E-2"/>
    <n v="-0.26018434362844456"/>
    <n v="0.16968226171116818"/>
    <n v="2.7278480000000882E-2"/>
    <n v="0.49359813485811976"/>
    <n v="0.1378081505787998"/>
    <n v="-0.59068425491985987"/>
    <n v="0.86306660816697356"/>
    <n v="0.34465253715429967"/>
    <n v="-9.6116881120877906E-8"/>
    <n v="0.1704048001873737"/>
    <n v="-0.26894776438318724"/>
    <n v="-0.15232955000000076"/>
    <n v="0.13765335000000023"/>
    <n v="3.4464390999999935E-2"/>
  </r>
  <r>
    <x v="3"/>
    <x v="1"/>
    <x v="2"/>
    <x v="1"/>
    <x v="1"/>
    <x v="353"/>
    <n v="73.201539999998204"/>
    <n v="-2.4119714444958307"/>
    <n v="0.21457178095412033"/>
    <n v="-0.5608365651417424"/>
    <n v="-0.14237087508551793"/>
    <n v="-0.29939097195299524"/>
    <n v="0.2348341062113235"/>
    <n v="1.8116940000000026E-2"/>
    <n v="0.55787526939510279"/>
    <n v="0.22410978766818079"/>
    <n v="-0.46326073594760153"/>
    <n v="0.90905401974155087"/>
    <n v="0.45093968298213216"/>
    <n v="-1.8846447735754168E-7"/>
    <n v="0.33757924969952668"/>
    <n v="-0.18146981191378142"/>
    <n v="-0.20166553000000031"/>
    <n v="0.16219875000000017"/>
    <n v="5.6364764999999956E-2"/>
  </r>
  <r>
    <x v="4"/>
    <x v="1"/>
    <x v="2"/>
    <x v="1"/>
    <x v="1"/>
    <x v="354"/>
    <n v="83.341449999999895"/>
    <n v="-2.6280814148050613"/>
    <n v="0.26303605531938778"/>
    <n v="-0.67233762414330434"/>
    <n v="-0.19644785490938732"/>
    <n v="-0.31045416613743049"/>
    <n v="0.26596667724070322"/>
    <n v="2.6195199999995422E-3"/>
    <n v="0.62884689119206971"/>
    <n v="0.31771034874541471"/>
    <n v="-0.32681318247193003"/>
    <n v="0.96027597524399599"/>
    <n v="0.54063240223640729"/>
    <n v="-1.8476907781561636E-7"/>
    <n v="0.48801608817063968"/>
    <n v="-0.12496626425562152"/>
    <n v="-0.2223465299999991"/>
    <n v="0.17544713000000012"/>
    <n v="5.3950941999999974E-2"/>
  </r>
  <r>
    <x v="5"/>
    <x v="1"/>
    <x v="2"/>
    <x v="1"/>
    <x v="1"/>
    <x v="355"/>
    <n v="84.401010000001406"/>
    <n v="-2.7258743468444924"/>
    <n v="0.28362580538743298"/>
    <n v="-0.76031388137736133"/>
    <n v="-0.24780847395592387"/>
    <n v="-0.3112812901195916"/>
    <n v="0.27297321997237223"/>
    <n v="-9.5210800000009033E-3"/>
    <n v="0.69708013744782527"/>
    <n v="0.40852508036444135"/>
    <n v="-0.19386334645341563"/>
    <n v="1.0092208776247835"/>
    <n v="0.61625842628767469"/>
    <n v="-2.7171924710245321E-7"/>
    <n v="0.61636909392503991"/>
    <n v="-9.0905975083444002E-2"/>
    <n v="-0.21872061000000054"/>
    <n v="0.18301120000000018"/>
    <n v="3.7359321999999931E-2"/>
  </r>
  <r>
    <x v="6"/>
    <x v="1"/>
    <x v="2"/>
    <x v="1"/>
    <x v="1"/>
    <x v="356"/>
    <n v="78.479660000000877"/>
    <n v="-2.7538407931500197"/>
    <n v="0.28382931106678555"/>
    <n v="-0.8313047287028863"/>
    <n v="-0.29475262220207687"/>
    <n v="-0.30921220815838257"/>
    <n v="0.26649527520017369"/>
    <n v="-1.5493810000000163E-2"/>
    <n v="0.75662105514651135"/>
    <n v="0.48964233643231658"/>
    <n v="-7.3015577724522274E-2"/>
    <n v="1.0507586444755468"/>
    <n v="0.67784360860159154"/>
    <n v="-2.6639142003404004E-7"/>
    <n v="0.72263885173571296"/>
    <n v="-6.9722932728066844E-2"/>
    <n v="-0.19786408999999949"/>
    <n v="0.1871454900000003"/>
    <n v="1.518338900000013E-2"/>
  </r>
  <r>
    <x v="7"/>
    <x v="1"/>
    <x v="2"/>
    <x v="1"/>
    <x v="1"/>
    <x v="357"/>
    <n v="68.062440000001516"/>
    <n v="-2.7392348285441459"/>
    <n v="0.27242618668068541"/>
    <n v="-0.88856039367520845"/>
    <n v="-0.33612191565416394"/>
    <n v="-0.3061473124929992"/>
    <n v="0.25420851547715007"/>
    <n v="-1.6285690000000796E-2"/>
    <n v="0.80465833546556897"/>
    <n v="0.55757228945396697"/>
    <n v="3.1364454912985451E-2"/>
    <n v="1.0823260282490255"/>
    <n v="0.72555418861841581"/>
    <n v="-2.6116805385001385E-7"/>
    <n v="0.80774868538737721"/>
    <n v="-5.5479287102344621E-2"/>
    <n v="-0.16699225999999984"/>
    <n v="0.18868634000000009"/>
    <n v="-6.7287699999999881E-3"/>
  </r>
  <r>
    <x v="8"/>
    <x v="1"/>
    <x v="2"/>
    <x v="1"/>
    <x v="1"/>
    <x v="358"/>
    <n v="55.421760000001086"/>
    <n v="-2.697809952941177"/>
    <n v="0.25648818195354028"/>
    <n v="-0.93363016182933523"/>
    <n v="-0.37125726615984123"/>
    <n v="-0.30194488873844794"/>
    <n v="0.24090943342292004"/>
    <n v="-1.3928500000000288E-2"/>
    <n v="0.84048001715104625"/>
    <n v="0.61129711293073097"/>
    <n v="0.11799470181685923"/>
    <n v="1.1031979230038624"/>
    <n v="0.76021778291819331"/>
    <n v="-3.4139615578965277E-7"/>
    <n v="0.87297130336654316"/>
    <n v="-4.5180006779721449E-2"/>
    <n v="-0.13214527999999975"/>
    <n v="0.18801335000000025"/>
    <n v="-2.4952630000000045E-2"/>
  </r>
  <r>
    <x v="9"/>
    <x v="1"/>
    <x v="2"/>
    <x v="1"/>
    <x v="1"/>
    <x v="359"/>
    <n v="42.338369999997667"/>
    <n v="-2.6391685708101686"/>
    <n v="0.24069383231053454"/>
    <n v="-0.96750259297962993"/>
    <n v="-0.39993818527381819"/>
    <n v="-0.29608010582888866"/>
    <n v="0.22924859305728518"/>
    <n v="-1.0233989999999804E-2"/>
    <n v="0.86457854675330292"/>
    <n v="0.65129230733551591"/>
    <n v="0.18746171190962002"/>
    <n v="1.1137538882521447"/>
    <n v="0.78316225968211306"/>
    <n v="-3.3470209936936612E-7"/>
    <n v="0.91996829055254192"/>
    <n v="-3.7447716793215235E-2"/>
    <n v="-9.7717629999999334E-2"/>
    <n v="0.18542489000000009"/>
    <n v="-3.7897869000000015E-2"/>
  </r>
  <r>
    <x v="10"/>
    <x v="1"/>
    <x v="2"/>
    <x v="1"/>
    <x v="1"/>
    <x v="360"/>
    <n v="30.034739999999147"/>
    <n v="-2.5695529956003216"/>
    <n v="0.22759102416511912"/>
    <n v="-0.99116377827068725"/>
    <n v="-0.42229033470413402"/>
    <n v="-0.28827505227971839"/>
    <n v="0.22038873904937084"/>
    <n v="-6.4407000000002435E-3"/>
    <n v="0.87805381062344701"/>
    <n v="0.67881179958735327"/>
    <n v="0.24132317054472718"/>
    <n v="1.1149530893055593"/>
    <n v="0.79594211433740014"/>
    <n v="-4.1017415020050407E-7"/>
    <n v="0.95074014367129145"/>
    <n v="-3.1630498990387057E-2"/>
    <n v="-6.648932000000024E-2"/>
    <n v="0.18124473000000024"/>
    <n v="-4.5258286000000002E-2"/>
  </r>
  <r>
    <x v="11"/>
    <x v="1"/>
    <x v="2"/>
    <x v="1"/>
    <x v="1"/>
    <x v="361"/>
    <n v="19.227170000001934"/>
    <n v="-2.4932723213205499"/>
    <n v="0.21813102273309237"/>
    <n v="-1.0057665781893377"/>
    <n v="-0.43868326590739137"/>
    <n v="-0.27863042911319136"/>
    <n v="0.2145047983884929"/>
    <n v="-3.2429700000002892E-3"/>
    <n v="0.8822577301528689"/>
    <n v="0.69543643420042489"/>
    <n v="0.28153500960688138"/>
    <n v="1.1080059194467307"/>
    <n v="0.80012904303894405"/>
    <n v="-4.8255782703066075E-7"/>
    <n v="0.96746856449532181"/>
    <n v="-2.7357616158818487E-2"/>
    <n v="-3.9898730000000049E-2"/>
    <n v="0.17582697000000022"/>
    <n v="-4.7554607999999998E-2"/>
  </r>
  <r>
    <x v="12"/>
    <x v="1"/>
    <x v="2"/>
    <x v="1"/>
    <x v="1"/>
    <x v="362"/>
    <n v="10.23008999999729"/>
    <n v="-2.4134329164979929"/>
    <n v="0.21220388396692158"/>
    <n v="-1.0126055004774925"/>
    <n v="-0.44963776033668523"/>
    <n v="-0.26755334482793103"/>
    <n v="0.21116440279340676"/>
    <n v="-9.2959000000114589E-4"/>
    <n v="0.87859499663234253"/>
    <n v="0.70281195533625773"/>
    <n v="0.31012090863096198"/>
    <n v="1.0941836170358155"/>
    <n v="0.79719072498636301"/>
    <n v="-3.9424657982678468E-7"/>
    <n v="0.97234075485490568"/>
    <n v="-2.436482709022858E-2"/>
    <n v="-1.8391510000000111E-2"/>
    <n v="0.16953161"/>
    <n v="-4.5770009999999972E-2"/>
  </r>
  <r>
    <x v="13"/>
    <x v="1"/>
    <x v="2"/>
    <x v="1"/>
    <x v="1"/>
    <x v="363"/>
    <n v="3.0717199999999139"/>
    <n v="-2.3323211691139489"/>
    <n v="0.20908869109188544"/>
    <n v="-1.0130218863719676"/>
    <n v="-0.45575148826090262"/>
    <n v="-0.25562513898755856"/>
    <n v="0.20961997740467364"/>
    <n v="4.751499999997022E-4"/>
    <n v="0.86841522665164206"/>
    <n v="0.70250837774574748"/>
    <n v="0.32899622433057996"/>
    <n v="1.0747124058507085"/>
    <n v="0.78843705003999176"/>
    <n v="-4.6381951612772809E-7"/>
    <n v="0.96741323173183957"/>
    <n v="-2.2439874809376814E-2"/>
    <n v="-1.7547800000003444E-3"/>
    <n v="0.16269809000000018"/>
    <n v="-4.1071607999999989E-2"/>
  </r>
  <r>
    <x v="14"/>
    <x v="1"/>
    <x v="2"/>
    <x v="1"/>
    <x v="1"/>
    <x v="364"/>
    <n v="-2.400710000001709"/>
    <n v="-2.251615192745815"/>
    <n v="0.20779863509925445"/>
    <n v="-1.0083036182492955"/>
    <n v="-0.45764512662777035"/>
    <n v="-0.2434729579721906"/>
    <n v="0.20902675261482706"/>
    <n v="1.0983199999994864E-3"/>
    <n v="0.85295877921018892"/>
    <n v="0.69595208417032595"/>
    <n v="0.33988731726257715"/>
    <n v="1.0507197482614306"/>
    <n v="0.77500701339439093"/>
    <n v="-4.5472501319920866E-7"/>
    <n v="0.95453235251221624"/>
    <n v="-2.1411049864705767E-2"/>
    <n v="1.0603470000000725E-2"/>
    <n v="0.15562481000000011"/>
    <n v="-3.4611032999999972E-2"/>
  </r>
  <r>
    <x v="15"/>
    <x v="1"/>
    <x v="2"/>
    <x v="1"/>
    <x v="1"/>
    <x v="365"/>
    <n v="-6.4355700000014622"/>
    <n v="-2.1725139102571789"/>
    <n v="0.20732520720385672"/>
    <n v="-0.99960685140688676"/>
    <n v="-0.45592624450183639"/>
    <n v="-0.23167033554857275"/>
    <n v="0.20859591736475114"/>
    <n v="1.1364400000005159E-3"/>
    <n v="0.83333202996167532"/>
    <n v="0.68440015157322787"/>
    <n v="0.34430433038485919"/>
    <n v="1.0232104834890121"/>
    <n v="0.75787650685847918"/>
    <n v="-5.2011029927356844E-7"/>
    <n v="0.93530462622843924"/>
    <n v="-2.1142596834244909E-2"/>
    <n v="1.9442370000000153E-2"/>
    <n v="0.14855686000000007"/>
    <n v="-2.73956819999999E-2"/>
  </r>
  <r>
    <x v="16"/>
    <x v="1"/>
    <x v="2"/>
    <x v="1"/>
    <x v="1"/>
    <x v="366"/>
    <n v="-9.3135500000025786"/>
    <n v="-2.0958272004829914"/>
    <n v="0.20679409806274585"/>
    <n v="-0.98790766355968396"/>
    <n v="-0.45116745562656657"/>
    <n v="-0.22067322408736434"/>
    <n v="0.20768831715827218"/>
    <n v="7.9979999999951756E-4"/>
    <n v="0.81050180685446893"/>
    <n v="0.66893979978359663"/>
    <n v="0.34354495038109167"/>
    <n v="0.99306132638421474"/>
    <n v="0.73787692510598468"/>
    <n v="-5.0991205702288767E-7"/>
    <n v="0.91110111758465617"/>
    <n v="-2.152904904477726E-2"/>
    <n v="2.5540810000000691E-2"/>
    <n v="0.14168103000000015"/>
    <n v="-2.0219674000000049E-2"/>
  </r>
  <r>
    <x v="17"/>
    <x v="1"/>
    <x v="2"/>
    <x v="1"/>
    <x v="1"/>
    <x v="367"/>
    <n v="-11.305219999998371"/>
    <n v="-2.0220484851178"/>
    <n v="0.20554797362430932"/>
    <n v="-0.97398204139684808"/>
    <n v="-0.44389493468669494"/>
    <n v="-0.21078920597441542"/>
    <n v="0.20585898670042457"/>
    <n v="2.7815000000069867E-4"/>
    <n v="0.78530057715917589"/>
    <n v="0.65050010836451566"/>
    <n v="0.33871358908350579"/>
    <n v="0.9610262737648867"/>
    <n v="0.71571557689367182"/>
    <n v="-4.9991378814340237E-7"/>
    <n v="0.88308152994078792"/>
    <n v="-2.2487327714504346E-2"/>
    <n v="2.9605670000000528E-2"/>
    <n v="0.13512710000000011"/>
    <n v="-1.3641642000000037E-2"/>
  </r>
  <r>
    <x v="18"/>
    <x v="1"/>
    <x v="2"/>
    <x v="1"/>
    <x v="1"/>
    <x v="368"/>
    <n v="-12.646029999999882"/>
    <n v="-1.9514186296248237"/>
    <n v="0.20317354415801958"/>
    <n v="-0.95840878661648254"/>
    <n v="-0.43458409142751453"/>
    <n v="-0.2021735697872562"/>
    <n v="0.20286317510502805"/>
    <n v="-2.7759999999960039E-4"/>
    <n v="0.75843867694931344"/>
    <n v="0.62987086170944728"/>
    <n v="0.33074709445519712"/>
    <n v="0.92774827545409888"/>
    <n v="0.69199649327980062"/>
    <n v="-4.9011155134337514E-7"/>
    <n v="0.8522258746349376"/>
    <n v="-2.3948797265138655E-2"/>
    <n v="3.2224029999999848E-2"/>
    <n v="0.12897350000000002"/>
    <n v="-7.9959190000001082E-3"/>
  </r>
  <r>
    <x v="19"/>
    <x v="1"/>
    <x v="2"/>
    <x v="1"/>
    <x v="1"/>
    <x v="369"/>
    <n v="-13.524910000000091"/>
    <n v="-1.8839845931338139"/>
    <n v="0.19948803759872735"/>
    <n v="-0.94158886721802393"/>
    <n v="-0.4236597452002111"/>
    <n v="-0.19484444989277261"/>
    <n v="0.19863639593373783"/>
    <n v="-7.6177999999982315E-4"/>
    <n v="0.73051855628949447"/>
    <n v="0.6077233011022587"/>
    <n v="0.32044145833551863"/>
    <n v="0.8937734813375009"/>
    <n v="0.66723870144929087"/>
    <n v="-4.8050153855783151E-7"/>
    <n v="0.81936636963051424"/>
    <n v="-2.5852840671314326E-2"/>
    <n v="3.3847470000000768E-2"/>
    <n v="0.12325589000000033"/>
    <n v="-3.4246389999999238E-3"/>
  </r>
  <r>
    <x v="20"/>
    <x v="1"/>
    <x v="2"/>
    <x v="1"/>
    <x v="1"/>
    <x v="370"/>
    <n v="-14.082459999997809"/>
    <n v="-1.8196527423499198"/>
    <n v="0.19450266070752953"/>
    <n v="-0.9237742503737767"/>
    <n v="-0.4114989359583654"/>
    <n v="-0.18870922891498498"/>
    <n v="0.19325929636015982"/>
    <n v="-1.1121399999994286E-3"/>
    <n v="0.70205035379706793"/>
    <n v="0.58462863293602396"/>
    <n v="0.30847626110395154"/>
    <n v="0.85956508112017271"/>
    <n v="0.64189082202661396"/>
    <n v="-4.7107993061956677E-7"/>
    <n v="0.78521550799364181"/>
    <n v="-2.8142732192826259E-2"/>
    <n v="3.47979499999998E-2"/>
    <n v="0.11797679000000033"/>
    <n v="7.9839999999990752E-5"/>
  </r>
  <r>
    <x v="21"/>
    <x v="1"/>
    <x v="2"/>
    <x v="1"/>
    <x v="1"/>
    <x v="371"/>
    <n v="-14.415389999998297"/>
    <n v="-1.7582359458892971"/>
    <n v="0.18837364911226118"/>
    <n v="-0.90510095136637769"/>
    <n v="-0.39843506723624689"/>
    <n v="-0.18359613073175574"/>
    <n v="0.18691671473998195"/>
    <n v="-1.3033299999992698E-3"/>
    <n v="0.67346536963961423"/>
    <n v="0.56107486869836354"/>
    <n v="0.29543434709282668"/>
    <n v="0.82551591857566997"/>
    <n v="0.61634316773191422"/>
    <n v="-4.6184306379259965E-7"/>
    <n v="0.75038847990880342"/>
    <n v="-3.0762717632515368E-2"/>
    <n v="3.5286169999999839E-2"/>
    <n v="0.11311528000000001"/>
    <n v="2.6302420000000673E-3"/>
  </r>
  <r>
    <x v="22"/>
    <x v="1"/>
    <x v="2"/>
    <x v="1"/>
    <x v="1"/>
    <x v="372"/>
    <n v="-14.584230000000389"/>
    <n v="-1.6994932631868909"/>
    <n v="0.18135145113540307"/>
    <n v="-0.88562168587743573"/>
    <n v="-0.38476208524739208"/>
    <n v="-0.17928533949514991"/>
    <n v="0.17985592508762416"/>
    <n v="-1.337949999999366E-3"/>
    <n v="0.64512885489227401"/>
    <n v="0.53748022095605474"/>
    <n v="0.28181858084730393"/>
    <n v="0.79195963402567404"/>
    <n v="0.5909360342833736"/>
    <n v="-4.5278731874986988E-7"/>
    <n v="0.7154197359233061"/>
    <n v="-3.3657521757834985E-2"/>
    <n v="3.5435729999999666E-2"/>
    <n v="0.10863563000000007"/>
    <n v="4.4029509999999814E-3"/>
  </r>
  <r>
    <x v="23"/>
    <x v="1"/>
    <x v="2"/>
    <x v="1"/>
    <x v="1"/>
    <x v="373"/>
    <n v="-14.622299999999086"/>
    <n v="-1.6431617326153281"/>
    <n v="0.1737347682862378"/>
    <n v="-0.86533547100529074"/>
    <n v="-0.37073863831531551"/>
    <n v="-0.17553698157908304"/>
    <n v="0.17235176105097061"/>
    <n v="-1.2373299999993148E-3"/>
    <n v="0.61734875352266183"/>
    <n v="0.51420246896505262"/>
    <n v="0.2680625875739695"/>
    <n v="0.75917848480053784"/>
    <n v="0.56596544614297972"/>
    <n v="-5.0732472667291972E-7"/>
    <n v="0.68077434835829287"/>
    <n v="-3.6772630412773566E-2"/>
    <n v="3.5307889999999786E-2"/>
    <n v="0.10449455000000017"/>
    <n v="5.6031200000000725E-3"/>
  </r>
  <r>
    <x v="24"/>
    <x v="1"/>
    <x v="2"/>
    <x v="1"/>
    <x v="1"/>
    <x v="374"/>
    <n v="-14.544420000001992"/>
    <n v="-1.5889801307405804"/>
    <n v="0.16583207864973026"/>
    <n v="-0.84421219754698962"/>
    <n v="-0.35659143183380815"/>
    <n v="-0.17211358368859342"/>
    <n v="0.16467744753958513"/>
    <n v="-1.0331700000004718E-3"/>
    <n v="0.59038330234948422"/>
    <n v="0.49154662115420411"/>
    <n v="0.25453861952033918"/>
    <n v="0.72740990977928632"/>
    <n v="0.54168690522939933"/>
    <n v="-4.9737718388342955E-7"/>
    <n v="0.64685546766718449"/>
    <n v="-4.0054081939278063E-2"/>
    <n v="3.4924070000000307E-2"/>
    <n v="0.10064659000000031"/>
    <n v="6.4377280000001494E-3"/>
  </r>
  <r>
    <x v="25"/>
    <x v="1"/>
    <x v="2"/>
    <x v="1"/>
    <x v="1"/>
    <x v="375"/>
    <n v="-14.354279999999562"/>
    <n v="-1.5367054407836034"/>
    <n v="0.15793341000247541"/>
    <n v="-0.82221159190563053"/>
    <n v="-0.34251807381641131"/>
    <n v="-0.16879669444861412"/>
    <n v="0.15708327412595757"/>
    <n v="-7.6073000000037583E-4"/>
    <n v="0.56444691675310299"/>
    <n v="0.46976934018341243"/>
    <n v="0.24156354331912322"/>
    <n v="0.69685049220002959"/>
    <n v="0.51831743816819209"/>
    <n v="-4.8762469617713577E-7"/>
    <n v="0.6140088504792196"/>
    <n v="-4.3450356865282203E-2"/>
    <n v="3.4284190000000159E-2"/>
    <n v="9.7048090000000087E-2"/>
    <n v="7.0966610000000596E-3"/>
  </r>
  <r>
    <x v="26"/>
    <x v="1"/>
    <x v="2"/>
    <x v="1"/>
    <x v="1"/>
    <x v="376"/>
    <n v="-14.050489999997808"/>
    <n v="-1.4861228571088292"/>
    <n v="0.15029099399728185"/>
    <n v="-0.7992968337198203"/>
    <n v="-0.32868928184136559"/>
    <n v="-0.1653975238441685"/>
    <n v="0.14978383656276684"/>
    <n v="-4.5390999999922466E-4"/>
    <n v="0.53971352860744393"/>
    <n v="0.44908250318436149"/>
    <n v="0.22940178191903637"/>
    <n v="0.66765961515762307"/>
    <n v="0.49603717599990826"/>
    <n v="-5.3782135411850618E-7"/>
    <n v="0.58252592910603695"/>
    <n v="-4.6912315289293627E-2"/>
    <n v="3.3380350000000725E-2"/>
    <n v="9.3659470000000133E-2"/>
    <n v="7.7410689999999824E-3"/>
  </r>
  <r>
    <x v="27"/>
    <x v="1"/>
    <x v="2"/>
    <x v="1"/>
    <x v="1"/>
    <x v="377"/>
    <n v="-13.630659999998898"/>
    <n v="-1.4370506133850602"/>
    <n v="0.14310928778062948"/>
    <n v="-0.77544326087682913"/>
    <n v="-0.31525053499734668"/>
    <n v="-0.16176271006108633"/>
    <n v="0.14295052627473215"/>
    <n v="-1.4205000000017121E-4"/>
    <n v="0.51632021680692031"/>
    <n v="0.42965563649692839"/>
    <n v="0.2182681756525362"/>
    <n v="0.6399617722674833"/>
    <n v="0.47499063770488625"/>
    <n v="-4.6868963154977905E-7"/>
    <n v="0.55264524578011454"/>
    <n v="-5.0394192172786845E-2"/>
    <n v="3.2206059999999315E-2"/>
    <n v="9.0446450000000039E-2"/>
    <n v="8.4976950000001036E-3"/>
  </r>
  <r>
    <x v="28"/>
    <x v="1"/>
    <x v="2"/>
    <x v="1"/>
    <x v="1"/>
    <x v="378"/>
    <n v="-13.094139999997424"/>
    <n v="-1.3893408877254987"/>
    <n v="0.13654068850079693"/>
    <n v="-0.75064297346539854"/>
    <n v="-0.30232355819271861"/>
    <n v="-0.1577760160523245"/>
    <n v="0.13671024199584103"/>
    <n v="1.5171000000008261E-4"/>
    <n v="0.49436917222889232"/>
    <n v="0.41161828388951438"/>
    <n v="0.20833030135369857"/>
    <n v="0.61384832605559936"/>
    <n v="0.45528734934914272"/>
    <n v="-5.1693708202904531E-7"/>
    <n v="0.52455506345792102"/>
    <n v="-5.3854358961491489E-2"/>
    <n v="3.0761439999998919E-2"/>
    <n v="8.7380440000000073E-2"/>
    <n v="9.4577880000000156E-3"/>
  </r>
  <r>
    <x v="29"/>
    <x v="1"/>
    <x v="2"/>
    <x v="1"/>
    <x v="1"/>
    <x v="379"/>
    <n v="-12.443380000000616"/>
    <n v="-1.3428780353293757"/>
    <n v="0.13068757454588464"/>
    <n v="-0.72490673821595797"/>
    <n v="-0.29000741169721289"/>
    <n v="-0.15335690059675722"/>
    <n v="0.13114667765070642"/>
    <n v="4.1094000000074793E-4"/>
    <n v="0.4739305190785581"/>
    <n v="0.39506191031508653"/>
    <n v="0.19971053741403288"/>
    <n v="0.58937985995586306"/>
    <n v="0.43700403556516942"/>
    <n v="-5.0680107888112502E-7"/>
    <n v="0.498394961514248"/>
    <n v="-5.7254836842179913E-2"/>
    <n v="2.9055620000000004E-2"/>
    <n v="8.4438200000000116E-2"/>
    <n v="1.0679214999999992E-2"/>
  </r>
  <r>
    <x v="30"/>
    <x v="1"/>
    <x v="2"/>
    <x v="1"/>
    <x v="1"/>
    <x v="380"/>
    <n v="-11.684320000000298"/>
    <n v="-1.2975750721342716"/>
    <n v="0.12560634437432938"/>
    <n v="-0.69826337913102554"/>
    <n v="-0.27837981670565393"/>
    <n v="-0.14845728664145685"/>
    <n v="0.12630519674290408"/>
    <n v="6.2554000000020205E-4"/>
    <n v="0.45504420717834559"/>
    <n v="0.38004245088347766"/>
    <n v="0.19248912010580987"/>
    <n v="0.56658803187950024"/>
    <n v="0.42018578893430192"/>
    <n v="-4.9686380565461263E-7"/>
    <n v="0.47425845896131857"/>
    <n v="-6.0562320544121917E-2"/>
    <n v="2.7106670000000277E-2"/>
    <n v="8.1601310000000218E-2"/>
    <n v="1.2190528999999999E-2"/>
  </r>
  <r>
    <x v="31"/>
    <x v="1"/>
    <x v="2"/>
    <x v="1"/>
    <x v="1"/>
    <x v="381"/>
    <n v="-10.82615000000078"/>
    <n v="-1.2533693304333182"/>
    <n v="0.12131454253028195"/>
    <n v="-0.67075820024273813"/>
    <n v="-0.26749828515081342"/>
    <n v="-0.14305722081617844"/>
    <n v="0.12219812796936402"/>
    <n v="7.9087999999977177E-4"/>
    <n v="0.43772266267088078"/>
    <n v="0.36658302437331258"/>
    <n v="0.1867072883166454"/>
    <n v="0.54547780673006585"/>
    <n v="0.40484884400617815"/>
    <n v="-4.8712137656892196E-7"/>
    <n v="0.45219651714487608"/>
    <n v="-6.3747688731896623E-2"/>
    <n v="2.4940329999999233E-2"/>
    <n v="7.8855360000000194E-2"/>
    <n v="1.3996047999999955E-2"/>
  </r>
  <r>
    <x v="32"/>
    <x v="1"/>
    <x v="2"/>
    <x v="1"/>
    <x v="1"/>
    <x v="382"/>
    <n v="-9.8806399999994028"/>
    <n v="-1.2102178852302248"/>
    <n v="0.1177982740838468"/>
    <n v="-0.64245053110004724"/>
    <n v="-0.25740150967881181"/>
    <n v="-0.137159873319459"/>
    <n v="0.11881114948157911"/>
    <n v="9.0667999999988202E-4"/>
    <n v="0.4219533925552188"/>
    <n v="0.35467688991999147"/>
    <n v="0.1823704403546067"/>
    <n v="0.52603026937916297"/>
    <n v="0.39098345751160668"/>
    <n v="-4.7756997245684829E-7"/>
    <n v="0.43222093831385422"/>
    <n v="-6.6785637372990259E-2"/>
    <n v="2.2587989999998948E-2"/>
    <n v="7.6189200000000012E-2"/>
    <n v="1.6081172000000088E-2"/>
  </r>
  <r>
    <x v="33"/>
    <x v="1"/>
    <x v="2"/>
    <x v="1"/>
    <x v="1"/>
    <x v="383"/>
    <n v="-8.8613000000004831"/>
    <n v="-1.1680932227704277"/>
    <n v="0.11501923355048405"/>
    <n v="-0.61341110466308635"/>
    <n v="-0.24811085088248808"/>
    <n v="-0.13078694064265761"/>
    <n v="0.11610932257248852"/>
    <n v="9.7587999999954045E-4"/>
    <n v="0.4077017963081131"/>
    <n v="0.34429101243254046"/>
    <n v="0.1794528988285693"/>
    <n v="0.50820499206980507"/>
    <n v="0.37855645011248829"/>
    <n v="-4.6820586296902889E-7"/>
    <n v="0.41430875750612106"/>
    <n v="-6.9655337959140251E-2"/>
    <n v="2.0084339999999756E-2"/>
    <n v="7.3594220000000252E-2"/>
    <n v="1.8417453000000097E-2"/>
  </r>
  <r>
    <x v="34"/>
    <x v="1"/>
    <x v="2"/>
    <x v="1"/>
    <x v="1"/>
    <x v="384"/>
    <n v="-7.7825100000009115"/>
    <n v="-1.1269792719605709"/>
    <n v="0.11292188453360108"/>
    <n v="-0.58371949521864863"/>
    <n v="-0.23963193518518056"/>
    <n v="-0.12397409055628916"/>
    <n v="0.11404278814022284"/>
    <n v="1.0034600000000116E-3"/>
    <n v="0.3949140415925978"/>
    <n v="0.33536952845809598"/>
    <n v="0.17790134218729214"/>
    <n v="0.49194338066582688"/>
    <n v="0.36751486983668258"/>
    <n v="-4.590253399605615E-7"/>
    <n v="0.39840649265951988"/>
    <n v="-7.2339309917157646E-2"/>
    <n v="1.7465220000000004E-2"/>
    <n v="7.1063720000000274E-2"/>
    <n v="2.0967103999999966E-2"/>
  </r>
  <r>
    <x v="35"/>
    <x v="1"/>
    <x v="2"/>
    <x v="1"/>
    <x v="1"/>
    <x v="385"/>
    <n v="-6.6587599999984377"/>
    <n v="-1.0868681450243778"/>
    <n v="0.11143919716936068"/>
    <n v="-0.55346177152173492"/>
    <n v="-0.23195641640454401"/>
    <n v="-0.11676682623157353"/>
    <n v="0.11255129554175181"/>
    <n v="9.956000000005405E-4"/>
    <n v="0.38352037761173463"/>
    <n v="0.32783725251741558"/>
    <n v="0.17763975873457127"/>
    <n v="0.47717124891921703"/>
    <n v="0.3577892567649954"/>
    <n v="-4.5002483961553708E-7"/>
    <n v="0.38443511984929124"/>
    <n v="-7.48237919728445E-2"/>
    <n v="1.476584999999947E-2"/>
    <n v="6.8592409999999882E-2"/>
    <n v="2.3686776999999951E-2"/>
  </r>
  <r>
    <x v="36"/>
    <x v="1"/>
    <x v="2"/>
    <x v="1"/>
    <x v="1"/>
    <x v="386"/>
    <n v="-5.5040100000005623"/>
    <n v="-1.047757479275313"/>
    <n v="0.11049764457915501"/>
    <n v="-0.5227286527901609"/>
    <n v="-0.22506372188680901"/>
    <n v="-0.10921805646844085"/>
    <n v="0.11156879016016585"/>
    <n v="9.5890000000042885E-4"/>
    <n v="0.37343772856193169"/>
    <n v="0.32160373875156356"/>
    <n v="0.17857338972664394"/>
    <n v="0.46380213035224216"/>
    <n v="0.34929678786039808"/>
    <n v="-4.4120084252696756E-7"/>
    <n v="0.3722942134093854"/>
    <n v="-7.7097951872284742E-2"/>
    <n v="1.2019299999999067E-2"/>
    <n v="6.6176119999999949E-2"/>
    <n v="2.653061199999994E-2"/>
  </r>
  <r>
    <x v="37"/>
    <x v="1"/>
    <x v="2"/>
    <x v="1"/>
    <x v="1"/>
    <x v="387"/>
    <n v="-4.3312200000000303"/>
    <n v="-1.0096480660512275"/>
    <n v="0.11002080680206916"/>
    <n v="-0.49161378360778052"/>
    <n v="-0.21892293082707015"/>
    <n v="-0.1013839183326315"/>
    <n v="0.111026004821424"/>
    <n v="8.998199999998846E-4"/>
    <n v="0.36457313970070793"/>
    <n v="0.31656630759113735"/>
    <n v="0.1805929686798935"/>
    <n v="0.45173976590691112"/>
    <n v="0.34194463160233113"/>
    <n v="-4.3254985149232539E-7"/>
    <n v="0.36186657576782189"/>
    <n v="-7.9154053290475535E-2"/>
    <n v="9.255629999999071E-3"/>
    <n v="6.3811429999999919E-2"/>
    <n v="2.9452542999999949E-2"/>
  </r>
  <r>
    <x v="38"/>
    <x v="1"/>
    <x v="2"/>
    <x v="1"/>
    <x v="1"/>
    <x v="388"/>
    <n v="-3.1520400000008522"/>
    <n v="-0.97254247246916226"/>
    <n v="0.10993268006462831"/>
    <n v="-0.46021252372110411"/>
    <n v="-0.21349454255178424"/>
    <n v="-9.33233105527842E-2"/>
    <n v="0.11085357518016981"/>
    <n v="8.2438000000017997E-4"/>
    <n v="0.35682614480558872"/>
    <n v="0.31261356715508448"/>
    <n v="0.18357881496939843"/>
    <n v="0.4408812270535245"/>
    <n v="0.33563266366107847"/>
    <n v="-4.7118717816374556E-7"/>
    <n v="0.35302237453447294"/>
    <n v="-8.098694773461812E-2"/>
    <n v="6.5012899999994378E-3"/>
    <n v="6.1495580000000064E-2"/>
    <n v="3.2407982000000161E-2"/>
  </r>
  <r>
    <x v="39"/>
    <x v="1"/>
    <x v="2"/>
    <x v="1"/>
    <x v="1"/>
    <x v="389"/>
    <n v="-1.9766999999992549"/>
    <n v="-0.93644394539048603"/>
    <n v="0.11015937667551157"/>
    <n v="-0.42862094988599386"/>
    <n v="-0.208732317423721"/>
    <n v="-8.509509144416505E-2"/>
    <n v="0.1109835836199613"/>
    <n v="7.378500000002064E-4"/>
    <n v="0.35009152457692316"/>
    <n v="0.30962874047921751"/>
    <n v="0.18740421650897954"/>
    <n v="0.43111918295617446"/>
    <n v="0.33025634581296259"/>
    <n v="-4.6194823521972239E-7"/>
    <n v="0.34562328877358883"/>
    <n v="-8.2593696926380744E-2"/>
    <n v="3.7788799999993739E-3"/>
    <n v="5.9226340000000099E-2"/>
    <n v="3.5354977000000114E-2"/>
  </r>
  <r>
    <x v="40"/>
    <x v="1"/>
    <x v="2"/>
    <x v="1"/>
    <x v="1"/>
    <x v="390"/>
    <n v="-0.81392000000050757"/>
    <n v="-0.90135541689265741"/>
    <n v="0.11063083079378977"/>
    <n v="-0.39693501265314346"/>
    <n v="-0.20458459266563533"/>
    <n v="-7.6757086665080188E-2"/>
    <n v="0.11135099085020084"/>
    <n v="6.4476000000007749E-4"/>
    <n v="0.34426165840713008"/>
    <n v="0.30749189309404734"/>
    <n v="0.19193880627357274"/>
    <n v="0.42234413220965106"/>
    <n v="0.32570900263633185"/>
    <n v="-4.5289041405993657E-7"/>
    <n v="0.33952556317036198"/>
    <n v="-8.397364202101798E-2"/>
    <n v="1.1072899999992059E-3"/>
    <n v="5.7001909999999933E-2"/>
    <n v="3.8254933999999977E-2"/>
  </r>
  <r>
    <x v="41"/>
    <x v="1"/>
    <x v="2"/>
    <x v="1"/>
    <x v="1"/>
    <x v="391"/>
    <n v="0.32902000000103726"/>
    <n v="-0.86727886333146653"/>
    <n v="0.11128160621769467"/>
    <n v="-0.36525003486604923"/>
    <n v="-0.20099648253255609"/>
    <n v="-6.836555336231509E-2"/>
    <n v="0.11189463613969775"/>
    <n v="5.488100000006213E-4"/>
    <n v="0.33922841721032437"/>
    <n v="0.30608269964529367"/>
    <n v="0.1970512418931758"/>
    <n v="0.41444658824216773"/>
    <n v="0.32188404642494728"/>
    <n v="-4.8841123367893147E-7"/>
    <n v="0.33458330463329577"/>
    <n v="-8.5127630567749524E-2"/>
    <n v="-1.4981099999991643E-3"/>
    <n v="5.4820939999999929E-2"/>
    <n v="4.1073037000000007E-2"/>
  </r>
  <r>
    <x v="42"/>
    <x v="1"/>
    <x v="2"/>
    <x v="1"/>
    <x v="1"/>
    <x v="392"/>
    <n v="1.4461499999997613"/>
    <n v="-0.83421524069442476"/>
    <n v="0.11205155975069214"/>
    <n v="-0.33366003667749666"/>
    <n v="-0.19791053343413134"/>
    <n v="-5.9974193904455131E-2"/>
    <n v="0.11255755639971721"/>
    <n v="4.5295000000028507E-4"/>
    <n v="0.33488525392153523"/>
    <n v="0.30528239654548095"/>
    <n v="0.20261186984973367"/>
    <n v="0.40731864168934706"/>
    <n v="0.31867666124765215"/>
    <n v="-4.7883453868635684E-7"/>
    <n v="0.33065105323457633"/>
    <n v="-8.6058354800833126E-2"/>
    <n v="-4.0251300000002099E-3"/>
    <n v="5.2682450000000186E-2"/>
    <n v="4.377840800000006E-2"/>
  </r>
  <r>
    <x v="43"/>
    <x v="1"/>
    <x v="2"/>
    <x v="1"/>
    <x v="1"/>
    <x v="393"/>
    <n v="2.5326500000010128"/>
    <n v="-0.80216393909623429"/>
    <n v="0.11288607533201933"/>
    <n v="-0.30225742468188432"/>
    <n v="-0.19526863389092153"/>
    <n v="-5.1633453638610938E-2"/>
    <n v="0.11328761244060459"/>
    <n v="3.5946000000036671E-4"/>
    <n v="0.33112842304903189"/>
    <n v="0.30497556426904993"/>
    <n v="0.20849471495834049"/>
    <n v="0.40085531012947762"/>
    <n v="0.31598513152353291"/>
    <n v="-4.6944562681616731E-7"/>
    <n v="0.3275862953472819"/>
    <n v="-8.6769854000257052E-2"/>
    <n v="-6.4642399999995104E-3"/>
    <n v="5.0585830000000193E-2"/>
    <n v="4.6344128999999991E-2"/>
  </r>
  <r>
    <x v="44"/>
    <x v="1"/>
    <x v="2"/>
    <x v="1"/>
    <x v="1"/>
    <x v="394"/>
    <n v="3.5846899999996822"/>
    <n v="-0.77112270841360742"/>
    <n v="0.11373584886240629"/>
    <n v="-0.27113254502296735"/>
    <n v="-0.19301225979774239"/>
    <n v="-4.3390970680234897E-2"/>
    <n v="0.11403747796976393"/>
    <n v="2.7003000000053179E-4"/>
    <n v="0.32785835691084841"/>
    <n v="0.30505162538736474"/>
    <n v="0.21457886744853383"/>
    <n v="0.39495598598726644"/>
    <n v="0.31371222800846699"/>
    <n v="-5.0208086577185895E-7"/>
    <n v="0.32525099203282171"/>
    <n v="-8.7267159320092436E-2"/>
    <n v="-8.8081699999992269E-3"/>
    <n v="4.8530789999999893E-2"/>
    <n v="4.8747138000000079E-2"/>
  </r>
  <r>
    <x v="45"/>
    <x v="1"/>
    <x v="2"/>
    <x v="1"/>
    <x v="1"/>
    <x v="395"/>
    <n v="4.5992699999987963"/>
    <n v="-0.74108776936506748"/>
    <n v="0.11455717533035426"/>
    <n v="-0.2403732516272461"/>
    <n v="-0.19108447201070522"/>
    <n v="-3.5290540529453462E-2"/>
    <n v="0.11476484613257565"/>
    <n v="1.8590000000068274E-4"/>
    <n v="0.32498046621300958"/>
    <n v="0.30540575158157779"/>
    <n v="0.22075032015593798"/>
    <n v="0.38952513787662291"/>
    <n v="0.31176614036227956"/>
    <n v="-4.9223616294113981E-7"/>
    <n v="0.32351325368988881"/>
    <n v="-8.7556333481952908E-2"/>
    <n v="-1.1051519999999426E-2"/>
    <n v="4.6517379999999955E-2"/>
    <n v="5.0968064999999937E-2"/>
  </r>
  <r>
    <x v="46"/>
    <x v="1"/>
    <x v="2"/>
    <x v="1"/>
    <x v="1"/>
    <x v="396"/>
    <n v="5.5740499999992608"/>
    <n v="-0.71205367640190254"/>
    <n v="0.11531161914526411"/>
    <n v="-0.21006464107095058"/>
    <n v="-0.18942978075708883"/>
    <n v="-2.737254754060503E-2"/>
    <n v="0.11543212312976614"/>
    <n v="1.0787000000039848E-4"/>
    <n v="0.32240615948104789"/>
    <n v="0.30593993471204062"/>
    <n v="0.22690245099368234"/>
    <n v="0.38447315815524075"/>
    <n v="0.31006100538910619"/>
    <n v="-4.8258447238325175E-7"/>
    <n v="0.32224849158775104"/>
    <n v="-8.7644098288586214E-2"/>
    <n v="-1.3190319999999145E-2"/>
    <n v="4.4545890000000088E-2"/>
    <n v="5.2991021999999971E-2"/>
  </r>
  <r>
    <x v="47"/>
    <x v="1"/>
    <x v="2"/>
    <x v="1"/>
    <x v="1"/>
    <x v="397"/>
    <n v="6.507209999999759"/>
    <n v="-0.684013052017729"/>
    <n v="0.11596576697561201"/>
    <n v="-0.18028857838142676"/>
    <n v="-0.18799504546036516"/>
    <n v="-1.9673358436955724E-2"/>
    <n v="0.11600653491057322"/>
    <n v="3.6459999999682857E-5"/>
    <n v="0.32005309652989311"/>
    <n v="0.30656348038153869"/>
    <n v="0.2329370577419887"/>
    <n v="0.37971670231087273"/>
    <n v="0.30851747473086277"/>
    <n v="-4.7312203044214129E-7"/>
    <n v="0.32134026563206408"/>
    <n v="-8.7537897028455713E-2"/>
    <n v="-1.5221719999999883E-2"/>
    <n v="4.2616870000000001E-2"/>
    <n v="5.4803382999999997E-2"/>
  </r>
  <r>
    <x v="48"/>
    <x v="1"/>
    <x v="2"/>
    <x v="1"/>
    <x v="1"/>
    <x v="398"/>
    <n v="7.3973000000005413"/>
    <n v="-0.65695719856575518"/>
    <n v="0.11649105318911612"/>
    <n v="-0.15112348655004215"/>
    <n v="-0.18673043484638274"/>
    <n v="-1.2225858305758841E-2"/>
    <n v="0.11645972893199463"/>
    <n v="-2.8050000000501285E-5"/>
    <n v="0.31784577668845237"/>
    <n v="0.30719345700558343"/>
    <n v="0.23876489765555231"/>
    <n v="0.37517916047062894"/>
    <n v="0.30706296226579166"/>
    <n v="-5.0249887584286057E-7"/>
    <n v="0.3206809123402321"/>
    <n v="-8.7245636900201706E-2"/>
    <n v="-1.7143709999999091E-2"/>
    <n v="4.0731030000000154E-2"/>
    <n v="5.6395546000000046E-2"/>
  </r>
  <r>
    <x v="49"/>
    <x v="1"/>
    <x v="2"/>
    <x v="1"/>
    <x v="1"/>
    <x v="399"/>
    <n v="8.2432000000007974"/>
    <n v="-0.63087544980657828"/>
    <n v="0.11686341758332386"/>
    <n v="-0.12264388416749483"/>
    <n v="-0.18558896037924599"/>
    <n v="-5.0591994054882683E-3"/>
    <n v="0.11676775891509283"/>
    <n v="-8.5589999999913235E-5"/>
    <n v="0.31571550426814365"/>
    <n v="0.30775495138766207"/>
    <n v="0.24430563675224004"/>
    <n v="0.37079082251156859"/>
    <n v="0.30563191288071057"/>
    <n v="-4.9264597956621969E-7"/>
    <n v="0.32017189860649165"/>
    <n v="-8.6775454743526215E-2"/>
    <n v="-1.8954909999999159E-2"/>
    <n v="3.8889240000000019E-2"/>
    <n v="5.7760697999999916E-2"/>
  </r>
  <r>
    <x v="50"/>
    <x v="1"/>
    <x v="2"/>
    <x v="1"/>
    <x v="1"/>
    <x v="400"/>
    <n v="9.0439800000021933"/>
    <n v="-0.60575563673384014"/>
    <n v="0.11706298074860566"/>
    <n v="-9.4920241137819161E-2"/>
    <n v="-0.18452733569551683"/>
    <n v="1.8012610510709237E-3"/>
    <n v="0.11691084964287057"/>
    <n v="-1.3620000000047483E-4"/>
    <n v="0.31360047916517697"/>
    <n v="0.30818096459481747"/>
    <n v="0.24948825304043076"/>
    <n v="0.36648877339602315"/>
    <n v="0.30416560306594231"/>
    <n v="-4.829862398914031E-7"/>
    <n v="0.3197239075017011"/>
    <n v="-8.6135923967267658E-2"/>
    <n v="-2.0654349999998933E-2"/>
    <n v="3.7092449999999791E-2"/>
    <n v="5.889457999999998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>
  <location ref="A6:C59" firstHeaderRow="1" firstDataRow="2" firstDataCol="1" rowPageCount="3" colPageCount="1"/>
  <pivotFields count="2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>
      <items count="402">
        <item x="111"/>
        <item x="112"/>
        <item x="110"/>
        <item x="113"/>
        <item x="14"/>
        <item x="109"/>
        <item x="114"/>
        <item x="13"/>
        <item x="15"/>
        <item x="312"/>
        <item x="311"/>
        <item x="12"/>
        <item x="313"/>
        <item x="115"/>
        <item x="108"/>
        <item x="310"/>
        <item x="314"/>
        <item x="16"/>
        <item x="315"/>
        <item x="309"/>
        <item x="316"/>
        <item x="116"/>
        <item x="317"/>
        <item x="11"/>
        <item x="308"/>
        <item x="107"/>
        <item x="318"/>
        <item x="17"/>
        <item x="319"/>
        <item x="117"/>
        <item x="307"/>
        <item x="320"/>
        <item x="321"/>
        <item x="106"/>
        <item x="322"/>
        <item x="323"/>
        <item x="10"/>
        <item x="324"/>
        <item x="118"/>
        <item x="306"/>
        <item x="325"/>
        <item x="326"/>
        <item x="327"/>
        <item x="18"/>
        <item x="328"/>
        <item x="329"/>
        <item x="330"/>
        <item x="331"/>
        <item x="105"/>
        <item x="332"/>
        <item x="333"/>
        <item x="119"/>
        <item x="334"/>
        <item x="305"/>
        <item x="335"/>
        <item x="336"/>
        <item x="337"/>
        <item x="338"/>
        <item x="41"/>
        <item x="339"/>
        <item x="42"/>
        <item x="137"/>
        <item x="138"/>
        <item x="40"/>
        <item x="340"/>
        <item x="136"/>
        <item x="139"/>
        <item x="43"/>
        <item x="341"/>
        <item x="9"/>
        <item x="135"/>
        <item x="140"/>
        <item x="342"/>
        <item x="39"/>
        <item x="120"/>
        <item x="343"/>
        <item x="104"/>
        <item x="44"/>
        <item x="344"/>
        <item x="141"/>
        <item x="365"/>
        <item x="134"/>
        <item x="366"/>
        <item x="367"/>
        <item x="364"/>
        <item x="368"/>
        <item x="369"/>
        <item x="363"/>
        <item x="345"/>
        <item x="370"/>
        <item x="304"/>
        <item x="371"/>
        <item x="372"/>
        <item x="346"/>
        <item x="362"/>
        <item x="373"/>
        <item x="374"/>
        <item x="142"/>
        <item x="19"/>
        <item x="375"/>
        <item x="347"/>
        <item x="133"/>
        <item x="376"/>
        <item x="377"/>
        <item x="348"/>
        <item x="361"/>
        <item x="38"/>
        <item x="45"/>
        <item x="177"/>
        <item x="178"/>
        <item x="378"/>
        <item x="176"/>
        <item x="179"/>
        <item x="175"/>
        <item x="180"/>
        <item x="174"/>
        <item x="181"/>
        <item x="379"/>
        <item x="349"/>
        <item x="182"/>
        <item x="173"/>
        <item x="183"/>
        <item x="172"/>
        <item x="380"/>
        <item x="184"/>
        <item x="143"/>
        <item x="350"/>
        <item x="171"/>
        <item x="185"/>
        <item x="381"/>
        <item x="170"/>
        <item x="186"/>
        <item x="132"/>
        <item x="360"/>
        <item x="169"/>
        <item x="187"/>
        <item x="382"/>
        <item x="168"/>
        <item x="188"/>
        <item x="167"/>
        <item x="189"/>
        <item x="121"/>
        <item x="383"/>
        <item x="166"/>
        <item x="190"/>
        <item x="165"/>
        <item x="164"/>
        <item x="191"/>
        <item x="384"/>
        <item x="163"/>
        <item x="46"/>
        <item x="144"/>
        <item x="192"/>
        <item x="193"/>
        <item x="385"/>
        <item x="162"/>
        <item x="215"/>
        <item x="194"/>
        <item x="359"/>
        <item x="195"/>
        <item x="131"/>
        <item x="216"/>
        <item x="214"/>
        <item x="386"/>
        <item x="103"/>
        <item x="196"/>
        <item x="161"/>
        <item x="303"/>
        <item x="37"/>
        <item x="197"/>
        <item x="387"/>
        <item x="198"/>
        <item x="199"/>
        <item x="217"/>
        <item x="145"/>
        <item x="200"/>
        <item x="388"/>
        <item x="160"/>
        <item x="213"/>
        <item x="389"/>
        <item x="100"/>
        <item x="47"/>
        <item x="390"/>
        <item x="130"/>
        <item x="358"/>
        <item x="218"/>
        <item x="99"/>
        <item x="122"/>
        <item x="391"/>
        <item x="146"/>
        <item x="159"/>
        <item x="392"/>
        <item x="98"/>
        <item x="393"/>
        <item x="212"/>
        <item x="302"/>
        <item x="219"/>
        <item x="102"/>
        <item x="97"/>
        <item x="394"/>
        <item x="129"/>
        <item x="147"/>
        <item x="395"/>
        <item x="158"/>
        <item x="48"/>
        <item x="96"/>
        <item x="357"/>
        <item x="396"/>
        <item x="36"/>
        <item x="123"/>
        <item x="397"/>
        <item x="148"/>
        <item x="301"/>
        <item x="220"/>
        <item x="101"/>
        <item x="95"/>
        <item x="398"/>
        <item x="128"/>
        <item x="0"/>
        <item x="399"/>
        <item x="149"/>
        <item x="8"/>
        <item x="400"/>
        <item x="94"/>
        <item x="157"/>
        <item x="124"/>
        <item x="127"/>
        <item x="221"/>
        <item x="150"/>
        <item x="49"/>
        <item x="211"/>
        <item x="356"/>
        <item x="20"/>
        <item x="93"/>
        <item x="126"/>
        <item x="125"/>
        <item x="351"/>
        <item x="151"/>
        <item x="222"/>
        <item x="92"/>
        <item x="156"/>
        <item x="50"/>
        <item x="355"/>
        <item x="91"/>
        <item x="223"/>
        <item x="300"/>
        <item x="352"/>
        <item x="35"/>
        <item x="152"/>
        <item x="155"/>
        <item x="90"/>
        <item x="354"/>
        <item x="224"/>
        <item x="299"/>
        <item x="353"/>
        <item x="210"/>
        <item x="153"/>
        <item x="154"/>
        <item x="225"/>
        <item x="298"/>
        <item x="89"/>
        <item x="250"/>
        <item x="226"/>
        <item x="249"/>
        <item x="297"/>
        <item x="248"/>
        <item x="88"/>
        <item x="247"/>
        <item x="227"/>
        <item x="246"/>
        <item x="245"/>
        <item x="228"/>
        <item x="296"/>
        <item x="244"/>
        <item x="243"/>
        <item x="229"/>
        <item x="34"/>
        <item x="242"/>
        <item x="87"/>
        <item x="230"/>
        <item x="241"/>
        <item x="240"/>
        <item x="231"/>
        <item x="239"/>
        <item x="232"/>
        <item x="295"/>
        <item x="238"/>
        <item x="233"/>
        <item x="237"/>
        <item x="209"/>
        <item x="234"/>
        <item x="236"/>
        <item x="235"/>
        <item x="21"/>
        <item x="86"/>
        <item x="294"/>
        <item x="7"/>
        <item x="293"/>
        <item x="85"/>
        <item x="292"/>
        <item x="33"/>
        <item x="84"/>
        <item x="208"/>
        <item x="291"/>
        <item x="201"/>
        <item x="1"/>
        <item x="83"/>
        <item x="290"/>
        <item x="22"/>
        <item x="251"/>
        <item x="51"/>
        <item x="289"/>
        <item x="82"/>
        <item x="32"/>
        <item x="6"/>
        <item x="288"/>
        <item x="207"/>
        <item x="81"/>
        <item x="287"/>
        <item x="80"/>
        <item x="31"/>
        <item x="286"/>
        <item x="23"/>
        <item x="285"/>
        <item x="79"/>
        <item x="206"/>
        <item x="2"/>
        <item x="202"/>
        <item x="5"/>
        <item x="284"/>
        <item x="30"/>
        <item x="78"/>
        <item x="283"/>
        <item x="24"/>
        <item x="205"/>
        <item x="77"/>
        <item x="29"/>
        <item x="282"/>
        <item x="4"/>
        <item x="3"/>
        <item x="203"/>
        <item x="25"/>
        <item x="204"/>
        <item x="281"/>
        <item x="28"/>
        <item x="252"/>
        <item x="76"/>
        <item x="52"/>
        <item x="26"/>
        <item x="27"/>
        <item x="280"/>
        <item x="75"/>
        <item x="279"/>
        <item x="278"/>
        <item x="74"/>
        <item x="277"/>
        <item x="73"/>
        <item x="276"/>
        <item x="253"/>
        <item x="275"/>
        <item x="72"/>
        <item x="53"/>
        <item x="274"/>
        <item x="71"/>
        <item x="273"/>
        <item x="70"/>
        <item x="272"/>
        <item x="271"/>
        <item x="254"/>
        <item x="69"/>
        <item x="54"/>
        <item x="270"/>
        <item x="68"/>
        <item x="269"/>
        <item x="255"/>
        <item x="268"/>
        <item x="67"/>
        <item x="55"/>
        <item x="267"/>
        <item x="66"/>
        <item x="266"/>
        <item x="256"/>
        <item x="265"/>
        <item x="56"/>
        <item x="65"/>
        <item x="257"/>
        <item x="264"/>
        <item x="64"/>
        <item x="263"/>
        <item x="258"/>
        <item x="57"/>
        <item x="262"/>
        <item x="259"/>
        <item x="63"/>
        <item x="261"/>
        <item x="260"/>
        <item x="58"/>
        <item x="62"/>
        <item x="59"/>
        <item x="61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</items>
    </pivotField>
  </pivotFields>
  <rowFields count="1">
    <field x="26"/>
  </rowFields>
  <rowItems count="5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3"/>
  </colFields>
  <colItems count="2">
    <i>
      <x/>
    </i>
    <i>
      <x v="1"/>
    </i>
  </colItems>
  <pageFields count="3">
    <pageField fld="1" item="1" hier="-1"/>
    <pageField fld="2" item="2" hier="-1"/>
    <pageField fld="4" item="0" hier="-1"/>
  </pageFields>
  <dataFields count="1">
    <dataField name="Somme de 100*(gdp_1/gdp_0-1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" displayName="raw" ref="B1:Z1225" totalsRowShown="0">
  <tableColumns count="25">
    <tableColumn id="1" xr3:uid="{00000000-0010-0000-0000-000001000000}" name="_date_" dataDxfId="0"/>
    <tableColumn id="2" xr3:uid="{00000000-0010-0000-0000-000002000000}" name="redis_ls"/>
    <tableColumn id="3" xr3:uid="{00000000-0010-0000-0000-000003000000}" name="wage_eq"/>
    <tableColumn id="4" xr3:uid="{00000000-0010-0000-0000-000004000000}" name="flex"/>
    <tableColumn id="5" xr3:uid="{00000000-0010-0000-0000-000005000000}" name="expo"/>
    <tableColumn id="6" xr3:uid="{00000000-0010-0000-0000-000006000000}" name="100*(gdp_1/gdp_0-1)"/>
    <tableColumn id="7" xr3:uid="{00000000-0010-0000-0000-000007000000}" name="f_l_1-f_l_0"/>
    <tableColumn id="8" xr3:uid="{00000000-0010-0000-0000-000008000000}" name="100*(ems_1/ems_0-1)"/>
    <tableColumn id="9" xr3:uid="{00000000-0010-0000-0000-000009000000}" name="100*(ch_1/ch_0-1)"/>
    <tableColumn id="10" xr3:uid="{00000000-0010-0000-0000-00000A000000}" name="100*(i_1/i_0-1)"/>
    <tableColumn id="11" xr3:uid="{00000000-0010-0000-0000-00000B000000}" name="100*(x_1/x_0-1)"/>
    <tableColumn id="12" xr3:uid="{00000000-0010-0000-0000-00000C000000}" name="100*(m_1/m_0-1)"/>
    <tableColumn id="13" xr3:uid="{00000000-0010-0000-0000-00000D000000}" name="100*((dispinc_at_val_1/pch_1)/(dispinc_at_val_0/pch_0)-1)"/>
    <tableColumn id="14" xr3:uid="{00000000-0010-0000-0000-00000E000000}" name="100*(rsav_h_val_1-rsav_h_val_0)"/>
    <tableColumn id="15" xr3:uid="{00000000-0010-0000-0000-00000F000000}" name="100*(pch_1/pch_0-1)"/>
    <tableColumn id="16" xr3:uid="{00000000-0010-0000-0000-000010000000}" name="100*(py_1/py_0-1)"/>
    <tableColumn id="17" xr3:uid="{00000000-0010-0000-0000-000011000000}" name="100*(pva_1/pva_0-1)"/>
    <tableColumn id="18" xr3:uid="{00000000-0010-0000-0000-000012000000}" name="100*(pci_1/pci_0-1)"/>
    <tableColumn id="19" xr3:uid="{00000000-0010-0000-0000-000013000000}" name="100*(px_1/pci_0-1)"/>
    <tableColumn id="20" xr3:uid="{00000000-0010-0000-0000-000014000000}" name="100*(pm_1/pci_0-1)"/>
    <tableColumn id="21" xr3:uid="{00000000-0010-0000-0000-000015000000}" name="100*(w_1/w_0-1)"/>
    <tableColumn id="22" xr3:uid="{00000000-0010-0000-0000-000016000000}" name="100*((c_l_1/pva_1)/(c_l_0/pva_0)-1)"/>
    <tableColumn id="23" xr3:uid="{00000000-0010-0000-0000-000017000000}" name="100*(unr_1-unr_0)"/>
    <tableColumn id="24" xr3:uid="{00000000-0010-0000-0000-000018000000}" name="100*(rbal_trade_val_1-rbal_trade_val_0)"/>
    <tableColumn id="25" xr3:uid="{00000000-0010-0000-0000-000019000000}" name="100*(rbal_g_prim_val_1-rbal_g_prim_val_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14T11:09:15.81" personId="{54E78137-4F81-4B66-93EF-6B6374DED3A3}" id="{745B60DC-9681-4D67-88ED-04A5BA9932E0}">
    <text>Corrigé dans overleaf</text>
  </threadedComment>
  <threadedComment ref="A41" dT="2025-02-14T11:22:29.68" personId="{54E78137-4F81-4B66-93EF-6B6374DED3A3}" id="{EC89FF92-E3BF-4B7D-9CF9-090968A88A30}">
    <text>Corrigédans overleaf</text>
  </threadedComment>
  <threadedComment ref="A52" dT="2025-02-14T11:09:42.74" personId="{54E78137-4F81-4B66-93EF-6B6374DED3A3}" id="{B3DA3618-7DFB-425D-81D5-637C32ACC863}">
    <text>Corrigé dans overleaf</text>
  </threadedComment>
  <threadedComment ref="A63" dT="2025-02-14T11:18:07.22" personId="{54E78137-4F81-4B66-93EF-6B6374DED3A3}" id="{5F20E1DD-AF02-4FDA-9643-196928BE772D}">
    <text>Corrigé dans overleaf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25"/>
  <sheetViews>
    <sheetView zoomScale="106" zoomScaleNormal="106" workbookViewId="0">
      <selection activeCell="B1" sqref="B1:Z1225"/>
    </sheetView>
  </sheetViews>
  <sheetFormatPr baseColWidth="10" defaultColWidth="11.453125" defaultRowHeight="14.5"/>
  <cols>
    <col min="1" max="1" width="11.453125" style="54"/>
    <col min="2" max="2" width="12.1796875" style="1" customWidth="1"/>
    <col min="7" max="7" width="22.453125" customWidth="1"/>
    <col min="8" max="8" width="12.453125" customWidth="1"/>
    <col min="9" max="9" width="22.81640625" customWidth="1"/>
    <col min="10" max="10" width="20" customWidth="1"/>
    <col min="11" max="11" width="16.54296875" customWidth="1"/>
    <col min="12" max="12" width="17.453125" customWidth="1"/>
    <col min="13" max="13" width="19.1796875" customWidth="1"/>
    <col min="14" max="14" width="27.7265625" customWidth="1"/>
    <col min="15" max="15" width="33.453125" customWidth="1"/>
    <col min="16" max="16" width="22.453125" customWidth="1"/>
    <col min="17" max="17" width="20.453125" customWidth="1"/>
    <col min="18" max="18" width="22.453125" customWidth="1"/>
    <col min="19" max="19" width="21" customWidth="1"/>
    <col min="20" max="20" width="20.453125" customWidth="1"/>
    <col min="21" max="21" width="21.453125" customWidth="1"/>
    <col min="22" max="22" width="18.81640625" customWidth="1"/>
    <col min="23" max="23" width="36.453125" customWidth="1"/>
    <col min="24" max="24" width="20.1796875" customWidth="1"/>
    <col min="25" max="25" width="40.453125" customWidth="1"/>
    <col min="26" max="26" width="43.453125" customWidth="1"/>
  </cols>
  <sheetData>
    <row r="1" spans="1:26">
      <c r="A1" s="54" t="s">
        <v>160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s="54" t="str">
        <f>CONCATENATE(raw[[#This Row],[redis_ls]],raw[[#This Row],[wage_eq]],raw[[#This Row],[flex]],raw[[#This Row],[expo]],raw[[#This Row],[_date_]])</f>
        <v>121136526</v>
      </c>
      <c r="B2" s="1">
        <v>36526</v>
      </c>
      <c r="C2">
        <v>1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5.5086995838893316E-3</v>
      </c>
      <c r="U2">
        <v>0.21447656749506994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54" t="str">
        <f>CONCATENATE(raw[[#This Row],[redis_ls]],raw[[#This Row],[wage_eq]],raw[[#This Row],[flex]],raw[[#This Row],[expo]],raw[[#This Row],[_date_]])</f>
        <v>121136892</v>
      </c>
      <c r="B3" s="1">
        <v>36892</v>
      </c>
      <c r="C3">
        <v>1</v>
      </c>
      <c r="D3">
        <v>2</v>
      </c>
      <c r="E3">
        <v>1</v>
      </c>
      <c r="F3">
        <v>1</v>
      </c>
      <c r="G3">
        <v>0.21913209511903453</v>
      </c>
      <c r="H3">
        <v>42.484619999999268</v>
      </c>
      <c r="I3">
        <v>-5.3912633683332434</v>
      </c>
      <c r="J3">
        <v>0.10142586212391613</v>
      </c>
      <c r="K3">
        <v>0.60846260338320857</v>
      </c>
      <c r="L3">
        <v>-0.15960563546363327</v>
      </c>
      <c r="M3">
        <v>-0.31293697262614328</v>
      </c>
      <c r="N3">
        <v>0.14711122156834122</v>
      </c>
      <c r="O3">
        <v>4.0934050000000777E-2</v>
      </c>
      <c r="P3">
        <v>0.46701050843760417</v>
      </c>
      <c r="Q3">
        <v>0.12575150750979702</v>
      </c>
      <c r="R3">
        <v>-0.60069291920475942</v>
      </c>
      <c r="S3">
        <v>0.8495461176710295</v>
      </c>
      <c r="T3">
        <v>0.27341575750636782</v>
      </c>
      <c r="U3">
        <v>0.7379585821868373</v>
      </c>
      <c r="V3">
        <v>3.2299401034840969E-2</v>
      </c>
      <c r="W3">
        <v>0.6368176420107341</v>
      </c>
      <c r="X3">
        <v>-0.12688383999999997</v>
      </c>
      <c r="Y3">
        <v>0.12059087999999989</v>
      </c>
      <c r="Z3">
        <v>5.8480269999999432E-3</v>
      </c>
    </row>
    <row r="4" spans="1:26">
      <c r="A4" s="54" t="str">
        <f>CONCATENATE(raw[[#This Row],[redis_ls]],raw[[#This Row],[wage_eq]],raw[[#This Row],[flex]],raw[[#This Row],[expo]],raw[[#This Row],[_date_]])</f>
        <v>121137257</v>
      </c>
      <c r="B4" s="1">
        <v>37257</v>
      </c>
      <c r="C4">
        <v>1</v>
      </c>
      <c r="D4">
        <v>2</v>
      </c>
      <c r="E4">
        <v>1</v>
      </c>
      <c r="F4">
        <v>1</v>
      </c>
      <c r="G4">
        <v>0.3885049524087858</v>
      </c>
      <c r="H4">
        <v>89.19803999999931</v>
      </c>
      <c r="I4">
        <v>-8.6105152457849226</v>
      </c>
      <c r="J4">
        <v>0.26525859713457667</v>
      </c>
      <c r="K4">
        <v>1.1489763764602978</v>
      </c>
      <c r="L4">
        <v>-0.4273573560954147</v>
      </c>
      <c r="M4">
        <v>-0.45063300483669799</v>
      </c>
      <c r="N4">
        <v>0.32236316666969245</v>
      </c>
      <c r="O4">
        <v>5.1068890000000033E-2</v>
      </c>
      <c r="P4">
        <v>0.61261169829460727</v>
      </c>
      <c r="Q4">
        <v>0.32638614423485812</v>
      </c>
      <c r="R4">
        <v>-0.31867176357442961</v>
      </c>
      <c r="S4">
        <v>0.97249578623090915</v>
      </c>
      <c r="T4">
        <v>0.52513314429207814</v>
      </c>
      <c r="U4">
        <v>1.5893090832582946</v>
      </c>
      <c r="V4">
        <v>0.22231621685411262</v>
      </c>
      <c r="W4">
        <v>0.54271748085812366</v>
      </c>
      <c r="X4">
        <v>-0.2550849899999999</v>
      </c>
      <c r="Y4">
        <v>0.16398937999999968</v>
      </c>
      <c r="Z4">
        <v>0.12563921399999997</v>
      </c>
    </row>
    <row r="5" spans="1:26">
      <c r="A5" s="54" t="str">
        <f>CONCATENATE(raw[[#This Row],[redis_ls]],raw[[#This Row],[wage_eq]],raw[[#This Row],[flex]],raw[[#This Row],[expo]],raw[[#This Row],[_date_]])</f>
        <v>121137622</v>
      </c>
      <c r="B5" s="1">
        <v>37622</v>
      </c>
      <c r="C5">
        <v>1</v>
      </c>
      <c r="D5">
        <v>2</v>
      </c>
      <c r="E5">
        <v>1</v>
      </c>
      <c r="F5">
        <v>1</v>
      </c>
      <c r="G5">
        <v>0.47718576609172558</v>
      </c>
      <c r="H5">
        <v>122.82049000000188</v>
      </c>
      <c r="I5">
        <v>-10.470941995530369</v>
      </c>
      <c r="J5">
        <v>0.43065243138569187</v>
      </c>
      <c r="K5">
        <v>1.5567284403625203</v>
      </c>
      <c r="L5">
        <v>-0.78001467590196327</v>
      </c>
      <c r="M5">
        <v>-0.46213612924353997</v>
      </c>
      <c r="N5">
        <v>0.47526700437934277</v>
      </c>
      <c r="O5">
        <v>3.9821939999999667E-2</v>
      </c>
      <c r="P5">
        <v>0.82353958081351486</v>
      </c>
      <c r="Q5">
        <v>0.59170603220686235</v>
      </c>
      <c r="R5">
        <v>3.1655474175984466E-2</v>
      </c>
      <c r="S5">
        <v>1.1564775567755925</v>
      </c>
      <c r="T5">
        <v>0.78069352020888605</v>
      </c>
      <c r="U5">
        <v>2.7453267869536502</v>
      </c>
      <c r="V5">
        <v>0.46183708577629545</v>
      </c>
      <c r="W5">
        <v>0.43004546732812177</v>
      </c>
      <c r="X5">
        <v>-0.33798853999999906</v>
      </c>
      <c r="Y5">
        <v>0.15698983000000005</v>
      </c>
      <c r="Z5">
        <v>0.22939729399999997</v>
      </c>
    </row>
    <row r="6" spans="1:26">
      <c r="A6" s="54" t="str">
        <f>CONCATENATE(raw[[#This Row],[redis_ls]],raw[[#This Row],[wage_eq]],raw[[#This Row],[flex]],raw[[#This Row],[expo]],raw[[#This Row],[_date_]])</f>
        <v>121137987</v>
      </c>
      <c r="B6" s="1">
        <v>37987</v>
      </c>
      <c r="C6">
        <v>1</v>
      </c>
      <c r="D6">
        <v>2</v>
      </c>
      <c r="E6">
        <v>1</v>
      </c>
      <c r="F6">
        <v>1</v>
      </c>
      <c r="G6">
        <v>0.49131181403654356</v>
      </c>
      <c r="H6">
        <v>137.11020999999892</v>
      </c>
      <c r="I6">
        <v>-11.55710359621569</v>
      </c>
      <c r="J6">
        <v>0.5674368469272606</v>
      </c>
      <c r="K6">
        <v>1.839466482272023</v>
      </c>
      <c r="L6">
        <v>-1.1935871311664958</v>
      </c>
      <c r="M6">
        <v>-0.41469934917273132</v>
      </c>
      <c r="N6">
        <v>0.58843365800367309</v>
      </c>
      <c r="O6">
        <v>1.8711019999999301E-2</v>
      </c>
      <c r="P6">
        <v>1.06552950497385</v>
      </c>
      <c r="Q6">
        <v>0.88674163888795565</v>
      </c>
      <c r="R6">
        <v>0.41068885324615501</v>
      </c>
      <c r="S6">
        <v>1.3717920184641352</v>
      </c>
      <c r="T6">
        <v>1.0299214197466267</v>
      </c>
      <c r="U6">
        <v>4.1615535495106437</v>
      </c>
      <c r="V6">
        <v>0.72461909472565367</v>
      </c>
      <c r="W6">
        <v>0.31264623266247238</v>
      </c>
      <c r="X6">
        <v>-0.36376059000000072</v>
      </c>
      <c r="Y6">
        <v>0.1173306300000003</v>
      </c>
      <c r="Z6">
        <v>0.30239959</v>
      </c>
    </row>
    <row r="7" spans="1:26">
      <c r="A7" s="54" t="str">
        <f>CONCATENATE(raw[[#This Row],[redis_ls]],raw[[#This Row],[wage_eq]],raw[[#This Row],[flex]],raw[[#This Row],[expo]],raw[[#This Row],[_date_]])</f>
        <v>121138353</v>
      </c>
      <c r="B7" s="1">
        <v>38353</v>
      </c>
      <c r="C7">
        <v>1</v>
      </c>
      <c r="D7">
        <v>2</v>
      </c>
      <c r="E7">
        <v>1</v>
      </c>
      <c r="F7">
        <v>1</v>
      </c>
      <c r="G7">
        <v>0.44784291101136464</v>
      </c>
      <c r="H7">
        <v>131.83280999999988</v>
      </c>
      <c r="I7">
        <v>-12.210065304380635</v>
      </c>
      <c r="J7">
        <v>0.66626414433541559</v>
      </c>
      <c r="K7">
        <v>2.0278674856592405</v>
      </c>
      <c r="L7">
        <v>-1.6405607484162865</v>
      </c>
      <c r="M7">
        <v>-0.34913925189478112</v>
      </c>
      <c r="N7">
        <v>0.66472080604424999</v>
      </c>
      <c r="O7">
        <v>-1.373650000000004E-3</v>
      </c>
      <c r="P7">
        <v>1.3104662658015354</v>
      </c>
      <c r="Q7">
        <v>1.179804998019307</v>
      </c>
      <c r="R7">
        <v>0.7822812869749729</v>
      </c>
      <c r="S7">
        <v>1.591572327107782</v>
      </c>
      <c r="T7">
        <v>1.2586891187560179</v>
      </c>
      <c r="U7">
        <v>5.7837128185377784</v>
      </c>
      <c r="V7">
        <v>0.99756692597090524</v>
      </c>
      <c r="W7">
        <v>0.21361456215753805</v>
      </c>
      <c r="X7">
        <v>-0.33651861999999949</v>
      </c>
      <c r="Y7">
        <v>5.5959670000000142E-2</v>
      </c>
      <c r="Z7">
        <v>0.34364205669999998</v>
      </c>
    </row>
    <row r="8" spans="1:26">
      <c r="A8" s="54" t="str">
        <f>CONCATENATE(raw[[#This Row],[redis_ls]],raw[[#This Row],[wage_eq]],raw[[#This Row],[flex]],raw[[#This Row],[expo]],raw[[#This Row],[_date_]])</f>
        <v>121138718</v>
      </c>
      <c r="B8" s="1">
        <v>38718</v>
      </c>
      <c r="C8">
        <v>1</v>
      </c>
      <c r="D8">
        <v>2</v>
      </c>
      <c r="E8">
        <v>1</v>
      </c>
      <c r="F8">
        <v>1</v>
      </c>
      <c r="G8">
        <v>0.36503783420367419</v>
      </c>
      <c r="H8">
        <v>109.71105999999781</v>
      </c>
      <c r="I8">
        <v>-12.622295611270484</v>
      </c>
      <c r="J8">
        <v>0.72693558393712721</v>
      </c>
      <c r="K8">
        <v>2.1550164088381507</v>
      </c>
      <c r="L8">
        <v>-2.0935422822257133</v>
      </c>
      <c r="M8">
        <v>-0.28750486341373449</v>
      </c>
      <c r="N8">
        <v>0.70829521459387923</v>
      </c>
      <c r="O8">
        <v>-1.6577300000000794E-2</v>
      </c>
      <c r="P8">
        <v>1.5390663440716379</v>
      </c>
      <c r="Q8">
        <v>1.448638894470311</v>
      </c>
      <c r="R8">
        <v>1.1209255632163684</v>
      </c>
      <c r="S8">
        <v>1.7968825873150296</v>
      </c>
      <c r="T8">
        <v>1.4564248738583307</v>
      </c>
      <c r="U8">
        <v>7.5536468909712218</v>
      </c>
      <c r="V8">
        <v>1.2663659064414912</v>
      </c>
      <c r="W8">
        <v>0.14382813633444513</v>
      </c>
      <c r="X8">
        <v>-0.26691475000000103</v>
      </c>
      <c r="Y8">
        <v>-1.9308619999999777E-2</v>
      </c>
      <c r="Z8">
        <v>0.35599175029999997</v>
      </c>
    </row>
    <row r="9" spans="1:26">
      <c r="A9" s="54" t="str">
        <f>CONCATENATE(raw[[#This Row],[redis_ls]],raw[[#This Row],[wage_eq]],raw[[#This Row],[flex]],raw[[#This Row],[expo]],raw[[#This Row],[_date_]])</f>
        <v>121139083</v>
      </c>
      <c r="B9" s="1">
        <v>39083</v>
      </c>
      <c r="C9">
        <v>1</v>
      </c>
      <c r="D9">
        <v>2</v>
      </c>
      <c r="E9">
        <v>1</v>
      </c>
      <c r="F9">
        <v>1</v>
      </c>
      <c r="G9">
        <v>0.25877543903480849</v>
      </c>
      <c r="H9">
        <v>74.618839999999182</v>
      </c>
      <c r="I9">
        <v>-12.900872710483135</v>
      </c>
      <c r="J9">
        <v>0.75232956843571674</v>
      </c>
      <c r="K9">
        <v>2.2484844234439416</v>
      </c>
      <c r="L9">
        <v>-2.52858395862543</v>
      </c>
      <c r="M9">
        <v>-0.24106168334077083</v>
      </c>
      <c r="N9">
        <v>0.72228918547438958</v>
      </c>
      <c r="O9">
        <v>-2.670389999999967E-2</v>
      </c>
      <c r="P9">
        <v>1.7392320133118977</v>
      </c>
      <c r="Q9">
        <v>1.679579529906694</v>
      </c>
      <c r="R9">
        <v>1.411031116957906</v>
      </c>
      <c r="S9">
        <v>1.9758115720416525</v>
      </c>
      <c r="T9">
        <v>1.6167792258605207</v>
      </c>
      <c r="U9">
        <v>9.4125555549610773</v>
      </c>
      <c r="V9">
        <v>1.515766257311113</v>
      </c>
      <c r="W9">
        <v>0.10327786433685926</v>
      </c>
      <c r="X9">
        <v>-0.16729885</v>
      </c>
      <c r="Y9">
        <v>-0.10204764999999991</v>
      </c>
      <c r="Z9">
        <v>0.34370146299999998</v>
      </c>
    </row>
    <row r="10" spans="1:26">
      <c r="A10" s="54" t="str">
        <f>CONCATENATE(raw[[#This Row],[redis_ls]],raw[[#This Row],[wage_eq]],raw[[#This Row],[flex]],raw[[#This Row],[expo]],raw[[#This Row],[_date_]])</f>
        <v>121139448</v>
      </c>
      <c r="B10" s="1">
        <v>39448</v>
      </c>
      <c r="C10">
        <v>1</v>
      </c>
      <c r="D10">
        <v>2</v>
      </c>
      <c r="E10">
        <v>1</v>
      </c>
      <c r="F10">
        <v>1</v>
      </c>
      <c r="G10">
        <v>0.14183679433337204</v>
      </c>
      <c r="H10">
        <v>30.643919999998616</v>
      </c>
      <c r="I10">
        <v>-13.103971145738335</v>
      </c>
      <c r="J10">
        <v>0.74644812720956466</v>
      </c>
      <c r="K10">
        <v>2.3283946759216301</v>
      </c>
      <c r="L10">
        <v>-2.9267872818607432</v>
      </c>
      <c r="M10">
        <v>-0.21479338526880776</v>
      </c>
      <c r="N10">
        <v>0.70983185574058361</v>
      </c>
      <c r="O10">
        <v>-3.2546919999999757E-2</v>
      </c>
      <c r="P10">
        <v>1.9038988672798185</v>
      </c>
      <c r="Q10">
        <v>1.8652958687897181</v>
      </c>
      <c r="R10">
        <v>1.6444304497524653</v>
      </c>
      <c r="S10">
        <v>2.1215155974499744</v>
      </c>
      <c r="T10">
        <v>1.736522961444642</v>
      </c>
      <c r="U10">
        <v>11.303166145467113</v>
      </c>
      <c r="V10">
        <v>1.7321244449935103</v>
      </c>
      <c r="W10">
        <v>8.627526381894679E-2</v>
      </c>
      <c r="X10">
        <v>-4.9518100000000426E-2</v>
      </c>
      <c r="Y10">
        <v>-0.18672736499999992</v>
      </c>
      <c r="Z10">
        <v>0.31181133300000002</v>
      </c>
    </row>
    <row r="11" spans="1:26">
      <c r="A11" s="54" t="str">
        <f>CONCATENATE(raw[[#This Row],[redis_ls]],raw[[#This Row],[wage_eq]],raw[[#This Row],[flex]],raw[[#This Row],[expo]],raw[[#This Row],[_date_]])</f>
        <v>121139814</v>
      </c>
      <c r="B11" s="1">
        <v>39814</v>
      </c>
      <c r="C11">
        <v>1</v>
      </c>
      <c r="D11">
        <v>2</v>
      </c>
      <c r="E11">
        <v>1</v>
      </c>
      <c r="F11">
        <v>1</v>
      </c>
      <c r="G11">
        <v>2.433012431046766E-2</v>
      </c>
      <c r="H11">
        <v>-18.304439999999886</v>
      </c>
      <c r="I11">
        <v>-13.261457360411288</v>
      </c>
      <c r="J11">
        <v>0.71415669664722792</v>
      </c>
      <c r="K11">
        <v>2.4081499350144142</v>
      </c>
      <c r="L11">
        <v>-3.2745459193337711</v>
      </c>
      <c r="M11">
        <v>-0.20970027789480872</v>
      </c>
      <c r="N11">
        <v>0.67494578774900393</v>
      </c>
      <c r="O11">
        <v>-3.4861229999999521E-2</v>
      </c>
      <c r="P11">
        <v>2.0294462279706993</v>
      </c>
      <c r="Q11">
        <v>2.002858831234744</v>
      </c>
      <c r="R11">
        <v>1.818168849437396</v>
      </c>
      <c r="S11">
        <v>2.2306461691146584</v>
      </c>
      <c r="T11">
        <v>1.8145099548302124</v>
      </c>
      <c r="U11">
        <v>13.171604174206442</v>
      </c>
      <c r="V11">
        <v>1.9051334419737387</v>
      </c>
      <c r="W11">
        <v>8.5411678026869886E-2</v>
      </c>
      <c r="X11">
        <v>7.5838210000000322E-2</v>
      </c>
      <c r="Y11">
        <v>-0.26868048200000005</v>
      </c>
      <c r="Z11">
        <v>0.26586028999999994</v>
      </c>
    </row>
    <row r="12" spans="1:26">
      <c r="A12" s="54" t="str">
        <f>CONCATENATE(raw[[#This Row],[redis_ls]],raw[[#This Row],[wage_eq]],raw[[#This Row],[flex]],raw[[#This Row],[expo]],raw[[#This Row],[_date_]])</f>
        <v>121140179</v>
      </c>
      <c r="B12" s="1">
        <v>40179</v>
      </c>
      <c r="C12">
        <v>1</v>
      </c>
      <c r="D12">
        <v>2</v>
      </c>
      <c r="E12">
        <v>1</v>
      </c>
      <c r="F12">
        <v>1</v>
      </c>
      <c r="G12">
        <v>-8.5714112888501948E-2</v>
      </c>
      <c r="H12">
        <v>-68.610860000000685</v>
      </c>
      <c r="I12">
        <v>-13.386621069586614</v>
      </c>
      <c r="J12">
        <v>0.66122200859277669</v>
      </c>
      <c r="K12">
        <v>2.4960071515818916</v>
      </c>
      <c r="L12">
        <v>-3.5630810311899297</v>
      </c>
      <c r="M12">
        <v>-0.2240634577687195</v>
      </c>
      <c r="N12">
        <v>0.62276510410732566</v>
      </c>
      <c r="O12">
        <v>-3.4207470000000018E-2</v>
      </c>
      <c r="P12">
        <v>2.1147354591102285</v>
      </c>
      <c r="Q12">
        <v>2.0924386463097022</v>
      </c>
      <c r="R12">
        <v>1.9329734204696303</v>
      </c>
      <c r="S12">
        <v>2.302352515153272</v>
      </c>
      <c r="T12">
        <v>1.8511114493616532</v>
      </c>
      <c r="U12">
        <v>14.969195037393002</v>
      </c>
      <c r="V12">
        <v>2.0284907586601619</v>
      </c>
      <c r="W12">
        <v>9.3706030064200085E-2</v>
      </c>
      <c r="X12">
        <v>0.19954728999999999</v>
      </c>
      <c r="Y12">
        <v>-0.34416949609999997</v>
      </c>
      <c r="Z12">
        <v>0.21155876999999976</v>
      </c>
    </row>
    <row r="13" spans="1:26">
      <c r="A13" s="54" t="str">
        <f>CONCATENATE(raw[[#This Row],[redis_ls]],raw[[#This Row],[wage_eq]],raw[[#This Row],[flex]],raw[[#This Row],[expo]],raw[[#This Row],[_date_]])</f>
        <v>121140544</v>
      </c>
      <c r="B13" s="1">
        <v>40544</v>
      </c>
      <c r="C13">
        <v>1</v>
      </c>
      <c r="D13">
        <v>2</v>
      </c>
      <c r="E13">
        <v>1</v>
      </c>
      <c r="F13">
        <v>1</v>
      </c>
      <c r="G13">
        <v>-0.18193930023282512</v>
      </c>
      <c r="H13">
        <v>-116.97328999999809</v>
      </c>
      <c r="I13">
        <v>-13.483100589330432</v>
      </c>
      <c r="J13">
        <v>0.59415554469444132</v>
      </c>
      <c r="K13">
        <v>2.5966051143268221</v>
      </c>
      <c r="L13">
        <v>-3.7877434267069576</v>
      </c>
      <c r="M13">
        <v>-0.25430159294522747</v>
      </c>
      <c r="N13">
        <v>0.55925749253098456</v>
      </c>
      <c r="O13">
        <v>-3.1062689999999948E-2</v>
      </c>
      <c r="P13">
        <v>2.1605702852198982</v>
      </c>
      <c r="Q13">
        <v>2.1364786858916629</v>
      </c>
      <c r="R13">
        <v>1.9922528026342201</v>
      </c>
      <c r="S13">
        <v>2.3376922632732944</v>
      </c>
      <c r="T13">
        <v>1.8480151269468337</v>
      </c>
      <c r="U13">
        <v>16.654152934439082</v>
      </c>
      <c r="V13">
        <v>2.099863421499526</v>
      </c>
      <c r="W13">
        <v>0.10550860486089331</v>
      </c>
      <c r="X13">
        <v>0.31368748999999979</v>
      </c>
      <c r="Y13">
        <v>-0.41043594500000002</v>
      </c>
      <c r="Z13">
        <v>0.15441554000000002</v>
      </c>
    </row>
    <row r="14" spans="1:26">
      <c r="A14" s="54" t="str">
        <f>CONCATENATE(raw[[#This Row],[redis_ls]],raw[[#This Row],[wage_eq]],raw[[#This Row],[flex]],raw[[#This Row],[expo]],raw[[#This Row],[_date_]])</f>
        <v>121140909</v>
      </c>
      <c r="B14" s="1">
        <v>40909</v>
      </c>
      <c r="C14">
        <v>1</v>
      </c>
      <c r="D14">
        <v>2</v>
      </c>
      <c r="E14">
        <v>1</v>
      </c>
      <c r="F14">
        <v>1</v>
      </c>
      <c r="G14">
        <v>-0.25948906515110837</v>
      </c>
      <c r="H14">
        <v>-160.42698999999993</v>
      </c>
      <c r="I14">
        <v>-13.549207567661048</v>
      </c>
      <c r="J14">
        <v>0.51982281098477134</v>
      </c>
      <c r="K14">
        <v>2.7121140467739169</v>
      </c>
      <c r="L14">
        <v>-3.9473224137509866</v>
      </c>
      <c r="M14">
        <v>-0.29568036115077412</v>
      </c>
      <c r="N14">
        <v>0.49071197689971591</v>
      </c>
      <c r="O14">
        <v>-2.5931839999999984E-2</v>
      </c>
      <c r="P14">
        <v>2.1693604048651949</v>
      </c>
      <c r="Q14">
        <v>2.139132824309331</v>
      </c>
      <c r="R14">
        <v>2.0013991080584326</v>
      </c>
      <c r="S14">
        <v>2.3392471662488479</v>
      </c>
      <c r="T14">
        <v>1.8081745796997728</v>
      </c>
      <c r="U14">
        <v>18.192994152246243</v>
      </c>
      <c r="V14">
        <v>2.1204794238942615</v>
      </c>
      <c r="W14">
        <v>0.11674380750850144</v>
      </c>
      <c r="X14">
        <v>0.41162014419999998</v>
      </c>
      <c r="Y14">
        <v>-0.46570295700000014</v>
      </c>
      <c r="Z14">
        <v>9.9377980000000393E-2</v>
      </c>
    </row>
    <row r="15" spans="1:26">
      <c r="A15" s="54" t="str">
        <f>CONCATENATE(raw[[#This Row],[redis_ls]],raw[[#This Row],[wage_eq]],raw[[#This Row],[flex]],raw[[#This Row],[expo]],raw[[#This Row],[_date_]])</f>
        <v>121141275</v>
      </c>
      <c r="B15" s="1">
        <v>41275</v>
      </c>
      <c r="C15">
        <v>1</v>
      </c>
      <c r="D15">
        <v>2</v>
      </c>
      <c r="E15">
        <v>1</v>
      </c>
      <c r="F15">
        <v>1</v>
      </c>
      <c r="G15">
        <v>-0.31498585666278611</v>
      </c>
      <c r="H15">
        <v>-196.41029999999955</v>
      </c>
      <c r="I15">
        <v>-13.580785078243418</v>
      </c>
      <c r="J15">
        <v>0.4449233905001071</v>
      </c>
      <c r="K15">
        <v>2.8429760456969655</v>
      </c>
      <c r="L15">
        <v>-4.0434384206785579</v>
      </c>
      <c r="M15">
        <v>-0.34294890746147111</v>
      </c>
      <c r="N15">
        <v>0.42317063701693414</v>
      </c>
      <c r="O15">
        <v>-1.9393469999999524E-2</v>
      </c>
      <c r="P15">
        <v>2.1448461943531782</v>
      </c>
      <c r="Q15">
        <v>2.1058136008399453</v>
      </c>
      <c r="R15">
        <v>1.9672258497688722</v>
      </c>
      <c r="S15">
        <v>2.3108050734333085</v>
      </c>
      <c r="T15">
        <v>1.735743900121145</v>
      </c>
      <c r="U15">
        <v>19.561503446147199</v>
      </c>
      <c r="V15">
        <v>2.0945379957441501</v>
      </c>
      <c r="W15">
        <v>0.12485594615234685</v>
      </c>
      <c r="X15">
        <v>0.48807629400000002</v>
      </c>
      <c r="Y15">
        <v>-0.50912663900000021</v>
      </c>
      <c r="Z15">
        <v>5.0536150000000252E-2</v>
      </c>
    </row>
    <row r="16" spans="1:26">
      <c r="A16" s="54" t="str">
        <f>CONCATENATE(raw[[#This Row],[redis_ls]],raw[[#This Row],[wage_eq]],raw[[#This Row],[flex]],raw[[#This Row],[expo]],raw[[#This Row],[_date_]])</f>
        <v>121141640</v>
      </c>
      <c r="B16" s="1">
        <v>41640</v>
      </c>
      <c r="C16">
        <v>1</v>
      </c>
      <c r="D16">
        <v>2</v>
      </c>
      <c r="E16">
        <v>1</v>
      </c>
      <c r="F16">
        <v>1</v>
      </c>
      <c r="G16">
        <v>-0.34656269711825782</v>
      </c>
      <c r="H16">
        <v>-222.87025999999969</v>
      </c>
      <c r="I16">
        <v>-13.573157403671566</v>
      </c>
      <c r="J16">
        <v>0.37546150968179592</v>
      </c>
      <c r="K16">
        <v>2.9883324419206936</v>
      </c>
      <c r="L16">
        <v>-4.0800150943349545</v>
      </c>
      <c r="M16">
        <v>-0.39090429024130069</v>
      </c>
      <c r="N16">
        <v>0.36191358688559827</v>
      </c>
      <c r="O16">
        <v>-1.2088350000000192E-2</v>
      </c>
      <c r="P16">
        <v>2.0918095856494068</v>
      </c>
      <c r="Q16">
        <v>2.0427744662562697</v>
      </c>
      <c r="R16">
        <v>1.897458318061096</v>
      </c>
      <c r="S16">
        <v>2.2570414566615904</v>
      </c>
      <c r="T16">
        <v>1.6359103646016893</v>
      </c>
      <c r="U16">
        <v>20.745130421275391</v>
      </c>
      <c r="V16">
        <v>2.0285311497584058</v>
      </c>
      <c r="W16">
        <v>0.12863210867255503</v>
      </c>
      <c r="X16">
        <v>0.53931631000000002</v>
      </c>
      <c r="Y16">
        <v>-0.54069738999999983</v>
      </c>
      <c r="Z16">
        <v>1.0918599999999723E-2</v>
      </c>
    </row>
    <row r="17" spans="1:26">
      <c r="A17" s="54" t="str">
        <f>CONCATENATE(raw[[#This Row],[redis_ls]],raw[[#This Row],[wage_eq]],raw[[#This Row],[flex]],raw[[#This Row],[expo]],raw[[#This Row],[_date_]])</f>
        <v>121142005</v>
      </c>
      <c r="B17" s="1">
        <v>42005</v>
      </c>
      <c r="C17">
        <v>1</v>
      </c>
      <c r="D17">
        <v>2</v>
      </c>
      <c r="E17">
        <v>1</v>
      </c>
      <c r="F17">
        <v>1</v>
      </c>
      <c r="G17">
        <v>-0.35387127081888403</v>
      </c>
      <c r="H17">
        <v>-238.38326999999845</v>
      </c>
      <c r="I17">
        <v>-13.52244446919595</v>
      </c>
      <c r="J17">
        <v>0.31629432896476128</v>
      </c>
      <c r="K17">
        <v>3.1462626789653392</v>
      </c>
      <c r="L17">
        <v>-4.0628000291827675</v>
      </c>
      <c r="M17">
        <v>-0.43486325593673492</v>
      </c>
      <c r="N17">
        <v>0.31105769880255263</v>
      </c>
      <c r="O17">
        <v>-4.6758899999999048E-3</v>
      </c>
      <c r="P17">
        <v>2.0157517625145394</v>
      </c>
      <c r="Q17">
        <v>1.9567056995410503</v>
      </c>
      <c r="R17">
        <v>1.8002526477792991</v>
      </c>
      <c r="S17">
        <v>2.1831842250848332</v>
      </c>
      <c r="T17">
        <v>1.514616245797229</v>
      </c>
      <c r="U17">
        <v>21.738768832358279</v>
      </c>
      <c r="V17">
        <v>1.9305240206597851</v>
      </c>
      <c r="W17">
        <v>0.12796762915487925</v>
      </c>
      <c r="X17">
        <v>0.56329269999999998</v>
      </c>
      <c r="Y17">
        <v>-0.56109653999999975</v>
      </c>
      <c r="Z17">
        <v>-1.7610099999999795E-2</v>
      </c>
    </row>
    <row r="18" spans="1:26">
      <c r="A18" s="54" t="str">
        <f>CONCATENATE(raw[[#This Row],[redis_ls]],raw[[#This Row],[wage_eq]],raw[[#This Row],[flex]],raw[[#This Row],[expo]],raw[[#This Row],[_date_]])</f>
        <v>121142370</v>
      </c>
      <c r="B18" s="1">
        <v>42370</v>
      </c>
      <c r="C18">
        <v>1</v>
      </c>
      <c r="D18">
        <v>2</v>
      </c>
      <c r="E18">
        <v>1</v>
      </c>
      <c r="F18">
        <v>1</v>
      </c>
      <c r="G18">
        <v>-0.33801746730290905</v>
      </c>
      <c r="H18">
        <v>-242.25752000000284</v>
      </c>
      <c r="I18">
        <v>-13.42638559647985</v>
      </c>
      <c r="J18">
        <v>0.27081443944529937</v>
      </c>
      <c r="K18">
        <v>3.3139426959733154</v>
      </c>
      <c r="L18">
        <v>-3.9989070427572604</v>
      </c>
      <c r="M18">
        <v>-0.47102035488975069</v>
      </c>
      <c r="N18">
        <v>0.27330134074452506</v>
      </c>
      <c r="O18">
        <v>2.2220100000011622E-3</v>
      </c>
      <c r="P18">
        <v>1.9225466944420511</v>
      </c>
      <c r="Q18">
        <v>1.8543509054199658</v>
      </c>
      <c r="R18">
        <v>1.6837512392507525</v>
      </c>
      <c r="S18">
        <v>2.0946754634620257</v>
      </c>
      <c r="T18">
        <v>1.378196204572002</v>
      </c>
      <c r="U18">
        <v>22.545957830505927</v>
      </c>
      <c r="V18">
        <v>1.8094306786666348</v>
      </c>
      <c r="W18">
        <v>0.12359835212736314</v>
      </c>
      <c r="X18">
        <v>0.55974379000000019</v>
      </c>
      <c r="Y18">
        <v>-0.57152079000000011</v>
      </c>
      <c r="Z18">
        <v>-3.4352179999999621E-2</v>
      </c>
    </row>
    <row r="19" spans="1:26">
      <c r="A19" s="54" t="str">
        <f>CONCATENATE(raw[[#This Row],[redis_ls]],raw[[#This Row],[wage_eq]],raw[[#This Row],[flex]],raw[[#This Row],[expo]],raw[[#This Row],[_date_]])</f>
        <v>121142736</v>
      </c>
      <c r="B19" s="1">
        <v>42736</v>
      </c>
      <c r="C19">
        <v>1</v>
      </c>
      <c r="D19">
        <v>2</v>
      </c>
      <c r="E19">
        <v>1</v>
      </c>
      <c r="F19">
        <v>1</v>
      </c>
      <c r="G19">
        <v>-0.30140655766328628</v>
      </c>
      <c r="H19">
        <v>-234.58643000000302</v>
      </c>
      <c r="I19">
        <v>-13.284766208637588</v>
      </c>
      <c r="J19">
        <v>0.24079544047270751</v>
      </c>
      <c r="K19">
        <v>3.4877981121674395</v>
      </c>
      <c r="L19">
        <v>-3.8963660344587314</v>
      </c>
      <c r="M19">
        <v>-0.49667937916622051</v>
      </c>
      <c r="N19">
        <v>0.24982984543597819</v>
      </c>
      <c r="O19">
        <v>8.0760099999993562E-3</v>
      </c>
      <c r="P19">
        <v>1.8180953676214529</v>
      </c>
      <c r="Q19">
        <v>1.7421640628263013</v>
      </c>
      <c r="R19">
        <v>1.5556932610872432</v>
      </c>
      <c r="S19">
        <v>1.9968527687984627</v>
      </c>
      <c r="T19">
        <v>1.2329833706884674</v>
      </c>
      <c r="U19">
        <v>23.177610307220075</v>
      </c>
      <c r="V19">
        <v>1.6743251831110806</v>
      </c>
      <c r="W19">
        <v>0.11681463712878148</v>
      </c>
      <c r="X19">
        <v>0.53016441000000025</v>
      </c>
      <c r="Y19">
        <v>-0.57349293000000001</v>
      </c>
      <c r="Z19">
        <v>-3.9689679999999755E-2</v>
      </c>
    </row>
    <row r="20" spans="1:26">
      <c r="A20" s="54" t="str">
        <f>CONCATENATE(raw[[#This Row],[redis_ls]],raw[[#This Row],[wage_eq]],raw[[#This Row],[flex]],raw[[#This Row],[expo]],raw[[#This Row],[_date_]])</f>
        <v>121143101</v>
      </c>
      <c r="B20" s="1">
        <v>43101</v>
      </c>
      <c r="C20">
        <v>1</v>
      </c>
      <c r="D20">
        <v>2</v>
      </c>
      <c r="E20">
        <v>1</v>
      </c>
      <c r="F20">
        <v>1</v>
      </c>
      <c r="G20">
        <v>-0.24750041088119623</v>
      </c>
      <c r="H20">
        <v>-216.2318199999936</v>
      </c>
      <c r="I20">
        <v>-13.099521677527793</v>
      </c>
      <c r="J20">
        <v>0.22640527892388018</v>
      </c>
      <c r="K20">
        <v>3.663691570984251</v>
      </c>
      <c r="L20">
        <v>-3.7636815174608707</v>
      </c>
      <c r="M20">
        <v>-0.51035359855337026</v>
      </c>
      <c r="N20">
        <v>0.2403778800013745</v>
      </c>
      <c r="O20">
        <v>1.2494520000000398E-2</v>
      </c>
      <c r="P20">
        <v>1.7080073780659566</v>
      </c>
      <c r="Q20">
        <v>1.6260239697915679</v>
      </c>
      <c r="R20">
        <v>1.4230958367013713</v>
      </c>
      <c r="S20">
        <v>1.8946748030050697</v>
      </c>
      <c r="T20">
        <v>1.0849353389008609</v>
      </c>
      <c r="U20">
        <v>23.650422906811428</v>
      </c>
      <c r="V20">
        <v>1.5338301137337362</v>
      </c>
      <c r="W20">
        <v>0.10918053585828869</v>
      </c>
      <c r="X20">
        <v>0.47762927999999982</v>
      </c>
      <c r="Y20">
        <v>-0.56867991999999989</v>
      </c>
      <c r="Z20">
        <v>-3.4923099999999846E-2</v>
      </c>
    </row>
    <row r="21" spans="1:26">
      <c r="A21" s="54" t="str">
        <f>CONCATENATE(raw[[#This Row],[redis_ls]],raw[[#This Row],[wage_eq]],raw[[#This Row],[flex]],raw[[#This Row],[expo]],raw[[#This Row],[_date_]])</f>
        <v>121143466</v>
      </c>
      <c r="B21" s="1">
        <v>43466</v>
      </c>
      <c r="C21">
        <v>1</v>
      </c>
      <c r="D21">
        <v>2</v>
      </c>
      <c r="E21">
        <v>1</v>
      </c>
      <c r="F21">
        <v>1</v>
      </c>
      <c r="G21">
        <v>-0.18050691573892053</v>
      </c>
      <c r="H21">
        <v>-188.73107000000164</v>
      </c>
      <c r="I21">
        <v>-12.874588864585368</v>
      </c>
      <c r="J21">
        <v>0.22637441955113413</v>
      </c>
      <c r="K21">
        <v>3.837156031544886</v>
      </c>
      <c r="L21">
        <v>-3.6094104651082537</v>
      </c>
      <c r="M21">
        <v>-0.51174177305858271</v>
      </c>
      <c r="N21">
        <v>0.24342877712619782</v>
      </c>
      <c r="O21">
        <v>1.5252979999999527E-2</v>
      </c>
      <c r="P21">
        <v>1.5973340795795377</v>
      </c>
      <c r="Q21">
        <v>1.5110216887640249</v>
      </c>
      <c r="R21">
        <v>1.2920180494868649</v>
      </c>
      <c r="S21">
        <v>1.7925072363385253</v>
      </c>
      <c r="T21">
        <v>0.93932190975660745</v>
      </c>
      <c r="U21">
        <v>23.985136546376019</v>
      </c>
      <c r="V21">
        <v>1.3956198606307924</v>
      </c>
      <c r="W21">
        <v>0.1022803363885938</v>
      </c>
      <c r="X21">
        <v>0.40647715999999889</v>
      </c>
      <c r="Y21">
        <v>-0.55873690999999992</v>
      </c>
      <c r="Z21">
        <v>-2.2054710000000283E-2</v>
      </c>
    </row>
    <row r="22" spans="1:26">
      <c r="A22" s="54" t="str">
        <f>CONCATENATE(raw[[#This Row],[redis_ls]],raw[[#This Row],[wage_eq]],raw[[#This Row],[flex]],raw[[#This Row],[expo]],raw[[#This Row],[_date_]])</f>
        <v>121143831</v>
      </c>
      <c r="B22" s="1">
        <v>43831</v>
      </c>
      <c r="C22">
        <v>1</v>
      </c>
      <c r="D22">
        <v>2</v>
      </c>
      <c r="E22">
        <v>1</v>
      </c>
      <c r="F22">
        <v>1</v>
      </c>
      <c r="G22">
        <v>-0.10503211782334487</v>
      </c>
      <c r="H22">
        <v>-154.13731999999436</v>
      </c>
      <c r="I22">
        <v>-12.615573087066934</v>
      </c>
      <c r="J22">
        <v>0.23828755459440742</v>
      </c>
      <c r="K22">
        <v>4.0036632007912853</v>
      </c>
      <c r="L22">
        <v>-3.4417761504450861</v>
      </c>
      <c r="M22">
        <v>-0.50159649299804654</v>
      </c>
      <c r="N22">
        <v>0.25651555003622928</v>
      </c>
      <c r="O22">
        <v>1.6303389999999807E-2</v>
      </c>
      <c r="P22">
        <v>1.4903687374320462</v>
      </c>
      <c r="Q22">
        <v>1.4013228877141959</v>
      </c>
      <c r="R22">
        <v>1.167410723815987</v>
      </c>
      <c r="S22">
        <v>1.6939774403048391</v>
      </c>
      <c r="T22">
        <v>0.80050183662119245</v>
      </c>
      <c r="U22">
        <v>24.20480915176908</v>
      </c>
      <c r="V22">
        <v>1.2660649053654716</v>
      </c>
      <c r="W22">
        <v>9.7515777927381642E-2</v>
      </c>
      <c r="X22">
        <v>0.32189134000000091</v>
      </c>
      <c r="Y22">
        <v>-0.5451898599999998</v>
      </c>
      <c r="Z22">
        <v>-3.5389400000002125E-3</v>
      </c>
    </row>
    <row r="23" spans="1:26">
      <c r="A23" s="54" t="str">
        <f>CONCATENATE(raw[[#This Row],[redis_ls]],raw[[#This Row],[wage_eq]],raw[[#This Row],[flex]],raw[[#This Row],[expo]],raw[[#This Row],[_date_]])</f>
        <v>121144197</v>
      </c>
      <c r="B23" s="1">
        <v>44197</v>
      </c>
      <c r="C23">
        <v>1</v>
      </c>
      <c r="D23">
        <v>2</v>
      </c>
      <c r="E23">
        <v>1</v>
      </c>
      <c r="F23">
        <v>1</v>
      </c>
      <c r="G23">
        <v>-2.5727856530211035E-2</v>
      </c>
      <c r="H23">
        <v>-114.8150700000042</v>
      </c>
      <c r="I23">
        <v>-12.329296105732768</v>
      </c>
      <c r="J23">
        <v>0.25895403639344394</v>
      </c>
      <c r="K23">
        <v>4.1589032581007102</v>
      </c>
      <c r="L23">
        <v>-3.2683355200950448</v>
      </c>
      <c r="M23">
        <v>-0.48151099153962429</v>
      </c>
      <c r="N23">
        <v>0.27657940859291408</v>
      </c>
      <c r="O23">
        <v>1.5763260000001278E-2</v>
      </c>
      <c r="P23">
        <v>1.3905217500636224</v>
      </c>
      <c r="Q23">
        <v>1.3001051590423751</v>
      </c>
      <c r="R23">
        <v>1.0530479069025267</v>
      </c>
      <c r="S23">
        <v>1.6019000803835448</v>
      </c>
      <c r="T23">
        <v>0.6717987651458035</v>
      </c>
      <c r="U23">
        <v>24.333232261085502</v>
      </c>
      <c r="V23">
        <v>1.1500268484610832</v>
      </c>
      <c r="W23">
        <v>9.5968359742260034E-2</v>
      </c>
      <c r="X23">
        <v>0.2294296500000001</v>
      </c>
      <c r="Y23">
        <v>-0.52936119000000015</v>
      </c>
      <c r="Z23">
        <v>1.7976000000000103E-2</v>
      </c>
    </row>
    <row r="24" spans="1:26">
      <c r="A24" s="54" t="str">
        <f>CONCATENATE(raw[[#This Row],[redis_ls]],raw[[#This Row],[wage_eq]],raw[[#This Row],[flex]],raw[[#This Row],[expo]],raw[[#This Row],[_date_]])</f>
        <v>121144562</v>
      </c>
      <c r="B24" s="1">
        <v>44562</v>
      </c>
      <c r="C24">
        <v>1</v>
      </c>
      <c r="D24">
        <v>2</v>
      </c>
      <c r="E24">
        <v>1</v>
      </c>
      <c r="F24">
        <v>1</v>
      </c>
      <c r="G24">
        <v>5.3030608366366749E-2</v>
      </c>
      <c r="H24">
        <v>-73.22001000000455</v>
      </c>
      <c r="I24">
        <v>-12.023286673639866</v>
      </c>
      <c r="J24">
        <v>0.28480892928910428</v>
      </c>
      <c r="K24">
        <v>4.2990473846880484</v>
      </c>
      <c r="L24">
        <v>-3.0957162664236981</v>
      </c>
      <c r="M24">
        <v>-0.45365705293598513</v>
      </c>
      <c r="N24">
        <v>0.3003381892656698</v>
      </c>
      <c r="O24">
        <v>1.3886370000000536E-2</v>
      </c>
      <c r="P24">
        <v>1.3002705838599971</v>
      </c>
      <c r="Q24">
        <v>1.2095612806345413</v>
      </c>
      <c r="R24">
        <v>0.95153253275495064</v>
      </c>
      <c r="S24">
        <v>1.5182642483965614</v>
      </c>
      <c r="T24">
        <v>0.55547260931692044</v>
      </c>
      <c r="U24">
        <v>24.393583444839241</v>
      </c>
      <c r="V24">
        <v>1.0507978535699181</v>
      </c>
      <c r="W24">
        <v>9.8329680779674078E-2</v>
      </c>
      <c r="X24">
        <v>0.13456257999999999</v>
      </c>
      <c r="Y24">
        <v>-0.51233564000000009</v>
      </c>
      <c r="Z24">
        <v>3.9892300000000935E-2</v>
      </c>
    </row>
    <row r="25" spans="1:26">
      <c r="A25" s="54" t="str">
        <f>CONCATENATE(raw[[#This Row],[redis_ls]],raw[[#This Row],[wage_eq]],raw[[#This Row],[flex]],raw[[#This Row],[expo]],raw[[#This Row],[_date_]])</f>
        <v>121144927</v>
      </c>
      <c r="B25" s="1">
        <v>44927</v>
      </c>
      <c r="C25">
        <v>1</v>
      </c>
      <c r="D25">
        <v>2</v>
      </c>
      <c r="E25">
        <v>1</v>
      </c>
      <c r="F25">
        <v>1</v>
      </c>
      <c r="G25">
        <v>0.12741080177762765</v>
      </c>
      <c r="H25">
        <v>-31.692269999999553</v>
      </c>
      <c r="I25">
        <v>-11.705267706379452</v>
      </c>
      <c r="J25">
        <v>0.31229645181980459</v>
      </c>
      <c r="K25">
        <v>4.4209654026971856</v>
      </c>
      <c r="L25">
        <v>-2.9294316362859174</v>
      </c>
      <c r="M25">
        <v>-0.42050743351186304</v>
      </c>
      <c r="N25">
        <v>0.32462377629827177</v>
      </c>
      <c r="O25">
        <v>1.1020859999999466E-2</v>
      </c>
      <c r="P25">
        <v>1.2211762801174864</v>
      </c>
      <c r="Q25">
        <v>1.1309577147773142</v>
      </c>
      <c r="R25">
        <v>0.86436497532047518</v>
      </c>
      <c r="S25">
        <v>1.4442737039094045</v>
      </c>
      <c r="T25">
        <v>0.45277122956615123</v>
      </c>
      <c r="U25">
        <v>24.407365781326163</v>
      </c>
      <c r="V25">
        <v>0.97016425490012992</v>
      </c>
      <c r="W25">
        <v>0.1048926180936105</v>
      </c>
      <c r="X25">
        <v>4.2271530000000113E-2</v>
      </c>
      <c r="Y25">
        <v>-0.49495853999999978</v>
      </c>
      <c r="Z25">
        <v>5.9872559999998853E-2</v>
      </c>
    </row>
    <row r="26" spans="1:26">
      <c r="A26" s="54" t="str">
        <f>CONCATENATE(raw[[#This Row],[redis_ls]],raw[[#This Row],[wage_eq]],raw[[#This Row],[flex]],raw[[#This Row],[expo]],raw[[#This Row],[_date_]])</f>
        <v>121145292</v>
      </c>
      <c r="B26" s="1">
        <v>45292</v>
      </c>
      <c r="C26">
        <v>1</v>
      </c>
      <c r="D26">
        <v>2</v>
      </c>
      <c r="E26">
        <v>1</v>
      </c>
      <c r="F26">
        <v>1</v>
      </c>
      <c r="G26">
        <v>0.19431502426723313</v>
      </c>
      <c r="H26">
        <v>7.7129999999961001</v>
      </c>
      <c r="I26">
        <v>-11.382685146243244</v>
      </c>
      <c r="J26">
        <v>0.33819682206552848</v>
      </c>
      <c r="K26">
        <v>4.5223780619705556</v>
      </c>
      <c r="L26">
        <v>-2.7737787149248128</v>
      </c>
      <c r="M26">
        <v>-0.3845747701882507</v>
      </c>
      <c r="N26">
        <v>0.3466563568602421</v>
      </c>
      <c r="O26">
        <v>7.5612500000002414E-3</v>
      </c>
      <c r="P26">
        <v>1.1539542542988723</v>
      </c>
      <c r="Q26">
        <v>1.064734869015993</v>
      </c>
      <c r="R26">
        <v>0.79205951839718125</v>
      </c>
      <c r="S26">
        <v>1.3804260033606797</v>
      </c>
      <c r="T26">
        <v>0.36404306950366117</v>
      </c>
      <c r="U26">
        <v>24.393648486752827</v>
      </c>
      <c r="V26">
        <v>0.90856584691727527</v>
      </c>
      <c r="W26">
        <v>0.11559078237459719</v>
      </c>
      <c r="X26">
        <v>-4.3255770000000249E-2</v>
      </c>
      <c r="Y26">
        <v>-0.4778561600000002</v>
      </c>
      <c r="Z26">
        <v>7.6001110000001315E-2</v>
      </c>
    </row>
    <row r="27" spans="1:26">
      <c r="A27" s="54" t="str">
        <f>CONCATENATE(raw[[#This Row],[redis_ls]],raw[[#This Row],[wage_eq]],raw[[#This Row],[flex]],raw[[#This Row],[expo]],raw[[#This Row],[_date_]])</f>
        <v>121145658</v>
      </c>
      <c r="B27" s="1">
        <v>45658</v>
      </c>
      <c r="C27">
        <v>1</v>
      </c>
      <c r="D27">
        <v>2</v>
      </c>
      <c r="E27">
        <v>1</v>
      </c>
      <c r="F27">
        <v>1</v>
      </c>
      <c r="G27">
        <v>0.25149003918256696</v>
      </c>
      <c r="H27">
        <v>43.343369999995048</v>
      </c>
      <c r="I27">
        <v>-11.062312687308973</v>
      </c>
      <c r="J27">
        <v>0.35987047658092575</v>
      </c>
      <c r="K27">
        <v>4.6019324313963939</v>
      </c>
      <c r="L27">
        <v>-2.6318165267364746</v>
      </c>
      <c r="M27">
        <v>-0.34819106860460858</v>
      </c>
      <c r="N27">
        <v>0.36423685218873736</v>
      </c>
      <c r="O27">
        <v>3.9017500000002037E-3</v>
      </c>
      <c r="P27">
        <v>1.098585787077444</v>
      </c>
      <c r="Q27">
        <v>1.0106348757265238</v>
      </c>
      <c r="R27">
        <v>0.73429397464559454</v>
      </c>
      <c r="S27">
        <v>1.3266174174140666</v>
      </c>
      <c r="T27">
        <v>0.28888809994540576</v>
      </c>
      <c r="U27">
        <v>24.368593868184796</v>
      </c>
      <c r="V27">
        <v>0.86531835375669441</v>
      </c>
      <c r="W27">
        <v>0.13006928850827215</v>
      </c>
      <c r="X27">
        <v>-0.11881472000000032</v>
      </c>
      <c r="Y27">
        <v>-0.46146799000000016</v>
      </c>
      <c r="Z27">
        <v>8.688826999999899E-2</v>
      </c>
    </row>
    <row r="28" spans="1:26">
      <c r="A28" s="54" t="str">
        <f>CONCATENATE(raw[[#This Row],[redis_ls]],raw[[#This Row],[wage_eq]],raw[[#This Row],[flex]],raw[[#This Row],[expo]],raw[[#This Row],[_date_]])</f>
        <v>121146023</v>
      </c>
      <c r="B28" s="1">
        <v>46023</v>
      </c>
      <c r="C28">
        <v>1</v>
      </c>
      <c r="D28">
        <v>2</v>
      </c>
      <c r="E28">
        <v>1</v>
      </c>
      <c r="F28">
        <v>1</v>
      </c>
      <c r="G28">
        <v>0.29755644554012584</v>
      </c>
      <c r="H28">
        <v>74.010629999997036</v>
      </c>
      <c r="I28">
        <v>-10.749953498364629</v>
      </c>
      <c r="J28">
        <v>0.37540772222492969</v>
      </c>
      <c r="K28">
        <v>4.6592001480971312</v>
      </c>
      <c r="L28">
        <v>-2.5054140397221536</v>
      </c>
      <c r="M28">
        <v>-0.31334403668369371</v>
      </c>
      <c r="N28">
        <v>0.37585162793656313</v>
      </c>
      <c r="O28">
        <v>3.9655999999888003E-4</v>
      </c>
      <c r="P28">
        <v>1.0544538998014552</v>
      </c>
      <c r="Q28">
        <v>0.96784386711372683</v>
      </c>
      <c r="R28">
        <v>0.69008002337038743</v>
      </c>
      <c r="S28">
        <v>1.2822624620013157</v>
      </c>
      <c r="T28">
        <v>0.22632728299070148</v>
      </c>
      <c r="U28">
        <v>24.345237642324502</v>
      </c>
      <c r="V28">
        <v>0.83886809600899337</v>
      </c>
      <c r="W28">
        <v>0.14776836194945187</v>
      </c>
      <c r="X28">
        <v>-0.1822579100000013</v>
      </c>
      <c r="Y28">
        <v>-0.44608258999999995</v>
      </c>
      <c r="Z28">
        <v>9.1715789999999298E-2</v>
      </c>
    </row>
    <row r="29" spans="1:26">
      <c r="A29" s="54" t="str">
        <f>CONCATENATE(raw[[#This Row],[redis_ls]],raw[[#This Row],[wage_eq]],raw[[#This Row],[flex]],raw[[#This Row],[expo]],raw[[#This Row],[_date_]])</f>
        <v>121146388</v>
      </c>
      <c r="B29" s="1">
        <v>46388</v>
      </c>
      <c r="C29">
        <v>1</v>
      </c>
      <c r="D29">
        <v>2</v>
      </c>
      <c r="E29">
        <v>1</v>
      </c>
      <c r="F29">
        <v>1</v>
      </c>
      <c r="G29">
        <v>0.33196734850298171</v>
      </c>
      <c r="H29">
        <v>99.000180000002729</v>
      </c>
      <c r="I29">
        <v>-10.450248589418409</v>
      </c>
      <c r="J29">
        <v>0.38368375951991496</v>
      </c>
      <c r="K29">
        <v>4.6946060726697825</v>
      </c>
      <c r="L29">
        <v>-2.3953591025641541</v>
      </c>
      <c r="M29">
        <v>-0.2815764603740778</v>
      </c>
      <c r="N29">
        <v>0.38069581119382079</v>
      </c>
      <c r="O29">
        <v>-2.6691700000011642E-3</v>
      </c>
      <c r="P29">
        <v>1.0204890049280158</v>
      </c>
      <c r="Q29">
        <v>0.93513988742042198</v>
      </c>
      <c r="R29">
        <v>0.65793788584849189</v>
      </c>
      <c r="S29">
        <v>1.2464169908817713</v>
      </c>
      <c r="T29">
        <v>0.17497324328723529</v>
      </c>
      <c r="U29">
        <v>24.333479929851865</v>
      </c>
      <c r="V29">
        <v>0.82705248059902203</v>
      </c>
      <c r="W29">
        <v>0.16800919945942905</v>
      </c>
      <c r="X29">
        <v>-0.23246855000000066</v>
      </c>
      <c r="Y29">
        <v>-0.43187132999999989</v>
      </c>
      <c r="Z29">
        <v>9.0227129999999323E-2</v>
      </c>
    </row>
    <row r="30" spans="1:26">
      <c r="A30" s="54" t="str">
        <f>CONCATENATE(raw[[#This Row],[redis_ls]],raw[[#This Row],[wage_eq]],raw[[#This Row],[flex]],raw[[#This Row],[expo]],raw[[#This Row],[_date_]])</f>
        <v>121146753</v>
      </c>
      <c r="B30" s="1">
        <v>46753</v>
      </c>
      <c r="C30">
        <v>1</v>
      </c>
      <c r="D30">
        <v>2</v>
      </c>
      <c r="E30">
        <v>1</v>
      </c>
      <c r="F30">
        <v>1</v>
      </c>
      <c r="G30">
        <v>0.35491200225126196</v>
      </c>
      <c r="H30">
        <v>118.0382399999944</v>
      </c>
      <c r="I30">
        <v>-10.1665910809003</v>
      </c>
      <c r="J30">
        <v>0.38433064767289249</v>
      </c>
      <c r="K30">
        <v>4.7093031780699013</v>
      </c>
      <c r="L30">
        <v>-2.3015074050135365</v>
      </c>
      <c r="M30">
        <v>-0.25394639937068586</v>
      </c>
      <c r="N30">
        <v>0.37862524877503301</v>
      </c>
      <c r="O30">
        <v>-5.0960599999996803E-3</v>
      </c>
      <c r="P30">
        <v>0.99531500295062525</v>
      </c>
      <c r="Q30">
        <v>0.91103339429823293</v>
      </c>
      <c r="R30">
        <v>0.63606703884497851</v>
      </c>
      <c r="S30">
        <v>1.217896927586759</v>
      </c>
      <c r="T30">
        <v>0.13318911313509041</v>
      </c>
      <c r="U30">
        <v>24.340239561059086</v>
      </c>
      <c r="V30">
        <v>0.82734518621094821</v>
      </c>
      <c r="W30">
        <v>0.19006918683663887</v>
      </c>
      <c r="X30">
        <v>-0.26925588000000084</v>
      </c>
      <c r="Y30">
        <v>-0.41891665000000011</v>
      </c>
      <c r="Z30">
        <v>8.2671010000000267E-2</v>
      </c>
    </row>
    <row r="31" spans="1:26">
      <c r="A31" s="54" t="str">
        <f>CONCATENATE(raw[[#This Row],[redis_ls]],raw[[#This Row],[wage_eq]],raw[[#This Row],[flex]],raw[[#This Row],[expo]],raw[[#This Row],[_date_]])</f>
        <v>121147119</v>
      </c>
      <c r="B31" s="1">
        <v>47119</v>
      </c>
      <c r="C31">
        <v>1</v>
      </c>
      <c r="D31">
        <v>2</v>
      </c>
      <c r="E31">
        <v>1</v>
      </c>
      <c r="F31">
        <v>1</v>
      </c>
      <c r="G31">
        <v>0.3671806048121784</v>
      </c>
      <c r="H31">
        <v>131.22959999999875</v>
      </c>
      <c r="I31">
        <v>-9.90113622078802</v>
      </c>
      <c r="J31">
        <v>0.37764345469850635</v>
      </c>
      <c r="K31">
        <v>4.7050115879547549</v>
      </c>
      <c r="L31">
        <v>-2.2229600943854844</v>
      </c>
      <c r="M31">
        <v>-0.23104018268671478</v>
      </c>
      <c r="N31">
        <v>0.3700576662648114</v>
      </c>
      <c r="O31">
        <v>-6.7754399999994663E-3</v>
      </c>
      <c r="P31">
        <v>0.97738338852213502</v>
      </c>
      <c r="Q31">
        <v>0.89389752291109126</v>
      </c>
      <c r="R31">
        <v>0.62250272539874363</v>
      </c>
      <c r="S31">
        <v>1.1953879595970163</v>
      </c>
      <c r="T31">
        <v>9.9229039915305073E-2</v>
      </c>
      <c r="U31">
        <v>24.36972815895291</v>
      </c>
      <c r="V31">
        <v>0.8370726061339262</v>
      </c>
      <c r="W31">
        <v>0.2132425048275044</v>
      </c>
      <c r="X31">
        <v>-0.29319926999999968</v>
      </c>
      <c r="Y31">
        <v>-0.40723381999999975</v>
      </c>
      <c r="Z31">
        <v>6.970949999999948E-2</v>
      </c>
    </row>
    <row r="32" spans="1:26">
      <c r="A32" s="54" t="str">
        <f>CONCATENATE(raw[[#This Row],[redis_ls]],raw[[#This Row],[wage_eq]],raw[[#This Row],[flex]],raw[[#This Row],[expo]],raw[[#This Row],[_date_]])</f>
        <v>121147484</v>
      </c>
      <c r="B32" s="1">
        <v>47484</v>
      </c>
      <c r="C32">
        <v>1</v>
      </c>
      <c r="D32">
        <v>2</v>
      </c>
      <c r="E32">
        <v>1</v>
      </c>
      <c r="F32">
        <v>1</v>
      </c>
      <c r="G32">
        <v>0.37000950370917884</v>
      </c>
      <c r="H32">
        <v>138.9786099999983</v>
      </c>
      <c r="I32">
        <v>-9.654890121913196</v>
      </c>
      <c r="J32">
        <v>0.36444258650258909</v>
      </c>
      <c r="K32">
        <v>4.6838415504061981</v>
      </c>
      <c r="L32">
        <v>-2.1582515986898421</v>
      </c>
      <c r="M32">
        <v>-0.21302539477022764</v>
      </c>
      <c r="N32">
        <v>0.35583981288402899</v>
      </c>
      <c r="O32">
        <v>-7.6840599999988823E-3</v>
      </c>
      <c r="P32">
        <v>0.96509141519491859</v>
      </c>
      <c r="Q32">
        <v>0.88208011289794275</v>
      </c>
      <c r="R32">
        <v>0.61525180782637801</v>
      </c>
      <c r="S32">
        <v>1.1775396427162299</v>
      </c>
      <c r="T32">
        <v>7.1353212514480013E-2</v>
      </c>
      <c r="U32">
        <v>24.423801497637832</v>
      </c>
      <c r="V32">
        <v>0.85359261646613671</v>
      </c>
      <c r="W32">
        <v>0.23688333123468297</v>
      </c>
      <c r="X32">
        <v>-0.30546589000000068</v>
      </c>
      <c r="Y32">
        <v>-0.39678683000000037</v>
      </c>
      <c r="Z32">
        <v>5.2304450000000002E-2</v>
      </c>
    </row>
    <row r="33" spans="1:26">
      <c r="A33" s="54" t="str">
        <f>CONCATENATE(raw[[#This Row],[redis_ls]],raw[[#This Row],[wage_eq]],raw[[#This Row],[flex]],raw[[#This Row],[expo]],raw[[#This Row],[_date_]])</f>
        <v>121147849</v>
      </c>
      <c r="B33" s="1">
        <v>47849</v>
      </c>
      <c r="C33">
        <v>1</v>
      </c>
      <c r="D33">
        <v>2</v>
      </c>
      <c r="E33">
        <v>1</v>
      </c>
      <c r="F33">
        <v>1</v>
      </c>
      <c r="G33">
        <v>0.36492212190701867</v>
      </c>
      <c r="H33">
        <v>141.90471000000252</v>
      </c>
      <c r="I33">
        <v>-9.4278581074077827</v>
      </c>
      <c r="J33">
        <v>0.34591255346099192</v>
      </c>
      <c r="K33">
        <v>4.6481178561717851</v>
      </c>
      <c r="L33">
        <v>-2.1055346410001285</v>
      </c>
      <c r="M33">
        <v>-0.19972973318510556</v>
      </c>
      <c r="N33">
        <v>0.33710095904457837</v>
      </c>
      <c r="O33">
        <v>-7.8712800000005356E-3</v>
      </c>
      <c r="P33">
        <v>0.956879512026787</v>
      </c>
      <c r="Q33">
        <v>0.87399598475481621</v>
      </c>
      <c r="R33">
        <v>0.61240470510652845</v>
      </c>
      <c r="S33">
        <v>1.1630447537974931</v>
      </c>
      <c r="T33">
        <v>4.7918602363417051E-2</v>
      </c>
      <c r="U33">
        <v>24.502355224690618</v>
      </c>
      <c r="V33">
        <v>0.87443299980847211</v>
      </c>
      <c r="W33">
        <v>0.26043338687162798</v>
      </c>
      <c r="X33">
        <v>-0.30762344000000025</v>
      </c>
      <c r="Y33">
        <v>-0.38749941999999954</v>
      </c>
      <c r="Z33">
        <v>3.1595689999999732E-2</v>
      </c>
    </row>
    <row r="34" spans="1:26">
      <c r="A34" s="54" t="str">
        <f>CONCATENATE(raw[[#This Row],[redis_ls]],raw[[#This Row],[wage_eq]],raw[[#This Row],[flex]],raw[[#This Row],[expo]],raw[[#This Row],[_date_]])</f>
        <v>121148214</v>
      </c>
      <c r="B34" s="1">
        <v>48214</v>
      </c>
      <c r="C34">
        <v>1</v>
      </c>
      <c r="D34">
        <v>2</v>
      </c>
      <c r="E34">
        <v>1</v>
      </c>
      <c r="F34">
        <v>1</v>
      </c>
      <c r="G34">
        <v>0.35357940656024489</v>
      </c>
      <c r="H34">
        <v>140.76077000000078</v>
      </c>
      <c r="I34">
        <v>-9.2192300910027942</v>
      </c>
      <c r="J34">
        <v>0.32343917999981819</v>
      </c>
      <c r="K34">
        <v>4.6002203500944638</v>
      </c>
      <c r="L34">
        <v>-2.0627519359877611</v>
      </c>
      <c r="M34">
        <v>-0.19073195492904649</v>
      </c>
      <c r="N34">
        <v>0.31511035157396616</v>
      </c>
      <c r="O34">
        <v>-7.4410900000002056E-3</v>
      </c>
      <c r="P34">
        <v>0.9513055591357622</v>
      </c>
      <c r="Q34">
        <v>0.86819750825952724</v>
      </c>
      <c r="R34">
        <v>0.6122200375719089</v>
      </c>
      <c r="S34">
        <v>1.1506988656374562</v>
      </c>
      <c r="T34">
        <v>2.7443835906293401E-2</v>
      </c>
      <c r="U34">
        <v>24.60373424501374</v>
      </c>
      <c r="V34">
        <v>0.8973895242790908</v>
      </c>
      <c r="W34">
        <v>0.28343421764180921</v>
      </c>
      <c r="X34">
        <v>-0.30146425999999921</v>
      </c>
      <c r="Y34">
        <v>-0.37926315999999988</v>
      </c>
      <c r="Z34">
        <v>8.7840599999999824E-3</v>
      </c>
    </row>
    <row r="35" spans="1:26">
      <c r="A35" s="54" t="str">
        <f>CONCATENATE(raw[[#This Row],[redis_ls]],raw[[#This Row],[wage_eq]],raw[[#This Row],[flex]],raw[[#This Row],[expo]],raw[[#This Row],[_date_]])</f>
        <v>121148580</v>
      </c>
      <c r="B35" s="1">
        <v>48580</v>
      </c>
      <c r="C35">
        <v>1</v>
      </c>
      <c r="D35">
        <v>2</v>
      </c>
      <c r="E35">
        <v>1</v>
      </c>
      <c r="F35">
        <v>1</v>
      </c>
      <c r="G35">
        <v>0.33764991763993724</v>
      </c>
      <c r="H35">
        <v>136.36039999999775</v>
      </c>
      <c r="I35">
        <v>-9.0275821629204227</v>
      </c>
      <c r="J35">
        <v>0.2984600451562569</v>
      </c>
      <c r="K35">
        <v>4.5424502337636508</v>
      </c>
      <c r="L35">
        <v>-2.0277857605532801</v>
      </c>
      <c r="M35">
        <v>-0.18545289030206247</v>
      </c>
      <c r="N35">
        <v>0.29114977304336431</v>
      </c>
      <c r="O35">
        <v>-6.5322699999995071E-3</v>
      </c>
      <c r="P35">
        <v>0.94709766897995706</v>
      </c>
      <c r="Q35">
        <v>0.86342337598277474</v>
      </c>
      <c r="R35">
        <v>0.61318308635591734</v>
      </c>
      <c r="S35">
        <v>1.1394437896226073</v>
      </c>
      <c r="T35">
        <v>8.6511967937630274E-3</v>
      </c>
      <c r="U35">
        <v>24.72513432210981</v>
      </c>
      <c r="V35">
        <v>0.92058710282831857</v>
      </c>
      <c r="W35">
        <v>0.3055305666604724</v>
      </c>
      <c r="X35">
        <v>-0.28885179999999927</v>
      </c>
      <c r="Y35">
        <v>-0.37194394000000031</v>
      </c>
      <c r="Z35">
        <v>-1.4970450000000024E-2</v>
      </c>
    </row>
    <row r="36" spans="1:26">
      <c r="A36" s="54" t="str">
        <f>CONCATENATE(raw[[#This Row],[redis_ls]],raw[[#This Row],[wage_eq]],raw[[#This Row],[flex]],raw[[#This Row],[expo]],raw[[#This Row],[_date_]])</f>
        <v>121148945</v>
      </c>
      <c r="B36" s="1">
        <v>48945</v>
      </c>
      <c r="C36">
        <v>1</v>
      </c>
      <c r="D36">
        <v>2</v>
      </c>
      <c r="E36">
        <v>1</v>
      </c>
      <c r="F36">
        <v>1</v>
      </c>
      <c r="G36">
        <v>0.31870583790098994</v>
      </c>
      <c r="H36">
        <v>129.51737000000139</v>
      </c>
      <c r="I36">
        <v>-8.8510774831378818</v>
      </c>
      <c r="J36">
        <v>0.27234083698028932</v>
      </c>
      <c r="K36">
        <v>4.4769283187975795</v>
      </c>
      <c r="L36">
        <v>-1.9985808594309873</v>
      </c>
      <c r="M36">
        <v>-0.18323764302382584</v>
      </c>
      <c r="N36">
        <v>0.26641222232022255</v>
      </c>
      <c r="O36">
        <v>-5.298710000001261E-3</v>
      </c>
      <c r="P36">
        <v>0.94318596555400536</v>
      </c>
      <c r="Q36">
        <v>0.85862756777976834</v>
      </c>
      <c r="R36">
        <v>0.61404045427844167</v>
      </c>
      <c r="S36">
        <v>1.1283932625304693</v>
      </c>
      <c r="T36">
        <v>-9.5110872135539815E-3</v>
      </c>
      <c r="U36">
        <v>24.862976905671697</v>
      </c>
      <c r="V36">
        <v>0.94250856780591086</v>
      </c>
      <c r="W36">
        <v>0.32646349700209409</v>
      </c>
      <c r="X36">
        <v>-0.2715957300000002</v>
      </c>
      <c r="Y36">
        <v>-0.36538819999999972</v>
      </c>
      <c r="Z36">
        <v>-3.8628150000000194E-2</v>
      </c>
    </row>
    <row r="37" spans="1:26">
      <c r="A37" s="54" t="str">
        <f>CONCATENATE(raw[[#This Row],[redis_ls]],raw[[#This Row],[wage_eq]],raw[[#This Row],[flex]],raw[[#This Row],[expo]],raw[[#This Row],[_date_]])</f>
        <v>121149310</v>
      </c>
      <c r="B37" s="1">
        <v>49310</v>
      </c>
      <c r="C37">
        <v>1</v>
      </c>
      <c r="D37">
        <v>2</v>
      </c>
      <c r="E37">
        <v>1</v>
      </c>
      <c r="F37">
        <v>1</v>
      </c>
      <c r="G37">
        <v>0.29814748166474558</v>
      </c>
      <c r="H37">
        <v>120.99869999999646</v>
      </c>
      <c r="I37">
        <v>-8.6876508503817682</v>
      </c>
      <c r="J37">
        <v>0.24628368739010309</v>
      </c>
      <c r="K37">
        <v>4.405526541256477</v>
      </c>
      <c r="L37">
        <v>-1.9732386707248528</v>
      </c>
      <c r="M37">
        <v>-0.18342285524080015</v>
      </c>
      <c r="N37">
        <v>0.24192985863003003</v>
      </c>
      <c r="O37">
        <v>-3.8921900000002396E-3</v>
      </c>
      <c r="P37">
        <v>0.93871616449849871</v>
      </c>
      <c r="Q37">
        <v>0.85298985983743858</v>
      </c>
      <c r="R37">
        <v>0.61381142811680611</v>
      </c>
      <c r="S37">
        <v>1.1168443177888454</v>
      </c>
      <c r="T37">
        <v>-2.7863740886191479E-2</v>
      </c>
      <c r="U37">
        <v>25.01324583799811</v>
      </c>
      <c r="V37">
        <v>0.96199700582579872</v>
      </c>
      <c r="W37">
        <v>0.34606142318720501</v>
      </c>
      <c r="X37">
        <v>-0.25135819000000059</v>
      </c>
      <c r="Y37">
        <v>-0.35942945999999987</v>
      </c>
      <c r="Z37">
        <v>-6.1323480000000097E-2</v>
      </c>
    </row>
    <row r="38" spans="1:26">
      <c r="A38" s="54" t="str">
        <f>CONCATENATE(raw[[#This Row],[redis_ls]],raw[[#This Row],[wage_eq]],raw[[#This Row],[flex]],raw[[#This Row],[expo]],raw[[#This Row],[_date_]])</f>
        <v>121149675</v>
      </c>
      <c r="B38" s="1">
        <v>49675</v>
      </c>
      <c r="C38">
        <v>1</v>
      </c>
      <c r="D38">
        <v>2</v>
      </c>
      <c r="E38">
        <v>1</v>
      </c>
      <c r="F38">
        <v>1</v>
      </c>
      <c r="G38">
        <v>0.27715623045796445</v>
      </c>
      <c r="H38">
        <v>111.49135999999999</v>
      </c>
      <c r="I38">
        <v>-8.5351686596691678</v>
      </c>
      <c r="J38">
        <v>0.22127000811829056</v>
      </c>
      <c r="K38">
        <v>4.3298311348743512</v>
      </c>
      <c r="L38">
        <v>-1.9500831706870891</v>
      </c>
      <c r="M38">
        <v>-0.18538662384830484</v>
      </c>
      <c r="N38">
        <v>0.21853136072140789</v>
      </c>
      <c r="O38">
        <v>-2.4488200000005733E-3</v>
      </c>
      <c r="P38">
        <v>0.93304880256521727</v>
      </c>
      <c r="Q38">
        <v>0.84591231549575596</v>
      </c>
      <c r="R38">
        <v>0.61178293605499423</v>
      </c>
      <c r="S38">
        <v>1.1042761514367117</v>
      </c>
      <c r="T38">
        <v>-4.7004352809154604E-2</v>
      </c>
      <c r="U38">
        <v>25.171777623826518</v>
      </c>
      <c r="V38">
        <v>0.97823749407683902</v>
      </c>
      <c r="W38">
        <v>0.36422628642429622</v>
      </c>
      <c r="X38">
        <v>-0.22959052999999979</v>
      </c>
      <c r="Y38">
        <v>-0.35389537999999943</v>
      </c>
      <c r="Z38">
        <v>-8.2392889999999275E-2</v>
      </c>
    </row>
    <row r="39" spans="1:26">
      <c r="A39" s="54" t="str">
        <f>CONCATENATE(raw[[#This Row],[redis_ls]],raw[[#This Row],[wage_eq]],raw[[#This Row],[flex]],raw[[#This Row],[expo]],raw[[#This Row],[_date_]])</f>
        <v>121150041</v>
      </c>
      <c r="B39" s="1">
        <v>50041</v>
      </c>
      <c r="C39">
        <v>1</v>
      </c>
      <c r="D39">
        <v>2</v>
      </c>
      <c r="E39">
        <v>1</v>
      </c>
      <c r="F39">
        <v>1</v>
      </c>
      <c r="G39">
        <v>0.25667310092085671</v>
      </c>
      <c r="H39">
        <v>101.58146000000124</v>
      </c>
      <c r="I39">
        <v>-8.3915568666002684</v>
      </c>
      <c r="J39">
        <v>0.19803437702448079</v>
      </c>
      <c r="K39">
        <v>4.2511330580173645</v>
      </c>
      <c r="L39">
        <v>-1.9277006273490715</v>
      </c>
      <c r="M39">
        <v>-0.18858046967634712</v>
      </c>
      <c r="N39">
        <v>0.19682683564135051</v>
      </c>
      <c r="O39">
        <v>-1.0799899999996976E-3</v>
      </c>
      <c r="P39">
        <v>0.92574638630704698</v>
      </c>
      <c r="Q39">
        <v>0.83700357109044443</v>
      </c>
      <c r="R39">
        <v>0.60748995313437693</v>
      </c>
      <c r="S39">
        <v>1.0903393035026854</v>
      </c>
      <c r="T39">
        <v>-6.7324752708575186E-2</v>
      </c>
      <c r="U39">
        <v>25.334501142567369</v>
      </c>
      <c r="V39">
        <v>0.99072413875935794</v>
      </c>
      <c r="W39">
        <v>0.38092019990809689</v>
      </c>
      <c r="X39">
        <v>-0.20749768999999973</v>
      </c>
      <c r="Y39">
        <v>-0.34861527000000014</v>
      </c>
      <c r="Z39">
        <v>-0.10137990999999902</v>
      </c>
    </row>
    <row r="40" spans="1:26">
      <c r="A40" s="54" t="str">
        <f>CONCATENATE(raw[[#This Row],[redis_ls]],raw[[#This Row],[wage_eq]],raw[[#This Row],[flex]],raw[[#This Row],[expo]],raw[[#This Row],[_date_]])</f>
        <v>121150406</v>
      </c>
      <c r="B40" s="1">
        <v>50406</v>
      </c>
      <c r="C40">
        <v>1</v>
      </c>
      <c r="D40">
        <v>2</v>
      </c>
      <c r="E40">
        <v>1</v>
      </c>
      <c r="F40">
        <v>1</v>
      </c>
      <c r="G40">
        <v>0.23739819807615525</v>
      </c>
      <c r="H40">
        <v>91.744469999997818</v>
      </c>
      <c r="I40">
        <v>-8.2548972130057514</v>
      </c>
      <c r="J40">
        <v>0.17706597229465437</v>
      </c>
      <c r="K40">
        <v>4.1704400655848239</v>
      </c>
      <c r="L40">
        <v>-1.9049564016714204</v>
      </c>
      <c r="M40">
        <v>-0.1925470797825457</v>
      </c>
      <c r="N40">
        <v>0.17721401107719803</v>
      </c>
      <c r="O40">
        <v>1.3239999999969942E-4</v>
      </c>
      <c r="P40">
        <v>0.91655262688554728</v>
      </c>
      <c r="Q40">
        <v>0.82605568469995561</v>
      </c>
      <c r="R40">
        <v>0.60068756823559166</v>
      </c>
      <c r="S40">
        <v>1.0748375942254196</v>
      </c>
      <c r="T40">
        <v>-8.903571633804841E-2</v>
      </c>
      <c r="U40">
        <v>25.497624827632116</v>
      </c>
      <c r="V40">
        <v>0.99921879104691858</v>
      </c>
      <c r="W40">
        <v>0.39615158903867354</v>
      </c>
      <c r="X40">
        <v>-0.1860263299999998</v>
      </c>
      <c r="Y40">
        <v>-0.34342741000000021</v>
      </c>
      <c r="Z40">
        <v>-0.11802206999999981</v>
      </c>
    </row>
    <row r="41" spans="1:26">
      <c r="A41" s="54" t="str">
        <f>CONCATENATE(raw[[#This Row],[redis_ls]],raw[[#This Row],[wage_eq]],raw[[#This Row],[flex]],raw[[#This Row],[expo]],raw[[#This Row],[_date_]])</f>
        <v>121150771</v>
      </c>
      <c r="B41" s="1">
        <v>50771</v>
      </c>
      <c r="C41">
        <v>1</v>
      </c>
      <c r="D41">
        <v>2</v>
      </c>
      <c r="E41">
        <v>1</v>
      </c>
      <c r="F41">
        <v>1</v>
      </c>
      <c r="G41">
        <v>0.21980659513811673</v>
      </c>
      <c r="H41">
        <v>82.344190000003437</v>
      </c>
      <c r="I41">
        <v>-8.1234914471003385</v>
      </c>
      <c r="J41">
        <v>0.15862963732757862</v>
      </c>
      <c r="K41">
        <v>4.0885042325940812</v>
      </c>
      <c r="L41">
        <v>-1.880993609723014</v>
      </c>
      <c r="M41">
        <v>-0.19692281378832499</v>
      </c>
      <c r="N41">
        <v>0.15989985438056298</v>
      </c>
      <c r="O41">
        <v>1.1365099999993689E-3</v>
      </c>
      <c r="P41">
        <v>0.90536708598039084</v>
      </c>
      <c r="Q41">
        <v>0.81301626681504757</v>
      </c>
      <c r="R41">
        <v>0.59131611422149621</v>
      </c>
      <c r="S41">
        <v>1.0577062598279952</v>
      </c>
      <c r="T41">
        <v>-0.11219514810368869</v>
      </c>
      <c r="U41">
        <v>25.657774574170933</v>
      </c>
      <c r="V41">
        <v>1.0037034314272386</v>
      </c>
      <c r="W41">
        <v>0.40996318765618156</v>
      </c>
      <c r="X41">
        <v>-0.16587153000000021</v>
      </c>
      <c r="Y41">
        <v>-0.33818574000000001</v>
      </c>
      <c r="Z41">
        <v>-0.13222519000000016</v>
      </c>
    </row>
    <row r="42" spans="1:26">
      <c r="A42" s="54" t="str">
        <f>CONCATENATE(raw[[#This Row],[redis_ls]],raw[[#This Row],[wage_eq]],raw[[#This Row],[flex]],raw[[#This Row],[expo]],raw[[#This Row],[_date_]])</f>
        <v>121151136</v>
      </c>
      <c r="B42" s="1">
        <v>51136</v>
      </c>
      <c r="C42">
        <v>1</v>
      </c>
      <c r="D42">
        <v>2</v>
      </c>
      <c r="E42">
        <v>1</v>
      </c>
      <c r="F42">
        <v>1</v>
      </c>
      <c r="G42">
        <v>0.20417481073051746</v>
      </c>
      <c r="H42">
        <v>73.63865000000078</v>
      </c>
      <c r="I42">
        <v>-7.9958976980536107</v>
      </c>
      <c r="J42">
        <v>0.14279996585919719</v>
      </c>
      <c r="K42">
        <v>4.0058587762012321</v>
      </c>
      <c r="L42">
        <v>-1.8552172344211137</v>
      </c>
      <c r="M42">
        <v>-0.2014341933907593</v>
      </c>
      <c r="N42">
        <v>0.14493246484323929</v>
      </c>
      <c r="O42">
        <v>1.9082699999992125E-3</v>
      </c>
      <c r="P42">
        <v>0.89221672877088931</v>
      </c>
      <c r="Q42">
        <v>0.79795827134796493</v>
      </c>
      <c r="R42">
        <v>0.57946589698081308</v>
      </c>
      <c r="S42">
        <v>1.03898761445127</v>
      </c>
      <c r="T42">
        <v>-0.13673733070225236</v>
      </c>
      <c r="U42">
        <v>25.812084411062397</v>
      </c>
      <c r="V42">
        <v>1.0043338533346491</v>
      </c>
      <c r="W42">
        <v>0.42242018160874029</v>
      </c>
      <c r="X42">
        <v>-0.14749738999999956</v>
      </c>
      <c r="Y42">
        <v>-0.33276547999999961</v>
      </c>
      <c r="Z42">
        <v>-0.1440305599999997</v>
      </c>
    </row>
    <row r="43" spans="1:26">
      <c r="A43" s="54" t="str">
        <f>CONCATENATE(raw[[#This Row],[redis_ls]],raw[[#This Row],[wage_eq]],raw[[#This Row],[flex]],raw[[#This Row],[expo]],raw[[#This Row],[_date_]])</f>
        <v>121151502</v>
      </c>
      <c r="B43" s="1">
        <v>51502</v>
      </c>
      <c r="C43">
        <v>1</v>
      </c>
      <c r="D43">
        <v>2</v>
      </c>
      <c r="E43">
        <v>1</v>
      </c>
      <c r="F43">
        <v>1</v>
      </c>
      <c r="G43">
        <v>0.19061335690793157</v>
      </c>
      <c r="H43">
        <v>65.790730000000622</v>
      </c>
      <c r="I43">
        <v>-7.8709436239118746</v>
      </c>
      <c r="J43">
        <v>0.12950232288813091</v>
      </c>
      <c r="K43">
        <v>3.9228590011763709</v>
      </c>
      <c r="L43">
        <v>-1.8272683923226563</v>
      </c>
      <c r="M43">
        <v>-0.20588648765457185</v>
      </c>
      <c r="N43">
        <v>0.13223612691350972</v>
      </c>
      <c r="O43">
        <v>2.4467699999988768E-3</v>
      </c>
      <c r="P43">
        <v>0.87722811667125811</v>
      </c>
      <c r="Q43">
        <v>0.78105043958092146</v>
      </c>
      <c r="R43">
        <v>0.56534055294930052</v>
      </c>
      <c r="S43">
        <v>1.018806870923461</v>
      </c>
      <c r="T43">
        <v>-0.16250310545846691</v>
      </c>
      <c r="U43">
        <v>25.958245502194522</v>
      </c>
      <c r="V43">
        <v>1.0013940652534803</v>
      </c>
      <c r="W43">
        <v>0.43360229286431018</v>
      </c>
      <c r="X43">
        <v>-0.13116638999999958</v>
      </c>
      <c r="Y43">
        <v>-0.3270670400000002</v>
      </c>
      <c r="Z43">
        <v>-0.15358002000000065</v>
      </c>
    </row>
    <row r="44" spans="1:26">
      <c r="A44" s="54" t="str">
        <f>CONCATENATE(raw[[#This Row],[redis_ls]],raw[[#This Row],[wage_eq]],raw[[#This Row],[flex]],raw[[#This Row],[expo]],raw[[#This Row],[_date_]])</f>
        <v>121151867</v>
      </c>
      <c r="B44" s="1">
        <v>51867</v>
      </c>
      <c r="C44">
        <v>1</v>
      </c>
      <c r="D44">
        <v>2</v>
      </c>
      <c r="E44">
        <v>1</v>
      </c>
      <c r="F44">
        <v>1</v>
      </c>
      <c r="G44">
        <v>0.17910144990029853</v>
      </c>
      <c r="H44">
        <v>58.881699999998091</v>
      </c>
      <c r="I44">
        <v>-7.7477212676841267</v>
      </c>
      <c r="J44">
        <v>0.11855430624869712</v>
      </c>
      <c r="K44">
        <v>3.8397232630639433</v>
      </c>
      <c r="L44">
        <v>-1.796992707632028</v>
      </c>
      <c r="M44">
        <v>-0.21015029281653552</v>
      </c>
      <c r="N44">
        <v>0.12164742014628693</v>
      </c>
      <c r="O44">
        <v>2.7686900000004067E-3</v>
      </c>
      <c r="P44">
        <v>0.86060007747841283</v>
      </c>
      <c r="Q44">
        <v>0.76252929533016101</v>
      </c>
      <c r="R44">
        <v>0.54922454519732433</v>
      </c>
      <c r="S44">
        <v>0.99734893708507411</v>
      </c>
      <c r="T44">
        <v>-0.18926667016425647</v>
      </c>
      <c r="U44">
        <v>26.094520072866366</v>
      </c>
      <c r="V44">
        <v>0.99525574530032745</v>
      </c>
      <c r="W44">
        <v>0.44359492339685058</v>
      </c>
      <c r="X44">
        <v>-0.11697369999999901</v>
      </c>
      <c r="Y44">
        <v>-0.32101835999999995</v>
      </c>
      <c r="Z44">
        <v>-0.16108236000000054</v>
      </c>
    </row>
    <row r="45" spans="1:26">
      <c r="A45" s="54" t="str">
        <f>CONCATENATE(raw[[#This Row],[redis_ls]],raw[[#This Row],[wage_eq]],raw[[#This Row],[flex]],raw[[#This Row],[expo]],raw[[#This Row],[_date_]])</f>
        <v>121152232</v>
      </c>
      <c r="B45" s="1">
        <v>52232</v>
      </c>
      <c r="C45">
        <v>1</v>
      </c>
      <c r="D45">
        <v>2</v>
      </c>
      <c r="E45">
        <v>1</v>
      </c>
      <c r="F45">
        <v>1</v>
      </c>
      <c r="G45">
        <v>0.16952065968318664</v>
      </c>
      <c r="H45">
        <v>52.926220000001194</v>
      </c>
      <c r="I45">
        <v>-7.6255685174448251</v>
      </c>
      <c r="J45">
        <v>0.10970495704301086</v>
      </c>
      <c r="K45">
        <v>3.75657095660209</v>
      </c>
      <c r="L45">
        <v>-1.7644051360979573</v>
      </c>
      <c r="M45">
        <v>-0.21414801749493062</v>
      </c>
      <c r="N45">
        <v>0.11294720900609789</v>
      </c>
      <c r="O45">
        <v>2.9025099999996362E-3</v>
      </c>
      <c r="P45">
        <v>0.84257969671284183</v>
      </c>
      <c r="Q45">
        <v>0.74267404582788465</v>
      </c>
      <c r="R45">
        <v>0.53145290854594851</v>
      </c>
      <c r="S45">
        <v>0.97483773791360306</v>
      </c>
      <c r="T45">
        <v>-0.21676143851037111</v>
      </c>
      <c r="U45">
        <v>26.219724831691373</v>
      </c>
      <c r="V45">
        <v>0.9863421818911533</v>
      </c>
      <c r="W45">
        <v>0.45248451699710923</v>
      </c>
      <c r="X45">
        <v>-0.10488269000000078</v>
      </c>
      <c r="Y45">
        <v>-0.31457524000000003</v>
      </c>
      <c r="Z45">
        <v>-0.16678380999999992</v>
      </c>
    </row>
    <row r="46" spans="1:26">
      <c r="A46" s="54" t="str">
        <f>CONCATENATE(raw[[#This Row],[redis_ls]],raw[[#This Row],[wage_eq]],raw[[#This Row],[flex]],raw[[#This Row],[expo]],raw[[#This Row],[_date_]])</f>
        <v>121152597</v>
      </c>
      <c r="B46" s="1">
        <v>52597</v>
      </c>
      <c r="C46">
        <v>1</v>
      </c>
      <c r="D46">
        <v>2</v>
      </c>
      <c r="E46">
        <v>1</v>
      </c>
      <c r="F46">
        <v>1</v>
      </c>
      <c r="G46">
        <v>0.16168558582969617</v>
      </c>
      <c r="H46">
        <v>47.887309999998251</v>
      </c>
      <c r="I46">
        <v>-7.5040417405155324</v>
      </c>
      <c r="J46">
        <v>0.10266813992170221</v>
      </c>
      <c r="K46">
        <v>3.6734555015223602</v>
      </c>
      <c r="L46">
        <v>-1.7296546080177055</v>
      </c>
      <c r="M46">
        <v>-0.21783971624980136</v>
      </c>
      <c r="N46">
        <v>0.10588846393051465</v>
      </c>
      <c r="O46">
        <v>2.8831200000009605E-3</v>
      </c>
      <c r="P46">
        <v>0.82344061929504608</v>
      </c>
      <c r="Q46">
        <v>0.72178570707477352</v>
      </c>
      <c r="R46">
        <v>0.51238590204274459</v>
      </c>
      <c r="S46">
        <v>0.95151775013768702</v>
      </c>
      <c r="T46">
        <v>-0.24470115929429159</v>
      </c>
      <c r="U46">
        <v>26.33319212521301</v>
      </c>
      <c r="V46">
        <v>0.97509863961355858</v>
      </c>
      <c r="W46">
        <v>0.46035391397081238</v>
      </c>
      <c r="X46">
        <v>-9.475911000000059E-2</v>
      </c>
      <c r="Y46">
        <v>-0.30772036000000014</v>
      </c>
      <c r="Z46">
        <v>-0.1709438100000002</v>
      </c>
    </row>
    <row r="47" spans="1:26">
      <c r="A47" s="54" t="str">
        <f>CONCATENATE(raw[[#This Row],[redis_ls]],raw[[#This Row],[wage_eq]],raw[[#This Row],[flex]],raw[[#This Row],[expo]],raw[[#This Row],[_date_]])</f>
        <v>121152963</v>
      </c>
      <c r="B47" s="1">
        <v>52963</v>
      </c>
      <c r="C47">
        <v>1</v>
      </c>
      <c r="D47">
        <v>2</v>
      </c>
      <c r="E47">
        <v>1</v>
      </c>
      <c r="F47">
        <v>1</v>
      </c>
      <c r="G47">
        <v>0.15537030231793647</v>
      </c>
      <c r="H47">
        <v>43.690630000004603</v>
      </c>
      <c r="I47">
        <v>-7.3828837481297205</v>
      </c>
      <c r="J47">
        <v>9.714920096373092E-2</v>
      </c>
      <c r="K47">
        <v>3.5903916962119364</v>
      </c>
      <c r="L47">
        <v>-1.6929901610310716</v>
      </c>
      <c r="M47">
        <v>-0.22121276771108755</v>
      </c>
      <c r="N47">
        <v>0.10021766406447252</v>
      </c>
      <c r="O47">
        <v>2.7473499999999818E-3</v>
      </c>
      <c r="P47">
        <v>0.80346572161080765</v>
      </c>
      <c r="Q47">
        <v>0.70016881932588593</v>
      </c>
      <c r="R47">
        <v>0.49238809857783394</v>
      </c>
      <c r="S47">
        <v>0.92763945253262481</v>
      </c>
      <c r="T47">
        <v>-0.27279806927479333</v>
      </c>
      <c r="U47">
        <v>26.434714521264091</v>
      </c>
      <c r="V47">
        <v>0.96196874216862849</v>
      </c>
      <c r="W47">
        <v>0.46727981040999289</v>
      </c>
      <c r="X47">
        <v>-8.6402199999999207E-2</v>
      </c>
      <c r="Y47">
        <v>-0.30046068999999981</v>
      </c>
      <c r="Z47">
        <v>-0.17381667999999961</v>
      </c>
    </row>
    <row r="48" spans="1:26">
      <c r="A48" s="54" t="str">
        <f>CONCATENATE(raw[[#This Row],[redis_ls]],raw[[#This Row],[wage_eq]],raw[[#This Row],[flex]],raw[[#This Row],[expo]],raw[[#This Row],[_date_]])</f>
        <v>121153328</v>
      </c>
      <c r="B48" s="1">
        <v>53328</v>
      </c>
      <c r="C48">
        <v>1</v>
      </c>
      <c r="D48">
        <v>2</v>
      </c>
      <c r="E48">
        <v>1</v>
      </c>
      <c r="F48">
        <v>1</v>
      </c>
      <c r="G48">
        <v>0.15033013770198167</v>
      </c>
      <c r="H48">
        <v>40.237260000001697</v>
      </c>
      <c r="I48">
        <v>-7.2619898269096872</v>
      </c>
      <c r="J48">
        <v>9.2865002769038085E-2</v>
      </c>
      <c r="K48">
        <v>3.5073771279600985</v>
      </c>
      <c r="L48">
        <v>-1.6547292086440568</v>
      </c>
      <c r="M48">
        <v>-0.22427190074286729</v>
      </c>
      <c r="N48">
        <v>9.5691120375862582E-2</v>
      </c>
      <c r="O48">
        <v>2.5305500000002978E-3</v>
      </c>
      <c r="P48">
        <v>0.78293253278105546</v>
      </c>
      <c r="Q48">
        <v>0.67811801717230225</v>
      </c>
      <c r="R48">
        <v>0.47181169446501858</v>
      </c>
      <c r="S48">
        <v>0.90344676512825739</v>
      </c>
      <c r="T48">
        <v>-0.30077712481371144</v>
      </c>
      <c r="U48">
        <v>26.524477636097686</v>
      </c>
      <c r="V48">
        <v>0.94737626538918818</v>
      </c>
      <c r="W48">
        <v>0.4733313194139166</v>
      </c>
      <c r="X48">
        <v>-7.9571670000000427E-2</v>
      </c>
      <c r="Y48">
        <v>-0.29282408000000026</v>
      </c>
      <c r="Z48">
        <v>-0.17563862999999957</v>
      </c>
    </row>
    <row r="49" spans="1:26">
      <c r="A49" s="54" t="str">
        <f>CONCATENATE(raw[[#This Row],[redis_ls]],raw[[#This Row],[wage_eq]],raw[[#This Row],[flex]],raw[[#This Row],[expo]],raw[[#This Row],[_date_]])</f>
        <v>121153693</v>
      </c>
      <c r="B49" s="1">
        <v>53693</v>
      </c>
      <c r="C49">
        <v>1</v>
      </c>
      <c r="D49">
        <v>2</v>
      </c>
      <c r="E49">
        <v>1</v>
      </c>
      <c r="F49">
        <v>1</v>
      </c>
      <c r="G49">
        <v>0.146318695742087</v>
      </c>
      <c r="H49">
        <v>37.414599999996426</v>
      </c>
      <c r="I49">
        <v>-7.1413741401925019</v>
      </c>
      <c r="J49">
        <v>8.9557034932297164E-2</v>
      </c>
      <c r="K49">
        <v>3.424407837979393</v>
      </c>
      <c r="L49">
        <v>-1.6152302423816267</v>
      </c>
      <c r="M49">
        <v>-0.22703246488700035</v>
      </c>
      <c r="N49">
        <v>9.2085757175830452E-2</v>
      </c>
      <c r="O49">
        <v>2.2643000000002744E-3</v>
      </c>
      <c r="P49">
        <v>0.76210228366895283</v>
      </c>
      <c r="Q49">
        <v>0.65590737941194632</v>
      </c>
      <c r="R49">
        <v>0.45098426197063279</v>
      </c>
      <c r="S49">
        <v>0.87916866849038211</v>
      </c>
      <c r="T49">
        <v>-0.32838658409929389</v>
      </c>
      <c r="U49">
        <v>26.602988244774028</v>
      </c>
      <c r="V49">
        <v>0.93171178228435014</v>
      </c>
      <c r="W49">
        <v>0.47856920734572483</v>
      </c>
      <c r="X49">
        <v>-7.4009819999999726E-2</v>
      </c>
      <c r="Y49">
        <v>-0.28485518999999959</v>
      </c>
      <c r="Z49">
        <v>-0.17661985999999907</v>
      </c>
    </row>
    <row r="50" spans="1:26">
      <c r="A50" s="54" t="str">
        <f>CONCATENATE(raw[[#This Row],[redis_ls]],raw[[#This Row],[wage_eq]],raw[[#This Row],[flex]],raw[[#This Row],[expo]],raw[[#This Row],[_date_]])</f>
        <v>121154058</v>
      </c>
      <c r="B50" s="1">
        <v>54058</v>
      </c>
      <c r="C50">
        <v>1</v>
      </c>
      <c r="D50">
        <v>2</v>
      </c>
      <c r="E50">
        <v>1</v>
      </c>
      <c r="F50">
        <v>1</v>
      </c>
      <c r="G50">
        <v>0.1431004406704961</v>
      </c>
      <c r="H50">
        <v>35.105409999996482</v>
      </c>
      <c r="I50">
        <v>-7.0211381001269002</v>
      </c>
      <c r="J50">
        <v>8.6999468513515588E-2</v>
      </c>
      <c r="K50">
        <v>3.3414894038027443</v>
      </c>
      <c r="L50">
        <v>-1.5748688867906147</v>
      </c>
      <c r="M50">
        <v>-0.22951478414324766</v>
      </c>
      <c r="N50">
        <v>8.9205059166030942E-2</v>
      </c>
      <c r="O50">
        <v>1.9750700000001342E-3</v>
      </c>
      <c r="P50">
        <v>0.74121234802009273</v>
      </c>
      <c r="Q50">
        <v>0.63378315167375021</v>
      </c>
      <c r="R50">
        <v>0.43020000168847439</v>
      </c>
      <c r="S50">
        <v>0.8550118131056772</v>
      </c>
      <c r="T50">
        <v>-0.35540575091089766</v>
      </c>
      <c r="U50">
        <v>26.670999823149689</v>
      </c>
      <c r="V50">
        <v>0.91532411711656714</v>
      </c>
      <c r="W50">
        <v>0.48304612496008481</v>
      </c>
      <c r="X50">
        <v>-6.9459169999999681E-2</v>
      </c>
      <c r="Y50">
        <v>-0.27661115000000014</v>
      </c>
      <c r="Z50">
        <v>-0.17694051000000099</v>
      </c>
    </row>
    <row r="51" spans="1:26">
      <c r="A51" s="54" t="str">
        <f>CONCATENATE(raw[[#This Row],[redis_ls]],raw[[#This Row],[wage_eq]],raw[[#This Row],[flex]],raw[[#This Row],[expo]],raw[[#This Row],[_date_]])</f>
        <v>121154424</v>
      </c>
      <c r="B51" s="1">
        <v>54424</v>
      </c>
      <c r="C51">
        <v>1</v>
      </c>
      <c r="D51">
        <v>2</v>
      </c>
      <c r="E51">
        <v>1</v>
      </c>
      <c r="F51">
        <v>1</v>
      </c>
      <c r="G51">
        <v>0.14045952060321998</v>
      </c>
      <c r="H51">
        <v>33.194820000004256</v>
      </c>
      <c r="I51">
        <v>-6.9014428044758773</v>
      </c>
      <c r="J51">
        <v>8.5002272793244238E-2</v>
      </c>
      <c r="K51">
        <v>3.2586433679370419</v>
      </c>
      <c r="L51">
        <v>-1.5340183299595744</v>
      </c>
      <c r="M51">
        <v>-0.23174133334954439</v>
      </c>
      <c r="N51">
        <v>8.6882506858199093E-2</v>
      </c>
      <c r="O51">
        <v>1.6837399999997116E-3</v>
      </c>
      <c r="P51">
        <v>0.72047064986353604</v>
      </c>
      <c r="Q51">
        <v>0.61195923716670375</v>
      </c>
      <c r="R51">
        <v>0.40971420545412585</v>
      </c>
      <c r="S51">
        <v>0.83115714942145758</v>
      </c>
      <c r="T51">
        <v>-0.38164899303281263</v>
      </c>
      <c r="U51">
        <v>26.729441678343346</v>
      </c>
      <c r="V51">
        <v>0.89851571315173739</v>
      </c>
      <c r="W51">
        <v>0.48680698790974919</v>
      </c>
      <c r="X51">
        <v>-6.5675440000000085E-2</v>
      </c>
      <c r="Y51">
        <v>-0.26815732000000025</v>
      </c>
      <c r="Z51">
        <v>-0.17674971000000012</v>
      </c>
    </row>
    <row r="52" spans="1:26">
      <c r="A52" s="54" t="str">
        <f>CONCATENATE(raw[[#This Row],[redis_ls]],raw[[#This Row],[wage_eq]],raw[[#This Row],[flex]],raw[[#This Row],[expo]],raw[[#This Row],[_date_]])</f>
        <v>121154789</v>
      </c>
      <c r="B52" s="1">
        <v>54789</v>
      </c>
      <c r="C52">
        <v>1</v>
      </c>
      <c r="D52">
        <v>2</v>
      </c>
      <c r="E52">
        <v>1</v>
      </c>
      <c r="F52">
        <v>1</v>
      </c>
      <c r="G52">
        <v>0.13820538439877073</v>
      </c>
      <c r="H52">
        <v>31.575529999994615</v>
      </c>
      <c r="I52">
        <v>-6.782483838036935</v>
      </c>
      <c r="J52">
        <v>8.3411359413365638E-2</v>
      </c>
      <c r="K52">
        <v>3.1759110729187245</v>
      </c>
      <c r="L52">
        <v>-1.4930340112966567</v>
      </c>
      <c r="M52">
        <v>-0.2337336191157724</v>
      </c>
      <c r="N52">
        <v>8.4981032310471605E-2</v>
      </c>
      <c r="O52">
        <v>1.405670000000081E-3</v>
      </c>
      <c r="P52">
        <v>0.70005342236192369</v>
      </c>
      <c r="Q52">
        <v>0.59061494710397344</v>
      </c>
      <c r="R52">
        <v>0.38974088216585656</v>
      </c>
      <c r="S52">
        <v>0.80775716170931045</v>
      </c>
      <c r="T52">
        <v>-0.40696781683871031</v>
      </c>
      <c r="U52">
        <v>26.779352200647644</v>
      </c>
      <c r="V52">
        <v>0.88154016344255126</v>
      </c>
      <c r="W52">
        <v>0.48988999643173603</v>
      </c>
      <c r="X52">
        <v>-6.2436750000000041E-2</v>
      </c>
      <c r="Y52">
        <v>-0.25956326000000018</v>
      </c>
      <c r="Z52">
        <v>-0.17616681000000023</v>
      </c>
    </row>
    <row r="53" spans="1:26">
      <c r="A53" s="54" t="str">
        <f>CONCATENATE(raw[[#This Row],[redis_ls]],raw[[#This Row],[wage_eq]],raw[[#This Row],[flex]],raw[[#This Row],[expo]],raw[[#This Row],[_date_]])</f>
        <v>121036526</v>
      </c>
      <c r="B53" s="1">
        <v>36526</v>
      </c>
      <c r="C53">
        <v>1</v>
      </c>
      <c r="D53">
        <v>2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3.8679681282127731E-3</v>
      </c>
      <c r="U53">
        <v>0.21889064466060759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54" t="str">
        <f>CONCATENATE(raw[[#This Row],[redis_ls]],raw[[#This Row],[wage_eq]],raw[[#This Row],[flex]],raw[[#This Row],[expo]],raw[[#This Row],[_date_]])</f>
        <v>121036892</v>
      </c>
      <c r="B54" s="1">
        <v>36892</v>
      </c>
      <c r="C54">
        <v>1</v>
      </c>
      <c r="D54">
        <v>2</v>
      </c>
      <c r="E54">
        <v>1</v>
      </c>
      <c r="F54">
        <v>0</v>
      </c>
      <c r="G54">
        <v>0.25768787005711058</v>
      </c>
      <c r="H54">
        <v>48.292799999999261</v>
      </c>
      <c r="I54">
        <v>-5.3312624926288628</v>
      </c>
      <c r="J54">
        <v>0.11261577190222472</v>
      </c>
      <c r="K54">
        <v>0.63596350935837265</v>
      </c>
      <c r="L54">
        <v>-4.9369638703344876E-2</v>
      </c>
      <c r="M54">
        <v>-0.31427185195219698</v>
      </c>
      <c r="N54">
        <v>0.16357050850748234</v>
      </c>
      <c r="O54">
        <v>4.5655810000000407E-2</v>
      </c>
      <c r="P54">
        <v>0.47240287529801694</v>
      </c>
      <c r="Q54">
        <v>0.13245622457660478</v>
      </c>
      <c r="R54">
        <v>-0.59274328472684878</v>
      </c>
      <c r="S54">
        <v>0.85507615375974844</v>
      </c>
      <c r="T54">
        <v>0.27352187976279474</v>
      </c>
      <c r="U54">
        <v>0.76264519630449001</v>
      </c>
      <c r="V54">
        <v>3.7055838505151151E-2</v>
      </c>
      <c r="W54">
        <v>0.6335544920057945</v>
      </c>
      <c r="X54">
        <v>-0.14426397999999924</v>
      </c>
      <c r="Y54">
        <v>0.15077097999999997</v>
      </c>
      <c r="Z54">
        <v>2.1543198999999895E-2</v>
      </c>
    </row>
    <row r="55" spans="1:26">
      <c r="A55" s="54" t="str">
        <f>CONCATENATE(raw[[#This Row],[redis_ls]],raw[[#This Row],[wage_eq]],raw[[#This Row],[flex]],raw[[#This Row],[expo]],raw[[#This Row],[_date_]])</f>
        <v>121037257</v>
      </c>
      <c r="B55" s="1">
        <v>37257</v>
      </c>
      <c r="C55">
        <v>1</v>
      </c>
      <c r="D55">
        <v>2</v>
      </c>
      <c r="E55">
        <v>1</v>
      </c>
      <c r="F55">
        <v>0</v>
      </c>
      <c r="G55">
        <v>0.49930839505556435</v>
      </c>
      <c r="H55">
        <v>109.56971999999951</v>
      </c>
      <c r="I55">
        <v>-8.4391268055591055</v>
      </c>
      <c r="J55">
        <v>0.30923488284315681</v>
      </c>
      <c r="K55">
        <v>1.2394838378217532</v>
      </c>
      <c r="L55">
        <v>-0.13503632530912357</v>
      </c>
      <c r="M55">
        <v>-0.43888414378788765</v>
      </c>
      <c r="N55">
        <v>0.38034512330986647</v>
      </c>
      <c r="O55">
        <v>6.3584060000000664E-2</v>
      </c>
      <c r="P55">
        <v>0.63467034855553273</v>
      </c>
      <c r="Q55">
        <v>0.35409796478529376</v>
      </c>
      <c r="R55">
        <v>-0.28533243293010768</v>
      </c>
      <c r="S55">
        <v>0.99474899008311635</v>
      </c>
      <c r="T55">
        <v>0.53322814551759468</v>
      </c>
      <c r="U55">
        <v>1.6688210915921209</v>
      </c>
      <c r="V55">
        <v>0.24410778885159967</v>
      </c>
      <c r="W55">
        <v>0.53095520352519632</v>
      </c>
      <c r="X55">
        <v>-0.31452402000000101</v>
      </c>
      <c r="Y55">
        <v>0.24421689999999974</v>
      </c>
      <c r="Z55">
        <v>0.17916981699999998</v>
      </c>
    </row>
    <row r="56" spans="1:26">
      <c r="A56" s="54" t="str">
        <f>CONCATENATE(raw[[#This Row],[redis_ls]],raw[[#This Row],[wage_eq]],raw[[#This Row],[flex]],raw[[#This Row],[expo]],raw[[#This Row],[_date_]])</f>
        <v>121037622</v>
      </c>
      <c r="B56" s="1">
        <v>37622</v>
      </c>
      <c r="C56">
        <v>1</v>
      </c>
      <c r="D56">
        <v>2</v>
      </c>
      <c r="E56">
        <v>1</v>
      </c>
      <c r="F56">
        <v>0</v>
      </c>
      <c r="G56">
        <v>0.69287625071958736</v>
      </c>
      <c r="H56">
        <v>167.69585999999981</v>
      </c>
      <c r="I56">
        <v>-10.138467251410511</v>
      </c>
      <c r="J56">
        <v>0.53655802366343597</v>
      </c>
      <c r="K56">
        <v>1.745714078506988</v>
      </c>
      <c r="L56">
        <v>-0.25260081501351506</v>
      </c>
      <c r="M56">
        <v>-0.41639951083495275</v>
      </c>
      <c r="N56">
        <v>0.60511385200365808</v>
      </c>
      <c r="O56">
        <v>6.1159269999999655E-2</v>
      </c>
      <c r="P56">
        <v>0.87893414477371312</v>
      </c>
      <c r="Q56">
        <v>0.66179310672700442</v>
      </c>
      <c r="R56">
        <v>0.11702232458463691</v>
      </c>
      <c r="S56">
        <v>1.2116649344926955</v>
      </c>
      <c r="T56">
        <v>0.8041516659373249</v>
      </c>
      <c r="U56">
        <v>2.9390802618106227</v>
      </c>
      <c r="V56">
        <v>0.52177428989506058</v>
      </c>
      <c r="W56">
        <v>0.40427888332690287</v>
      </c>
      <c r="X56">
        <v>-0.4662563999999994</v>
      </c>
      <c r="Y56">
        <v>0.30416072000000011</v>
      </c>
      <c r="Z56">
        <v>0.34608466100000002</v>
      </c>
    </row>
    <row r="57" spans="1:26">
      <c r="A57" s="54" t="str">
        <f>CONCATENATE(raw[[#This Row],[redis_ls]],raw[[#This Row],[wage_eq]],raw[[#This Row],[flex]],raw[[#This Row],[expo]],raw[[#This Row],[_date_]])</f>
        <v>121037987</v>
      </c>
      <c r="B57" s="1">
        <v>37987</v>
      </c>
      <c r="C57">
        <v>1</v>
      </c>
      <c r="D57">
        <v>2</v>
      </c>
      <c r="E57">
        <v>1</v>
      </c>
      <c r="F57">
        <v>0</v>
      </c>
      <c r="G57">
        <v>0.8407589210289057</v>
      </c>
      <c r="H57">
        <v>216.3409900000006</v>
      </c>
      <c r="I57">
        <v>-11.013566148075393</v>
      </c>
      <c r="J57">
        <v>0.76848409599310497</v>
      </c>
      <c r="K57">
        <v>2.1578972861079793</v>
      </c>
      <c r="L57">
        <v>-0.3973083112670861</v>
      </c>
      <c r="M57">
        <v>-0.30923681732755171</v>
      </c>
      <c r="N57">
        <v>0.82260415761055139</v>
      </c>
      <c r="O57">
        <v>4.8173440000000289E-2</v>
      </c>
      <c r="P57">
        <v>1.1754219570941249</v>
      </c>
      <c r="Q57">
        <v>1.0265579184902895</v>
      </c>
      <c r="R57">
        <v>0.58277276003919631</v>
      </c>
      <c r="S57">
        <v>1.4801356138272714</v>
      </c>
      <c r="T57">
        <v>1.0770690799740246</v>
      </c>
      <c r="U57">
        <v>4.5584963778879217</v>
      </c>
      <c r="V57">
        <v>0.85266170687805509</v>
      </c>
      <c r="W57">
        <v>0.26832523034034939</v>
      </c>
      <c r="X57">
        <v>-0.58628122999999921</v>
      </c>
      <c r="Y57">
        <v>0.34528997999999989</v>
      </c>
      <c r="Z57">
        <v>0.50784200300000004</v>
      </c>
    </row>
    <row r="58" spans="1:26">
      <c r="A58" s="54" t="str">
        <f>CONCATENATE(raw[[#This Row],[redis_ls]],raw[[#This Row],[wage_eq]],raw[[#This Row],[flex]],raw[[#This Row],[expo]],raw[[#This Row],[_date_]])</f>
        <v>121038353</v>
      </c>
      <c r="B58" s="1">
        <v>38353</v>
      </c>
      <c r="C58">
        <v>1</v>
      </c>
      <c r="D58">
        <v>2</v>
      </c>
      <c r="E58">
        <v>1</v>
      </c>
      <c r="F58">
        <v>0</v>
      </c>
      <c r="G58">
        <v>0.95322376496655981</v>
      </c>
      <c r="H58">
        <v>254.18775999999707</v>
      </c>
      <c r="I58">
        <v>-11.408210351571491</v>
      </c>
      <c r="J58">
        <v>0.99610791297313206</v>
      </c>
      <c r="K58">
        <v>2.4991816750214779</v>
      </c>
      <c r="L58">
        <v>-0.56296296536785251</v>
      </c>
      <c r="M58">
        <v>-0.15562287871303537</v>
      </c>
      <c r="N58">
        <v>1.0346350081816391</v>
      </c>
      <c r="O58">
        <v>3.4220999999999557E-2</v>
      </c>
      <c r="P58">
        <v>1.4993375216606708</v>
      </c>
      <c r="Q58">
        <v>1.4210488424486911</v>
      </c>
      <c r="R58">
        <v>1.0818802203416578</v>
      </c>
      <c r="S58">
        <v>1.776070714329725</v>
      </c>
      <c r="T58">
        <v>1.3388597677159941</v>
      </c>
      <c r="U58">
        <v>6.5054186463753494</v>
      </c>
      <c r="V58">
        <v>1.2314504482390687</v>
      </c>
      <c r="W58">
        <v>0.14796939886365656</v>
      </c>
      <c r="X58">
        <v>-0.67474981999999928</v>
      </c>
      <c r="Y58">
        <v>0.37470718999999991</v>
      </c>
      <c r="Z58">
        <v>0.66088901200000005</v>
      </c>
    </row>
    <row r="59" spans="1:26">
      <c r="A59" s="54" t="str">
        <f>CONCATENATE(raw[[#This Row],[redis_ls]],raw[[#This Row],[wage_eq]],raw[[#This Row],[flex]],raw[[#This Row],[expo]],raw[[#This Row],[_date_]])</f>
        <v>121038718</v>
      </c>
      <c r="B59" s="1">
        <v>38718</v>
      </c>
      <c r="C59">
        <v>1</v>
      </c>
      <c r="D59">
        <v>2</v>
      </c>
      <c r="E59">
        <v>1</v>
      </c>
      <c r="F59">
        <v>0</v>
      </c>
      <c r="G59">
        <v>1.04004940288831</v>
      </c>
      <c r="H59">
        <v>282.1368300000031</v>
      </c>
      <c r="I59">
        <v>-11.521736202110656</v>
      </c>
      <c r="J59">
        <v>1.2163449305666818</v>
      </c>
      <c r="K59">
        <v>2.7936327160706709</v>
      </c>
      <c r="L59">
        <v>-0.74283257946666792</v>
      </c>
      <c r="M59">
        <v>2.219671480894192E-2</v>
      </c>
      <c r="N59">
        <v>1.2415483461259313</v>
      </c>
      <c r="O59">
        <v>2.2341319999999443E-2</v>
      </c>
      <c r="P59">
        <v>1.8333800874696271</v>
      </c>
      <c r="Q59">
        <v>1.8253370533245494</v>
      </c>
      <c r="R59">
        <v>1.5924239792203032</v>
      </c>
      <c r="S59">
        <v>2.081953053694563</v>
      </c>
      <c r="T59">
        <v>1.5798816284388506</v>
      </c>
      <c r="U59">
        <v>8.7557717663862888</v>
      </c>
      <c r="V59">
        <v>1.6497075771756631</v>
      </c>
      <c r="W59">
        <v>5.6385707353090453E-2</v>
      </c>
      <c r="X59">
        <v>-0.73647196000000004</v>
      </c>
      <c r="Y59">
        <v>0.39602804999999996</v>
      </c>
      <c r="Z59">
        <v>0.80326830399999982</v>
      </c>
    </row>
    <row r="60" spans="1:26">
      <c r="A60" s="54" t="str">
        <f>CONCATENATE(raw[[#This Row],[redis_ls]],raw[[#This Row],[wage_eq]],raw[[#This Row],[flex]],raw[[#This Row],[expo]],raw[[#This Row],[_date_]])</f>
        <v>121039083</v>
      </c>
      <c r="B60" s="1">
        <v>39083</v>
      </c>
      <c r="C60">
        <v>1</v>
      </c>
      <c r="D60">
        <v>2</v>
      </c>
      <c r="E60">
        <v>1</v>
      </c>
      <c r="F60">
        <v>0</v>
      </c>
      <c r="G60">
        <v>1.1080027973298323</v>
      </c>
      <c r="H60">
        <v>301.74150999999983</v>
      </c>
      <c r="I60">
        <v>-11.47163464214006</v>
      </c>
      <c r="J60">
        <v>1.4265253747709927</v>
      </c>
      <c r="K60">
        <v>3.059746370303551</v>
      </c>
      <c r="L60">
        <v>-0.93054664020346678</v>
      </c>
      <c r="M60">
        <v>0.21015738645770998</v>
      </c>
      <c r="N60">
        <v>1.4405507658866945</v>
      </c>
      <c r="O60">
        <v>1.240888999999995E-2</v>
      </c>
      <c r="P60">
        <v>2.1660333342731874</v>
      </c>
      <c r="Q60">
        <v>2.2259284273628666</v>
      </c>
      <c r="R60">
        <v>2.0996111208107182</v>
      </c>
      <c r="S60">
        <v>2.3859043031474014</v>
      </c>
      <c r="T60">
        <v>1.7944299411944753</v>
      </c>
      <c r="U60">
        <v>11.284516085746322</v>
      </c>
      <c r="V60">
        <v>2.0956375823796503</v>
      </c>
      <c r="W60">
        <v>-3.891828286783916E-3</v>
      </c>
      <c r="X60">
        <v>-0.77682295000000012</v>
      </c>
      <c r="Y60">
        <v>0.4115588100000005</v>
      </c>
      <c r="Z60">
        <v>0.9329753169999998</v>
      </c>
    </row>
    <row r="61" spans="1:26">
      <c r="A61" s="54" t="str">
        <f>CONCATENATE(raw[[#This Row],[redis_ls]],raw[[#This Row],[wage_eq]],raw[[#This Row],[flex]],raw[[#This Row],[expo]],raw[[#This Row],[_date_]])</f>
        <v>121039448</v>
      </c>
      <c r="B61" s="1">
        <v>39448</v>
      </c>
      <c r="C61">
        <v>1</v>
      </c>
      <c r="D61">
        <v>2</v>
      </c>
      <c r="E61">
        <v>1</v>
      </c>
      <c r="F61">
        <v>0</v>
      </c>
      <c r="G61">
        <v>1.1609955408092176</v>
      </c>
      <c r="H61">
        <v>314.47551999999996</v>
      </c>
      <c r="I61">
        <v>-11.328917197434784</v>
      </c>
      <c r="J61">
        <v>1.6232810386571872</v>
      </c>
      <c r="K61">
        <v>3.3095105351596876</v>
      </c>
      <c r="L61">
        <v>-1.1205577543637824</v>
      </c>
      <c r="M61">
        <v>0.39845729029925891</v>
      </c>
      <c r="N61">
        <v>1.6275108033238173</v>
      </c>
      <c r="O61">
        <v>3.7355299999999869E-3</v>
      </c>
      <c r="P61">
        <v>2.4894199209625878</v>
      </c>
      <c r="Q61">
        <v>2.6135471949658928</v>
      </c>
      <c r="R61">
        <v>2.5932829397329105</v>
      </c>
      <c r="S61">
        <v>2.6797651300308978</v>
      </c>
      <c r="T61">
        <v>1.9794258753580873</v>
      </c>
      <c r="U61">
        <v>14.065868140719417</v>
      </c>
      <c r="V61">
        <v>2.556356692091466</v>
      </c>
      <c r="W61">
        <v>-3.5992842414023229E-2</v>
      </c>
      <c r="X61">
        <v>-0.80019783999999983</v>
      </c>
      <c r="Y61">
        <v>0.42302721000000015</v>
      </c>
      <c r="Z61">
        <v>1.04820319</v>
      </c>
    </row>
    <row r="62" spans="1:26">
      <c r="A62" s="54" t="str">
        <f>CONCATENATE(raw[[#This Row],[redis_ls]],raw[[#This Row],[wage_eq]],raw[[#This Row],[flex]],raw[[#This Row],[expo]],raw[[#This Row],[_date_]])</f>
        <v>121039814</v>
      </c>
      <c r="B62" s="1">
        <v>39814</v>
      </c>
      <c r="C62">
        <v>1</v>
      </c>
      <c r="D62">
        <v>2</v>
      </c>
      <c r="E62">
        <v>1</v>
      </c>
      <c r="F62">
        <v>0</v>
      </c>
      <c r="G62">
        <v>1.2010946294091829</v>
      </c>
      <c r="H62">
        <v>321.50388000000021</v>
      </c>
      <c r="I62">
        <v>-11.13754470769126</v>
      </c>
      <c r="J62">
        <v>1.8031111174958481</v>
      </c>
      <c r="K62">
        <v>3.5496265992263298</v>
      </c>
      <c r="L62">
        <v>-1.3082487787108299</v>
      </c>
      <c r="M62">
        <v>0.57994481422221078</v>
      </c>
      <c r="N62">
        <v>1.7985438551558541</v>
      </c>
      <c r="O62">
        <v>-4.0269400000000899E-3</v>
      </c>
      <c r="P62">
        <v>2.7977720045938792</v>
      </c>
      <c r="Q62">
        <v>2.9813960352795377</v>
      </c>
      <c r="R62">
        <v>3.0659171161403709</v>
      </c>
      <c r="S62">
        <v>2.9576116083182447</v>
      </c>
      <c r="T62">
        <v>2.1331899892115702</v>
      </c>
      <c r="U62">
        <v>17.07311212920084</v>
      </c>
      <c r="V62">
        <v>3.0195798871261115</v>
      </c>
      <c r="W62">
        <v>-4.4958838072561846E-2</v>
      </c>
      <c r="X62">
        <v>-0.80977852999999933</v>
      </c>
      <c r="Y62">
        <v>0.4317345600000001</v>
      </c>
      <c r="Z62">
        <v>1.1477334399999999</v>
      </c>
    </row>
    <row r="63" spans="1:26">
      <c r="A63" s="54" t="str">
        <f>CONCATENATE(raw[[#This Row],[redis_ls]],raw[[#This Row],[wage_eq]],raw[[#This Row],[flex]],raw[[#This Row],[expo]],raw[[#This Row],[_date_]])</f>
        <v>121040179</v>
      </c>
      <c r="B63" s="1">
        <v>40179</v>
      </c>
      <c r="C63">
        <v>1</v>
      </c>
      <c r="D63">
        <v>2</v>
      </c>
      <c r="E63">
        <v>1</v>
      </c>
      <c r="F63">
        <v>0</v>
      </c>
      <c r="G63">
        <v>1.2294835668017479</v>
      </c>
      <c r="H63">
        <v>323.70054999999775</v>
      </c>
      <c r="I63">
        <v>-10.925081858522301</v>
      </c>
      <c r="J63">
        <v>1.9631274640773633</v>
      </c>
      <c r="K63">
        <v>3.7831994962420623</v>
      </c>
      <c r="L63">
        <v>-1.4898583965234358</v>
      </c>
      <c r="M63">
        <v>0.74948820028641894</v>
      </c>
      <c r="N63">
        <v>1.9507851625255146</v>
      </c>
      <c r="O63">
        <v>-1.0865540000000451E-2</v>
      </c>
      <c r="P63">
        <v>3.0865823944348447</v>
      </c>
      <c r="Q63">
        <v>3.3241554311969512</v>
      </c>
      <c r="R63">
        <v>3.5114718899755148</v>
      </c>
      <c r="S63">
        <v>3.214902318970192</v>
      </c>
      <c r="T63">
        <v>2.2547373822320083</v>
      </c>
      <c r="U63">
        <v>20.278385014277902</v>
      </c>
      <c r="V63">
        <v>3.4744257267314893</v>
      </c>
      <c r="W63">
        <v>-3.5789439848010751E-2</v>
      </c>
      <c r="X63">
        <v>-0.80782750000000103</v>
      </c>
      <c r="Y63">
        <v>0.43856904999999974</v>
      </c>
      <c r="Z63">
        <v>1.23108686</v>
      </c>
    </row>
    <row r="64" spans="1:26">
      <c r="A64" s="54" t="str">
        <f>CONCATENATE(raw[[#This Row],[redis_ls]],raw[[#This Row],[wage_eq]],raw[[#This Row],[flex]],raw[[#This Row],[expo]],raw[[#This Row],[_date_]])</f>
        <v>121040544</v>
      </c>
      <c r="B64" s="1">
        <v>40544</v>
      </c>
      <c r="C64">
        <v>1</v>
      </c>
      <c r="D64">
        <v>2</v>
      </c>
      <c r="E64">
        <v>1</v>
      </c>
      <c r="F64">
        <v>0</v>
      </c>
      <c r="G64">
        <v>1.2470851995763033</v>
      </c>
      <c r="H64">
        <v>321.74720000000161</v>
      </c>
      <c r="I64">
        <v>-10.708667770754898</v>
      </c>
      <c r="J64">
        <v>2.1014617512147948</v>
      </c>
      <c r="K64">
        <v>4.011170658779295</v>
      </c>
      <c r="L64">
        <v>-1.662353523860105</v>
      </c>
      <c r="M64">
        <v>0.90364890295093758</v>
      </c>
      <c r="N64">
        <v>2.0825541226539013</v>
      </c>
      <c r="O64">
        <v>-1.6622250000000727E-2</v>
      </c>
      <c r="P64">
        <v>3.3522276095114156</v>
      </c>
      <c r="Q64">
        <v>3.6375445107899695</v>
      </c>
      <c r="R64">
        <v>3.9248819048642858</v>
      </c>
      <c r="S64">
        <v>3.4480917164224856</v>
      </c>
      <c r="T64">
        <v>2.3435176804268654</v>
      </c>
      <c r="U64">
        <v>23.652594261164705</v>
      </c>
      <c r="V64">
        <v>3.9116631776819677</v>
      </c>
      <c r="W64">
        <v>-1.2719534525673648E-2</v>
      </c>
      <c r="X64">
        <v>-0.7960754699999989</v>
      </c>
      <c r="Y64">
        <v>0.44403638999999939</v>
      </c>
      <c r="Z64">
        <v>1.2984582300000003</v>
      </c>
    </row>
    <row r="65" spans="1:26">
      <c r="A65" s="54" t="str">
        <f>CONCATENATE(raw[[#This Row],[redis_ls]],raw[[#This Row],[wage_eq]],raw[[#This Row],[flex]],raw[[#This Row],[expo]],raw[[#This Row],[_date_]])</f>
        <v>121040909</v>
      </c>
      <c r="B65" s="1">
        <v>40909</v>
      </c>
      <c r="C65">
        <v>1</v>
      </c>
      <c r="D65">
        <v>2</v>
      </c>
      <c r="E65">
        <v>1</v>
      </c>
      <c r="F65">
        <v>0</v>
      </c>
      <c r="G65">
        <v>1.2548581313311047</v>
      </c>
      <c r="H65">
        <v>316.2290499999981</v>
      </c>
      <c r="I65">
        <v>-10.498527466024832</v>
      </c>
      <c r="J65">
        <v>2.217314127043446</v>
      </c>
      <c r="K65">
        <v>4.2332994833765625</v>
      </c>
      <c r="L65">
        <v>-1.8233141167977363</v>
      </c>
      <c r="M65">
        <v>1.0404019588215796</v>
      </c>
      <c r="N65">
        <v>2.1932047936389587</v>
      </c>
      <c r="O65">
        <v>-2.1169279999999624E-2</v>
      </c>
      <c r="P65">
        <v>3.5918460323699053</v>
      </c>
      <c r="Q65">
        <v>3.9181975024067173</v>
      </c>
      <c r="R65">
        <v>4.3019313653210212</v>
      </c>
      <c r="S65">
        <v>3.6544993713981899</v>
      </c>
      <c r="T65">
        <v>2.399405097426266</v>
      </c>
      <c r="U65">
        <v>27.165512093657874</v>
      </c>
      <c r="V65">
        <v>4.3237053260865688</v>
      </c>
      <c r="W65">
        <v>2.0875882272730628E-2</v>
      </c>
      <c r="X65">
        <v>-0.77601778999999982</v>
      </c>
      <c r="Y65">
        <v>0.44833293999999996</v>
      </c>
      <c r="Z65">
        <v>1.35054199</v>
      </c>
    </row>
    <row r="66" spans="1:26">
      <c r="A66" s="54" t="str">
        <f>CONCATENATE(raw[[#This Row],[redis_ls]],raw[[#This Row],[wage_eq]],raw[[#This Row],[flex]],raw[[#This Row],[expo]],raw[[#This Row],[_date_]])</f>
        <v>121041275</v>
      </c>
      <c r="B66" s="1">
        <v>41275</v>
      </c>
      <c r="C66">
        <v>1</v>
      </c>
      <c r="D66">
        <v>2</v>
      </c>
      <c r="E66">
        <v>1</v>
      </c>
      <c r="F66">
        <v>0</v>
      </c>
      <c r="G66">
        <v>1.2538746055310357</v>
      </c>
      <c r="H66">
        <v>307.69720999999845</v>
      </c>
      <c r="I66">
        <v>-10.300183056260481</v>
      </c>
      <c r="J66">
        <v>2.3107857059647463</v>
      </c>
      <c r="K66">
        <v>4.4487433825940226</v>
      </c>
      <c r="L66">
        <v>-1.9708508873682584</v>
      </c>
      <c r="M66">
        <v>1.1588490771700988</v>
      </c>
      <c r="N66">
        <v>2.2828720004063774</v>
      </c>
      <c r="O66">
        <v>-2.4483850000001084E-2</v>
      </c>
      <c r="P66">
        <v>3.8033229738063667</v>
      </c>
      <c r="Q66">
        <v>4.1636719727336846</v>
      </c>
      <c r="R66">
        <v>4.639292211156687</v>
      </c>
      <c r="S66">
        <v>3.8322864881783492</v>
      </c>
      <c r="T66">
        <v>2.4227771989628444</v>
      </c>
      <c r="U66">
        <v>30.78604887859666</v>
      </c>
      <c r="V66">
        <v>4.7045230874732002</v>
      </c>
      <c r="W66">
        <v>6.2338807146322672E-2</v>
      </c>
      <c r="X66">
        <v>-0.74907968999999985</v>
      </c>
      <c r="Y66">
        <v>0.45144255000000022</v>
      </c>
      <c r="Z66">
        <v>1.3883382200000003</v>
      </c>
    </row>
    <row r="67" spans="1:26">
      <c r="A67" s="54" t="str">
        <f>CONCATENATE(raw[[#This Row],[redis_ls]],raw[[#This Row],[wage_eq]],raw[[#This Row],[flex]],raw[[#This Row],[expo]],raw[[#This Row],[_date_]])</f>
        <v>121041640</v>
      </c>
      <c r="B67" s="1">
        <v>41640</v>
      </c>
      <c r="C67">
        <v>1</v>
      </c>
      <c r="D67">
        <v>2</v>
      </c>
      <c r="E67">
        <v>1</v>
      </c>
      <c r="F67">
        <v>0</v>
      </c>
      <c r="G67">
        <v>1.2452888158692943</v>
      </c>
      <c r="H67">
        <v>296.69644999999946</v>
      </c>
      <c r="I67">
        <v>-10.115946873432824</v>
      </c>
      <c r="J67">
        <v>2.3826331734907891</v>
      </c>
      <c r="K67">
        <v>4.6563627186425816</v>
      </c>
      <c r="L67">
        <v>-2.103552063238312</v>
      </c>
      <c r="M67">
        <v>1.2589400564965159</v>
      </c>
      <c r="N67">
        <v>2.3522249660702155</v>
      </c>
      <c r="O67">
        <v>-2.6647820000000322E-2</v>
      </c>
      <c r="P67">
        <v>3.985297125362286</v>
      </c>
      <c r="Q67">
        <v>4.3724798065556625</v>
      </c>
      <c r="R67">
        <v>4.9345981725104293</v>
      </c>
      <c r="S67">
        <v>3.9804505341558549</v>
      </c>
      <c r="T67">
        <v>2.4145840934428175</v>
      </c>
      <c r="U67">
        <v>34.482682336637581</v>
      </c>
      <c r="V67">
        <v>5.0495477020027213</v>
      </c>
      <c r="W67">
        <v>0.10954394536417666</v>
      </c>
      <c r="X67">
        <v>-0.71667459</v>
      </c>
      <c r="Y67">
        <v>0.45323349999999984</v>
      </c>
      <c r="Z67">
        <v>1.4129894900000002</v>
      </c>
    </row>
    <row r="68" spans="1:26">
      <c r="A68" s="54" t="str">
        <f>CONCATENATE(raw[[#This Row],[redis_ls]],raw[[#This Row],[wage_eq]],raw[[#This Row],[flex]],raw[[#This Row],[expo]],raw[[#This Row],[_date_]])</f>
        <v>121042005</v>
      </c>
      <c r="B68" s="1">
        <v>42005</v>
      </c>
      <c r="C68">
        <v>1</v>
      </c>
      <c r="D68">
        <v>2</v>
      </c>
      <c r="E68">
        <v>1</v>
      </c>
      <c r="F68">
        <v>0</v>
      </c>
      <c r="G68">
        <v>1.2302686683884012</v>
      </c>
      <c r="H68">
        <v>283.768119999997</v>
      </c>
      <c r="I68">
        <v>-9.945983783132494</v>
      </c>
      <c r="J68">
        <v>2.4340366300742877</v>
      </c>
      <c r="K68">
        <v>4.8548700127997169</v>
      </c>
      <c r="L68">
        <v>-2.220448281750087</v>
      </c>
      <c r="M68">
        <v>1.3412279666427995</v>
      </c>
      <c r="N68">
        <v>2.4022766918995631</v>
      </c>
      <c r="O68">
        <v>-2.7812060000000083E-2</v>
      </c>
      <c r="P68">
        <v>4.1371495189192364</v>
      </c>
      <c r="Q68">
        <v>4.5440881849863057</v>
      </c>
      <c r="R68">
        <v>5.1864917417524747</v>
      </c>
      <c r="S68">
        <v>4.0987960433281012</v>
      </c>
      <c r="T68">
        <v>2.3763681466635989</v>
      </c>
      <c r="U68">
        <v>38.22400233692651</v>
      </c>
      <c r="V68">
        <v>5.3555779967237926</v>
      </c>
      <c r="W68">
        <v>0.16074902588678608</v>
      </c>
      <c r="X68">
        <v>-0.68019732999999927</v>
      </c>
      <c r="Y68">
        <v>0.45353965999999979</v>
      </c>
      <c r="Z68">
        <v>1.4256674199999999</v>
      </c>
    </row>
    <row r="69" spans="1:26">
      <c r="A69" s="54" t="str">
        <f>CONCATENATE(raw[[#This Row],[redis_ls]],raw[[#This Row],[wage_eq]],raw[[#This Row],[flex]],raw[[#This Row],[expo]],raw[[#This Row],[_date_]])</f>
        <v>121042370</v>
      </c>
      <c r="B69" s="1">
        <v>42370</v>
      </c>
      <c r="C69">
        <v>1</v>
      </c>
      <c r="D69">
        <v>2</v>
      </c>
      <c r="E69">
        <v>1</v>
      </c>
      <c r="F69">
        <v>0</v>
      </c>
      <c r="G69">
        <v>1.2099324612886653</v>
      </c>
      <c r="H69">
        <v>269.44016999999803</v>
      </c>
      <c r="I69">
        <v>-9.7890893890248414</v>
      </c>
      <c r="J69">
        <v>2.4664201626974913</v>
      </c>
      <c r="K69">
        <v>5.0429076839073161</v>
      </c>
      <c r="L69">
        <v>-2.3209837846797643</v>
      </c>
      <c r="M69">
        <v>1.4066718258595623</v>
      </c>
      <c r="N69">
        <v>2.4342502799972632</v>
      </c>
      <c r="O69">
        <v>-2.8155080000000221E-2</v>
      </c>
      <c r="P69">
        <v>4.2589662051801813</v>
      </c>
      <c r="Q69">
        <v>4.678874543442002</v>
      </c>
      <c r="R69">
        <v>5.3946212002123239</v>
      </c>
      <c r="S69">
        <v>4.1878721152885046</v>
      </c>
      <c r="T69">
        <v>2.3102253686631213</v>
      </c>
      <c r="U69">
        <v>41.979330152156116</v>
      </c>
      <c r="V69">
        <v>5.6206870542696574</v>
      </c>
      <c r="W69">
        <v>0.21449468212775269</v>
      </c>
      <c r="X69">
        <v>-0.64098837000000009</v>
      </c>
      <c r="Y69">
        <v>0.45221907999999988</v>
      </c>
      <c r="Z69">
        <v>1.42750735</v>
      </c>
    </row>
    <row r="70" spans="1:26">
      <c r="A70" s="54" t="str">
        <f>CONCATENATE(raw[[#This Row],[redis_ls]],raw[[#This Row],[wage_eq]],raw[[#This Row],[flex]],raw[[#This Row],[expo]],raw[[#This Row],[_date_]])</f>
        <v>121042736</v>
      </c>
      <c r="B70" s="1">
        <v>42736</v>
      </c>
      <c r="C70">
        <v>1</v>
      </c>
      <c r="D70">
        <v>2</v>
      </c>
      <c r="E70">
        <v>1</v>
      </c>
      <c r="F70">
        <v>0</v>
      </c>
      <c r="G70">
        <v>1.1853048728241777</v>
      </c>
      <c r="H70">
        <v>254.2126500000013</v>
      </c>
      <c r="I70">
        <v>-9.6432635224145908</v>
      </c>
      <c r="J70">
        <v>2.4813310750463557</v>
      </c>
      <c r="K70">
        <v>5.2191022670666332</v>
      </c>
      <c r="L70">
        <v>-2.4049866522316221</v>
      </c>
      <c r="M70">
        <v>1.4564875115849141</v>
      </c>
      <c r="N70">
        <v>2.4494957020859687</v>
      </c>
      <c r="O70">
        <v>-2.7851040000000105E-2</v>
      </c>
      <c r="P70">
        <v>4.3514728718716311</v>
      </c>
      <c r="Q70">
        <v>4.7780381899556357</v>
      </c>
      <c r="R70">
        <v>5.5595878362831641</v>
      </c>
      <c r="S70">
        <v>4.2488792372369133</v>
      </c>
      <c r="T70">
        <v>2.2187221409305069</v>
      </c>
      <c r="U70">
        <v>45.719358821147125</v>
      </c>
      <c r="V70">
        <v>5.8441193162822369</v>
      </c>
      <c r="W70">
        <v>0.26954584312168794</v>
      </c>
      <c r="X70">
        <v>-0.60029282000000006</v>
      </c>
      <c r="Y70">
        <v>0.44919001000000014</v>
      </c>
      <c r="Z70">
        <v>1.4195799600000003</v>
      </c>
    </row>
    <row r="71" spans="1:26">
      <c r="A71" s="54" t="str">
        <f>CONCATENATE(raw[[#This Row],[redis_ls]],raw[[#This Row],[wage_eq]],raw[[#This Row],[flex]],raw[[#This Row],[expo]],raw[[#This Row],[_date_]])</f>
        <v>121043101</v>
      </c>
      <c r="B71" s="1">
        <v>43101</v>
      </c>
      <c r="C71">
        <v>1</v>
      </c>
      <c r="D71">
        <v>2</v>
      </c>
      <c r="E71">
        <v>1</v>
      </c>
      <c r="F71">
        <v>0</v>
      </c>
      <c r="G71">
        <v>1.157294402857123</v>
      </c>
      <c r="H71">
        <v>238.54411000000255</v>
      </c>
      <c r="I71">
        <v>-9.5061286599299137</v>
      </c>
      <c r="J71">
        <v>2.4803676139339537</v>
      </c>
      <c r="K71">
        <v>5.3821155715327862</v>
      </c>
      <c r="L71">
        <v>-2.4726336371566293</v>
      </c>
      <c r="M71">
        <v>1.492040146532525</v>
      </c>
      <c r="N71">
        <v>2.4494387153387809</v>
      </c>
      <c r="O71">
        <v>-2.7051399999999948E-2</v>
      </c>
      <c r="P71">
        <v>4.415950644266764</v>
      </c>
      <c r="Q71">
        <v>4.8434795062410885</v>
      </c>
      <c r="R71">
        <v>5.6828519269411126</v>
      </c>
      <c r="S71">
        <v>4.2835547705658339</v>
      </c>
      <c r="T71">
        <v>2.104782768681579</v>
      </c>
      <c r="U71">
        <v>49.416767865089952</v>
      </c>
      <c r="V71">
        <v>6.0261735268549499</v>
      </c>
      <c r="W71">
        <v>0.32486028221911933</v>
      </c>
      <c r="X71">
        <v>-0.55922610000000006</v>
      </c>
      <c r="Y71">
        <v>0.4444477799999999</v>
      </c>
      <c r="Z71">
        <v>1.4028861200000007</v>
      </c>
    </row>
    <row r="72" spans="1:26">
      <c r="A72" s="54" t="str">
        <f>CONCATENATE(raw[[#This Row],[redis_ls]],raw[[#This Row],[wage_eq]],raw[[#This Row],[flex]],raw[[#This Row],[expo]],raw[[#This Row],[_date_]])</f>
        <v>121043466</v>
      </c>
      <c r="B72" s="1">
        <v>43466</v>
      </c>
      <c r="C72">
        <v>1</v>
      </c>
      <c r="D72">
        <v>2</v>
      </c>
      <c r="E72">
        <v>1</v>
      </c>
      <c r="F72">
        <v>0</v>
      </c>
      <c r="G72">
        <v>1.126687073180821</v>
      </c>
      <c r="H72">
        <v>222.84102999999959</v>
      </c>
      <c r="I72">
        <v>-9.3752291165383301</v>
      </c>
      <c r="J72">
        <v>2.4651380470054551</v>
      </c>
      <c r="K72">
        <v>5.5306971078651346</v>
      </c>
      <c r="L72">
        <v>-2.5244090786992635</v>
      </c>
      <c r="M72">
        <v>1.514767188510957</v>
      </c>
      <c r="N72">
        <v>2.4355472426205171</v>
      </c>
      <c r="O72">
        <v>-2.5878680000000764E-2</v>
      </c>
      <c r="P72">
        <v>4.454139248827782</v>
      </c>
      <c r="Q72">
        <v>4.8776596636555425</v>
      </c>
      <c r="R72">
        <v>5.7666100095776773</v>
      </c>
      <c r="S72">
        <v>4.2940482476532482</v>
      </c>
      <c r="T72">
        <v>1.9715651210905349</v>
      </c>
      <c r="U72">
        <v>53.046766139552901</v>
      </c>
      <c r="V72">
        <v>6.1680705628142096</v>
      </c>
      <c r="W72">
        <v>0.37957213079511387</v>
      </c>
      <c r="X72">
        <v>-0.51875036000000041</v>
      </c>
      <c r="Y72">
        <v>0.43806726999999979</v>
      </c>
      <c r="Z72">
        <v>1.3783626100000002</v>
      </c>
    </row>
    <row r="73" spans="1:26">
      <c r="A73" s="54" t="str">
        <f>CONCATENATE(raw[[#This Row],[redis_ls]],raw[[#This Row],[wage_eq]],raw[[#This Row],[flex]],raw[[#This Row],[expo]],raw[[#This Row],[_date_]])</f>
        <v>121043831</v>
      </c>
      <c r="B73" s="1">
        <v>43831</v>
      </c>
      <c r="C73">
        <v>1</v>
      </c>
      <c r="D73">
        <v>2</v>
      </c>
      <c r="E73">
        <v>1</v>
      </c>
      <c r="F73">
        <v>0</v>
      </c>
      <c r="G73">
        <v>1.0941498229880109</v>
      </c>
      <c r="H73">
        <v>207.45082000000184</v>
      </c>
      <c r="I73">
        <v>-9.2482370590935226</v>
      </c>
      <c r="J73">
        <v>2.4372362192088826</v>
      </c>
      <c r="K73">
        <v>5.6637344532427747</v>
      </c>
      <c r="L73">
        <v>-2.5610587180517008</v>
      </c>
      <c r="M73">
        <v>1.526122858208967</v>
      </c>
      <c r="N73">
        <v>2.4093054075598808</v>
      </c>
      <c r="O73">
        <v>-2.4428249999999818E-2</v>
      </c>
      <c r="P73">
        <v>4.4681351049434159</v>
      </c>
      <c r="Q73">
        <v>4.8834532243379414</v>
      </c>
      <c r="R73">
        <v>5.813654819271119</v>
      </c>
      <c r="S73">
        <v>4.2827959535553184</v>
      </c>
      <c r="T73">
        <v>1.8223375881585735</v>
      </c>
      <c r="U73">
        <v>56.587529736758512</v>
      </c>
      <c r="V73">
        <v>6.2718089808105448</v>
      </c>
      <c r="W73">
        <v>0.43298207324915516</v>
      </c>
      <c r="X73">
        <v>-0.47966134999999976</v>
      </c>
      <c r="Y73">
        <v>0.43019577999999992</v>
      </c>
      <c r="Z73">
        <v>1.3468903899999995</v>
      </c>
    </row>
    <row r="74" spans="1:26">
      <c r="A74" s="54" t="str">
        <f>CONCATENATE(raw[[#This Row],[redis_ls]],raw[[#This Row],[wage_eq]],raw[[#This Row],[flex]],raw[[#This Row],[expo]],raw[[#This Row],[_date_]])</f>
        <v>121044197</v>
      </c>
      <c r="B74" s="1">
        <v>44197</v>
      </c>
      <c r="C74">
        <v>1</v>
      </c>
      <c r="D74">
        <v>2</v>
      </c>
      <c r="E74">
        <v>1</v>
      </c>
      <c r="F74">
        <v>0</v>
      </c>
      <c r="G74">
        <v>1.0602390941213624</v>
      </c>
      <c r="H74">
        <v>192.65782000000036</v>
      </c>
      <c r="I74">
        <v>-9.1230870942731421</v>
      </c>
      <c r="J74">
        <v>2.3982243489730326</v>
      </c>
      <c r="K74">
        <v>5.7802962642829581</v>
      </c>
      <c r="L74">
        <v>-2.5835404869273604</v>
      </c>
      <c r="M74">
        <v>1.5275367531061734</v>
      </c>
      <c r="N74">
        <v>2.3721897865355279</v>
      </c>
      <c r="O74">
        <v>-2.2774180000000033E-2</v>
      </c>
      <c r="P74">
        <v>4.4602897836866662</v>
      </c>
      <c r="Q74">
        <v>4.8640034768521634</v>
      </c>
      <c r="R74">
        <v>5.8272285220103415</v>
      </c>
      <c r="S74">
        <v>4.2524024305426567</v>
      </c>
      <c r="T74">
        <v>1.6603660715212687</v>
      </c>
      <c r="U74">
        <v>60.020510445892519</v>
      </c>
      <c r="V74">
        <v>6.3400126604944429</v>
      </c>
      <c r="W74">
        <v>0.4845484040244763</v>
      </c>
      <c r="X74">
        <v>-0.4425837100000003</v>
      </c>
      <c r="Y74">
        <v>0.42104016999999982</v>
      </c>
      <c r="Z74">
        <v>1.3093004600000007</v>
      </c>
    </row>
    <row r="75" spans="1:26">
      <c r="A75" s="54" t="str">
        <f>CONCATENATE(raw[[#This Row],[redis_ls]],raw[[#This Row],[wage_eq]],raw[[#This Row],[flex]],raw[[#This Row],[expo]],raw[[#This Row],[_date_]])</f>
        <v>121044562</v>
      </c>
      <c r="B75" s="1">
        <v>44562</v>
      </c>
      <c r="C75">
        <v>1</v>
      </c>
      <c r="D75">
        <v>2</v>
      </c>
      <c r="E75">
        <v>1</v>
      </c>
      <c r="F75">
        <v>0</v>
      </c>
      <c r="G75">
        <v>1.0254109067808326</v>
      </c>
      <c r="H75">
        <v>178.68188000000009</v>
      </c>
      <c r="I75">
        <v>-8.9980556971333456</v>
      </c>
      <c r="J75">
        <v>2.3496161740168553</v>
      </c>
      <c r="K75">
        <v>5.8796644322723468</v>
      </c>
      <c r="L75">
        <v>-2.5929745719531994</v>
      </c>
      <c r="M75">
        <v>1.5203818168027405</v>
      </c>
      <c r="N75">
        <v>2.3256451238877318</v>
      </c>
      <c r="O75">
        <v>-2.0975620000000805E-2</v>
      </c>
      <c r="P75">
        <v>4.4331132839652732</v>
      </c>
      <c r="Q75">
        <v>4.8225886141542995</v>
      </c>
      <c r="R75">
        <v>5.810877459274244</v>
      </c>
      <c r="S75">
        <v>4.2055345785014575</v>
      </c>
      <c r="T75">
        <v>1.4888167823266629</v>
      </c>
      <c r="U75">
        <v>63.330604982603809</v>
      </c>
      <c r="V75">
        <v>6.3757767064203108</v>
      </c>
      <c r="W75">
        <v>0.53387636174162534</v>
      </c>
      <c r="X75">
        <v>-0.40797278999999964</v>
      </c>
      <c r="Y75">
        <v>0.41085146000000017</v>
      </c>
      <c r="Z75">
        <v>1.26637629</v>
      </c>
    </row>
    <row r="76" spans="1:26">
      <c r="A76" s="54" t="str">
        <f>CONCATENATE(raw[[#This Row],[redis_ls]],raw[[#This Row],[wage_eq]],raw[[#This Row],[flex]],raw[[#This Row],[expo]],raw[[#This Row],[_date_]])</f>
        <v>121044927</v>
      </c>
      <c r="B76" s="1">
        <v>44927</v>
      </c>
      <c r="C76">
        <v>1</v>
      </c>
      <c r="D76">
        <v>2</v>
      </c>
      <c r="E76">
        <v>1</v>
      </c>
      <c r="F76">
        <v>0</v>
      </c>
      <c r="G76">
        <v>0.99003163764037616</v>
      </c>
      <c r="H76">
        <v>165.67897000000085</v>
      </c>
      <c r="I76">
        <v>-8.8717984015164184</v>
      </c>
      <c r="J76">
        <v>2.2928609650466614</v>
      </c>
      <c r="K76">
        <v>5.9613529932044163</v>
      </c>
      <c r="L76">
        <v>-2.5905946695985005</v>
      </c>
      <c r="M76">
        <v>1.5059498947355143</v>
      </c>
      <c r="N76">
        <v>2.2710630751996419</v>
      </c>
      <c r="O76">
        <v>-1.908201000000026E-2</v>
      </c>
      <c r="P76">
        <v>4.3891854796543672</v>
      </c>
      <c r="Q76">
        <v>4.7625035870562993</v>
      </c>
      <c r="R76">
        <v>5.7683149613008133</v>
      </c>
      <c r="S76">
        <v>4.1448312100816898</v>
      </c>
      <c r="T76">
        <v>1.3106771962744013</v>
      </c>
      <c r="U76">
        <v>66.506187493927897</v>
      </c>
      <c r="V76">
        <v>6.3825165418412322</v>
      </c>
      <c r="W76">
        <v>0.58070473272890943</v>
      </c>
      <c r="X76">
        <v>-0.37612163000000021</v>
      </c>
      <c r="Y76">
        <v>0.39990857999999962</v>
      </c>
      <c r="Z76">
        <v>1.21885412</v>
      </c>
    </row>
    <row r="77" spans="1:26">
      <c r="A77" s="54" t="str">
        <f>CONCATENATE(raw[[#This Row],[redis_ls]],raw[[#This Row],[wage_eq]],raw[[#This Row],[flex]],raw[[#This Row],[expo]],raw[[#This Row],[_date_]])</f>
        <v>121045292</v>
      </c>
      <c r="B77" s="1">
        <v>45292</v>
      </c>
      <c r="C77">
        <v>1</v>
      </c>
      <c r="D77">
        <v>2</v>
      </c>
      <c r="E77">
        <v>1</v>
      </c>
      <c r="F77">
        <v>0</v>
      </c>
      <c r="G77">
        <v>0.95438876641804615</v>
      </c>
      <c r="H77">
        <v>153.74377999999706</v>
      </c>
      <c r="I77">
        <v>-8.7433548701185906</v>
      </c>
      <c r="J77">
        <v>2.2293289124823978</v>
      </c>
      <c r="K77">
        <v>6.0251150117292207</v>
      </c>
      <c r="L77">
        <v>-2.5777025481560911</v>
      </c>
      <c r="M77">
        <v>1.4854343521576885</v>
      </c>
      <c r="N77">
        <v>2.2097642802379136</v>
      </c>
      <c r="O77">
        <v>-1.7135969999999834E-2</v>
      </c>
      <c r="P77">
        <v>4.3310781254040753</v>
      </c>
      <c r="Q77">
        <v>4.6869609189151618</v>
      </c>
      <c r="R77">
        <v>5.7032976649148859</v>
      </c>
      <c r="S77">
        <v>4.0728300797939543</v>
      </c>
      <c r="T77">
        <v>1.128695996970297</v>
      </c>
      <c r="U77">
        <v>69.539017497095188</v>
      </c>
      <c r="V77">
        <v>6.3638261229095328</v>
      </c>
      <c r="W77">
        <v>0.62488918034397933</v>
      </c>
      <c r="X77">
        <v>-0.34717268000000018</v>
      </c>
      <c r="Y77">
        <v>0.38850284999999984</v>
      </c>
      <c r="Z77">
        <v>1.1674237299999988</v>
      </c>
    </row>
    <row r="78" spans="1:26">
      <c r="A78" s="54" t="str">
        <f>CONCATENATE(raw[[#This Row],[redis_ls]],raw[[#This Row],[wage_eq]],raw[[#This Row],[flex]],raw[[#This Row],[expo]],raw[[#This Row],[_date_]])</f>
        <v>121045658</v>
      </c>
      <c r="B78" s="1">
        <v>45658</v>
      </c>
      <c r="C78">
        <v>1</v>
      </c>
      <c r="D78">
        <v>2</v>
      </c>
      <c r="E78">
        <v>1</v>
      </c>
      <c r="F78">
        <v>0</v>
      </c>
      <c r="G78">
        <v>0.91870305129837515</v>
      </c>
      <c r="H78">
        <v>142.91421000000264</v>
      </c>
      <c r="I78">
        <v>-8.6121295618567633</v>
      </c>
      <c r="J78">
        <v>2.1603022634669511</v>
      </c>
      <c r="K78">
        <v>6.0709390957244258</v>
      </c>
      <c r="L78">
        <v>-2.5556270359337829</v>
      </c>
      <c r="M78">
        <v>1.4599196660357361</v>
      </c>
      <c r="N78">
        <v>2.1429879164722054</v>
      </c>
      <c r="O78">
        <v>-1.5174080000000811E-2</v>
      </c>
      <c r="P78">
        <v>4.2612887096818319</v>
      </c>
      <c r="Q78">
        <v>4.5990122383083865</v>
      </c>
      <c r="R78">
        <v>5.6195184902331219</v>
      </c>
      <c r="S78">
        <v>3.9919123191471062</v>
      </c>
      <c r="T78">
        <v>0.94534106959651698</v>
      </c>
      <c r="U78">
        <v>72.424042350974432</v>
      </c>
      <c r="V78">
        <v>6.3233492613447684</v>
      </c>
      <c r="W78">
        <v>0.66638324703138796</v>
      </c>
      <c r="X78">
        <v>-0.32113373000000023</v>
      </c>
      <c r="Y78">
        <v>0.37692344000000017</v>
      </c>
      <c r="Z78">
        <v>1.1127319600000005</v>
      </c>
    </row>
    <row r="79" spans="1:26">
      <c r="A79" s="54" t="str">
        <f>CONCATENATE(raw[[#This Row],[redis_ls]],raw[[#This Row],[wage_eq]],raw[[#This Row],[flex]],raw[[#This Row],[expo]],raw[[#This Row],[_date_]])</f>
        <v>121046023</v>
      </c>
      <c r="B79" s="1">
        <v>46023</v>
      </c>
      <c r="C79">
        <v>1</v>
      </c>
      <c r="D79">
        <v>2</v>
      </c>
      <c r="E79">
        <v>1</v>
      </c>
      <c r="F79">
        <v>0</v>
      </c>
      <c r="G79">
        <v>0.88314145023469237</v>
      </c>
      <c r="H79">
        <v>133.17787999999928</v>
      </c>
      <c r="I79">
        <v>-8.4778548300583285</v>
      </c>
      <c r="J79">
        <v>2.0869717549209632</v>
      </c>
      <c r="K79">
        <v>6.0990380080623741</v>
      </c>
      <c r="L79">
        <v>-2.5256882012370641</v>
      </c>
      <c r="M79">
        <v>1.4303784301304301</v>
      </c>
      <c r="N79">
        <v>2.0718898146722342</v>
      </c>
      <c r="O79">
        <v>-1.3226399999999305E-2</v>
      </c>
      <c r="P79">
        <v>4.1821874612367305</v>
      </c>
      <c r="Q79">
        <v>4.5014899655858809</v>
      </c>
      <c r="R79">
        <v>5.5205186088506553</v>
      </c>
      <c r="S79">
        <v>3.9042635254661118</v>
      </c>
      <c r="T79">
        <v>0.76277430669029478</v>
      </c>
      <c r="U79">
        <v>75.159119113784328</v>
      </c>
      <c r="V79">
        <v>6.2646683752249244</v>
      </c>
      <c r="W79">
        <v>0.7052180608536851</v>
      </c>
      <c r="X79">
        <v>-0.29789805000000025</v>
      </c>
      <c r="Y79">
        <v>0.36544446000000008</v>
      </c>
      <c r="Z79">
        <v>1.0553908599999995</v>
      </c>
    </row>
    <row r="80" spans="1:26">
      <c r="A80" s="54" t="str">
        <f>CONCATENATE(raw[[#This Row],[redis_ls]],raw[[#This Row],[wage_eq]],raw[[#This Row],[flex]],raw[[#This Row],[expo]],raw[[#This Row],[_date_]])</f>
        <v>121046388</v>
      </c>
      <c r="B80" s="1">
        <v>46388</v>
      </c>
      <c r="C80">
        <v>1</v>
      </c>
      <c r="D80">
        <v>2</v>
      </c>
      <c r="E80">
        <v>1</v>
      </c>
      <c r="F80">
        <v>0</v>
      </c>
      <c r="G80">
        <v>0.84783157792158725</v>
      </c>
      <c r="H80">
        <v>124.48021999999764</v>
      </c>
      <c r="I80">
        <v>-8.3405416801733523</v>
      </c>
      <c r="J80">
        <v>2.0104417325486068</v>
      </c>
      <c r="K80">
        <v>6.109832218758604</v>
      </c>
      <c r="L80">
        <v>-2.4891675034685257</v>
      </c>
      <c r="M80">
        <v>1.3976749359750018</v>
      </c>
      <c r="N80">
        <v>1.997548208137645</v>
      </c>
      <c r="O80">
        <v>-1.1315389999999592E-2</v>
      </c>
      <c r="P80">
        <v>4.0959771529660793</v>
      </c>
      <c r="Q80">
        <v>4.3969683257960135</v>
      </c>
      <c r="R80">
        <v>5.4096192012567323</v>
      </c>
      <c r="S80">
        <v>3.8118499511408777</v>
      </c>
      <c r="T80">
        <v>0.5828410688505814</v>
      </c>
      <c r="U80">
        <v>77.744681058166137</v>
      </c>
      <c r="V80">
        <v>6.1912124449214234</v>
      </c>
      <c r="W80">
        <v>0.74148187745719518</v>
      </c>
      <c r="X80">
        <v>-0.27726785999999981</v>
      </c>
      <c r="Y80">
        <v>0.35431372999999988</v>
      </c>
      <c r="Z80">
        <v>0.9959899800000005</v>
      </c>
    </row>
    <row r="81" spans="1:26">
      <c r="A81" s="54" t="str">
        <f>CONCATENATE(raw[[#This Row],[redis_ls]],raw[[#This Row],[wage_eq]],raw[[#This Row],[flex]],raw[[#This Row],[expo]],raw[[#This Row],[_date_]])</f>
        <v>121046753</v>
      </c>
      <c r="B81" s="1">
        <v>46753</v>
      </c>
      <c r="C81">
        <v>1</v>
      </c>
      <c r="D81">
        <v>2</v>
      </c>
      <c r="E81">
        <v>1</v>
      </c>
      <c r="F81">
        <v>0</v>
      </c>
      <c r="G81">
        <v>0.81287666054536967</v>
      </c>
      <c r="H81">
        <v>116.7342200000021</v>
      </c>
      <c r="I81">
        <v>-8.2004237421236752</v>
      </c>
      <c r="J81">
        <v>1.9317417458545094</v>
      </c>
      <c r="K81">
        <v>6.1039298247891116</v>
      </c>
      <c r="L81">
        <v>-2.4472845132244458</v>
      </c>
      <c r="M81">
        <v>1.3625743246258537</v>
      </c>
      <c r="N81">
        <v>1.9209758337869864</v>
      </c>
      <c r="O81">
        <v>-9.4554199999999367E-3</v>
      </c>
      <c r="P81">
        <v>4.0046655923385632</v>
      </c>
      <c r="Q81">
        <v>4.2877416479539132</v>
      </c>
      <c r="R81">
        <v>5.2898728871134448</v>
      </c>
      <c r="S81">
        <v>3.7164076756950326</v>
      </c>
      <c r="T81">
        <v>0.40707220192199856</v>
      </c>
      <c r="U81">
        <v>80.183372666544201</v>
      </c>
      <c r="V81">
        <v>6.1061860325908768</v>
      </c>
      <c r="W81">
        <v>0.77530070221658587</v>
      </c>
      <c r="X81">
        <v>-0.25898018999999989</v>
      </c>
      <c r="Y81">
        <v>0.34374346000000044</v>
      </c>
      <c r="Z81">
        <v>0.93511140999999887</v>
      </c>
    </row>
    <row r="82" spans="1:26">
      <c r="A82" s="54" t="str">
        <f>CONCATENATE(raw[[#This Row],[redis_ls]],raw[[#This Row],[wage_eq]],raw[[#This Row],[flex]],raw[[#This Row],[expo]],raw[[#This Row],[_date_]])</f>
        <v>121047119</v>
      </c>
      <c r="B82" s="1">
        <v>47119</v>
      </c>
      <c r="C82">
        <v>1</v>
      </c>
      <c r="D82">
        <v>2</v>
      </c>
      <c r="E82">
        <v>1</v>
      </c>
      <c r="F82">
        <v>0</v>
      </c>
      <c r="G82">
        <v>0.77836971986160464</v>
      </c>
      <c r="H82">
        <v>109.83078000000023</v>
      </c>
      <c r="I82">
        <v>-8.057898895398008</v>
      </c>
      <c r="J82">
        <v>1.8518406731109049</v>
      </c>
      <c r="K82">
        <v>6.0821046176472215</v>
      </c>
      <c r="L82">
        <v>-2.4011785944873298</v>
      </c>
      <c r="M82">
        <v>1.3257552043434373</v>
      </c>
      <c r="N82">
        <v>1.8431335091833478</v>
      </c>
      <c r="O82">
        <v>-7.6533300000000692E-3</v>
      </c>
      <c r="P82">
        <v>3.9100496033930732</v>
      </c>
      <c r="Q82">
        <v>4.1758173334792925</v>
      </c>
      <c r="R82">
        <v>5.1640331658388661</v>
      </c>
      <c r="S82">
        <v>3.6194426868281893</v>
      </c>
      <c r="T82">
        <v>0.23669609919041434</v>
      </c>
      <c r="U82">
        <v>82.479676221233646</v>
      </c>
      <c r="V82">
        <v>6.0125189585133798</v>
      </c>
      <c r="W82">
        <v>0.80682128696019095</v>
      </c>
      <c r="X82">
        <v>-0.24273321100000003</v>
      </c>
      <c r="Y82">
        <v>0.33390333000000022</v>
      </c>
      <c r="Z82">
        <v>0.87334431999999962</v>
      </c>
    </row>
    <row r="83" spans="1:26">
      <c r="A83" s="54" t="str">
        <f>CONCATENATE(raw[[#This Row],[redis_ls]],raw[[#This Row],[wage_eq]],raw[[#This Row],[flex]],raw[[#This Row],[expo]],raw[[#This Row],[_date_]])</f>
        <v>121047484</v>
      </c>
      <c r="B83" s="1">
        <v>47484</v>
      </c>
      <c r="C83">
        <v>1</v>
      </c>
      <c r="D83">
        <v>2</v>
      </c>
      <c r="E83">
        <v>1</v>
      </c>
      <c r="F83">
        <v>0</v>
      </c>
      <c r="G83">
        <v>0.74440536696620541</v>
      </c>
      <c r="H83">
        <v>103.64924999999857</v>
      </c>
      <c r="I83">
        <v>-7.9134728420044436</v>
      </c>
      <c r="J83">
        <v>1.771661763947896</v>
      </c>
      <c r="K83">
        <v>6.0452722712592388</v>
      </c>
      <c r="L83">
        <v>-2.3518970369632686</v>
      </c>
      <c r="M83">
        <v>1.2878233185633636</v>
      </c>
      <c r="N83">
        <v>1.7649431392121162</v>
      </c>
      <c r="O83">
        <v>-5.9103200000007461E-3</v>
      </c>
      <c r="P83">
        <v>3.8137089990317286</v>
      </c>
      <c r="Q83">
        <v>4.0629206513432159</v>
      </c>
      <c r="R83">
        <v>5.0345399843877869</v>
      </c>
      <c r="S83">
        <v>3.522238583121573</v>
      </c>
      <c r="T83">
        <v>7.2658527090485592E-2</v>
      </c>
      <c r="U83">
        <v>84.639545209369714</v>
      </c>
      <c r="V83">
        <v>5.9128358213976551</v>
      </c>
      <c r="W83">
        <v>0.83619716962444191</v>
      </c>
      <c r="X83">
        <v>-0.22821133100000007</v>
      </c>
      <c r="Y83">
        <v>0.32491616000000012</v>
      </c>
      <c r="Z83">
        <v>0.81129578000000002</v>
      </c>
    </row>
    <row r="84" spans="1:26">
      <c r="A84" s="54" t="str">
        <f>CONCATENATE(raw[[#This Row],[redis_ls]],raw[[#This Row],[wage_eq]],raw[[#This Row],[flex]],raw[[#This Row],[expo]],raw[[#This Row],[_date_]])</f>
        <v>121047849</v>
      </c>
      <c r="B84" s="1">
        <v>47849</v>
      </c>
      <c r="C84">
        <v>1</v>
      </c>
      <c r="D84">
        <v>2</v>
      </c>
      <c r="E84">
        <v>1</v>
      </c>
      <c r="F84">
        <v>0</v>
      </c>
      <c r="G84">
        <v>0.71108839606321972</v>
      </c>
      <c r="H84">
        <v>98.066950000000361</v>
      </c>
      <c r="I84">
        <v>-7.7677084568126382</v>
      </c>
      <c r="J84">
        <v>1.6920927187618506</v>
      </c>
      <c r="K84">
        <v>5.994465244514946</v>
      </c>
      <c r="L84">
        <v>-2.300387370058965</v>
      </c>
      <c r="M84">
        <v>1.2493242902534618</v>
      </c>
      <c r="N84">
        <v>1.6872940627835176</v>
      </c>
      <c r="O84">
        <v>-4.2248499999994471E-3</v>
      </c>
      <c r="P84">
        <v>3.7170089626775704</v>
      </c>
      <c r="Q84">
        <v>3.9505083503507565</v>
      </c>
      <c r="R84">
        <v>4.9035183662121673</v>
      </c>
      <c r="S84">
        <v>3.4258715287897923</v>
      </c>
      <c r="T84">
        <v>-8.4352109452334734E-2</v>
      </c>
      <c r="U84">
        <v>86.670059585611426</v>
      </c>
      <c r="V84">
        <v>5.8094424777464848</v>
      </c>
      <c r="W84">
        <v>0.86357837180912611</v>
      </c>
      <c r="X84">
        <v>-0.21510693219999999</v>
      </c>
      <c r="Y84">
        <v>0.31685655000000046</v>
      </c>
      <c r="Z84">
        <v>0.74959460999999972</v>
      </c>
    </row>
    <row r="85" spans="1:26">
      <c r="A85" s="54" t="str">
        <f>CONCATENATE(raw[[#This Row],[redis_ls]],raw[[#This Row],[wage_eq]],raw[[#This Row],[flex]],raw[[#This Row],[expo]],raw[[#This Row],[_date_]])</f>
        <v>121048214</v>
      </c>
      <c r="B85" s="1">
        <v>48214</v>
      </c>
      <c r="C85">
        <v>1</v>
      </c>
      <c r="D85">
        <v>2</v>
      </c>
      <c r="E85">
        <v>1</v>
      </c>
      <c r="F85">
        <v>0</v>
      </c>
      <c r="G85">
        <v>0.67853705547340493</v>
      </c>
      <c r="H85">
        <v>92.967090000001917</v>
      </c>
      <c r="I85">
        <v>-7.6211834176746702</v>
      </c>
      <c r="J85">
        <v>1.6139881790163679</v>
      </c>
      <c r="K85">
        <v>5.9308060754770908</v>
      </c>
      <c r="L85">
        <v>-2.2474950683764927</v>
      </c>
      <c r="M85">
        <v>1.2107529594747035</v>
      </c>
      <c r="N85">
        <v>1.6110419517306962</v>
      </c>
      <c r="O85">
        <v>-2.5960199999994216E-3</v>
      </c>
      <c r="P85">
        <v>3.6211085008461597</v>
      </c>
      <c r="Q85">
        <v>3.8397881366082132</v>
      </c>
      <c r="R85">
        <v>4.772787479340046</v>
      </c>
      <c r="S85">
        <v>3.3312269855642063</v>
      </c>
      <c r="T85">
        <v>-0.23387641899631495</v>
      </c>
      <c r="U85">
        <v>88.57911047748253</v>
      </c>
      <c r="V85">
        <v>5.7043271541174168</v>
      </c>
      <c r="W85">
        <v>0.88910459933528863</v>
      </c>
      <c r="X85">
        <v>-0.20313718749999995</v>
      </c>
      <c r="Y85">
        <v>0.30975258000000006</v>
      </c>
      <c r="Z85">
        <v>0.68888637999999913</v>
      </c>
    </row>
    <row r="86" spans="1:26">
      <c r="A86" s="54" t="str">
        <f>CONCATENATE(raw[[#This Row],[redis_ls]],raw[[#This Row],[wage_eq]],raw[[#This Row],[flex]],raw[[#This Row],[expo]],raw[[#This Row],[_date_]])</f>
        <v>121048580</v>
      </c>
      <c r="B86" s="1">
        <v>48580</v>
      </c>
      <c r="C86">
        <v>1</v>
      </c>
      <c r="D86">
        <v>2</v>
      </c>
      <c r="E86">
        <v>1</v>
      </c>
      <c r="F86">
        <v>0</v>
      </c>
      <c r="G86">
        <v>0.64688197561670879</v>
      </c>
      <c r="H86">
        <v>88.244520000000193</v>
      </c>
      <c r="I86">
        <v>-7.4744579497945107</v>
      </c>
      <c r="J86">
        <v>1.5381637942859738</v>
      </c>
      <c r="K86">
        <v>5.8554796760276417</v>
      </c>
      <c r="L86">
        <v>-2.1939629325914201</v>
      </c>
      <c r="M86">
        <v>1.1725588266047415</v>
      </c>
      <c r="N86">
        <v>1.536999319443666</v>
      </c>
      <c r="O86">
        <v>-1.0268300000004782E-3</v>
      </c>
      <c r="P86">
        <v>3.5269732979497315</v>
      </c>
      <c r="Q86">
        <v>3.7317415415426547</v>
      </c>
      <c r="R86">
        <v>4.6438765609305932</v>
      </c>
      <c r="S86">
        <v>3.2390197895189932</v>
      </c>
      <c r="T86">
        <v>-0.37565422637878543</v>
      </c>
      <c r="U86">
        <v>90.375119427808087</v>
      </c>
      <c r="V86">
        <v>5.5991723795545845</v>
      </c>
      <c r="W86">
        <v>0.91290177633054359</v>
      </c>
      <c r="X86">
        <v>-0.19205496399999997</v>
      </c>
      <c r="Y86">
        <v>0.30359049999999987</v>
      </c>
      <c r="Z86">
        <v>0.62981925000000083</v>
      </c>
    </row>
    <row r="87" spans="1:26">
      <c r="A87" s="54" t="str">
        <f>CONCATENATE(raw[[#This Row],[redis_ls]],raw[[#This Row],[wage_eq]],raw[[#This Row],[flex]],raw[[#This Row],[expo]],raw[[#This Row],[_date_]])</f>
        <v>121048945</v>
      </c>
      <c r="B87" s="1">
        <v>48945</v>
      </c>
      <c r="C87">
        <v>1</v>
      </c>
      <c r="D87">
        <v>2</v>
      </c>
      <c r="E87">
        <v>1</v>
      </c>
      <c r="F87">
        <v>0</v>
      </c>
      <c r="G87">
        <v>0.61626031735475539</v>
      </c>
      <c r="H87">
        <v>83.808850000001257</v>
      </c>
      <c r="I87">
        <v>-7.3280531035782808</v>
      </c>
      <c r="J87">
        <v>1.4653813556911643</v>
      </c>
      <c r="K87">
        <v>5.7697049249419319</v>
      </c>
      <c r="L87">
        <v>-2.1404347778855803</v>
      </c>
      <c r="M87">
        <v>1.1351467152812988</v>
      </c>
      <c r="N87">
        <v>1.4659180639961855</v>
      </c>
      <c r="O87">
        <v>4.7366999999937098E-4</v>
      </c>
      <c r="P87">
        <v>3.4353909626164691</v>
      </c>
      <c r="Q87">
        <v>3.6271477061552426</v>
      </c>
      <c r="R87">
        <v>4.5180452526828896</v>
      </c>
      <c r="S87">
        <v>3.1498137195290044</v>
      </c>
      <c r="T87">
        <v>-0.5095950790763526</v>
      </c>
      <c r="U87">
        <v>92.066793314879106</v>
      </c>
      <c r="V87">
        <v>5.4953740370684789</v>
      </c>
      <c r="W87">
        <v>0.93508137723250506</v>
      </c>
      <c r="X87">
        <v>-0.18165356399999993</v>
      </c>
      <c r="Y87">
        <v>0.29832164999999966</v>
      </c>
      <c r="Z87">
        <v>0.57302212999999913</v>
      </c>
    </row>
    <row r="88" spans="1:26">
      <c r="A88" s="54" t="str">
        <f>CONCATENATE(raw[[#This Row],[redis_ls]],raw[[#This Row],[wage_eq]],raw[[#This Row],[flex]],raw[[#This Row],[expo]],raw[[#This Row],[_date_]])</f>
        <v>121049310</v>
      </c>
      <c r="B88" s="1">
        <v>49310</v>
      </c>
      <c r="C88">
        <v>1</v>
      </c>
      <c r="D88">
        <v>2</v>
      </c>
      <c r="E88">
        <v>1</v>
      </c>
      <c r="F88">
        <v>0</v>
      </c>
      <c r="G88">
        <v>0.58680632278043099</v>
      </c>
      <c r="H88">
        <v>79.585250000000087</v>
      </c>
      <c r="I88">
        <v>-7.1824389960724151</v>
      </c>
      <c r="J88">
        <v>1.3963276737177788</v>
      </c>
      <c r="K88">
        <v>5.6747067087009384</v>
      </c>
      <c r="L88">
        <v>-2.0874596854655869</v>
      </c>
      <c r="M88">
        <v>1.0988738083868022</v>
      </c>
      <c r="N88">
        <v>1.3984670629159757</v>
      </c>
      <c r="O88">
        <v>1.889500000000488E-3</v>
      </c>
      <c r="P88">
        <v>3.3469873011692464</v>
      </c>
      <c r="Q88">
        <v>3.5266067121298095</v>
      </c>
      <c r="R88">
        <v>4.3963058499874252</v>
      </c>
      <c r="S88">
        <v>3.064039473447111</v>
      </c>
      <c r="T88">
        <v>-0.63575085773126538</v>
      </c>
      <c r="U88">
        <v>93.662913433200629</v>
      </c>
      <c r="V88">
        <v>5.3940648575199646</v>
      </c>
      <c r="W88">
        <v>0.95574169333327852</v>
      </c>
      <c r="X88">
        <v>-0.1717658799999999</v>
      </c>
      <c r="Y88">
        <v>0.29387123000000004</v>
      </c>
      <c r="Z88">
        <v>0.51907782999999896</v>
      </c>
    </row>
    <row r="89" spans="1:26">
      <c r="A89" s="54" t="str">
        <f>CONCATENATE(raw[[#This Row],[redis_ls]],raw[[#This Row],[wage_eq]],raw[[#This Row],[flex]],raw[[#This Row],[expo]],raw[[#This Row],[_date_]])</f>
        <v>121049675</v>
      </c>
      <c r="B89" s="1">
        <v>49675</v>
      </c>
      <c r="C89">
        <v>1</v>
      </c>
      <c r="D89">
        <v>2</v>
      </c>
      <c r="E89">
        <v>1</v>
      </c>
      <c r="F89">
        <v>0</v>
      </c>
      <c r="G89">
        <v>0.55864079492955465</v>
      </c>
      <c r="H89">
        <v>75.513050000001385</v>
      </c>
      <c r="I89">
        <v>-7.0380314835993047</v>
      </c>
      <c r="J89">
        <v>1.3315899575803591</v>
      </c>
      <c r="K89">
        <v>5.5716893867417738</v>
      </c>
      <c r="L89">
        <v>-2.0354977987465439</v>
      </c>
      <c r="M89">
        <v>1.0640439296885296</v>
      </c>
      <c r="N89">
        <v>1.3352088795447248</v>
      </c>
      <c r="O89">
        <v>3.1984800000009472E-3</v>
      </c>
      <c r="P89">
        <v>3.2622421116923039</v>
      </c>
      <c r="Q89">
        <v>3.4305609290453454</v>
      </c>
      <c r="R89">
        <v>4.279445773290802</v>
      </c>
      <c r="S89">
        <v>2.9820118112945604</v>
      </c>
      <c r="T89">
        <v>-0.75428895968044918</v>
      </c>
      <c r="U89">
        <v>95.172159029221291</v>
      </c>
      <c r="V89">
        <v>5.2961391696300986</v>
      </c>
      <c r="W89">
        <v>0.97497006976012823</v>
      </c>
      <c r="X89">
        <v>-0.1622591500000001</v>
      </c>
      <c r="Y89">
        <v>0.29014776000000075</v>
      </c>
      <c r="Z89">
        <v>0.46849511999999954</v>
      </c>
    </row>
    <row r="90" spans="1:26">
      <c r="A90" s="54" t="str">
        <f>CONCATENATE(raw[[#This Row],[redis_ls]],raw[[#This Row],[wage_eq]],raw[[#This Row],[flex]],raw[[#This Row],[expo]],raw[[#This Row],[_date_]])</f>
        <v>121050041</v>
      </c>
      <c r="B90" s="1">
        <v>50041</v>
      </c>
      <c r="C90">
        <v>1</v>
      </c>
      <c r="D90">
        <v>2</v>
      </c>
      <c r="E90">
        <v>1</v>
      </c>
      <c r="F90">
        <v>0</v>
      </c>
      <c r="G90">
        <v>0.53185988879200785</v>
      </c>
      <c r="H90">
        <v>71.543019999997341</v>
      </c>
      <c r="I90">
        <v>-6.8951950367971975</v>
      </c>
      <c r="J90">
        <v>1.2716326394580646</v>
      </c>
      <c r="K90">
        <v>5.4618133706396454</v>
      </c>
      <c r="L90">
        <v>-1.984926834421652</v>
      </c>
      <c r="M90">
        <v>1.0309010703010379</v>
      </c>
      <c r="N90">
        <v>1.2765787208737223</v>
      </c>
      <c r="O90">
        <v>4.374330000000981E-3</v>
      </c>
      <c r="P90">
        <v>3.1815043656373554</v>
      </c>
      <c r="Q90">
        <v>3.339314227002399</v>
      </c>
      <c r="R90">
        <v>4.1680491232040984</v>
      </c>
      <c r="S90">
        <v>2.9039435352107956</v>
      </c>
      <c r="T90">
        <v>-0.86547128181818644</v>
      </c>
      <c r="U90">
        <v>96.602957840741482</v>
      </c>
      <c r="V90">
        <v>5.2022770971657417</v>
      </c>
      <c r="W90">
        <v>0.99284568238569015</v>
      </c>
      <c r="X90">
        <v>-0.15302703000000006</v>
      </c>
      <c r="Y90">
        <v>0.28705225999999945</v>
      </c>
      <c r="Z90">
        <v>0.4216836099999996</v>
      </c>
    </row>
    <row r="91" spans="1:26">
      <c r="A91" s="54" t="str">
        <f>CONCATENATE(raw[[#This Row],[redis_ls]],raw[[#This Row],[wage_eq]],raw[[#This Row],[flex]],raw[[#This Row],[expo]],raw[[#This Row],[_date_]])</f>
        <v>121050406</v>
      </c>
      <c r="B91" s="1">
        <v>50406</v>
      </c>
      <c r="C91">
        <v>1</v>
      </c>
      <c r="D91">
        <v>2</v>
      </c>
      <c r="E91">
        <v>1</v>
      </c>
      <c r="F91">
        <v>0</v>
      </c>
      <c r="G91">
        <v>0.50652624777602906</v>
      </c>
      <c r="H91">
        <v>67.633849999998347</v>
      </c>
      <c r="I91">
        <v>-6.7542492972663126</v>
      </c>
      <c r="J91">
        <v>1.2167784884868693</v>
      </c>
      <c r="K91">
        <v>5.3461755652644882</v>
      </c>
      <c r="L91">
        <v>-1.9360481210219826</v>
      </c>
      <c r="M91">
        <v>0.99962363715087044</v>
      </c>
      <c r="N91">
        <v>1.2228690889206861</v>
      </c>
      <c r="O91">
        <v>5.3899300000007089E-3</v>
      </c>
      <c r="P91">
        <v>3.1050060565322113</v>
      </c>
      <c r="Q91">
        <v>3.2530484726558839</v>
      </c>
      <c r="R91">
        <v>4.0625166917564126</v>
      </c>
      <c r="S91">
        <v>2.8299582945155777</v>
      </c>
      <c r="T91">
        <v>-0.96963244633248014</v>
      </c>
      <c r="U91">
        <v>97.963365208798848</v>
      </c>
      <c r="V91">
        <v>5.1129672300201934</v>
      </c>
      <c r="W91">
        <v>1.009441790597676</v>
      </c>
      <c r="X91">
        <v>-0.14398061999999992</v>
      </c>
      <c r="Y91">
        <v>0.28448637999999998</v>
      </c>
      <c r="Z91">
        <v>0.37893471000000067</v>
      </c>
    </row>
    <row r="92" spans="1:26">
      <c r="A92" s="54" t="str">
        <f>CONCATENATE(raw[[#This Row],[redis_ls]],raw[[#This Row],[wage_eq]],raw[[#This Row],[flex]],raw[[#This Row],[expo]],raw[[#This Row],[_date_]])</f>
        <v>121050771</v>
      </c>
      <c r="B92" s="1">
        <v>50771</v>
      </c>
      <c r="C92">
        <v>1</v>
      </c>
      <c r="D92">
        <v>2</v>
      </c>
      <c r="E92">
        <v>1</v>
      </c>
      <c r="F92">
        <v>0</v>
      </c>
      <c r="G92">
        <v>0.48266306447986018</v>
      </c>
      <c r="H92">
        <v>63.748639999997977</v>
      </c>
      <c r="I92">
        <v>-6.6154773007848107</v>
      </c>
      <c r="J92">
        <v>1.167197757532934</v>
      </c>
      <c r="K92">
        <v>5.2257948906018425</v>
      </c>
      <c r="L92">
        <v>-1.889092765519218</v>
      </c>
      <c r="M92">
        <v>0.97032109080288365</v>
      </c>
      <c r="N92">
        <v>1.1742231933682845</v>
      </c>
      <c r="O92">
        <v>6.2206800000005891E-3</v>
      </c>
      <c r="P92">
        <v>3.0328738672223743</v>
      </c>
      <c r="Q92">
        <v>3.1718379889171588</v>
      </c>
      <c r="R92">
        <v>3.9630845074776655</v>
      </c>
      <c r="S92">
        <v>2.7601006274406537</v>
      </c>
      <c r="T92">
        <v>-1.0671635868083174</v>
      </c>
      <c r="U92">
        <v>99.260965961986017</v>
      </c>
      <c r="V92">
        <v>5.0285267799421884</v>
      </c>
      <c r="W92">
        <v>1.0248274843245531</v>
      </c>
      <c r="X92">
        <v>-0.13504021000000019</v>
      </c>
      <c r="Y92">
        <v>0.28235882999999989</v>
      </c>
      <c r="Z92">
        <v>0.34041100999999963</v>
      </c>
    </row>
    <row r="93" spans="1:26">
      <c r="A93" s="54" t="str">
        <f>CONCATENATE(raw[[#This Row],[redis_ls]],raw[[#This Row],[wage_eq]],raw[[#This Row],[flex]],raw[[#This Row],[expo]],raw[[#This Row],[_date_]])</f>
        <v>121051136</v>
      </c>
      <c r="B93" s="1">
        <v>51136</v>
      </c>
      <c r="C93">
        <v>1</v>
      </c>
      <c r="D93">
        <v>2</v>
      </c>
      <c r="E93">
        <v>1</v>
      </c>
      <c r="F93">
        <v>0</v>
      </c>
      <c r="G93">
        <v>0.46025169727634818</v>
      </c>
      <c r="H93">
        <v>59.851999999998952</v>
      </c>
      <c r="I93">
        <v>-6.4791329885793942</v>
      </c>
      <c r="J93">
        <v>1.1229067313299312</v>
      </c>
      <c r="K93">
        <v>5.1016030209399377</v>
      </c>
      <c r="L93">
        <v>-1.8442275980034784</v>
      </c>
      <c r="M93">
        <v>0.94303381630169714</v>
      </c>
      <c r="N93">
        <v>1.1306366293106773</v>
      </c>
      <c r="O93">
        <v>6.8479600000004304E-3</v>
      </c>
      <c r="P93">
        <v>2.9651412385181874</v>
      </c>
      <c r="Q93">
        <v>3.0956619992440704</v>
      </c>
      <c r="R93">
        <v>3.8698411338423444</v>
      </c>
      <c r="S93">
        <v>2.694344772926871</v>
      </c>
      <c r="T93">
        <v>-1.1584972413190453</v>
      </c>
      <c r="U93">
        <v>100.50279640712638</v>
      </c>
      <c r="V93">
        <v>4.949119733715257</v>
      </c>
      <c r="W93">
        <v>1.0390683151408453</v>
      </c>
      <c r="X93">
        <v>-0.12612891000000001</v>
      </c>
      <c r="Y93">
        <v>0.28058961000000038</v>
      </c>
      <c r="Z93">
        <v>0.30614516999999952</v>
      </c>
    </row>
    <row r="94" spans="1:26">
      <c r="A94" s="54" t="str">
        <f>CONCATENATE(raw[[#This Row],[redis_ls]],raw[[#This Row],[wage_eq]],raw[[#This Row],[flex]],raw[[#This Row],[expo]],raw[[#This Row],[_date_]])</f>
        <v>121051502</v>
      </c>
      <c r="B94" s="1">
        <v>51502</v>
      </c>
      <c r="C94">
        <v>1</v>
      </c>
      <c r="D94">
        <v>2</v>
      </c>
      <c r="E94">
        <v>1</v>
      </c>
      <c r="F94">
        <v>0</v>
      </c>
      <c r="G94">
        <v>0.43923360931381605</v>
      </c>
      <c r="H94">
        <v>55.908139999999548</v>
      </c>
      <c r="I94">
        <v>-6.3454469454602975</v>
      </c>
      <c r="J94">
        <v>1.0837754269126476</v>
      </c>
      <c r="K94">
        <v>4.9744404305904544</v>
      </c>
      <c r="L94">
        <v>-1.8015609487816775</v>
      </c>
      <c r="M94">
        <v>0.9177366488336558</v>
      </c>
      <c r="N94">
        <v>1.0919683038154382</v>
      </c>
      <c r="O94">
        <v>7.2614900000003701E-3</v>
      </c>
      <c r="P94">
        <v>2.901758341270444</v>
      </c>
      <c r="Q94">
        <v>3.0244161087627397</v>
      </c>
      <c r="R94">
        <v>3.7827440656190259</v>
      </c>
      <c r="S94">
        <v>2.6326032512284936</v>
      </c>
      <c r="T94">
        <v>-1.2440941093793678</v>
      </c>
      <c r="U94">
        <v>101.69528759411959</v>
      </c>
      <c r="V94">
        <v>4.8747732655683329</v>
      </c>
      <c r="W94">
        <v>1.0522261634575036</v>
      </c>
      <c r="X94">
        <v>-0.11716890000000001</v>
      </c>
      <c r="Y94">
        <v>0.2791121399999999</v>
      </c>
      <c r="Z94">
        <v>0.27604779000000024</v>
      </c>
    </row>
    <row r="95" spans="1:26">
      <c r="A95" s="54" t="str">
        <f>CONCATENATE(raw[[#This Row],[redis_ls]],raw[[#This Row],[wage_eq]],raw[[#This Row],[flex]],raw[[#This Row],[expo]],raw[[#This Row],[_date_]])</f>
        <v>121051867</v>
      </c>
      <c r="B95" s="1">
        <v>51867</v>
      </c>
      <c r="C95">
        <v>1</v>
      </c>
      <c r="D95">
        <v>2</v>
      </c>
      <c r="E95">
        <v>1</v>
      </c>
      <c r="F95">
        <v>0</v>
      </c>
      <c r="G95">
        <v>0.4195154303937132</v>
      </c>
      <c r="H95">
        <v>51.880149999997229</v>
      </c>
      <c r="I95">
        <v>-6.2146295226994663</v>
      </c>
      <c r="J95">
        <v>1.0495446359791494</v>
      </c>
      <c r="K95">
        <v>4.8450569995245107</v>
      </c>
      <c r="L95">
        <v>-1.7611478493159916</v>
      </c>
      <c r="M95">
        <v>0.89434590207466691</v>
      </c>
      <c r="N95">
        <v>1.0579591025575708</v>
      </c>
      <c r="O95">
        <v>7.4608499999989641E-3</v>
      </c>
      <c r="P95">
        <v>2.8426019278095405</v>
      </c>
      <c r="Q95">
        <v>2.9579229395899409</v>
      </c>
      <c r="R95">
        <v>3.7016357728680394</v>
      </c>
      <c r="S95">
        <v>2.5747339769834898</v>
      </c>
      <c r="T95">
        <v>-1.324432097295225</v>
      </c>
      <c r="U95">
        <v>102.84422504428994</v>
      </c>
      <c r="V95">
        <v>4.8053928965725357</v>
      </c>
      <c r="W95">
        <v>1.0643584697659358</v>
      </c>
      <c r="X95">
        <v>-0.10808050999999985</v>
      </c>
      <c r="Y95">
        <v>0.27787345000000047</v>
      </c>
      <c r="Z95">
        <v>0.2499228799999996</v>
      </c>
    </row>
    <row r="96" spans="1:26">
      <c r="A96" s="54" t="str">
        <f>CONCATENATE(raw[[#This Row],[redis_ls]],raw[[#This Row],[wage_eq]],raw[[#This Row],[flex]],raw[[#This Row],[expo]],raw[[#This Row],[_date_]])</f>
        <v>121052232</v>
      </c>
      <c r="B96" s="1">
        <v>52232</v>
      </c>
      <c r="C96">
        <v>1</v>
      </c>
      <c r="D96">
        <v>2</v>
      </c>
      <c r="E96">
        <v>1</v>
      </c>
      <c r="F96">
        <v>0</v>
      </c>
      <c r="G96">
        <v>0.40097678832415884</v>
      </c>
      <c r="H96">
        <v>47.730480000005628</v>
      </c>
      <c r="I96">
        <v>-6.0868713643221444</v>
      </c>
      <c r="J96">
        <v>1.0198490187457221</v>
      </c>
      <c r="K96">
        <v>4.7141163238468398</v>
      </c>
      <c r="L96">
        <v>-1.7229954206000597</v>
      </c>
      <c r="M96">
        <v>0.87272912813967096</v>
      </c>
      <c r="N96">
        <v>1.0282547187305591</v>
      </c>
      <c r="O96">
        <v>7.4556500000003134E-3</v>
      </c>
      <c r="P96">
        <v>2.7874855511901719</v>
      </c>
      <c r="Q96">
        <v>2.8959427434891882</v>
      </c>
      <c r="R96">
        <v>3.6262597459136625</v>
      </c>
      <c r="S96">
        <v>2.5205476071028965</v>
      </c>
      <c r="T96">
        <v>-1.3999961766148927</v>
      </c>
      <c r="U96">
        <v>103.95472524340067</v>
      </c>
      <c r="V96">
        <v>4.7407775333498936</v>
      </c>
      <c r="W96">
        <v>1.0755167429647328</v>
      </c>
      <c r="X96">
        <v>-9.8783769999999729E-2</v>
      </c>
      <c r="Y96">
        <v>0.27683292000000093</v>
      </c>
      <c r="Z96">
        <v>0.22748878</v>
      </c>
    </row>
    <row r="97" spans="1:26">
      <c r="A97" s="54" t="str">
        <f>CONCATENATE(raw[[#This Row],[redis_ls]],raw[[#This Row],[wage_eq]],raw[[#This Row],[flex]],raw[[#This Row],[expo]],raw[[#This Row],[_date_]])</f>
        <v>121052597</v>
      </c>
      <c r="B97" s="1">
        <v>52597</v>
      </c>
      <c r="C97">
        <v>1</v>
      </c>
      <c r="D97">
        <v>2</v>
      </c>
      <c r="E97">
        <v>1</v>
      </c>
      <c r="F97">
        <v>0</v>
      </c>
      <c r="G97">
        <v>0.38347959541609189</v>
      </c>
      <c r="H97">
        <v>43.422190000004775</v>
      </c>
      <c r="I97">
        <v>-5.962341493567747</v>
      </c>
      <c r="J97">
        <v>0.994244385214893</v>
      </c>
      <c r="K97">
        <v>4.5822027282172773</v>
      </c>
      <c r="L97">
        <v>-1.6870683905735984</v>
      </c>
      <c r="M97">
        <v>0.85271677682772218</v>
      </c>
      <c r="N97">
        <v>1.0024321597224661</v>
      </c>
      <c r="O97">
        <v>7.2645900000001262E-3</v>
      </c>
      <c r="P97">
        <v>2.7361694913603074</v>
      </c>
      <c r="Q97">
        <v>2.8381837565558232</v>
      </c>
      <c r="R97">
        <v>3.5562767762225223</v>
      </c>
      <c r="S97">
        <v>2.4698156990380138</v>
      </c>
      <c r="T97">
        <v>-1.4712692437689912</v>
      </c>
      <c r="U97">
        <v>105.03122942227088</v>
      </c>
      <c r="V97">
        <v>4.6806341007206376</v>
      </c>
      <c r="W97">
        <v>1.0857452230129239</v>
      </c>
      <c r="X97">
        <v>-8.9202030000000085E-2</v>
      </c>
      <c r="Y97">
        <v>0.27595987999999988</v>
      </c>
      <c r="Z97">
        <v>0.20840182000000027</v>
      </c>
    </row>
    <row r="98" spans="1:26">
      <c r="A98" s="54" t="str">
        <f>CONCATENATE(raw[[#This Row],[redis_ls]],raw[[#This Row],[wage_eq]],raw[[#This Row],[flex]],raw[[#This Row],[expo]],raw[[#This Row],[_date_]])</f>
        <v>121052963</v>
      </c>
      <c r="B98" s="1">
        <v>52963</v>
      </c>
      <c r="C98">
        <v>1</v>
      </c>
      <c r="D98">
        <v>2</v>
      </c>
      <c r="E98">
        <v>1</v>
      </c>
      <c r="F98">
        <v>0</v>
      </c>
      <c r="G98">
        <v>0.36687789142006988</v>
      </c>
      <c r="H98">
        <v>38.921049999997194</v>
      </c>
      <c r="I98">
        <v>-5.8411839093269631</v>
      </c>
      <c r="J98">
        <v>0.97223609910317421</v>
      </c>
      <c r="K98">
        <v>4.4498295996627135</v>
      </c>
      <c r="L98">
        <v>-1.6532943913833309</v>
      </c>
      <c r="M98">
        <v>0.83411457504329878</v>
      </c>
      <c r="N98">
        <v>0.98002617972017259</v>
      </c>
      <c r="O98">
        <v>6.9136599999991555E-3</v>
      </c>
      <c r="P98">
        <v>2.6883707149219616</v>
      </c>
      <c r="Q98">
        <v>2.7843136809040603</v>
      </c>
      <c r="R98">
        <v>3.4912813026541256</v>
      </c>
      <c r="S98">
        <v>2.4222782170611801</v>
      </c>
      <c r="T98">
        <v>-1.5387242675614088</v>
      </c>
      <c r="U98">
        <v>106.07750966129994</v>
      </c>
      <c r="V98">
        <v>4.6245930875547625</v>
      </c>
      <c r="W98">
        <v>1.0950794818225029</v>
      </c>
      <c r="X98">
        <v>-7.9266479999999875E-2</v>
      </c>
      <c r="Y98">
        <v>0.27523089999999945</v>
      </c>
      <c r="Z98">
        <v>0.19228069000000042</v>
      </c>
    </row>
    <row r="99" spans="1:26">
      <c r="A99" s="54" t="str">
        <f>CONCATENATE(raw[[#This Row],[redis_ls]],raw[[#This Row],[wage_eq]],raw[[#This Row],[flex]],raw[[#This Row],[expo]],raw[[#This Row],[_date_]])</f>
        <v>121053328</v>
      </c>
      <c r="B99" s="1">
        <v>53328</v>
      </c>
      <c r="C99">
        <v>1</v>
      </c>
      <c r="D99">
        <v>2</v>
      </c>
      <c r="E99">
        <v>1</v>
      </c>
      <c r="F99">
        <v>0</v>
      </c>
      <c r="G99">
        <v>0.35102690899162514</v>
      </c>
      <c r="H99">
        <v>34.19771000000037</v>
      </c>
      <c r="I99">
        <v>-5.7235132966665825</v>
      </c>
      <c r="J99">
        <v>0.95330660150685365</v>
      </c>
      <c r="K99">
        <v>4.3174484065182206</v>
      </c>
      <c r="L99">
        <v>-1.6215695855125389</v>
      </c>
      <c r="M99">
        <v>0.81671569234940122</v>
      </c>
      <c r="N99">
        <v>0.96055441175650902</v>
      </c>
      <c r="O99">
        <v>6.4338099999991516E-3</v>
      </c>
      <c r="P99">
        <v>2.6437731522058527</v>
      </c>
      <c r="Q99">
        <v>2.7339697096887328</v>
      </c>
      <c r="R99">
        <v>3.430818027725957</v>
      </c>
      <c r="S99">
        <v>2.3776517664072738</v>
      </c>
      <c r="T99">
        <v>-1.6028167507241342</v>
      </c>
      <c r="U99">
        <v>107.09669038979048</v>
      </c>
      <c r="V99">
        <v>4.5722241584765788</v>
      </c>
      <c r="W99">
        <v>1.1035454998356009</v>
      </c>
      <c r="X99">
        <v>-6.8920930000000019E-2</v>
      </c>
      <c r="Y99">
        <v>0.2746269400000001</v>
      </c>
      <c r="Z99">
        <v>0.17872906000000049</v>
      </c>
    </row>
    <row r="100" spans="1:26">
      <c r="A100" s="54" t="str">
        <f>CONCATENATE(raw[[#This Row],[redis_ls]],raw[[#This Row],[wage_eq]],raw[[#This Row],[flex]],raw[[#This Row],[expo]],raw[[#This Row],[_date_]])</f>
        <v>121053693</v>
      </c>
      <c r="B100" s="1">
        <v>53693</v>
      </c>
      <c r="C100">
        <v>1</v>
      </c>
      <c r="D100">
        <v>2</v>
      </c>
      <c r="E100">
        <v>1</v>
      </c>
      <c r="F100">
        <v>0</v>
      </c>
      <c r="G100">
        <v>0.33579108818939662</v>
      </c>
      <c r="H100">
        <v>29.229809999997087</v>
      </c>
      <c r="I100">
        <v>-5.6094110072292036</v>
      </c>
      <c r="J100">
        <v>0.93694034477955768</v>
      </c>
      <c r="K100">
        <v>4.1854570830917259</v>
      </c>
      <c r="L100">
        <v>-1.59176443543535</v>
      </c>
      <c r="M100">
        <v>0.8003118062375858</v>
      </c>
      <c r="N100">
        <v>0.94353853593811543</v>
      </c>
      <c r="O100">
        <v>5.8583800000011621E-3</v>
      </c>
      <c r="P100">
        <v>2.6020381855342389</v>
      </c>
      <c r="Q100">
        <v>2.6867703334131798</v>
      </c>
      <c r="R100">
        <v>3.374398157457148</v>
      </c>
      <c r="S100">
        <v>2.3356375659516759</v>
      </c>
      <c r="T100">
        <v>-1.6639785477889135</v>
      </c>
      <c r="U100">
        <v>108.09128037538875</v>
      </c>
      <c r="V100">
        <v>4.5230523038880088</v>
      </c>
      <c r="W100">
        <v>1.1111592170254703</v>
      </c>
      <c r="X100">
        <v>-5.8126179999999639E-2</v>
      </c>
      <c r="Y100">
        <v>0.27413087000000003</v>
      </c>
      <c r="Z100">
        <v>0.16735519000000004</v>
      </c>
    </row>
    <row r="101" spans="1:26">
      <c r="A101" s="54" t="str">
        <f>CONCATENATE(raw[[#This Row],[redis_ls]],raw[[#This Row],[wage_eq]],raw[[#This Row],[flex]],raw[[#This Row],[expo]],raw[[#This Row],[_date_]])</f>
        <v>121054058</v>
      </c>
      <c r="B101" s="1">
        <v>54058</v>
      </c>
      <c r="C101">
        <v>1</v>
      </c>
      <c r="D101">
        <v>2</v>
      </c>
      <c r="E101">
        <v>1</v>
      </c>
      <c r="F101">
        <v>0</v>
      </c>
      <c r="G101">
        <v>0.32104993780923685</v>
      </c>
      <c r="H101">
        <v>24.003770000002987</v>
      </c>
      <c r="I101">
        <v>-5.4989214941660087</v>
      </c>
      <c r="J101">
        <v>0.9226435688673762</v>
      </c>
      <c r="K101">
        <v>4.0542078328712039</v>
      </c>
      <c r="L101">
        <v>-1.5637293396643215</v>
      </c>
      <c r="M101">
        <v>0.78470239482573145</v>
      </c>
      <c r="N101">
        <v>0.92852265377425525</v>
      </c>
      <c r="O101">
        <v>5.2207499999998297E-3</v>
      </c>
      <c r="P101">
        <v>2.5628142618564942</v>
      </c>
      <c r="Q101">
        <v>2.6423257836063696</v>
      </c>
      <c r="R101">
        <v>3.3215150882879074</v>
      </c>
      <c r="S101">
        <v>2.2959303019882471</v>
      </c>
      <c r="T101">
        <v>-1.7226124558930356</v>
      </c>
      <c r="U101">
        <v>109.06321606875284</v>
      </c>
      <c r="V101">
        <v>4.4765739398833437</v>
      </c>
      <c r="W101">
        <v>1.1179267402527282</v>
      </c>
      <c r="X101">
        <v>-4.6863169999999954E-2</v>
      </c>
      <c r="Y101">
        <v>0.27372566999999959</v>
      </c>
      <c r="Z101">
        <v>0.15778773000000024</v>
      </c>
    </row>
    <row r="102" spans="1:26">
      <c r="A102" s="54" t="str">
        <f>CONCATENATE(raw[[#This Row],[redis_ls]],raw[[#This Row],[wage_eq]],raw[[#This Row],[flex]],raw[[#This Row],[expo]],raw[[#This Row],[_date_]])</f>
        <v>121054424</v>
      </c>
      <c r="B102" s="1">
        <v>54424</v>
      </c>
      <c r="C102">
        <v>1</v>
      </c>
      <c r="D102">
        <v>2</v>
      </c>
      <c r="E102">
        <v>1</v>
      </c>
      <c r="F102">
        <v>0</v>
      </c>
      <c r="G102">
        <v>0.30670222986011186</v>
      </c>
      <c r="H102">
        <v>18.51589999999851</v>
      </c>
      <c r="I102">
        <v>-5.3920503191029701</v>
      </c>
      <c r="J102">
        <v>0.90996012171686846</v>
      </c>
      <c r="K102">
        <v>3.9240134986068487</v>
      </c>
      <c r="L102">
        <v>-1.5373001666277419</v>
      </c>
      <c r="M102">
        <v>0.76970212243765435</v>
      </c>
      <c r="N102">
        <v>0.91508566071769604</v>
      </c>
      <c r="O102">
        <v>4.5522800000002972E-3</v>
      </c>
      <c r="P102">
        <v>2.5257471004493937</v>
      </c>
      <c r="Q102">
        <v>2.6002475878305065</v>
      </c>
      <c r="R102">
        <v>3.2716592020980872</v>
      </c>
      <c r="S102">
        <v>2.2582248262787541</v>
      </c>
      <c r="T102">
        <v>-1.7790873259085904</v>
      </c>
      <c r="U102">
        <v>110.01391226121311</v>
      </c>
      <c r="V102">
        <v>4.4322725633316962</v>
      </c>
      <c r="W102">
        <v>1.123844982691713</v>
      </c>
      <c r="X102">
        <v>-3.5134829999999839E-2</v>
      </c>
      <c r="Y102">
        <v>0.27339302999999926</v>
      </c>
      <c r="Z102">
        <v>0.14968709999999968</v>
      </c>
    </row>
    <row r="103" spans="1:26">
      <c r="A103" s="54" t="str">
        <f>CONCATENATE(raw[[#This Row],[redis_ls]],raw[[#This Row],[wage_eq]],raw[[#This Row],[flex]],raw[[#This Row],[expo]],raw[[#This Row],[_date_]])</f>
        <v>121054789</v>
      </c>
      <c r="B103" s="1">
        <v>54789</v>
      </c>
      <c r="C103">
        <v>1</v>
      </c>
      <c r="D103">
        <v>2</v>
      </c>
      <c r="E103">
        <v>1</v>
      </c>
      <c r="F103">
        <v>0</v>
      </c>
      <c r="G103">
        <v>0.29266794661404472</v>
      </c>
      <c r="H103">
        <v>12.772949999998673</v>
      </c>
      <c r="I103">
        <v>-5.2887635342435679</v>
      </c>
      <c r="J103">
        <v>0.89848195470869641</v>
      </c>
      <c r="K103">
        <v>3.7951527131313778</v>
      </c>
      <c r="L103">
        <v>-1.5123039826448026</v>
      </c>
      <c r="M103">
        <v>0.75514594454135775</v>
      </c>
      <c r="N103">
        <v>0.90285085131429632</v>
      </c>
      <c r="O103">
        <v>3.8807700000004219E-3</v>
      </c>
      <c r="P103">
        <v>2.4904876247211938</v>
      </c>
      <c r="Q103">
        <v>2.5601586445446411</v>
      </c>
      <c r="R103">
        <v>3.2243311834032173</v>
      </c>
      <c r="S103">
        <v>2.2222239568490787</v>
      </c>
      <c r="T103">
        <v>-1.8337351458029505</v>
      </c>
      <c r="U103">
        <v>110.94431903066022</v>
      </c>
      <c r="V103">
        <v>4.3896336346204379</v>
      </c>
      <c r="W103">
        <v>1.1289028790684608</v>
      </c>
      <c r="X103">
        <v>-2.2966280000000228E-2</v>
      </c>
      <c r="Y103">
        <v>0.27311290999999932</v>
      </c>
      <c r="Z103">
        <v>0.14275280999999987</v>
      </c>
    </row>
    <row r="104" spans="1:26">
      <c r="A104" s="54" t="str">
        <f>CONCATENATE(raw[[#This Row],[redis_ls]],raw[[#This Row],[wage_eq]],raw[[#This Row],[flex]],raw[[#This Row],[expo]],raw[[#This Row],[_date_]])</f>
        <v>120136526</v>
      </c>
      <c r="B104" s="1">
        <v>36526</v>
      </c>
      <c r="C104">
        <v>1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5.2026882370270755E-3</v>
      </c>
      <c r="U104">
        <v>0.2157037194778777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54" t="str">
        <f>CONCATENATE(raw[[#This Row],[redis_ls]],raw[[#This Row],[wage_eq]],raw[[#This Row],[flex]],raw[[#This Row],[expo]],raw[[#This Row],[_date_]])</f>
        <v>120136892</v>
      </c>
      <c r="B105" s="1">
        <v>36892</v>
      </c>
      <c r="C105">
        <v>1</v>
      </c>
      <c r="D105">
        <v>2</v>
      </c>
      <c r="E105">
        <v>0</v>
      </c>
      <c r="F105">
        <v>1</v>
      </c>
      <c r="G105">
        <v>2.191077976476663E-3</v>
      </c>
      <c r="H105">
        <v>18.336269999999786</v>
      </c>
      <c r="I105">
        <v>-1.2464563744634227</v>
      </c>
      <c r="J105">
        <v>4.8609427957413409E-2</v>
      </c>
      <c r="K105">
        <v>-0.18138312046330762</v>
      </c>
      <c r="L105">
        <v>-0.12556246709292118</v>
      </c>
      <c r="M105">
        <v>-0.14795314650819513</v>
      </c>
      <c r="N105">
        <v>6.755609262714124E-2</v>
      </c>
      <c r="O105">
        <v>1.6990110000000835E-2</v>
      </c>
      <c r="P105">
        <v>0.4532885355993832</v>
      </c>
      <c r="Q105">
        <v>6.5779325190806759E-2</v>
      </c>
      <c r="R105">
        <v>-0.72262555120433669</v>
      </c>
      <c r="S105">
        <v>0.84707681417510727</v>
      </c>
      <c r="T105">
        <v>0.21498271876343455</v>
      </c>
      <c r="U105">
        <v>0.74412066867655113</v>
      </c>
      <c r="V105">
        <v>1.3702796261538808E-2</v>
      </c>
      <c r="W105">
        <v>0.74168799147427134</v>
      </c>
      <c r="X105">
        <v>-5.4771210000000015E-2</v>
      </c>
      <c r="Y105">
        <v>6.5881949999999773E-2</v>
      </c>
      <c r="Z105">
        <v>-2.8343813000000079E-2</v>
      </c>
    </row>
    <row r="106" spans="1:26">
      <c r="A106" s="54" t="str">
        <f>CONCATENATE(raw[[#This Row],[redis_ls]],raw[[#This Row],[wage_eq]],raw[[#This Row],[flex]],raw[[#This Row],[expo]],raw[[#This Row],[_date_]])</f>
        <v>120137257</v>
      </c>
      <c r="B106" s="1">
        <v>37257</v>
      </c>
      <c r="C106">
        <v>1</v>
      </c>
      <c r="D106">
        <v>2</v>
      </c>
      <c r="E106">
        <v>0</v>
      </c>
      <c r="F106">
        <v>1</v>
      </c>
      <c r="G106">
        <v>-9.584903026171876E-3</v>
      </c>
      <c r="H106">
        <v>33.518040000002657</v>
      </c>
      <c r="I106">
        <v>-2.0727360156766128</v>
      </c>
      <c r="J106">
        <v>0.11329841203326918</v>
      </c>
      <c r="K106">
        <v>-0.35613075190409349</v>
      </c>
      <c r="L106">
        <v>-0.2930021340365685</v>
      </c>
      <c r="M106">
        <v>-0.24342176171179286</v>
      </c>
      <c r="N106">
        <v>0.13550504828481191</v>
      </c>
      <c r="O106">
        <v>1.9897659999999762E-2</v>
      </c>
      <c r="P106">
        <v>0.50416738043457254</v>
      </c>
      <c r="Q106">
        <v>0.1309123731110251</v>
      </c>
      <c r="R106">
        <v>-0.64218931823775138</v>
      </c>
      <c r="S106">
        <v>0.89603212633706519</v>
      </c>
      <c r="T106">
        <v>0.335274605732927</v>
      </c>
      <c r="U106">
        <v>1.6069773382424879</v>
      </c>
      <c r="V106">
        <v>0.16342727874147922</v>
      </c>
      <c r="W106">
        <v>0.8108236107774669</v>
      </c>
      <c r="X106">
        <v>-9.5314050000000483E-2</v>
      </c>
      <c r="Y106">
        <v>8.425853000000004E-2</v>
      </c>
      <c r="Z106">
        <v>2.3679410000001372E-3</v>
      </c>
    </row>
    <row r="107" spans="1:26">
      <c r="A107" s="54" t="str">
        <f>CONCATENATE(raw[[#This Row],[redis_ls]],raw[[#This Row],[wage_eq]],raw[[#This Row],[flex]],raw[[#This Row],[expo]],raw[[#This Row],[_date_]])</f>
        <v>120137622</v>
      </c>
      <c r="B107" s="1">
        <v>37622</v>
      </c>
      <c r="C107">
        <v>1</v>
      </c>
      <c r="D107">
        <v>2</v>
      </c>
      <c r="E107">
        <v>0</v>
      </c>
      <c r="F107">
        <v>1</v>
      </c>
      <c r="G107">
        <v>-4.2058323036098244E-2</v>
      </c>
      <c r="H107">
        <v>38.926369999997405</v>
      </c>
      <c r="I107">
        <v>-2.5902621440557549</v>
      </c>
      <c r="J107">
        <v>0.16299476470003071</v>
      </c>
      <c r="K107">
        <v>-0.51204724149629399</v>
      </c>
      <c r="L107">
        <v>-0.46978639014029211</v>
      </c>
      <c r="M107">
        <v>-0.29348106507968152</v>
      </c>
      <c r="N107">
        <v>0.17322282926006682</v>
      </c>
      <c r="O107">
        <v>9.1575699999998927E-3</v>
      </c>
      <c r="P107">
        <v>0.56712471405486742</v>
      </c>
      <c r="Q107">
        <v>0.20641737374675895</v>
      </c>
      <c r="R107">
        <v>-0.54877741154841786</v>
      </c>
      <c r="S107">
        <v>0.95188035067239607</v>
      </c>
      <c r="T107">
        <v>0.40704838414904465</v>
      </c>
      <c r="U107">
        <v>2.7834333287757529</v>
      </c>
      <c r="V107">
        <v>0.32429380218097492</v>
      </c>
      <c r="W107">
        <v>0.87788884867283645</v>
      </c>
      <c r="X107">
        <v>-0.1054206299999999</v>
      </c>
      <c r="Y107">
        <v>8.0190479999999939E-2</v>
      </c>
      <c r="Z107">
        <v>-1.434013999999928E-3</v>
      </c>
    </row>
    <row r="108" spans="1:26">
      <c r="A108" s="54" t="str">
        <f>CONCATENATE(raw[[#This Row],[redis_ls]],raw[[#This Row],[wage_eq]],raw[[#This Row],[flex]],raw[[#This Row],[expo]],raw[[#This Row],[_date_]])</f>
        <v>120137987</v>
      </c>
      <c r="B108" s="1">
        <v>37987</v>
      </c>
      <c r="C108">
        <v>1</v>
      </c>
      <c r="D108">
        <v>2</v>
      </c>
      <c r="E108">
        <v>0</v>
      </c>
      <c r="F108">
        <v>1</v>
      </c>
      <c r="G108">
        <v>-9.5708064458510655E-2</v>
      </c>
      <c r="H108">
        <v>33.599620000000868</v>
      </c>
      <c r="I108">
        <v>-2.9197788399525249</v>
      </c>
      <c r="J108">
        <v>0.17989744334430124</v>
      </c>
      <c r="K108">
        <v>-0.65241513112870297</v>
      </c>
      <c r="L108">
        <v>-0.64098955192238849</v>
      </c>
      <c r="M108">
        <v>-0.32537531080732984</v>
      </c>
      <c r="N108">
        <v>0.17261243689792316</v>
      </c>
      <c r="O108">
        <v>-6.5196399999994936E-3</v>
      </c>
      <c r="P108">
        <v>0.6323338215981078</v>
      </c>
      <c r="Q108">
        <v>0.28332139053501848</v>
      </c>
      <c r="R108">
        <v>-0.45371321446283641</v>
      </c>
      <c r="S108">
        <v>1.0081608620211568</v>
      </c>
      <c r="T108">
        <v>0.44601111936850568</v>
      </c>
      <c r="U108">
        <v>4.230313291509713</v>
      </c>
      <c r="V108">
        <v>0.46435117355165811</v>
      </c>
      <c r="W108">
        <v>0.92224872817627812</v>
      </c>
      <c r="X108">
        <v>-8.5551219999999151E-2</v>
      </c>
      <c r="Y108">
        <v>6.6608929999999872E-2</v>
      </c>
      <c r="Z108">
        <v>-3.3341842000000031E-2</v>
      </c>
    </row>
    <row r="109" spans="1:26">
      <c r="A109" s="54" t="str">
        <f>CONCATENATE(raw[[#This Row],[redis_ls]],raw[[#This Row],[wage_eq]],raw[[#This Row],[flex]],raw[[#This Row],[expo]],raw[[#This Row],[_date_]])</f>
        <v>120138353</v>
      </c>
      <c r="B109" s="1">
        <v>38353</v>
      </c>
      <c r="C109">
        <v>1</v>
      </c>
      <c r="D109">
        <v>2</v>
      </c>
      <c r="E109">
        <v>0</v>
      </c>
      <c r="F109">
        <v>1</v>
      </c>
      <c r="G109">
        <v>-0.16434649418244351</v>
      </c>
      <c r="H109">
        <v>19.121220000000903</v>
      </c>
      <c r="I109">
        <v>-3.1360940219408495</v>
      </c>
      <c r="J109">
        <v>0.16496315939147355</v>
      </c>
      <c r="K109">
        <v>-0.78119069188310464</v>
      </c>
      <c r="L109">
        <v>-0.79739556191675831</v>
      </c>
      <c r="M109">
        <v>-0.35459720438317799</v>
      </c>
      <c r="N109">
        <v>0.14494603495947</v>
      </c>
      <c r="O109">
        <v>-1.7910809999999167E-2</v>
      </c>
      <c r="P109">
        <v>0.68988618869094687</v>
      </c>
      <c r="Q109">
        <v>0.35088343519085186</v>
      </c>
      <c r="R109">
        <v>-0.37019018391002412</v>
      </c>
      <c r="S109">
        <v>1.0567510389084767</v>
      </c>
      <c r="T109">
        <v>0.45916682664266517</v>
      </c>
      <c r="U109">
        <v>5.8932532523317427</v>
      </c>
      <c r="V109">
        <v>0.57639521766017499</v>
      </c>
      <c r="W109">
        <v>0.95010259341055114</v>
      </c>
      <c r="X109">
        <v>-4.2277889999998985E-2</v>
      </c>
      <c r="Y109">
        <v>4.9822860000000094E-2</v>
      </c>
      <c r="Z109">
        <v>-8.1298832000000015E-2</v>
      </c>
    </row>
    <row r="110" spans="1:26">
      <c r="A110" s="54" t="str">
        <f>CONCATENATE(raw[[#This Row],[redis_ls]],raw[[#This Row],[wage_eq]],raw[[#This Row],[flex]],raw[[#This Row],[expo]],raw[[#This Row],[_date_]])</f>
        <v>120138718</v>
      </c>
      <c r="B110" s="1">
        <v>38718</v>
      </c>
      <c r="C110">
        <v>1</v>
      </c>
      <c r="D110">
        <v>2</v>
      </c>
      <c r="E110">
        <v>0</v>
      </c>
      <c r="F110">
        <v>1</v>
      </c>
      <c r="G110">
        <v>-0.23936500115834258</v>
      </c>
      <c r="H110">
        <v>-1.8222000000023399</v>
      </c>
      <c r="I110">
        <v>-3.2804710246273516</v>
      </c>
      <c r="J110">
        <v>0.12750097976728103</v>
      </c>
      <c r="K110">
        <v>-0.89906365821124101</v>
      </c>
      <c r="L110">
        <v>-0.9321201445243732</v>
      </c>
      <c r="M110">
        <v>-0.38633345112105699</v>
      </c>
      <c r="N110">
        <v>0.10230190188087462</v>
      </c>
      <c r="O110">
        <v>-2.2548349999999828E-2</v>
      </c>
      <c r="P110">
        <v>0.73312889446299767</v>
      </c>
      <c r="Q110">
        <v>0.4015637933495686</v>
      </c>
      <c r="R110">
        <v>-0.30735124551831694</v>
      </c>
      <c r="S110">
        <v>1.0918270216733195</v>
      </c>
      <c r="T110">
        <v>0.45100529042574333</v>
      </c>
      <c r="U110">
        <v>7.7125347236624231</v>
      </c>
      <c r="V110">
        <v>0.65877567243171065</v>
      </c>
      <c r="W110">
        <v>0.96910546473401027</v>
      </c>
      <c r="X110">
        <v>1.5810339999999812E-2</v>
      </c>
      <c r="Y110">
        <v>3.2657919999999965E-2</v>
      </c>
      <c r="Z110">
        <v>-0.13476366599999998</v>
      </c>
    </row>
    <row r="111" spans="1:26">
      <c r="A111" s="54" t="str">
        <f>CONCATENATE(raw[[#This Row],[redis_ls]],raw[[#This Row],[wage_eq]],raw[[#This Row],[flex]],raw[[#This Row],[expo]],raw[[#This Row],[_date_]])</f>
        <v>120139083</v>
      </c>
      <c r="B111" s="1">
        <v>39083</v>
      </c>
      <c r="C111">
        <v>1</v>
      </c>
      <c r="D111">
        <v>2</v>
      </c>
      <c r="E111">
        <v>0</v>
      </c>
      <c r="F111">
        <v>1</v>
      </c>
      <c r="G111">
        <v>-0.3127077544364143</v>
      </c>
      <c r="H111">
        <v>-26.281319999998232</v>
      </c>
      <c r="I111">
        <v>-3.3749646689292145</v>
      </c>
      <c r="J111">
        <v>7.7971315620550818E-2</v>
      </c>
      <c r="K111">
        <v>-1.0043212276028224</v>
      </c>
      <c r="L111">
        <v>-1.0400589824295259</v>
      </c>
      <c r="M111">
        <v>-0.42050083199577371</v>
      </c>
      <c r="N111">
        <v>5.3766718911063549E-2</v>
      </c>
      <c r="O111">
        <v>-2.1661789999999348E-2</v>
      </c>
      <c r="P111">
        <v>0.75860791225874635</v>
      </c>
      <c r="Q111">
        <v>0.43152769281380454</v>
      </c>
      <c r="R111">
        <v>-0.26967342881569767</v>
      </c>
      <c r="S111">
        <v>1.1102605166718238</v>
      </c>
      <c r="T111">
        <v>0.42542697065350854</v>
      </c>
      <c r="U111">
        <v>9.6263601105737617</v>
      </c>
      <c r="V111">
        <v>0.71115381239683639</v>
      </c>
      <c r="W111">
        <v>0.983479438967505</v>
      </c>
      <c r="X111">
        <v>8.0226960000000236E-2</v>
      </c>
      <c r="Y111">
        <v>1.6521650000000075E-2</v>
      </c>
      <c r="Z111">
        <v>-0.1861214105</v>
      </c>
    </row>
    <row r="112" spans="1:26">
      <c r="A112" s="54" t="str">
        <f>CONCATENATE(raw[[#This Row],[redis_ls]],raw[[#This Row],[wage_eq]],raw[[#This Row],[flex]],raw[[#This Row],[expo]],raw[[#This Row],[_date_]])</f>
        <v>120139448</v>
      </c>
      <c r="B112" s="1">
        <v>39448</v>
      </c>
      <c r="C112">
        <v>1</v>
      </c>
      <c r="D112">
        <v>2</v>
      </c>
      <c r="E112">
        <v>0</v>
      </c>
      <c r="F112">
        <v>1</v>
      </c>
      <c r="G112">
        <v>-0.37812797903791218</v>
      </c>
      <c r="H112">
        <v>-51.521110000001499</v>
      </c>
      <c r="I112">
        <v>-3.4316047094403834</v>
      </c>
      <c r="J112">
        <v>2.4967371707140806E-2</v>
      </c>
      <c r="K112">
        <v>-1.0945452734021699</v>
      </c>
      <c r="L112">
        <v>-1.1179794113884478</v>
      </c>
      <c r="M112">
        <v>-0.45513803177857914</v>
      </c>
      <c r="N112">
        <v>5.4792130114833526E-3</v>
      </c>
      <c r="O112">
        <v>-1.7444760000000226E-2</v>
      </c>
      <c r="P112">
        <v>0.76529282406503363</v>
      </c>
      <c r="Q112">
        <v>0.43992263261531939</v>
      </c>
      <c r="R112">
        <v>-0.25786592448612256</v>
      </c>
      <c r="S112">
        <v>1.1111029925104265</v>
      </c>
      <c r="T112">
        <v>0.38614224391058105</v>
      </c>
      <c r="U112">
        <v>11.573194172361934</v>
      </c>
      <c r="V112">
        <v>0.73410106580218404</v>
      </c>
      <c r="W112">
        <v>0.99453155245727842</v>
      </c>
      <c r="X112">
        <v>0.14367971000000049</v>
      </c>
      <c r="Y112">
        <v>2.3530480000000589E-3</v>
      </c>
      <c r="Z112">
        <v>-0.23049593200000001</v>
      </c>
    </row>
    <row r="113" spans="1:26">
      <c r="A113" s="54" t="str">
        <f>CONCATENATE(raw[[#This Row],[redis_ls]],raw[[#This Row],[wage_eq]],raw[[#This Row],[flex]],raw[[#This Row],[expo]],raw[[#This Row],[_date_]])</f>
        <v>120139814</v>
      </c>
      <c r="B113" s="1">
        <v>39814</v>
      </c>
      <c r="C113">
        <v>1</v>
      </c>
      <c r="D113">
        <v>2</v>
      </c>
      <c r="E113">
        <v>0</v>
      </c>
      <c r="F113">
        <v>1</v>
      </c>
      <c r="G113">
        <v>-0.4314184977091462</v>
      </c>
      <c r="H113">
        <v>-75.246009999998932</v>
      </c>
      <c r="I113">
        <v>-3.4574779607653872</v>
      </c>
      <c r="J113">
        <v>-2.5438860311421951E-2</v>
      </c>
      <c r="K113">
        <v>-1.1677764612976205</v>
      </c>
      <c r="L113">
        <v>-1.1645763058093506</v>
      </c>
      <c r="M113">
        <v>-0.48807066530822674</v>
      </c>
      <c r="N113">
        <v>-3.8619987341281803E-2</v>
      </c>
      <c r="O113">
        <v>-1.1802079999999326E-2</v>
      </c>
      <c r="P113">
        <v>0.75386367654544095</v>
      </c>
      <c r="Q113">
        <v>0.42801634439944003</v>
      </c>
      <c r="R113">
        <v>-0.26996988637089103</v>
      </c>
      <c r="S113">
        <v>1.0949941421094511</v>
      </c>
      <c r="T113">
        <v>0.33664866172447017</v>
      </c>
      <c r="U113">
        <v>13.493956127206852</v>
      </c>
      <c r="V113">
        <v>0.7292841450497356</v>
      </c>
      <c r="W113">
        <v>1.0019590116710608</v>
      </c>
      <c r="X113">
        <v>0.20049720999999951</v>
      </c>
      <c r="Y113">
        <v>-9.0659209999999907E-3</v>
      </c>
      <c r="Z113">
        <v>-0.26518816399999989</v>
      </c>
    </row>
    <row r="114" spans="1:26">
      <c r="A114" s="54" t="str">
        <f>CONCATENATE(raw[[#This Row],[redis_ls]],raw[[#This Row],[wage_eq]],raw[[#This Row],[flex]],raw[[#This Row],[expo]],raw[[#This Row],[_date_]])</f>
        <v>120140179</v>
      </c>
      <c r="B114" s="1">
        <v>40179</v>
      </c>
      <c r="C114">
        <v>1</v>
      </c>
      <c r="D114">
        <v>2</v>
      </c>
      <c r="E114">
        <v>0</v>
      </c>
      <c r="F114">
        <v>1</v>
      </c>
      <c r="G114">
        <v>-0.4702002653727666</v>
      </c>
      <c r="H114">
        <v>-95.672230000000127</v>
      </c>
      <c r="I114">
        <v>-3.4573497245000806</v>
      </c>
      <c r="J114">
        <v>-6.9387433541667765E-2</v>
      </c>
      <c r="K114">
        <v>-1.2230127735623486</v>
      </c>
      <c r="L114">
        <v>-1.180366969608404</v>
      </c>
      <c r="M114">
        <v>-0.51753644347899419</v>
      </c>
      <c r="N114">
        <v>-7.6104714084124225E-2</v>
      </c>
      <c r="O114">
        <v>-6.0161899999994217E-3</v>
      </c>
      <c r="P114">
        <v>0.7261900720189951</v>
      </c>
      <c r="Q114">
        <v>0.39847893979589877</v>
      </c>
      <c r="R114">
        <v>-0.30229762764665269</v>
      </c>
      <c r="S114">
        <v>1.0636910766398167</v>
      </c>
      <c r="T114">
        <v>0.28015169456774291</v>
      </c>
      <c r="U114">
        <v>15.334296446293184</v>
      </c>
      <c r="V114">
        <v>0.69950121822222044</v>
      </c>
      <c r="W114">
        <v>1.004836444997248</v>
      </c>
      <c r="X114">
        <v>0.24666867999999995</v>
      </c>
      <c r="Y114">
        <v>-1.7089122299999992E-2</v>
      </c>
      <c r="Z114">
        <v>-0.28909593999999988</v>
      </c>
    </row>
    <row r="115" spans="1:26">
      <c r="A115" s="54" t="str">
        <f>CONCATENATE(raw[[#This Row],[redis_ls]],raw[[#This Row],[wage_eq]],raw[[#This Row],[flex]],raw[[#This Row],[expo]],raw[[#This Row],[_date_]])</f>
        <v>120140544</v>
      </c>
      <c r="B115" s="1">
        <v>40544</v>
      </c>
      <c r="C115">
        <v>1</v>
      </c>
      <c r="D115">
        <v>2</v>
      </c>
      <c r="E115">
        <v>0</v>
      </c>
      <c r="F115">
        <v>1</v>
      </c>
      <c r="G115">
        <v>-0.49358734207270993</v>
      </c>
      <c r="H115">
        <v>-111.52439999999842</v>
      </c>
      <c r="I115">
        <v>-3.4349608655518726</v>
      </c>
      <c r="J115">
        <v>-0.10467700369433119</v>
      </c>
      <c r="K115">
        <v>-1.2602699132852835</v>
      </c>
      <c r="L115">
        <v>-1.167460426152378</v>
      </c>
      <c r="M115">
        <v>-0.54231546158721722</v>
      </c>
      <c r="N115">
        <v>-0.10557686372184572</v>
      </c>
      <c r="O115">
        <v>-8.0616000000116594E-4</v>
      </c>
      <c r="P115">
        <v>0.68495324762465337</v>
      </c>
      <c r="Q115">
        <v>0.35483220494507695</v>
      </c>
      <c r="R115">
        <v>-0.35017314601479832</v>
      </c>
      <c r="S115">
        <v>1.0197090260453567</v>
      </c>
      <c r="T115">
        <v>0.21951177171442016</v>
      </c>
      <c r="U115">
        <v>17.046879276458426</v>
      </c>
      <c r="V115">
        <v>0.64852598410982676</v>
      </c>
      <c r="W115">
        <v>1.0022085814097137</v>
      </c>
      <c r="X115">
        <v>0.27970516999999989</v>
      </c>
      <c r="Y115">
        <v>-2.1282240999999976E-2</v>
      </c>
      <c r="Z115">
        <v>-0.30222039000000028</v>
      </c>
    </row>
    <row r="116" spans="1:26">
      <c r="A116" s="54" t="str">
        <f>CONCATENATE(raw[[#This Row],[redis_ls]],raw[[#This Row],[wage_eq]],raw[[#This Row],[flex]],raw[[#This Row],[expo]],raw[[#This Row],[_date_]])</f>
        <v>120140909</v>
      </c>
      <c r="B116" s="1">
        <v>40909</v>
      </c>
      <c r="C116">
        <v>1</v>
      </c>
      <c r="D116">
        <v>2</v>
      </c>
      <c r="E116">
        <v>0</v>
      </c>
      <c r="F116">
        <v>1</v>
      </c>
      <c r="G116">
        <v>-0.50186245653603967</v>
      </c>
      <c r="H116">
        <v>-122.00605999999971</v>
      </c>
      <c r="I116">
        <v>-3.3936511488085963</v>
      </c>
      <c r="J116">
        <v>-0.13026516648222408</v>
      </c>
      <c r="K116">
        <v>-1.2804355489528185</v>
      </c>
      <c r="L116">
        <v>-1.1292545206278648</v>
      </c>
      <c r="M116">
        <v>-0.56167607335541048</v>
      </c>
      <c r="N116">
        <v>-0.12635609781028734</v>
      </c>
      <c r="O116">
        <v>3.5028700000008794E-3</v>
      </c>
      <c r="P116">
        <v>0.63334559848320371</v>
      </c>
      <c r="Q116">
        <v>0.30102129540652278</v>
      </c>
      <c r="R116">
        <v>-0.40851288612039349</v>
      </c>
      <c r="S116">
        <v>0.96603132685617599</v>
      </c>
      <c r="T116">
        <v>0.157212762487835</v>
      </c>
      <c r="U116">
        <v>18.593438938741123</v>
      </c>
      <c r="V116">
        <v>0.58084123853754388</v>
      </c>
      <c r="W116">
        <v>0.99341235126562122</v>
      </c>
      <c r="X116">
        <v>0.29844785400000001</v>
      </c>
      <c r="Y116">
        <v>-2.1499279999999919E-2</v>
      </c>
      <c r="Z116">
        <v>-0.3052840899999999</v>
      </c>
    </row>
    <row r="117" spans="1:26">
      <c r="A117" s="54" t="str">
        <f>CONCATENATE(raw[[#This Row],[redis_ls]],raw[[#This Row],[wage_eq]],raw[[#This Row],[flex]],raw[[#This Row],[expo]],raw[[#This Row],[_date_]])</f>
        <v>120141275</v>
      </c>
      <c r="B117" s="1">
        <v>41275</v>
      </c>
      <c r="C117">
        <v>1</v>
      </c>
      <c r="D117">
        <v>2</v>
      </c>
      <c r="E117">
        <v>0</v>
      </c>
      <c r="F117">
        <v>1</v>
      </c>
      <c r="G117">
        <v>-0.49619919478398611</v>
      </c>
      <c r="H117">
        <v>-126.76598000000013</v>
      </c>
      <c r="I117">
        <v>-3.3366431569879951</v>
      </c>
      <c r="J117">
        <v>-0.14590806329730643</v>
      </c>
      <c r="K117">
        <v>-1.2850631396830625</v>
      </c>
      <c r="L117">
        <v>-1.0700976636717208</v>
      </c>
      <c r="M117">
        <v>-0.57528169574269095</v>
      </c>
      <c r="N117">
        <v>-0.13830109569419324</v>
      </c>
      <c r="O117">
        <v>6.8181500000000228E-3</v>
      </c>
      <c r="P117">
        <v>0.57480656189070611</v>
      </c>
      <c r="Q117">
        <v>0.24107227600107528</v>
      </c>
      <c r="R117">
        <v>-0.4722812343605387</v>
      </c>
      <c r="S117">
        <v>0.90585886751823885</v>
      </c>
      <c r="T117">
        <v>9.5341276840588129E-2</v>
      </c>
      <c r="U117">
        <v>19.946343313109406</v>
      </c>
      <c r="V117">
        <v>0.50132943161009802</v>
      </c>
      <c r="W117">
        <v>0.97823066878963694</v>
      </c>
      <c r="X117">
        <v>0.30287786400000011</v>
      </c>
      <c r="Y117">
        <v>-1.7916800000000038E-2</v>
      </c>
      <c r="Z117">
        <v>-0.29945420000000028</v>
      </c>
    </row>
    <row r="118" spans="1:26">
      <c r="A118" s="54" t="str">
        <f>CONCATENATE(raw[[#This Row],[redis_ls]],raw[[#This Row],[wage_eq]],raw[[#This Row],[flex]],raw[[#This Row],[expo]],raw[[#This Row],[_date_]])</f>
        <v>120141640</v>
      </c>
      <c r="B118" s="1">
        <v>41640</v>
      </c>
      <c r="C118">
        <v>1</v>
      </c>
      <c r="D118">
        <v>2</v>
      </c>
      <c r="E118">
        <v>0</v>
      </c>
      <c r="F118">
        <v>1</v>
      </c>
      <c r="G118">
        <v>-0.47842747765011184</v>
      </c>
      <c r="H118">
        <v>-125.86474000000089</v>
      </c>
      <c r="I118">
        <v>-3.2671477667648996</v>
      </c>
      <c r="J118">
        <v>-0.15193210553978709</v>
      </c>
      <c r="K118">
        <v>-1.2761717335027734</v>
      </c>
      <c r="L118">
        <v>-0.99493880692087533</v>
      </c>
      <c r="M118">
        <v>-0.58311126630316013</v>
      </c>
      <c r="N118">
        <v>-0.1417117200354534</v>
      </c>
      <c r="O118">
        <v>9.1624799999995288E-3</v>
      </c>
      <c r="P118">
        <v>0.51278026311953884</v>
      </c>
      <c r="Q118">
        <v>0.17882011332979175</v>
      </c>
      <c r="R118">
        <v>-0.53683960746282455</v>
      </c>
      <c r="S118">
        <v>0.84238634588895689</v>
      </c>
      <c r="T118">
        <v>3.5570493731706954E-2</v>
      </c>
      <c r="U118">
        <v>21.089445019411123</v>
      </c>
      <c r="V118">
        <v>0.41495813230563172</v>
      </c>
      <c r="W118">
        <v>0.95693495012170171</v>
      </c>
      <c r="X118">
        <v>0.29393691999999999</v>
      </c>
      <c r="Y118">
        <v>-1.1014209999999844E-2</v>
      </c>
      <c r="Z118">
        <v>-0.28615016999999976</v>
      </c>
    </row>
    <row r="119" spans="1:26">
      <c r="A119" s="54" t="str">
        <f>CONCATENATE(raw[[#This Row],[redis_ls]],raw[[#This Row],[wage_eq]],raw[[#This Row],[flex]],raw[[#This Row],[expo]],raw[[#This Row],[_date_]])</f>
        <v>120142005</v>
      </c>
      <c r="B119" s="1">
        <v>42005</v>
      </c>
      <c r="C119">
        <v>1</v>
      </c>
      <c r="D119">
        <v>2</v>
      </c>
      <c r="E119">
        <v>0</v>
      </c>
      <c r="F119">
        <v>1</v>
      </c>
      <c r="G119">
        <v>-0.45082603491161111</v>
      </c>
      <c r="H119">
        <v>-119.7348299999976</v>
      </c>
      <c r="I119">
        <v>-3.1883671256129231</v>
      </c>
      <c r="J119">
        <v>-0.1490993970476806</v>
      </c>
      <c r="K119">
        <v>-1.256071163531991</v>
      </c>
      <c r="L119">
        <v>-0.90898278734106164</v>
      </c>
      <c r="M119">
        <v>-0.58540137321846375</v>
      </c>
      <c r="N119">
        <v>-0.13727229319768774</v>
      </c>
      <c r="O119">
        <v>1.060501999999991E-2</v>
      </c>
      <c r="P119">
        <v>0.45050011176483995</v>
      </c>
      <c r="Q119">
        <v>0.11769624756465813</v>
      </c>
      <c r="R119">
        <v>-0.59819483264844653</v>
      </c>
      <c r="S119">
        <v>0.77860673674161607</v>
      </c>
      <c r="T119">
        <v>-2.0847462264839134E-2</v>
      </c>
      <c r="U119">
        <v>22.018097012286542</v>
      </c>
      <c r="V119">
        <v>0.32648434659465764</v>
      </c>
      <c r="W119">
        <v>0.93024384093491896</v>
      </c>
      <c r="X119">
        <v>0.27334712999999983</v>
      </c>
      <c r="Y119">
        <v>-1.5075700000002218E-3</v>
      </c>
      <c r="Z119">
        <v>-0.26691184000000034</v>
      </c>
    </row>
    <row r="120" spans="1:26">
      <c r="A120" s="54" t="str">
        <f>CONCATENATE(raw[[#This Row],[redis_ls]],raw[[#This Row],[wage_eq]],raw[[#This Row],[flex]],raw[[#This Row],[expo]],raw[[#This Row],[_date_]])</f>
        <v>120142370</v>
      </c>
      <c r="B120" s="1">
        <v>42370</v>
      </c>
      <c r="C120">
        <v>1</v>
      </c>
      <c r="D120">
        <v>2</v>
      </c>
      <c r="E120">
        <v>0</v>
      </c>
      <c r="F120">
        <v>1</v>
      </c>
      <c r="G120">
        <v>-0.41593157466183195</v>
      </c>
      <c r="H120">
        <v>-109.1263199999994</v>
      </c>
      <c r="I120">
        <v>-3.1034362345313649</v>
      </c>
      <c r="J120">
        <v>-0.13852136715734042</v>
      </c>
      <c r="K120">
        <v>-1.2272103734879525</v>
      </c>
      <c r="L120">
        <v>-0.81736754684439417</v>
      </c>
      <c r="M120">
        <v>-0.58260174278661481</v>
      </c>
      <c r="N120">
        <v>-0.12600008649675809</v>
      </c>
      <c r="O120">
        <v>1.1229339999999088E-2</v>
      </c>
      <c r="P120">
        <v>0.39080951492571625</v>
      </c>
      <c r="Q120">
        <v>6.0579050299813808E-2</v>
      </c>
      <c r="R120">
        <v>-0.65315390277104202</v>
      </c>
      <c r="S120">
        <v>0.71715323478402926</v>
      </c>
      <c r="T120">
        <v>-7.3075759081520086E-2</v>
      </c>
      <c r="U120">
        <v>22.738337836785583</v>
      </c>
      <c r="V120">
        <v>0.24019637772634272</v>
      </c>
      <c r="W120">
        <v>0.89922359913205963</v>
      </c>
      <c r="X120">
        <v>0.24341592999999953</v>
      </c>
      <c r="Y120">
        <v>9.7452899999999482E-3</v>
      </c>
      <c r="Z120">
        <v>-0.24330667</v>
      </c>
    </row>
    <row r="121" spans="1:26">
      <c r="A121" s="54" t="str">
        <f>CONCATENATE(raw[[#This Row],[redis_ls]],raw[[#This Row],[wage_eq]],raw[[#This Row],[flex]],raw[[#This Row],[expo]],raw[[#This Row],[_date_]])</f>
        <v>120142736</v>
      </c>
      <c r="B121" s="1">
        <v>42736</v>
      </c>
      <c r="C121">
        <v>1</v>
      </c>
      <c r="D121">
        <v>2</v>
      </c>
      <c r="E121">
        <v>0</v>
      </c>
      <c r="F121">
        <v>1</v>
      </c>
      <c r="G121">
        <v>-0.37635948474096237</v>
      </c>
      <c r="H121">
        <v>-95.032849999999598</v>
      </c>
      <c r="I121">
        <v>-3.0153302073444688</v>
      </c>
      <c r="J121">
        <v>-0.12158500688351781</v>
      </c>
      <c r="K121">
        <v>-1.1920434989218243</v>
      </c>
      <c r="L121">
        <v>-0.72487988989705654</v>
      </c>
      <c r="M121">
        <v>-0.57533421334596824</v>
      </c>
      <c r="N121">
        <v>-0.10918133933845997</v>
      </c>
      <c r="O121">
        <v>1.1125400000000507E-2</v>
      </c>
      <c r="P121">
        <v>0.33603279005556264</v>
      </c>
      <c r="Q121">
        <v>9.7043629411652788E-3</v>
      </c>
      <c r="R121">
        <v>-0.69939008986811269</v>
      </c>
      <c r="S121">
        <v>0.66018437208132941</v>
      </c>
      <c r="T121">
        <v>-0.12066918971365137</v>
      </c>
      <c r="U121">
        <v>23.265363803926896</v>
      </c>
      <c r="V121">
        <v>0.1597097451473406</v>
      </c>
      <c r="W121">
        <v>0.86515060883671779</v>
      </c>
      <c r="X121">
        <v>0.20682086999999974</v>
      </c>
      <c r="Y121">
        <v>2.184714000000032E-2</v>
      </c>
      <c r="Z121">
        <v>-0.21686088000000062</v>
      </c>
    </row>
    <row r="122" spans="1:26">
      <c r="A122" s="54" t="str">
        <f>CONCATENATE(raw[[#This Row],[redis_ls]],raw[[#This Row],[wage_eq]],raw[[#This Row],[flex]],raw[[#This Row],[expo]],raw[[#This Row],[_date_]])</f>
        <v>120143101</v>
      </c>
      <c r="B122" s="1">
        <v>43101</v>
      </c>
      <c r="C122">
        <v>1</v>
      </c>
      <c r="D122">
        <v>2</v>
      </c>
      <c r="E122">
        <v>0</v>
      </c>
      <c r="F122">
        <v>1</v>
      </c>
      <c r="G122">
        <v>-0.33463986516613087</v>
      </c>
      <c r="H122">
        <v>-78.599320000001171</v>
      </c>
      <c r="I122">
        <v>-2.9267600206550726</v>
      </c>
      <c r="J122">
        <v>-9.9869832051358021E-2</v>
      </c>
      <c r="K122">
        <v>-1.1529102170648287</v>
      </c>
      <c r="L122">
        <v>-0.63572452589586437</v>
      </c>
      <c r="M122">
        <v>-0.56434778773660765</v>
      </c>
      <c r="N122">
        <v>-8.8283625252949527E-2</v>
      </c>
      <c r="O122">
        <v>1.0393009999999647E-2</v>
      </c>
      <c r="P122">
        <v>0.28789771063164604</v>
      </c>
      <c r="Q122">
        <v>-3.3368641166386936E-2</v>
      </c>
      <c r="R122">
        <v>-0.73543762682082292</v>
      </c>
      <c r="S122">
        <v>0.60931764076366246</v>
      </c>
      <c r="T122">
        <v>-0.16353359771932308</v>
      </c>
      <c r="U122">
        <v>23.621493858017971</v>
      </c>
      <c r="V122">
        <v>8.7829736999434083E-2</v>
      </c>
      <c r="W122">
        <v>0.82936683864915928</v>
      </c>
      <c r="X122">
        <v>0.16638182000000001</v>
      </c>
      <c r="Y122">
        <v>3.3952859999999974E-2</v>
      </c>
      <c r="Z122">
        <v>-0.18900422999999986</v>
      </c>
    </row>
    <row r="123" spans="1:26">
      <c r="A123" s="54" t="str">
        <f>CONCATENATE(raw[[#This Row],[redis_ls]],raw[[#This Row],[wage_eq]],raw[[#This Row],[flex]],raw[[#This Row],[expo]],raw[[#This Row],[_date_]])</f>
        <v>120143466</v>
      </c>
      <c r="B123" s="1">
        <v>43466</v>
      </c>
      <c r="C123">
        <v>1</v>
      </c>
      <c r="D123">
        <v>2</v>
      </c>
      <c r="E123">
        <v>0</v>
      </c>
      <c r="F123">
        <v>1</v>
      </c>
      <c r="G123">
        <v>-0.29307570947492145</v>
      </c>
      <c r="H123">
        <v>-61.019090000001597</v>
      </c>
      <c r="I123">
        <v>-2.8400754055475708</v>
      </c>
      <c r="J123">
        <v>-7.504900815373805E-2</v>
      </c>
      <c r="K123">
        <v>-1.1119320332064309</v>
      </c>
      <c r="L123">
        <v>-0.55335723628748834</v>
      </c>
      <c r="M123">
        <v>-0.55046817266111159</v>
      </c>
      <c r="N123">
        <v>-6.4852077954025145E-2</v>
      </c>
      <c r="O123">
        <v>9.147229999999229E-3</v>
      </c>
      <c r="P123">
        <v>0.24751408165408773</v>
      </c>
      <c r="Q123">
        <v>-6.774046397122202E-2</v>
      </c>
      <c r="R123">
        <v>-0.76062767149009947</v>
      </c>
      <c r="S123">
        <v>0.56560874127893346</v>
      </c>
      <c r="T123">
        <v>-0.20187095377489639</v>
      </c>
      <c r="U123">
        <v>23.833871736091574</v>
      </c>
      <c r="V123">
        <v>2.6487396709096167E-2</v>
      </c>
      <c r="W123">
        <v>0.79314796773288787</v>
      </c>
      <c r="X123">
        <v>0.12483744000000019</v>
      </c>
      <c r="Y123">
        <v>4.5337759999999894E-2</v>
      </c>
      <c r="Z123">
        <v>-0.16102392000000021</v>
      </c>
    </row>
    <row r="124" spans="1:26">
      <c r="A124" s="54" t="str">
        <f>CONCATENATE(raw[[#This Row],[redis_ls]],raw[[#This Row],[wage_eq]],raw[[#This Row],[flex]],raw[[#This Row],[expo]],raw[[#This Row],[_date_]])</f>
        <v>120143831</v>
      </c>
      <c r="B124" s="1">
        <v>43831</v>
      </c>
      <c r="C124">
        <v>1</v>
      </c>
      <c r="D124">
        <v>2</v>
      </c>
      <c r="E124">
        <v>0</v>
      </c>
      <c r="F124">
        <v>1</v>
      </c>
      <c r="G124">
        <v>-0.25363056402392115</v>
      </c>
      <c r="H124">
        <v>-43.432260000001406</v>
      </c>
      <c r="I124">
        <v>-2.7571892230903283</v>
      </c>
      <c r="J124">
        <v>-4.8780099636180907E-2</v>
      </c>
      <c r="K124">
        <v>-1.0709286384311567</v>
      </c>
      <c r="L124">
        <v>-0.4803870172630953</v>
      </c>
      <c r="M124">
        <v>-0.53454357282284315</v>
      </c>
      <c r="N124">
        <v>-4.039704721827686E-2</v>
      </c>
      <c r="O124">
        <v>7.5200699999999898E-3</v>
      </c>
      <c r="P124">
        <v>0.21539816144717783</v>
      </c>
      <c r="Q124">
        <v>-9.3117039200929508E-2</v>
      </c>
      <c r="R124">
        <v>-0.77498598072377467</v>
      </c>
      <c r="S124">
        <v>0.52957307383647567</v>
      </c>
      <c r="T124">
        <v>-0.2361137019027959</v>
      </c>
      <c r="U124">
        <v>23.932151480615538</v>
      </c>
      <c r="V124">
        <v>-2.3253469431783191E-2</v>
      </c>
      <c r="W124">
        <v>0.75760383362182271</v>
      </c>
      <c r="X124">
        <v>8.4647899999999721E-2</v>
      </c>
      <c r="Y124">
        <v>5.5438079999999695E-2</v>
      </c>
      <c r="Z124">
        <v>-0.13402643999999991</v>
      </c>
    </row>
    <row r="125" spans="1:26">
      <c r="A125" s="54" t="str">
        <f>CONCATENATE(raw[[#This Row],[redis_ls]],raw[[#This Row],[wage_eq]],raw[[#This Row],[flex]],raw[[#This Row],[expo]],raw[[#This Row],[_date_]])</f>
        <v>120144197</v>
      </c>
      <c r="B125" s="1">
        <v>44197</v>
      </c>
      <c r="C125">
        <v>1</v>
      </c>
      <c r="D125">
        <v>2</v>
      </c>
      <c r="E125">
        <v>0</v>
      </c>
      <c r="F125">
        <v>1</v>
      </c>
      <c r="G125">
        <v>-0.21785247090044813</v>
      </c>
      <c r="H125">
        <v>-26.837930000001506</v>
      </c>
      <c r="I125">
        <v>-2.6795321830919816</v>
      </c>
      <c r="J125">
        <v>-2.2596809889485758E-2</v>
      </c>
      <c r="K125">
        <v>-1.0313590287726715</v>
      </c>
      <c r="L125">
        <v>-0.41854638772974573</v>
      </c>
      <c r="M125">
        <v>-0.51739124696968952</v>
      </c>
      <c r="N125">
        <v>-1.6291060398643253E-2</v>
      </c>
      <c r="O125">
        <v>5.6563799999992392E-3</v>
      </c>
      <c r="P125">
        <v>0.19153604303265848</v>
      </c>
      <c r="Q125">
        <v>-0.10972569507123886</v>
      </c>
      <c r="R125">
        <v>-0.77910655542448026</v>
      </c>
      <c r="S125">
        <v>0.50123996512476676</v>
      </c>
      <c r="T125">
        <v>-0.26685435732983764</v>
      </c>
      <c r="U125">
        <v>23.946370530609549</v>
      </c>
      <c r="V125">
        <v>-6.1128003046295731E-2</v>
      </c>
      <c r="W125">
        <v>0.72361629390815807</v>
      </c>
      <c r="X125">
        <v>4.7843300000000033E-2</v>
      </c>
      <c r="Y125">
        <v>6.3864780000000287E-2</v>
      </c>
      <c r="Z125">
        <v>-0.10890845999999982</v>
      </c>
    </row>
    <row r="126" spans="1:26">
      <c r="A126" s="54" t="str">
        <f>CONCATENATE(raw[[#This Row],[redis_ls]],raw[[#This Row],[wage_eq]],raw[[#This Row],[flex]],raw[[#This Row],[expo]],raw[[#This Row],[_date_]])</f>
        <v>120144562</v>
      </c>
      <c r="B126" s="1">
        <v>44562</v>
      </c>
      <c r="C126">
        <v>1</v>
      </c>
      <c r="D126">
        <v>2</v>
      </c>
      <c r="E126">
        <v>0</v>
      </c>
      <c r="F126">
        <v>1</v>
      </c>
      <c r="G126">
        <v>-0.18683603634871426</v>
      </c>
      <c r="H126">
        <v>-12.030240000000049</v>
      </c>
      <c r="I126">
        <v>-2.608041221157098</v>
      </c>
      <c r="J126">
        <v>2.1839330718087524E-3</v>
      </c>
      <c r="K126">
        <v>-0.99429038882991039</v>
      </c>
      <c r="L126">
        <v>-0.36872214320496921</v>
      </c>
      <c r="M126">
        <v>-0.49975033444781269</v>
      </c>
      <c r="N126">
        <v>6.3140381087123387E-3</v>
      </c>
      <c r="O126">
        <v>3.7044800000010647E-3</v>
      </c>
      <c r="P126">
        <v>0.17547201966068293</v>
      </c>
      <c r="Q126">
        <v>-0.11821452223409468</v>
      </c>
      <c r="R126">
        <v>-0.77401622854096352</v>
      </c>
      <c r="S126">
        <v>0.48023008320035032</v>
      </c>
      <c r="T126">
        <v>-0.29477544632030561</v>
      </c>
      <c r="U126">
        <v>23.905156792857341</v>
      </c>
      <c r="V126">
        <v>-8.7555508792880321E-2</v>
      </c>
      <c r="W126">
        <v>0.69181546514061054</v>
      </c>
      <c r="X126">
        <v>1.5929680000000002E-2</v>
      </c>
      <c r="Y126">
        <v>7.0396400000000137E-2</v>
      </c>
      <c r="Z126">
        <v>-8.6339040000001088E-2</v>
      </c>
    </row>
    <row r="127" spans="1:26">
      <c r="A127" s="54" t="str">
        <f>CONCATENATE(raw[[#This Row],[redis_ls]],raw[[#This Row],[wage_eq]],raw[[#This Row],[flex]],raw[[#This Row],[expo]],raw[[#This Row],[_date_]])</f>
        <v>120144927</v>
      </c>
      <c r="B127" s="1">
        <v>44927</v>
      </c>
      <c r="C127">
        <v>1</v>
      </c>
      <c r="D127">
        <v>2</v>
      </c>
      <c r="E127">
        <v>0</v>
      </c>
      <c r="F127">
        <v>1</v>
      </c>
      <c r="G127">
        <v>-0.16122142724362964</v>
      </c>
      <c r="H127">
        <v>0.43656000000191852</v>
      </c>
      <c r="I127">
        <v>-2.5431803879342518</v>
      </c>
      <c r="J127">
        <v>2.4528363002640496E-2</v>
      </c>
      <c r="K127">
        <v>-0.96039548032557098</v>
      </c>
      <c r="L127">
        <v>-0.33103520739971026</v>
      </c>
      <c r="M127">
        <v>-0.48224538348844437</v>
      </c>
      <c r="N127">
        <v>2.653998535169233E-2</v>
      </c>
      <c r="O127">
        <v>1.8040899999988147E-3</v>
      </c>
      <c r="P127">
        <v>0.1664113547505508</v>
      </c>
      <c r="Q127">
        <v>-0.11954411713493984</v>
      </c>
      <c r="R127">
        <v>-0.76104098410624266</v>
      </c>
      <c r="S127">
        <v>0.46584566142597872</v>
      </c>
      <c r="T127">
        <v>-0.32058536437468144</v>
      </c>
      <c r="U127">
        <v>23.8343501497585</v>
      </c>
      <c r="V127">
        <v>-0.10349660515188708</v>
      </c>
      <c r="W127">
        <v>0.66258694894445469</v>
      </c>
      <c r="X127">
        <v>-1.0143819999999804E-2</v>
      </c>
      <c r="Y127">
        <v>7.495811000000005E-2</v>
      </c>
      <c r="Z127">
        <v>-6.6755020000000553E-2</v>
      </c>
    </row>
    <row r="128" spans="1:26">
      <c r="A128" s="54" t="str">
        <f>CONCATENATE(raw[[#This Row],[redis_ls]],raw[[#This Row],[wage_eq]],raw[[#This Row],[flex]],raw[[#This Row],[expo]],raw[[#This Row],[_date_]])</f>
        <v>120145292</v>
      </c>
      <c r="B128" s="1">
        <v>45292</v>
      </c>
      <c r="C128">
        <v>1</v>
      </c>
      <c r="D128">
        <v>2</v>
      </c>
      <c r="E128">
        <v>0</v>
      </c>
      <c r="F128">
        <v>1</v>
      </c>
      <c r="G128">
        <v>-0.14122622500969406</v>
      </c>
      <c r="H128">
        <v>10.254109999994398</v>
      </c>
      <c r="I128">
        <v>-2.4849892955465025</v>
      </c>
      <c r="J128">
        <v>4.3719328872748875E-2</v>
      </c>
      <c r="K128">
        <v>-0.92997640937385606</v>
      </c>
      <c r="L128">
        <v>-0.30495665682014339</v>
      </c>
      <c r="M128">
        <v>-0.46536417532607732</v>
      </c>
      <c r="N128">
        <v>4.3802517508573224E-2</v>
      </c>
      <c r="O128">
        <v>7.4640000000125717E-5</v>
      </c>
      <c r="P128">
        <v>0.16332616193559524</v>
      </c>
      <c r="Q128">
        <v>-0.11488108152704068</v>
      </c>
      <c r="R128">
        <v>-0.74168130657430442</v>
      </c>
      <c r="S128">
        <v>0.45716518090535008</v>
      </c>
      <c r="T128">
        <v>-0.34496372119410257</v>
      </c>
      <c r="U128">
        <v>23.756060076731323</v>
      </c>
      <c r="V128">
        <v>-0.11029897918845011</v>
      </c>
      <c r="W128">
        <v>0.63610016581310269</v>
      </c>
      <c r="X128">
        <v>-2.9963199999999413E-2</v>
      </c>
      <c r="Y128">
        <v>7.7593819999999952E-2</v>
      </c>
      <c r="Z128">
        <v>-5.0370199999999477E-2</v>
      </c>
    </row>
    <row r="129" spans="1:26">
      <c r="A129" s="54" t="str">
        <f>CONCATENATE(raw[[#This Row],[redis_ls]],raw[[#This Row],[wage_eq]],raw[[#This Row],[flex]],raw[[#This Row],[expo]],raw[[#This Row],[_date_]])</f>
        <v>120145658</v>
      </c>
      <c r="B129" s="1">
        <v>45658</v>
      </c>
      <c r="C129">
        <v>1</v>
      </c>
      <c r="D129">
        <v>2</v>
      </c>
      <c r="E129">
        <v>0</v>
      </c>
      <c r="F129">
        <v>1</v>
      </c>
      <c r="G129">
        <v>-0.12670175296665143</v>
      </c>
      <c r="H129">
        <v>17.341379999998026</v>
      </c>
      <c r="I129">
        <v>-2.4331519213553254</v>
      </c>
      <c r="J129">
        <v>5.9357017148942148E-2</v>
      </c>
      <c r="K129">
        <v>-0.90301008119449966</v>
      </c>
      <c r="L129">
        <v>-0.28944394586455369</v>
      </c>
      <c r="M129">
        <v>-0.44945021413090869</v>
      </c>
      <c r="N129">
        <v>5.7802359442060691E-2</v>
      </c>
      <c r="O129">
        <v>-1.3937700000007935E-3</v>
      </c>
      <c r="P129">
        <v>0.16505569222073913</v>
      </c>
      <c r="Q129">
        <v>-0.10549840140662292</v>
      </c>
      <c r="R129">
        <v>-0.71750208859397979</v>
      </c>
      <c r="S129">
        <v>0.45313464588974117</v>
      </c>
      <c r="T129">
        <v>-0.36851790073768598</v>
      </c>
      <c r="U129">
        <v>23.6881353586319</v>
      </c>
      <c r="V129">
        <v>-0.10954710030955939</v>
      </c>
      <c r="W129">
        <v>0.61234859805108233</v>
      </c>
      <c r="X129">
        <v>-4.3585200000000046E-2</v>
      </c>
      <c r="Y129">
        <v>7.8436870000000297E-2</v>
      </c>
      <c r="Z129">
        <v>-3.7197379999999447E-2</v>
      </c>
    </row>
    <row r="130" spans="1:26">
      <c r="A130" s="54" t="str">
        <f>CONCATENATE(raw[[#This Row],[redis_ls]],raw[[#This Row],[wage_eq]],raw[[#This Row],[flex]],raw[[#This Row],[expo]],raw[[#This Row],[_date_]])</f>
        <v>120146023</v>
      </c>
      <c r="B130" s="1">
        <v>46023</v>
      </c>
      <c r="C130">
        <v>1</v>
      </c>
      <c r="D130">
        <v>2</v>
      </c>
      <c r="E130">
        <v>0</v>
      </c>
      <c r="F130">
        <v>1</v>
      </c>
      <c r="G130">
        <v>-0.1172059981674578</v>
      </c>
      <c r="H130">
        <v>21.80902999999671</v>
      </c>
      <c r="I130">
        <v>-2.3870773991303551</v>
      </c>
      <c r="J130">
        <v>7.1331704836596899E-2</v>
      </c>
      <c r="K130">
        <v>-0.87920901322665612</v>
      </c>
      <c r="L130">
        <v>-0.28308572980609847</v>
      </c>
      <c r="M130">
        <v>-0.43470865493193678</v>
      </c>
      <c r="N130">
        <v>6.8492493668537158E-2</v>
      </c>
      <c r="O130">
        <v>-2.5449999999996309E-3</v>
      </c>
      <c r="P130">
        <v>0.17039569223611384</v>
      </c>
      <c r="Q130">
        <v>-9.2688417137087864E-2</v>
      </c>
      <c r="R130">
        <v>-0.69004038471134344</v>
      </c>
      <c r="S130">
        <v>0.45264928888879563</v>
      </c>
      <c r="T130">
        <v>-0.39175435950659088</v>
      </c>
      <c r="U130">
        <v>23.643989748302641</v>
      </c>
      <c r="V130">
        <v>-0.1029263160760352</v>
      </c>
      <c r="W130">
        <v>0.59119354713990102</v>
      </c>
      <c r="X130">
        <v>-5.1445760000000396E-2</v>
      </c>
      <c r="Y130">
        <v>7.7682809999999464E-2</v>
      </c>
      <c r="Z130">
        <v>-2.7080529999999603E-2</v>
      </c>
    </row>
    <row r="131" spans="1:26">
      <c r="A131" s="54" t="str">
        <f>CONCATENATE(raw[[#This Row],[redis_ls]],raw[[#This Row],[wage_eq]],raw[[#This Row],[flex]],raw[[#This Row],[expo]],raw[[#This Row],[_date_]])</f>
        <v>120146388</v>
      </c>
      <c r="B131" s="1">
        <v>46388</v>
      </c>
      <c r="C131">
        <v>1</v>
      </c>
      <c r="D131">
        <v>2</v>
      </c>
      <c r="E131">
        <v>0</v>
      </c>
      <c r="F131">
        <v>1</v>
      </c>
      <c r="G131">
        <v>-0.11208376094478112</v>
      </c>
      <c r="H131">
        <v>23.914140000000771</v>
      </c>
      <c r="I131">
        <v>-2.345984840581028</v>
      </c>
      <c r="J131">
        <v>7.9776070029802248E-2</v>
      </c>
      <c r="K131">
        <v>-0.85809058960130136</v>
      </c>
      <c r="L131">
        <v>-0.28424237384128137</v>
      </c>
      <c r="M131">
        <v>-0.42122283424828044</v>
      </c>
      <c r="N131">
        <v>7.6030342224142622E-2</v>
      </c>
      <c r="O131">
        <v>-3.3568800000008392E-3</v>
      </c>
      <c r="P131">
        <v>0.17817324925164524</v>
      </c>
      <c r="Q131">
        <v>-7.7690782885764254E-2</v>
      </c>
      <c r="R131">
        <v>-0.66073075238570755</v>
      </c>
      <c r="S131">
        <v>0.45462338909671995</v>
      </c>
      <c r="T131">
        <v>-0.41506198243436154</v>
      </c>
      <c r="U131">
        <v>23.632716958888111</v>
      </c>
      <c r="V131">
        <v>-9.2108155753733989E-2</v>
      </c>
      <c r="W131">
        <v>0.57240465356696024</v>
      </c>
      <c r="X131">
        <v>-5.425654000000002E-2</v>
      </c>
      <c r="Y131">
        <v>7.5566100000000469E-2</v>
      </c>
      <c r="Z131">
        <v>-1.9733569999999534E-2</v>
      </c>
    </row>
    <row r="132" spans="1:26">
      <c r="A132" s="54" t="str">
        <f>CONCATENATE(raw[[#This Row],[redis_ls]],raw[[#This Row],[wage_eq]],raw[[#This Row],[flex]],raw[[#This Row],[expo]],raw[[#This Row],[_date_]])</f>
        <v>120146753</v>
      </c>
      <c r="B132" s="1">
        <v>46753</v>
      </c>
      <c r="C132">
        <v>1</v>
      </c>
      <c r="D132">
        <v>2</v>
      </c>
      <c r="E132">
        <v>0</v>
      </c>
      <c r="F132">
        <v>1</v>
      </c>
      <c r="G132">
        <v>-0.11054653753853616</v>
      </c>
      <c r="H132">
        <v>24.012960000000021</v>
      </c>
      <c r="I132">
        <v>-2.3089847012995546</v>
      </c>
      <c r="J132">
        <v>8.5006752252514417E-2</v>
      </c>
      <c r="K132">
        <v>-0.83904775682804855</v>
      </c>
      <c r="L132">
        <v>-0.29117539711324136</v>
      </c>
      <c r="M132">
        <v>-0.40897707928717608</v>
      </c>
      <c r="N132">
        <v>8.0724250890540361E-2</v>
      </c>
      <c r="O132">
        <v>-3.8372499999994591E-3</v>
      </c>
      <c r="P132">
        <v>0.18730457644495768</v>
      </c>
      <c r="Q132">
        <v>-6.1636161957079327E-2</v>
      </c>
      <c r="R132">
        <v>-0.63085080739212485</v>
      </c>
      <c r="S132">
        <v>0.45804588797855317</v>
      </c>
      <c r="T132">
        <v>-0.43870677501582911</v>
      </c>
      <c r="U132">
        <v>23.659422102608918</v>
      </c>
      <c r="V132">
        <v>-7.8660214387571425E-2</v>
      </c>
      <c r="W132">
        <v>0.55569621216953191</v>
      </c>
      <c r="X132">
        <v>-5.2902400000000294E-2</v>
      </c>
      <c r="Y132">
        <v>7.2341100000000019E-2</v>
      </c>
      <c r="Z132">
        <v>-1.4781350000001026E-2</v>
      </c>
    </row>
    <row r="133" spans="1:26">
      <c r="A133" s="54" t="str">
        <f>CONCATENATE(raw[[#This Row],[redis_ls]],raw[[#This Row],[wage_eq]],raw[[#This Row],[flex]],raw[[#This Row],[expo]],raw[[#This Row],[_date_]])</f>
        <v>120147119</v>
      </c>
      <c r="B133" s="1">
        <v>47119</v>
      </c>
      <c r="C133">
        <v>1</v>
      </c>
      <c r="D133">
        <v>2</v>
      </c>
      <c r="E133">
        <v>0</v>
      </c>
      <c r="F133">
        <v>1</v>
      </c>
      <c r="G133">
        <v>-0.11174570556492514</v>
      </c>
      <c r="H133">
        <v>22.516560000003665</v>
      </c>
      <c r="I133">
        <v>-2.2751519795076058</v>
      </c>
      <c r="J133">
        <v>8.7464066190934275E-2</v>
      </c>
      <c r="K133">
        <v>-0.8214155476667151</v>
      </c>
      <c r="L133">
        <v>-0.30215810058785708</v>
      </c>
      <c r="M133">
        <v>-0.39788228681463256</v>
      </c>
      <c r="N133">
        <v>8.2979773597058326E-2</v>
      </c>
      <c r="O133">
        <v>-4.0174300000000995E-3</v>
      </c>
      <c r="P133">
        <v>0.19683764758298139</v>
      </c>
      <c r="Q133">
        <v>-4.5506050748744808E-2</v>
      </c>
      <c r="R133">
        <v>-0.60148329756534169</v>
      </c>
      <c r="S133">
        <v>0.46202137858477599</v>
      </c>
      <c r="T133">
        <v>-0.46283618637695811</v>
      </c>
      <c r="U133">
        <v>23.725702533531432</v>
      </c>
      <c r="V133">
        <v>-6.3980399050578285E-2</v>
      </c>
      <c r="W133">
        <v>0.54075546809910779</v>
      </c>
      <c r="X133">
        <v>-4.8348920000000628E-2</v>
      </c>
      <c r="Y133">
        <v>6.8267169999999822E-2</v>
      </c>
      <c r="Z133">
        <v>-1.1799350000001041E-2</v>
      </c>
    </row>
    <row r="134" spans="1:26">
      <c r="A134" s="54" t="str">
        <f>CONCATENATE(raw[[#This Row],[redis_ls]],raw[[#This Row],[wage_eq]],raw[[#This Row],[flex]],raw[[#This Row],[expo]],raw[[#This Row],[_date_]])</f>
        <v>120147484</v>
      </c>
      <c r="B134" s="1">
        <v>47484</v>
      </c>
      <c r="C134">
        <v>1</v>
      </c>
      <c r="D134">
        <v>2</v>
      </c>
      <c r="E134">
        <v>0</v>
      </c>
      <c r="F134">
        <v>1</v>
      </c>
      <c r="G134">
        <v>-0.11483499275553033</v>
      </c>
      <c r="H134">
        <v>19.853089999996882</v>
      </c>
      <c r="I134">
        <v>-2.2435872359896858</v>
      </c>
      <c r="J134">
        <v>8.7655466008107474E-2</v>
      </c>
      <c r="K134">
        <v>-0.80452896542217989</v>
      </c>
      <c r="L134">
        <v>-0.31556611412710822</v>
      </c>
      <c r="M134">
        <v>-0.38780058092082736</v>
      </c>
      <c r="N134">
        <v>8.325203986452312E-2</v>
      </c>
      <c r="O134">
        <v>-3.9443999999999591E-3</v>
      </c>
      <c r="P134">
        <v>0.20597886917106401</v>
      </c>
      <c r="Q134">
        <v>-3.0107272984569722E-2</v>
      </c>
      <c r="R134">
        <v>-0.5734948435438092</v>
      </c>
      <c r="S134">
        <v>0.46579683300893571</v>
      </c>
      <c r="T134">
        <v>-0.48749027758512309</v>
      </c>
      <c r="U134">
        <v>23.830219710102195</v>
      </c>
      <c r="V134">
        <v>-4.925420052661611E-2</v>
      </c>
      <c r="W134">
        <v>0.52726447767397211</v>
      </c>
      <c r="X134">
        <v>-4.1565389999999314E-2</v>
      </c>
      <c r="Y134">
        <v>6.3596839999999905E-2</v>
      </c>
      <c r="Z134">
        <v>-1.0348849999999854E-2</v>
      </c>
    </row>
    <row r="135" spans="1:26">
      <c r="A135" s="54" t="str">
        <f>CONCATENATE(raw[[#This Row],[redis_ls]],raw[[#This Row],[wage_eq]],raw[[#This Row],[flex]],raw[[#This Row],[expo]],raw[[#This Row],[_date_]])</f>
        <v>120147849</v>
      </c>
      <c r="B135" s="1">
        <v>47849</v>
      </c>
      <c r="C135">
        <v>1</v>
      </c>
      <c r="D135">
        <v>2</v>
      </c>
      <c r="E135">
        <v>0</v>
      </c>
      <c r="F135">
        <v>1</v>
      </c>
      <c r="G135">
        <v>-0.11902011723595729</v>
      </c>
      <c r="H135">
        <v>16.437829999995301</v>
      </c>
      <c r="I135">
        <v>-2.2134630999991689</v>
      </c>
      <c r="J135">
        <v>8.6107906667609591E-2</v>
      </c>
      <c r="K135">
        <v>-0.78776956290211864</v>
      </c>
      <c r="L135">
        <v>-0.32994602316412935</v>
      </c>
      <c r="M135">
        <v>-0.37856718210035334</v>
      </c>
      <c r="N135">
        <v>8.2006768548681386E-2</v>
      </c>
      <c r="O135">
        <v>-3.6732000000011533E-3</v>
      </c>
      <c r="P135">
        <v>0.21410674851409794</v>
      </c>
      <c r="Q135">
        <v>-1.6060310082155471E-2</v>
      </c>
      <c r="R135">
        <v>-0.54752856236272018</v>
      </c>
      <c r="S135">
        <v>0.46877680644661357</v>
      </c>
      <c r="T135">
        <v>-0.51261689170754021</v>
      </c>
      <c r="U135">
        <v>23.969315049633689</v>
      </c>
      <c r="V135">
        <v>-3.5431740421243418E-2</v>
      </c>
      <c r="W135">
        <v>0.51491613447856022</v>
      </c>
      <c r="X135">
        <v>-3.3465420000000634E-2</v>
      </c>
      <c r="Y135">
        <v>5.8566800000000446E-2</v>
      </c>
      <c r="Z135">
        <v>-1.0005709999999501E-2</v>
      </c>
    </row>
    <row r="136" spans="1:26">
      <c r="A136" s="54" t="str">
        <f>CONCATENATE(raw[[#This Row],[redis_ls]],raw[[#This Row],[wage_eq]],raw[[#This Row],[flex]],raw[[#This Row],[expo]],raw[[#This Row],[_date_]])</f>
        <v>120148214</v>
      </c>
      <c r="B136" s="1">
        <v>48214</v>
      </c>
      <c r="C136">
        <v>1</v>
      </c>
      <c r="D136">
        <v>2</v>
      </c>
      <c r="E136">
        <v>0</v>
      </c>
      <c r="F136">
        <v>1</v>
      </c>
      <c r="G136">
        <v>-0.12359509628714349</v>
      </c>
      <c r="H136">
        <v>12.651389999999083</v>
      </c>
      <c r="I136">
        <v>-2.1840581186520658</v>
      </c>
      <c r="J136">
        <v>8.3331072363979075E-2</v>
      </c>
      <c r="K136">
        <v>-0.77059981632742192</v>
      </c>
      <c r="L136">
        <v>-0.34406209403682331</v>
      </c>
      <c r="M136">
        <v>-0.37000797765328608</v>
      </c>
      <c r="N136">
        <v>7.9690464523274329E-2</v>
      </c>
      <c r="O136">
        <v>-3.2604699999994047E-3</v>
      </c>
      <c r="P136">
        <v>0.22077409014944482</v>
      </c>
      <c r="Q136">
        <v>-3.7989375564539962E-3</v>
      </c>
      <c r="R136">
        <v>-0.52400950746738229</v>
      </c>
      <c r="S136">
        <v>0.47052655517920705</v>
      </c>
      <c r="T136">
        <v>-0.53809009318754875</v>
      </c>
      <c r="U136">
        <v>24.137630732850045</v>
      </c>
      <c r="V136">
        <v>-2.3221884925084257E-2</v>
      </c>
      <c r="W136">
        <v>0.50342567363317325</v>
      </c>
      <c r="X136">
        <v>-2.4864739999999608E-2</v>
      </c>
      <c r="Y136">
        <v>5.339076999999956E-2</v>
      </c>
      <c r="Z136">
        <v>-1.0381889999999672E-2</v>
      </c>
    </row>
    <row r="137" spans="1:26">
      <c r="A137" s="54" t="str">
        <f>CONCATENATE(raw[[#This Row],[redis_ls]],raw[[#This Row],[wage_eq]],raw[[#This Row],[flex]],raw[[#This Row],[expo]],raw[[#This Row],[_date_]])</f>
        <v>120148580</v>
      </c>
      <c r="B137" s="1">
        <v>48580</v>
      </c>
      <c r="C137">
        <v>1</v>
      </c>
      <c r="D137">
        <v>2</v>
      </c>
      <c r="E137">
        <v>0</v>
      </c>
      <c r="F137">
        <v>1</v>
      </c>
      <c r="G137">
        <v>-0.12796567951468552</v>
      </c>
      <c r="H137">
        <v>8.8251400000008289</v>
      </c>
      <c r="I137">
        <v>-2.1547767427035791</v>
      </c>
      <c r="J137">
        <v>7.9791016541519433E-2</v>
      </c>
      <c r="K137">
        <v>-0.75258530291754111</v>
      </c>
      <c r="L137">
        <v>-0.35692296535609902</v>
      </c>
      <c r="M137">
        <v>-0.36195281741270291</v>
      </c>
      <c r="N137">
        <v>7.670967773378834E-2</v>
      </c>
      <c r="O137">
        <v>-2.7594800000002584E-3</v>
      </c>
      <c r="P137">
        <v>0.22570070825704835</v>
      </c>
      <c r="Q137">
        <v>6.42007605913264E-3</v>
      </c>
      <c r="R137">
        <v>-0.5031596728569121</v>
      </c>
      <c r="S137">
        <v>0.47076720446621589</v>
      </c>
      <c r="T137">
        <v>-0.56372891512697088</v>
      </c>
      <c r="U137">
        <v>24.328706228923846</v>
      </c>
      <c r="V137">
        <v>-1.3099498192614689E-2</v>
      </c>
      <c r="W137">
        <v>0.49253847678880636</v>
      </c>
      <c r="X137">
        <v>-1.6454420000000525E-2</v>
      </c>
      <c r="Y137">
        <v>4.8254059999999765E-2</v>
      </c>
      <c r="Z137">
        <v>-1.1139949999999788E-2</v>
      </c>
    </row>
    <row r="138" spans="1:26">
      <c r="A138" s="54" t="str">
        <f>CONCATENATE(raw[[#This Row],[redis_ls]],raw[[#This Row],[wage_eq]],raw[[#This Row],[flex]],raw[[#This Row],[expo]],raw[[#This Row],[_date_]])</f>
        <v>120148945</v>
      </c>
      <c r="B138" s="1">
        <v>48945</v>
      </c>
      <c r="C138">
        <v>1</v>
      </c>
      <c r="D138">
        <v>2</v>
      </c>
      <c r="E138">
        <v>0</v>
      </c>
      <c r="F138">
        <v>1</v>
      </c>
      <c r="G138">
        <v>-0.1316620231116894</v>
      </c>
      <c r="H138">
        <v>5.2327199999999721</v>
      </c>
      <c r="I138">
        <v>-2.1251588128362031</v>
      </c>
      <c r="J138">
        <v>7.5893430366802406E-2</v>
      </c>
      <c r="K138">
        <v>-0.73340600911391274</v>
      </c>
      <c r="L138">
        <v>-0.3677921906623749</v>
      </c>
      <c r="M138">
        <v>-0.35424464547719747</v>
      </c>
      <c r="N138">
        <v>7.3417722730639845E-2</v>
      </c>
      <c r="O138">
        <v>-2.2170300000012855E-3</v>
      </c>
      <c r="P138">
        <v>0.22875921315208547</v>
      </c>
      <c r="Q138">
        <v>1.4500093881886222E-2</v>
      </c>
      <c r="R138">
        <v>-0.48502102990644058</v>
      </c>
      <c r="S138">
        <v>0.46936290676264925</v>
      </c>
      <c r="T138">
        <v>-0.58931602465800426</v>
      </c>
      <c r="U138">
        <v>24.535526936596817</v>
      </c>
      <c r="V138">
        <v>-5.3233050786416491E-3</v>
      </c>
      <c r="W138">
        <v>0.48203575480976202</v>
      </c>
      <c r="X138">
        <v>-8.7869800000001108E-3</v>
      </c>
      <c r="Y138">
        <v>4.3309839999999822E-2</v>
      </c>
      <c r="Z138">
        <v>-1.2001070000000613E-2</v>
      </c>
    </row>
    <row r="139" spans="1:26">
      <c r="A139" s="54" t="str">
        <f>CONCATENATE(raw[[#This Row],[redis_ls]],raw[[#This Row],[wage_eq]],raw[[#This Row],[flex]],raw[[#This Row],[expo]],raw[[#This Row],[_date_]])</f>
        <v>120149310</v>
      </c>
      <c r="B139" s="1">
        <v>49310</v>
      </c>
      <c r="C139">
        <v>1</v>
      </c>
      <c r="D139">
        <v>2</v>
      </c>
      <c r="E139">
        <v>0</v>
      </c>
      <c r="F139">
        <v>1</v>
      </c>
      <c r="G139">
        <v>-0.13434158124060458</v>
      </c>
      <c r="H139">
        <v>2.0863900000040303</v>
      </c>
      <c r="I139">
        <v>-2.094879346994083</v>
      </c>
      <c r="J139">
        <v>7.1975025684523075E-2</v>
      </c>
      <c r="K139">
        <v>-0.71285838304152582</v>
      </c>
      <c r="L139">
        <v>-0.37618219395912922</v>
      </c>
      <c r="M139">
        <v>-0.34674547523515509</v>
      </c>
      <c r="N139">
        <v>7.0108139277880177E-2</v>
      </c>
      <c r="O139">
        <v>-1.6718200000001571E-3</v>
      </c>
      <c r="P139">
        <v>0.22995474549849515</v>
      </c>
      <c r="Q139">
        <v>2.0482120063669562E-2</v>
      </c>
      <c r="R139">
        <v>-0.46948409115996625</v>
      </c>
      <c r="S139">
        <v>0.46630316739668665</v>
      </c>
      <c r="T139">
        <v>-0.61461579349307849</v>
      </c>
      <c r="U139">
        <v>24.751008685697286</v>
      </c>
      <c r="V139">
        <v>3.8864364548807373E-5</v>
      </c>
      <c r="W139">
        <v>0.47173765220007713</v>
      </c>
      <c r="X139">
        <v>-2.2727200000002834E-3</v>
      </c>
      <c r="Y139">
        <v>3.8676759999999727E-2</v>
      </c>
      <c r="Z139">
        <v>-1.2747989999999099E-2</v>
      </c>
    </row>
    <row r="140" spans="1:26">
      <c r="A140" s="54" t="str">
        <f>CONCATENATE(raw[[#This Row],[redis_ls]],raw[[#This Row],[wage_eq]],raw[[#This Row],[flex]],raw[[#This Row],[expo]],raw[[#This Row],[_date_]])</f>
        <v>120149675</v>
      </c>
      <c r="B140" s="1">
        <v>49675</v>
      </c>
      <c r="C140">
        <v>1</v>
      </c>
      <c r="D140">
        <v>2</v>
      </c>
      <c r="E140">
        <v>0</v>
      </c>
      <c r="F140">
        <v>1</v>
      </c>
      <c r="G140">
        <v>-0.13578507725505728</v>
      </c>
      <c r="H140">
        <v>-0.46294000000489177</v>
      </c>
      <c r="I140">
        <v>-2.0637413255544135</v>
      </c>
      <c r="J140">
        <v>6.8300399094178843E-2</v>
      </c>
      <c r="K140">
        <v>-0.69085021328579854</v>
      </c>
      <c r="L140">
        <v>-0.38183738642689757</v>
      </c>
      <c r="M140">
        <v>-0.33933984163390107</v>
      </c>
      <c r="N140">
        <v>6.7011621324830628E-2</v>
      </c>
      <c r="O140">
        <v>-1.1540599999998458E-3</v>
      </c>
      <c r="P140">
        <v>0.22940214275624093</v>
      </c>
      <c r="Q140">
        <v>2.4518427103736862E-2</v>
      </c>
      <c r="R140">
        <v>-0.45632013140708416</v>
      </c>
      <c r="S140">
        <v>0.46168145298846053</v>
      </c>
      <c r="T140">
        <v>-0.63938966264868169</v>
      </c>
      <c r="U140">
        <v>24.968405920636826</v>
      </c>
      <c r="V140">
        <v>3.0793216989843941E-3</v>
      </c>
      <c r="W140">
        <v>0.461505416473873</v>
      </c>
      <c r="X140">
        <v>2.816099999999877E-3</v>
      </c>
      <c r="Y140">
        <v>3.4438440000000153E-2</v>
      </c>
      <c r="Z140">
        <v>-1.3223869999999527E-2</v>
      </c>
    </row>
    <row r="141" spans="1:26">
      <c r="A141" s="54" t="str">
        <f>CONCATENATE(raw[[#This Row],[redis_ls]],raw[[#This Row],[wage_eq]],raw[[#This Row],[flex]],raw[[#This Row],[expo]],raw[[#This Row],[_date_]])</f>
        <v>120150041</v>
      </c>
      <c r="B141" s="1">
        <v>50041</v>
      </c>
      <c r="C141">
        <v>1</v>
      </c>
      <c r="D141">
        <v>2</v>
      </c>
      <c r="E141">
        <v>0</v>
      </c>
      <c r="F141">
        <v>1</v>
      </c>
      <c r="G141">
        <v>-0.13588643911555121</v>
      </c>
      <c r="H141">
        <v>-2.3228600000002189</v>
      </c>
      <c r="I141">
        <v>-2.0316633837053177</v>
      </c>
      <c r="J141">
        <v>6.5063305568946461E-2</v>
      </c>
      <c r="K141">
        <v>-0.66738993060890817</v>
      </c>
      <c r="L141">
        <v>-0.38470758722873866</v>
      </c>
      <c r="M141">
        <v>-0.33193620458528139</v>
      </c>
      <c r="N141">
        <v>6.4297348766717555E-2</v>
      </c>
      <c r="O141">
        <v>-6.8592999999950166E-4</v>
      </c>
      <c r="P141">
        <v>0.22730017603271868</v>
      </c>
      <c r="Q141">
        <v>2.6844990546126546E-2</v>
      </c>
      <c r="R141">
        <v>-0.44521400305235215</v>
      </c>
      <c r="S141">
        <v>0.45567206042265163</v>
      </c>
      <c r="T141">
        <v>-0.66341014839061963</v>
      </c>
      <c r="U141">
        <v>25.181635887397103</v>
      </c>
      <c r="V141">
        <v>4.0175207187465034E-3</v>
      </c>
      <c r="W141">
        <v>0.45124046462767797</v>
      </c>
      <c r="X141">
        <v>6.3352200000005299E-3</v>
      </c>
      <c r="Y141">
        <v>3.0644519999999814E-2</v>
      </c>
      <c r="Z141">
        <v>-1.3328299999999793E-2</v>
      </c>
    </row>
    <row r="142" spans="1:26">
      <c r="A142" s="54" t="str">
        <f>CONCATENATE(raw[[#This Row],[redis_ls]],raw[[#This Row],[wage_eq]],raw[[#This Row],[flex]],raw[[#This Row],[expo]],raw[[#This Row],[_date_]])</f>
        <v>120150406</v>
      </c>
      <c r="B142" s="1">
        <v>50406</v>
      </c>
      <c r="C142">
        <v>1</v>
      </c>
      <c r="D142">
        <v>2</v>
      </c>
      <c r="E142">
        <v>0</v>
      </c>
      <c r="F142">
        <v>1</v>
      </c>
      <c r="G142">
        <v>-0.13463909354657355</v>
      </c>
      <c r="H142">
        <v>-3.4545100000032107</v>
      </c>
      <c r="I142">
        <v>-1.998663522343691</v>
      </c>
      <c r="J142">
        <v>6.2390781092136471E-2</v>
      </c>
      <c r="K142">
        <v>-0.64257241399088283</v>
      </c>
      <c r="L142">
        <v>-0.38491500019861569</v>
      </c>
      <c r="M142">
        <v>-0.32446782620575432</v>
      </c>
      <c r="N142">
        <v>6.2075468478006712E-2</v>
      </c>
      <c r="O142">
        <v>-2.8237999999958241E-4</v>
      </c>
      <c r="P142">
        <v>0.22390655087325406</v>
      </c>
      <c r="Q142">
        <v>2.7753657151907696E-2</v>
      </c>
      <c r="R142">
        <v>-0.43579709744215878</v>
      </c>
      <c r="S142">
        <v>0.44850594856238324</v>
      </c>
      <c r="T142">
        <v>-0.68647228820007955</v>
      </c>
      <c r="U142">
        <v>25.385514638845752</v>
      </c>
      <c r="V142">
        <v>3.1652790552616494E-3</v>
      </c>
      <c r="W142">
        <v>0.44088377145041768</v>
      </c>
      <c r="X142">
        <v>8.2541599999999549E-3</v>
      </c>
      <c r="Y142">
        <v>2.7313200000000232E-2</v>
      </c>
      <c r="Z142">
        <v>-1.3011450000000035E-2</v>
      </c>
    </row>
    <row r="143" spans="1:26">
      <c r="A143" s="54" t="str">
        <f>CONCATENATE(raw[[#This Row],[redis_ls]],raw[[#This Row],[wage_eq]],raw[[#This Row],[flex]],raw[[#This Row],[expo]],raw[[#This Row],[_date_]])</f>
        <v>120150771</v>
      </c>
      <c r="B143" s="1">
        <v>50771</v>
      </c>
      <c r="C143">
        <v>1</v>
      </c>
      <c r="D143">
        <v>2</v>
      </c>
      <c r="E143">
        <v>0</v>
      </c>
      <c r="F143">
        <v>1</v>
      </c>
      <c r="G143">
        <v>-0.13211936139192471</v>
      </c>
      <c r="H143">
        <v>-3.8661599999977625</v>
      </c>
      <c r="I143">
        <v>-1.9648410832085017</v>
      </c>
      <c r="J143">
        <v>6.034918700537073E-2</v>
      </c>
      <c r="K143">
        <v>-0.61656249053763101</v>
      </c>
      <c r="L143">
        <v>-0.38271800544469325</v>
      </c>
      <c r="M143">
        <v>-0.31689138297694708</v>
      </c>
      <c r="N143">
        <v>6.0402589145613916E-2</v>
      </c>
      <c r="O143">
        <v>4.7820000000087237E-5</v>
      </c>
      <c r="P143">
        <v>0.21951277451681683</v>
      </c>
      <c r="Q143">
        <v>2.7565675420837543E-2</v>
      </c>
      <c r="R143">
        <v>-0.42767734647006783</v>
      </c>
      <c r="S143">
        <v>0.44044773656914948</v>
      </c>
      <c r="T143">
        <v>-0.70840199319180952</v>
      </c>
      <c r="U143">
        <v>25.575908213034214</v>
      </c>
      <c r="V143">
        <v>8.9357397605738242E-4</v>
      </c>
      <c r="W143">
        <v>0.4304116960209825</v>
      </c>
      <c r="X143">
        <v>8.6390499999991488E-3</v>
      </c>
      <c r="Y143">
        <v>2.4435200000000323E-2</v>
      </c>
      <c r="Z143">
        <v>-1.2266799999999245E-2</v>
      </c>
    </row>
    <row r="144" spans="1:26">
      <c r="A144" s="54" t="str">
        <f>CONCATENATE(raw[[#This Row],[redis_ls]],raw[[#This Row],[wage_eq]],raw[[#This Row],[flex]],raw[[#This Row],[expo]],raw[[#This Row],[_date_]])</f>
        <v>120151136</v>
      </c>
      <c r="B144" s="1">
        <v>51136</v>
      </c>
      <c r="C144">
        <v>1</v>
      </c>
      <c r="D144">
        <v>2</v>
      </c>
      <c r="E144">
        <v>0</v>
      </c>
      <c r="F144">
        <v>1</v>
      </c>
      <c r="G144">
        <v>-0.12846861420459099</v>
      </c>
      <c r="H144">
        <v>-3.6055699999997159</v>
      </c>
      <c r="I144">
        <v>-1.9303565960992697</v>
      </c>
      <c r="J144">
        <v>5.8951509854265893E-2</v>
      </c>
      <c r="K144">
        <v>-0.58957754647245286</v>
      </c>
      <c r="L144">
        <v>-0.37847278570006804</v>
      </c>
      <c r="M144">
        <v>-0.30918605543939215</v>
      </c>
      <c r="N144">
        <v>5.9287673226049442E-2</v>
      </c>
      <c r="O144">
        <v>3.0107000000001438E-4</v>
      </c>
      <c r="P144">
        <v>0.21442206015704901</v>
      </c>
      <c r="Q144">
        <v>2.6608381081594246E-2</v>
      </c>
      <c r="R144">
        <v>-0.42046593936339027</v>
      </c>
      <c r="S144">
        <v>0.43177520234825018</v>
      </c>
      <c r="T144">
        <v>-0.72906204107823225</v>
      </c>
      <c r="U144">
        <v>25.74980148703019</v>
      </c>
      <c r="V144">
        <v>-2.399388512752676E-3</v>
      </c>
      <c r="W144">
        <v>0.41983174079442964</v>
      </c>
      <c r="X144">
        <v>7.6337299999992836E-3</v>
      </c>
      <c r="Y144">
        <v>2.1978769999999453E-2</v>
      </c>
      <c r="Z144">
        <v>-1.1123409999999612E-2</v>
      </c>
    </row>
    <row r="145" spans="1:26">
      <c r="A145" s="54" t="str">
        <f>CONCATENATE(raw[[#This Row],[redis_ls]],raw[[#This Row],[wage_eq]],raw[[#This Row],[flex]],raw[[#This Row],[expo]],raw[[#This Row],[_date_]])</f>
        <v>120151502</v>
      </c>
      <c r="B145" s="1">
        <v>51502</v>
      </c>
      <c r="C145">
        <v>1</v>
      </c>
      <c r="D145">
        <v>2</v>
      </c>
      <c r="E145">
        <v>0</v>
      </c>
      <c r="F145">
        <v>1</v>
      </c>
      <c r="G145">
        <v>-0.12387487751333026</v>
      </c>
      <c r="H145">
        <v>-2.7516299999988405</v>
      </c>
      <c r="I145">
        <v>-1.8954131621532477</v>
      </c>
      <c r="J145">
        <v>5.8165682726429857E-2</v>
      </c>
      <c r="K145">
        <v>-0.56187008567392116</v>
      </c>
      <c r="L145">
        <v>-0.37259660998026911</v>
      </c>
      <c r="M145">
        <v>-0.30135149865460065</v>
      </c>
      <c r="N145">
        <v>5.8699489274016692E-2</v>
      </c>
      <c r="O145">
        <v>4.7806000000039095E-4</v>
      </c>
      <c r="P145">
        <v>0.20892958919513926</v>
      </c>
      <c r="Q145">
        <v>2.519470507713617E-2</v>
      </c>
      <c r="R145">
        <v>-0.41379969283913409</v>
      </c>
      <c r="S145">
        <v>0.42275989298716787</v>
      </c>
      <c r="T145">
        <v>-0.74835543357081313</v>
      </c>
      <c r="U145">
        <v>25.905293762080106</v>
      </c>
      <c r="V145">
        <v>-6.3154816558830262E-3</v>
      </c>
      <c r="W145">
        <v>0.40917737638161977</v>
      </c>
      <c r="X145">
        <v>5.4398900000002248E-3</v>
      </c>
      <c r="Y145">
        <v>1.9895279999999904E-2</v>
      </c>
      <c r="Z145">
        <v>-9.6378499999993927E-3</v>
      </c>
    </row>
    <row r="146" spans="1:26">
      <c r="A146" s="54" t="str">
        <f>CONCATENATE(raw[[#This Row],[redis_ls]],raw[[#This Row],[wage_eq]],raw[[#This Row],[flex]],raw[[#This Row],[expo]],raw[[#This Row],[_date_]])</f>
        <v>120151867</v>
      </c>
      <c r="B146" s="1">
        <v>51867</v>
      </c>
      <c r="C146">
        <v>1</v>
      </c>
      <c r="D146">
        <v>2</v>
      </c>
      <c r="E146">
        <v>0</v>
      </c>
      <c r="F146">
        <v>1</v>
      </c>
      <c r="G146">
        <v>-0.11855492854627725</v>
      </c>
      <c r="H146">
        <v>-1.4057099999990896</v>
      </c>
      <c r="I146">
        <v>-1.8602377594084007</v>
      </c>
      <c r="J146">
        <v>5.7923712629759372E-2</v>
      </c>
      <c r="K146">
        <v>-0.53371121750891426</v>
      </c>
      <c r="L146">
        <v>-0.36553339776587146</v>
      </c>
      <c r="M146">
        <v>-0.29340464327670679</v>
      </c>
      <c r="N146">
        <v>5.8574630259400351E-2</v>
      </c>
      <c r="O146">
        <v>5.8297999999956662E-4</v>
      </c>
      <c r="P146">
        <v>0.20330666109540374</v>
      </c>
      <c r="Q146">
        <v>2.3607380241275067E-2</v>
      </c>
      <c r="R146">
        <v>-0.40735764119872453</v>
      </c>
      <c r="S146">
        <v>0.41365287885426483</v>
      </c>
      <c r="T146">
        <v>-0.76622584749448386</v>
      </c>
      <c r="U146">
        <v>26.041534072294816</v>
      </c>
      <c r="V146">
        <v>-1.0480520929290194E-2</v>
      </c>
      <c r="W146">
        <v>0.3985004886317034</v>
      </c>
      <c r="X146">
        <v>2.2972900000001184E-3</v>
      </c>
      <c r="Y146">
        <v>1.8124970000000379E-2</v>
      </c>
      <c r="Z146">
        <v>-7.8861100000007789E-3</v>
      </c>
    </row>
    <row r="147" spans="1:26">
      <c r="A147" s="54" t="str">
        <f>CONCATENATE(raw[[#This Row],[redis_ls]],raw[[#This Row],[wage_eq]],raw[[#This Row],[flex]],raw[[#This Row],[expo]],raw[[#This Row],[_date_]])</f>
        <v>120152232</v>
      </c>
      <c r="B147" s="1">
        <v>52232</v>
      </c>
      <c r="C147">
        <v>1</v>
      </c>
      <c r="D147">
        <v>2</v>
      </c>
      <c r="E147">
        <v>0</v>
      </c>
      <c r="F147">
        <v>1</v>
      </c>
      <c r="G147">
        <v>-0.11273777745431923</v>
      </c>
      <c r="H147">
        <v>0.31712999999581371</v>
      </c>
      <c r="I147">
        <v>-1.8250637915729118</v>
      </c>
      <c r="J147">
        <v>5.813082423886673E-2</v>
      </c>
      <c r="K147">
        <v>-0.50537556232665981</v>
      </c>
      <c r="L147">
        <v>-0.35772318030363737</v>
      </c>
      <c r="M147">
        <v>-0.28537687653323873</v>
      </c>
      <c r="N147">
        <v>5.8826215517471248E-2</v>
      </c>
      <c r="O147">
        <v>6.2278000000082212E-4</v>
      </c>
      <c r="P147">
        <v>0.19778863006696401</v>
      </c>
      <c r="Q147">
        <v>2.2087601844233973E-2</v>
      </c>
      <c r="R147">
        <v>-0.40087303272137165</v>
      </c>
      <c r="S147">
        <v>0.40467285028555899</v>
      </c>
      <c r="T147">
        <v>-0.78265640100222411</v>
      </c>
      <c r="U147">
        <v>26.158606124902374</v>
      </c>
      <c r="V147">
        <v>-1.4562147431340655E-2</v>
      </c>
      <c r="W147">
        <v>0.38786568899116247</v>
      </c>
      <c r="X147">
        <v>-1.5351100000005058E-3</v>
      </c>
      <c r="Y147">
        <v>1.6602680000000342E-2</v>
      </c>
      <c r="Z147">
        <v>-5.9559299999997761E-3</v>
      </c>
    </row>
    <row r="148" spans="1:26">
      <c r="A148" s="54" t="str">
        <f>CONCATENATE(raw[[#This Row],[redis_ls]],raw[[#This Row],[wage_eq]],raw[[#This Row],[flex]],raw[[#This Row],[expo]],raw[[#This Row],[_date_]])</f>
        <v>120152597</v>
      </c>
      <c r="B148" s="1">
        <v>52597</v>
      </c>
      <c r="C148">
        <v>1</v>
      </c>
      <c r="D148">
        <v>2</v>
      </c>
      <c r="E148">
        <v>0</v>
      </c>
      <c r="F148">
        <v>1</v>
      </c>
      <c r="G148">
        <v>-0.10664989443889272</v>
      </c>
      <c r="H148">
        <v>2.2962899999984074</v>
      </c>
      <c r="I148">
        <v>-1.7901171779415193</v>
      </c>
      <c r="J148">
        <v>5.8675076265046755E-2</v>
      </c>
      <c r="K148">
        <v>-0.47712815768209405</v>
      </c>
      <c r="L148">
        <v>-0.34957741895370598</v>
      </c>
      <c r="M148">
        <v>-0.27730989831221686</v>
      </c>
      <c r="N148">
        <v>5.9352299288084609E-2</v>
      </c>
      <c r="O148">
        <v>6.0657000000019501E-4</v>
      </c>
      <c r="P148">
        <v>0.19256720596894095</v>
      </c>
      <c r="Q148">
        <v>2.082738274780116E-2</v>
      </c>
      <c r="R148">
        <v>-0.39413959226581863</v>
      </c>
      <c r="S148">
        <v>0.39599863061436924</v>
      </c>
      <c r="T148">
        <v>-0.79766593308111533</v>
      </c>
      <c r="U148">
        <v>26.25738036030285</v>
      </c>
      <c r="V148">
        <v>-1.828326536045255E-2</v>
      </c>
      <c r="W148">
        <v>0.37734357807863717</v>
      </c>
      <c r="X148">
        <v>-5.7963700000010498E-3</v>
      </c>
      <c r="Y148">
        <v>1.5262769999999787E-2</v>
      </c>
      <c r="Z148">
        <v>-3.9396799999993903E-3</v>
      </c>
    </row>
    <row r="149" spans="1:26">
      <c r="A149" s="54" t="str">
        <f>CONCATENATE(raw[[#This Row],[redis_ls]],raw[[#This Row],[wage_eq]],raw[[#This Row],[flex]],raw[[#This Row],[expo]],raw[[#This Row],[_date_]])</f>
        <v>120152963</v>
      </c>
      <c r="B149" s="1">
        <v>52963</v>
      </c>
      <c r="C149">
        <v>1</v>
      </c>
      <c r="D149">
        <v>2</v>
      </c>
      <c r="E149">
        <v>0</v>
      </c>
      <c r="F149">
        <v>1</v>
      </c>
      <c r="G149">
        <v>-0.10050285071339093</v>
      </c>
      <c r="H149">
        <v>4.4132600000011735</v>
      </c>
      <c r="I149">
        <v>-1.7556041213211637</v>
      </c>
      <c r="J149">
        <v>5.9436280486280246E-2</v>
      </c>
      <c r="K149">
        <v>-0.44921362369153561</v>
      </c>
      <c r="L149">
        <v>-0.3414591878085349</v>
      </c>
      <c r="M149">
        <v>-0.26925283973049385</v>
      </c>
      <c r="N149">
        <v>6.0044660266256322E-2</v>
      </c>
      <c r="O149">
        <v>5.4490999999989853E-4</v>
      </c>
      <c r="P149">
        <v>0.18778581259257798</v>
      </c>
      <c r="Q149">
        <v>1.9966500188672853E-2</v>
      </c>
      <c r="R149">
        <v>-0.38701420493932881</v>
      </c>
      <c r="S149">
        <v>0.38776511549434289</v>
      </c>
      <c r="T149">
        <v>-0.81130449039163999</v>
      </c>
      <c r="U149">
        <v>26.339344775131735</v>
      </c>
      <c r="V149">
        <v>-2.1429498808556158E-2</v>
      </c>
      <c r="W149">
        <v>0.3670050823290083</v>
      </c>
      <c r="X149">
        <v>-1.0238469999999944E-2</v>
      </c>
      <c r="Y149">
        <v>1.4043409999999618E-2</v>
      </c>
      <c r="Z149">
        <v>-1.9280600000004533E-3</v>
      </c>
    </row>
    <row r="150" spans="1:26">
      <c r="A150" s="54" t="str">
        <f>CONCATENATE(raw[[#This Row],[redis_ls]],raw[[#This Row],[wage_eq]],raw[[#This Row],[flex]],raw[[#This Row],[expo]],raw[[#This Row],[_date_]])</f>
        <v>120153328</v>
      </c>
      <c r="B150" s="1">
        <v>53328</v>
      </c>
      <c r="C150">
        <v>1</v>
      </c>
      <c r="D150">
        <v>2</v>
      </c>
      <c r="E150">
        <v>0</v>
      </c>
      <c r="F150">
        <v>1</v>
      </c>
      <c r="G150">
        <v>-9.4483607113260426E-2</v>
      </c>
      <c r="H150">
        <v>6.5578600000008009</v>
      </c>
      <c r="I150">
        <v>-1.7217018906247383</v>
      </c>
      <c r="J150">
        <v>6.029441920705203E-2</v>
      </c>
      <c r="K150">
        <v>-0.42184816123685964</v>
      </c>
      <c r="L150">
        <v>-0.33367015727767679</v>
      </c>
      <c r="M150">
        <v>-0.26125759326673936</v>
      </c>
      <c r="N150">
        <v>6.0795904443522453E-2</v>
      </c>
      <c r="O150">
        <v>4.4919000000004372E-4</v>
      </c>
      <c r="P150">
        <v>0.18353949505049982</v>
      </c>
      <c r="Q150">
        <v>1.959302276461905E-2</v>
      </c>
      <c r="R150">
        <v>-0.37941388381058649</v>
      </c>
      <c r="S150">
        <v>0.38006238909262802</v>
      </c>
      <c r="T150">
        <v>-0.82364710088408399</v>
      </c>
      <c r="U150">
        <v>26.406428965798902</v>
      </c>
      <c r="V150">
        <v>-2.3852083239661592E-2</v>
      </c>
      <c r="W150">
        <v>0.3569160756276446</v>
      </c>
      <c r="X150">
        <v>-1.46383299999997E-2</v>
      </c>
      <c r="Y150">
        <v>1.2889839999999375E-2</v>
      </c>
      <c r="Z150">
        <v>-4.8199999991282994E-6</v>
      </c>
    </row>
    <row r="151" spans="1:26">
      <c r="A151" s="54" t="str">
        <f>CONCATENATE(raw[[#This Row],[redis_ls]],raw[[#This Row],[wage_eq]],raw[[#This Row],[flex]],raw[[#This Row],[expo]],raw[[#This Row],[_date_]])</f>
        <v>120153693</v>
      </c>
      <c r="B151" s="1">
        <v>53693</v>
      </c>
      <c r="C151">
        <v>1</v>
      </c>
      <c r="D151">
        <v>2</v>
      </c>
      <c r="E151">
        <v>0</v>
      </c>
      <c r="F151">
        <v>1</v>
      </c>
      <c r="G151">
        <v>-8.8747791640853002E-2</v>
      </c>
      <c r="H151">
        <v>8.6333900000026915</v>
      </c>
      <c r="I151">
        <v>-1.6885532234515277</v>
      </c>
      <c r="J151">
        <v>6.1136923406301946E-2</v>
      </c>
      <c r="K151">
        <v>-0.39521336584935618</v>
      </c>
      <c r="L151">
        <v>-0.32644272204164215</v>
      </c>
      <c r="M151">
        <v>-0.25337593816400217</v>
      </c>
      <c r="N151">
        <v>6.1506390196330862E-2</v>
      </c>
      <c r="O151">
        <v>3.3093999999983525E-4</v>
      </c>
      <c r="P151">
        <v>0.17987683073321659</v>
      </c>
      <c r="Q151">
        <v>1.9746418539967614E-2</v>
      </c>
      <c r="R151">
        <v>-0.37131146285656058</v>
      </c>
      <c r="S151">
        <v>0.37293763186567741</v>
      </c>
      <c r="T151">
        <v>-0.83478772513068122</v>
      </c>
      <c r="U151">
        <v>26.46083289753134</v>
      </c>
      <c r="V151">
        <v>-2.5466134758134196E-2</v>
      </c>
      <c r="W151">
        <v>0.34713433287794082</v>
      </c>
      <c r="X151">
        <v>-1.8806659999999475E-2</v>
      </c>
      <c r="Y151">
        <v>1.1756579999999683E-2</v>
      </c>
      <c r="Z151">
        <v>1.7574100000000703E-3</v>
      </c>
    </row>
    <row r="152" spans="1:26">
      <c r="A152" s="54" t="str">
        <f>CONCATENATE(raw[[#This Row],[redis_ls]],raw[[#This Row],[wage_eq]],raw[[#This Row],[flex]],raw[[#This Row],[expo]],raw[[#This Row],[_date_]])</f>
        <v>120154058</v>
      </c>
      <c r="B152" s="1">
        <v>54058</v>
      </c>
      <c r="C152">
        <v>1</v>
      </c>
      <c r="D152">
        <v>2</v>
      </c>
      <c r="E152">
        <v>0</v>
      </c>
      <c r="F152">
        <v>1</v>
      </c>
      <c r="G152">
        <v>-8.3415669853026397E-2</v>
      </c>
      <c r="H152">
        <v>10.560089999999036</v>
      </c>
      <c r="I152">
        <v>-1.6562627552552112</v>
      </c>
      <c r="J152">
        <v>6.1864604326911099E-2</v>
      </c>
      <c r="K152">
        <v>-0.36945394446574742</v>
      </c>
      <c r="L152">
        <v>-0.31993754957281295</v>
      </c>
      <c r="M152">
        <v>-0.2456562234512738</v>
      </c>
      <c r="N152">
        <v>6.2089217498861871E-2</v>
      </c>
      <c r="O152">
        <v>2.0123000000066282E-4</v>
      </c>
      <c r="P152">
        <v>0.17680468027232443</v>
      </c>
      <c r="Q152">
        <v>2.0423296607186003E-2</v>
      </c>
      <c r="R152">
        <v>-0.3627276563495041</v>
      </c>
      <c r="S152">
        <v>0.36639923143622077</v>
      </c>
      <c r="T152">
        <v>-0.84483256649132699</v>
      </c>
      <c r="U152">
        <v>26.504868577335159</v>
      </c>
      <c r="V152">
        <v>-2.6246021677578391E-2</v>
      </c>
      <c r="W152">
        <v>0.33770660920422468</v>
      </c>
      <c r="X152">
        <v>-2.2593560000000457E-2</v>
      </c>
      <c r="Y152">
        <v>1.0608700000000471E-2</v>
      </c>
      <c r="Z152">
        <v>3.3000300000002314E-3</v>
      </c>
    </row>
    <row r="153" spans="1:26">
      <c r="A153" s="54" t="str">
        <f>CONCATENATE(raw[[#This Row],[redis_ls]],raw[[#This Row],[wage_eq]],raw[[#This Row],[flex]],raw[[#This Row],[expo]],raw[[#This Row],[_date_]])</f>
        <v>120154424</v>
      </c>
      <c r="B153" s="1">
        <v>54424</v>
      </c>
      <c r="C153">
        <v>1</v>
      </c>
      <c r="D153">
        <v>2</v>
      </c>
      <c r="E153">
        <v>0</v>
      </c>
      <c r="F153">
        <v>1</v>
      </c>
      <c r="G153">
        <v>-7.8570746982531414E-2</v>
      </c>
      <c r="H153">
        <v>12.277200000004086</v>
      </c>
      <c r="I153">
        <v>-1.6248970801038376</v>
      </c>
      <c r="J153">
        <v>6.2395633115253091E-2</v>
      </c>
      <c r="K153">
        <v>-0.34467639958443153</v>
      </c>
      <c r="L153">
        <v>-0.31424601473211133</v>
      </c>
      <c r="M153">
        <v>-0.2381410561555164</v>
      </c>
      <c r="N153">
        <v>6.2473928227779751E-2</v>
      </c>
      <c r="O153">
        <v>7.0139999999718761E-5</v>
      </c>
      <c r="P153">
        <v>0.17429440114398176</v>
      </c>
      <c r="Q153">
        <v>2.1584681476305434E-2</v>
      </c>
      <c r="R153">
        <v>-0.35372199503989066</v>
      </c>
      <c r="S153">
        <v>0.36042260047810526</v>
      </c>
      <c r="T153">
        <v>-0.85389402446274243</v>
      </c>
      <c r="U153">
        <v>26.540823374468857</v>
      </c>
      <c r="V153">
        <v>-2.6217204556877594E-2</v>
      </c>
      <c r="W153">
        <v>0.32866741855284154</v>
      </c>
      <c r="X153">
        <v>-2.5890939999999307E-2</v>
      </c>
      <c r="Y153">
        <v>9.4221999999997974E-3</v>
      </c>
      <c r="Z153">
        <v>4.5801099999992489E-3</v>
      </c>
    </row>
    <row r="154" spans="1:26">
      <c r="A154" s="54" t="str">
        <f>CONCATENATE(raw[[#This Row],[redis_ls]],raw[[#This Row],[wage_eq]],raw[[#This Row],[flex]],raw[[#This Row],[expo]],raw[[#This Row],[_date_]])</f>
        <v>120154789</v>
      </c>
      <c r="B154" s="1">
        <v>54789</v>
      </c>
      <c r="C154">
        <v>1</v>
      </c>
      <c r="D154">
        <v>2</v>
      </c>
      <c r="E154">
        <v>0</v>
      </c>
      <c r="F154">
        <v>1</v>
      </c>
      <c r="G154">
        <v>-7.4260871731313127E-2</v>
      </c>
      <c r="H154">
        <v>13.743549999999232</v>
      </c>
      <c r="I154">
        <v>-1.5944863510245044</v>
      </c>
      <c r="J154">
        <v>6.2668452804026664E-2</v>
      </c>
      <c r="K154">
        <v>-0.32095071025483035</v>
      </c>
      <c r="L154">
        <v>-0.30939592326769683</v>
      </c>
      <c r="M154">
        <v>-0.230865797203339</v>
      </c>
      <c r="N154">
        <v>6.2608443875911135E-2</v>
      </c>
      <c r="O154">
        <v>-5.372999999919692E-5</v>
      </c>
      <c r="P154">
        <v>0.17228941411968623</v>
      </c>
      <c r="Q154">
        <v>2.3163608530518687E-2</v>
      </c>
      <c r="R154">
        <v>-0.34438316292768612</v>
      </c>
      <c r="S154">
        <v>0.35495662510263148</v>
      </c>
      <c r="T154">
        <v>-0.86208527494532339</v>
      </c>
      <c r="U154">
        <v>26.570847033801257</v>
      </c>
      <c r="V154">
        <v>-2.5446851175214835E-2</v>
      </c>
      <c r="W154">
        <v>0.32003845007972931</v>
      </c>
      <c r="X154">
        <v>-2.8632130000000311E-2</v>
      </c>
      <c r="Y154">
        <v>8.1835699999997791E-3</v>
      </c>
      <c r="Z154">
        <v>5.5709599999995141E-3</v>
      </c>
    </row>
    <row r="155" spans="1:26">
      <c r="A155" s="54" t="str">
        <f>CONCATENATE(raw[[#This Row],[redis_ls]],raw[[#This Row],[wage_eq]],raw[[#This Row],[flex]],raw[[#This Row],[expo]],raw[[#This Row],[_date_]])</f>
        <v>120036526</v>
      </c>
      <c r="B155" s="1">
        <v>36526</v>
      </c>
      <c r="C155">
        <v>1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3.5299760163587379E-3</v>
      </c>
      <c r="U155">
        <v>0.2202024959955029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54" t="str">
        <f>CONCATENATE(raw[[#This Row],[redis_ls]],raw[[#This Row],[wage_eq]],raw[[#This Row],[flex]],raw[[#This Row],[expo]],raw[[#This Row],[_date_]])</f>
        <v>120036892</v>
      </c>
      <c r="B156" s="1">
        <v>36892</v>
      </c>
      <c r="C156">
        <v>1</v>
      </c>
      <c r="D156">
        <v>2</v>
      </c>
      <c r="E156">
        <v>0</v>
      </c>
      <c r="F156">
        <v>0</v>
      </c>
      <c r="G156">
        <v>3.2367949978984178E-2</v>
      </c>
      <c r="H156">
        <v>22.834979999999632</v>
      </c>
      <c r="I156">
        <v>-1.1966467138824211</v>
      </c>
      <c r="J156">
        <v>5.7222519601318744E-2</v>
      </c>
      <c r="K156">
        <v>-0.16036139833403018</v>
      </c>
      <c r="L156">
        <v>-3.8835917239110618E-2</v>
      </c>
      <c r="M156">
        <v>-0.14960473758762749</v>
      </c>
      <c r="N156">
        <v>8.0219139460124822E-2</v>
      </c>
      <c r="O156">
        <v>2.0622850000000248E-2</v>
      </c>
      <c r="P156">
        <v>0.45760021908447523</v>
      </c>
      <c r="Q156">
        <v>7.1036972946059151E-2</v>
      </c>
      <c r="R156">
        <v>-0.71671468901517432</v>
      </c>
      <c r="S156">
        <v>0.85172582220767179</v>
      </c>
      <c r="T156">
        <v>0.21315290128212094</v>
      </c>
      <c r="U156">
        <v>0.7694154865609093</v>
      </c>
      <c r="V156">
        <v>1.7306481025847198E-2</v>
      </c>
      <c r="W156">
        <v>0.73931998292682266</v>
      </c>
      <c r="X156">
        <v>-6.8225669999999461E-2</v>
      </c>
      <c r="Y156">
        <v>8.9692669999999822E-2</v>
      </c>
      <c r="Z156">
        <v>-1.6156999999999977E-2</v>
      </c>
    </row>
    <row r="157" spans="1:26">
      <c r="A157" s="54" t="str">
        <f>CONCATENATE(raw[[#This Row],[redis_ls]],raw[[#This Row],[wage_eq]],raw[[#This Row],[flex]],raw[[#This Row],[expo]],raw[[#This Row],[_date_]])</f>
        <v>120037257</v>
      </c>
      <c r="B157" s="1">
        <v>37257</v>
      </c>
      <c r="C157">
        <v>1</v>
      </c>
      <c r="D157">
        <v>2</v>
      </c>
      <c r="E157">
        <v>0</v>
      </c>
      <c r="F157">
        <v>0</v>
      </c>
      <c r="G157">
        <v>6.6588554650426346E-2</v>
      </c>
      <c r="H157">
        <v>47.701639999999315</v>
      </c>
      <c r="I157">
        <v>-1.9478706386541811</v>
      </c>
      <c r="J157">
        <v>0.14400976121240472</v>
      </c>
      <c r="K157">
        <v>-0.294373205352505</v>
      </c>
      <c r="L157">
        <v>-9.2853784656998783E-2</v>
      </c>
      <c r="M157">
        <v>-0.23628681743790292</v>
      </c>
      <c r="N157">
        <v>0.17554075945400704</v>
      </c>
      <c r="O157">
        <v>2.8253159999999666E-2</v>
      </c>
      <c r="P157">
        <v>0.52030940226637235</v>
      </c>
      <c r="Q157">
        <v>0.15081769079412499</v>
      </c>
      <c r="R157">
        <v>-0.61931751971916471</v>
      </c>
      <c r="S157">
        <v>0.91307450698974169</v>
      </c>
      <c r="T157">
        <v>0.33383866348442037</v>
      </c>
      <c r="U157">
        <v>1.6888958830901357</v>
      </c>
      <c r="V157">
        <v>0.17875313050721431</v>
      </c>
      <c r="W157">
        <v>0.80304405395887901</v>
      </c>
      <c r="X157">
        <v>-0.13655189999999956</v>
      </c>
      <c r="Y157">
        <v>0.13941513000000003</v>
      </c>
      <c r="Z157">
        <v>3.9341680000000087E-2</v>
      </c>
    </row>
    <row r="158" spans="1:26">
      <c r="A158" s="54" t="str">
        <f>CONCATENATE(raw[[#This Row],[redis_ls]],raw[[#This Row],[wage_eq]],raw[[#This Row],[flex]],raw[[#This Row],[expo]],raw[[#This Row],[_date_]])</f>
        <v>120037622</v>
      </c>
      <c r="B158" s="1">
        <v>37622</v>
      </c>
      <c r="C158">
        <v>1</v>
      </c>
      <c r="D158">
        <v>2</v>
      </c>
      <c r="E158">
        <v>0</v>
      </c>
      <c r="F158">
        <v>0</v>
      </c>
      <c r="G158">
        <v>8.9920512219965332E-2</v>
      </c>
      <c r="H158">
        <v>67.108240000001388</v>
      </c>
      <c r="I158">
        <v>-2.3810164611574702</v>
      </c>
      <c r="J158">
        <v>0.23031551829004737</v>
      </c>
      <c r="K158">
        <v>-0.3956769415062511</v>
      </c>
      <c r="L158">
        <v>-0.15345400247820384</v>
      </c>
      <c r="M158">
        <v>-0.26672147350790265</v>
      </c>
      <c r="N158">
        <v>0.25422574866365011</v>
      </c>
      <c r="O158">
        <v>2.1407489999999973E-2</v>
      </c>
      <c r="P158">
        <v>0.60467556924965749</v>
      </c>
      <c r="Q158">
        <v>0.25287751950002768</v>
      </c>
      <c r="R158">
        <v>-0.49474959128970042</v>
      </c>
      <c r="S158">
        <v>0.99101476001861588</v>
      </c>
      <c r="T158">
        <v>0.40317431507326251</v>
      </c>
      <c r="U158">
        <v>2.9841591488505959</v>
      </c>
      <c r="V158">
        <v>0.3634897593225439</v>
      </c>
      <c r="W158">
        <v>0.86250657948772069</v>
      </c>
      <c r="X158">
        <v>-0.18545342999999881</v>
      </c>
      <c r="Y158">
        <v>0.16933322000000015</v>
      </c>
      <c r="Z158">
        <v>7.0600130000000011E-2</v>
      </c>
    </row>
    <row r="159" spans="1:26">
      <c r="A159" s="54" t="str">
        <f>CONCATENATE(raw[[#This Row],[redis_ls]],raw[[#This Row],[wage_eq]],raw[[#This Row],[flex]],raw[[#This Row],[expo]],raw[[#This Row],[_date_]])</f>
        <v>120037987</v>
      </c>
      <c r="B159" s="1">
        <v>37987</v>
      </c>
      <c r="C159">
        <v>1</v>
      </c>
      <c r="D159">
        <v>2</v>
      </c>
      <c r="E159">
        <v>0</v>
      </c>
      <c r="F159">
        <v>0</v>
      </c>
      <c r="G159">
        <v>9.7759165326816166E-2</v>
      </c>
      <c r="H159">
        <v>78.842599999999948</v>
      </c>
      <c r="I159">
        <v>-2.6249001786671999</v>
      </c>
      <c r="J159">
        <v>0.29713000244686594</v>
      </c>
      <c r="K159">
        <v>-0.47291511880398485</v>
      </c>
      <c r="L159">
        <v>-0.21700344009418782</v>
      </c>
      <c r="M159">
        <v>-0.26900189910002981</v>
      </c>
      <c r="N159">
        <v>0.30615815565824267</v>
      </c>
      <c r="O159">
        <v>8.0787700000001239E-3</v>
      </c>
      <c r="P159">
        <v>0.70205237032952006</v>
      </c>
      <c r="Q159">
        <v>0.3696507972007046</v>
      </c>
      <c r="R159">
        <v>-0.35251743766397947</v>
      </c>
      <c r="S159">
        <v>1.0801079072520814</v>
      </c>
      <c r="T159">
        <v>0.43365326121223013</v>
      </c>
      <c r="U159">
        <v>4.6438379936302621</v>
      </c>
      <c r="V159">
        <v>0.54257217767852417</v>
      </c>
      <c r="W159">
        <v>0.89825611179299436</v>
      </c>
      <c r="X159">
        <v>-0.2114832300000008</v>
      </c>
      <c r="Y159">
        <v>0.19044856999999998</v>
      </c>
      <c r="Z159">
        <v>8.1260039999999853E-2</v>
      </c>
    </row>
    <row r="160" spans="1:26">
      <c r="A160" s="54" t="str">
        <f>CONCATENATE(raw[[#This Row],[redis_ls]],raw[[#This Row],[wage_eq]],raw[[#This Row],[flex]],raw[[#This Row],[expo]],raw[[#This Row],[_date_]])</f>
        <v>120038353</v>
      </c>
      <c r="B160" s="1">
        <v>38353</v>
      </c>
      <c r="C160">
        <v>1</v>
      </c>
      <c r="D160">
        <v>2</v>
      </c>
      <c r="E160">
        <v>0</v>
      </c>
      <c r="F160">
        <v>0</v>
      </c>
      <c r="G160">
        <v>9.2627911923304218E-2</v>
      </c>
      <c r="H160">
        <v>83.283790000001318</v>
      </c>
      <c r="I160">
        <v>-2.7588739897370429</v>
      </c>
      <c r="J160">
        <v>0.34318465945344379</v>
      </c>
      <c r="K160">
        <v>-0.53448027273833576</v>
      </c>
      <c r="L160">
        <v>-0.28132790925056161</v>
      </c>
      <c r="M160">
        <v>-0.25978785624817258</v>
      </c>
      <c r="N160">
        <v>0.34036972460114168</v>
      </c>
      <c r="O160">
        <v>-2.5181100000007395E-3</v>
      </c>
      <c r="P160">
        <v>0.80306348504024516</v>
      </c>
      <c r="Q160">
        <v>0.49091090203798871</v>
      </c>
      <c r="R160">
        <v>-0.20514341544359826</v>
      </c>
      <c r="S160">
        <v>1.1726103082255745</v>
      </c>
      <c r="T160">
        <v>0.42993023368484984</v>
      </c>
      <c r="U160">
        <v>6.6493300325411564</v>
      </c>
      <c r="V160">
        <v>0.71065493784838729</v>
      </c>
      <c r="W160">
        <v>0.91768089060006997</v>
      </c>
      <c r="X160">
        <v>-0.2177076</v>
      </c>
      <c r="Y160">
        <v>0.20786776000000021</v>
      </c>
      <c r="Z160">
        <v>8.0703910000000031E-2</v>
      </c>
    </row>
    <row r="161" spans="1:26">
      <c r="A161" s="54" t="str">
        <f>CONCATENATE(raw[[#This Row],[redis_ls]],raw[[#This Row],[wage_eq]],raw[[#This Row],[flex]],raw[[#This Row],[expo]],raw[[#This Row],[_date_]])</f>
        <v>120038718</v>
      </c>
      <c r="B161" s="1">
        <v>38718</v>
      </c>
      <c r="C161">
        <v>1</v>
      </c>
      <c r="D161">
        <v>2</v>
      </c>
      <c r="E161">
        <v>0</v>
      </c>
      <c r="F161">
        <v>0</v>
      </c>
      <c r="G161">
        <v>7.9718044944798727E-2</v>
      </c>
      <c r="H161">
        <v>82.044410000002244</v>
      </c>
      <c r="I161">
        <v>-2.8273933804939588</v>
      </c>
      <c r="J161">
        <v>0.37514166803043203</v>
      </c>
      <c r="K161">
        <v>-0.5848229895860646</v>
      </c>
      <c r="L161">
        <v>-0.34471620818088411</v>
      </c>
      <c r="M161">
        <v>-0.24583361294453487</v>
      </c>
      <c r="N161">
        <v>0.36655883876208772</v>
      </c>
      <c r="O161">
        <v>-7.6764600000001071E-3</v>
      </c>
      <c r="P161">
        <v>0.90101206057913164</v>
      </c>
      <c r="Q161">
        <v>0.60880109407461802</v>
      </c>
      <c r="R161">
        <v>-6.219837384142668E-2</v>
      </c>
      <c r="S161">
        <v>1.2625231363377454</v>
      </c>
      <c r="T161">
        <v>0.39496232772180395</v>
      </c>
      <c r="U161">
        <v>8.9790109581442614</v>
      </c>
      <c r="V161">
        <v>0.86683888934500075</v>
      </c>
      <c r="W161">
        <v>0.92961548007084449</v>
      </c>
      <c r="X161">
        <v>-0.2096876999999997</v>
      </c>
      <c r="Y161">
        <v>0.22331958000000041</v>
      </c>
      <c r="Z161">
        <v>7.6956640000000118E-2</v>
      </c>
    </row>
    <row r="162" spans="1:26">
      <c r="A162" s="54" t="str">
        <f>CONCATENATE(raw[[#This Row],[redis_ls]],raw[[#This Row],[wage_eq]],raw[[#This Row],[flex]],raw[[#This Row],[expo]],raw[[#This Row],[_date_]])</f>
        <v>120039083</v>
      </c>
      <c r="B162" s="1">
        <v>39083</v>
      </c>
      <c r="C162">
        <v>1</v>
      </c>
      <c r="D162">
        <v>2</v>
      </c>
      <c r="E162">
        <v>0</v>
      </c>
      <c r="F162">
        <v>0</v>
      </c>
      <c r="G162">
        <v>6.3965407008681474E-2</v>
      </c>
      <c r="H162">
        <v>77.095659999999043</v>
      </c>
      <c r="I162">
        <v>-2.8551247724878825</v>
      </c>
      <c r="J162">
        <v>0.40061738776115963</v>
      </c>
      <c r="K162">
        <v>-0.62544364193731772</v>
      </c>
      <c r="L162">
        <v>-0.40574025992143881</v>
      </c>
      <c r="M162">
        <v>-0.22901498330519798</v>
      </c>
      <c r="N162">
        <v>0.39126413937968785</v>
      </c>
      <c r="O162">
        <v>-8.3641300000006358E-3</v>
      </c>
      <c r="P162">
        <v>0.99183400352480522</v>
      </c>
      <c r="Q162">
        <v>0.71837314774598759</v>
      </c>
      <c r="R162">
        <v>7.034943753936318E-2</v>
      </c>
      <c r="S162">
        <v>1.346011142039294</v>
      </c>
      <c r="T162">
        <v>0.33170157699120573</v>
      </c>
      <c r="U162">
        <v>11.609653426404165</v>
      </c>
      <c r="V162">
        <v>1.0105028366683699</v>
      </c>
      <c r="W162">
        <v>0.93949246205839998</v>
      </c>
      <c r="X162">
        <v>-0.19322568999999984</v>
      </c>
      <c r="Y162">
        <v>0.23712036999999977</v>
      </c>
      <c r="Z162">
        <v>7.5277400000000119E-2</v>
      </c>
    </row>
    <row r="163" spans="1:26">
      <c r="A163" s="54" t="str">
        <f>CONCATENATE(raw[[#This Row],[redis_ls]],raw[[#This Row],[wage_eq]],raw[[#This Row],[flex]],raw[[#This Row],[expo]],raw[[#This Row],[_date_]])</f>
        <v>120039448</v>
      </c>
      <c r="B163" s="1">
        <v>39448</v>
      </c>
      <c r="C163">
        <v>1</v>
      </c>
      <c r="D163">
        <v>2</v>
      </c>
      <c r="E163">
        <v>0</v>
      </c>
      <c r="F163">
        <v>0</v>
      </c>
      <c r="G163">
        <v>4.8878629257109729E-2</v>
      </c>
      <c r="H163">
        <v>70.239299999997456</v>
      </c>
      <c r="I163">
        <v>-2.8562975320497452</v>
      </c>
      <c r="J163">
        <v>0.42524218981061512</v>
      </c>
      <c r="K163">
        <v>-0.65660125075021059</v>
      </c>
      <c r="L163">
        <v>-0.46326295661789363</v>
      </c>
      <c r="M163">
        <v>-0.20961259471511395</v>
      </c>
      <c r="N163">
        <v>0.41790917386090864</v>
      </c>
      <c r="O163">
        <v>-6.5561899999996842E-3</v>
      </c>
      <c r="P163">
        <v>1.0733225815461989</v>
      </c>
      <c r="Q163">
        <v>0.81691796784384429</v>
      </c>
      <c r="R163">
        <v>0.18931202662060276</v>
      </c>
      <c r="S163">
        <v>1.4208959484242945</v>
      </c>
      <c r="T163">
        <v>0.24329050434988009</v>
      </c>
      <c r="U163">
        <v>14.516610515777195</v>
      </c>
      <c r="V163">
        <v>1.14096842256044</v>
      </c>
      <c r="W163">
        <v>0.94985817733450606</v>
      </c>
      <c r="X163">
        <v>-0.17316293999999899</v>
      </c>
      <c r="Y163">
        <v>0.24918209000000038</v>
      </c>
      <c r="Z163">
        <v>7.8369460000000252E-2</v>
      </c>
    </row>
    <row r="164" spans="1:26">
      <c r="A164" s="54" t="str">
        <f>CONCATENATE(raw[[#This Row],[redis_ls]],raw[[#This Row],[wage_eq]],raw[[#This Row],[flex]],raw[[#This Row],[expo]],raw[[#This Row],[_date_]])</f>
        <v>120039814</v>
      </c>
      <c r="B164" s="1">
        <v>39814</v>
      </c>
      <c r="C164">
        <v>1</v>
      </c>
      <c r="D164">
        <v>2</v>
      </c>
      <c r="E164">
        <v>0</v>
      </c>
      <c r="F164">
        <v>0</v>
      </c>
      <c r="G164">
        <v>3.6394384334514918E-2</v>
      </c>
      <c r="H164">
        <v>62.857879999999568</v>
      </c>
      <c r="I164">
        <v>-2.8397422837543096</v>
      </c>
      <c r="J164">
        <v>0.45206430914013218</v>
      </c>
      <c r="K164">
        <v>-0.6784610374488742</v>
      </c>
      <c r="L164">
        <v>-0.51644489293610762</v>
      </c>
      <c r="M164">
        <v>-0.18783035539545745</v>
      </c>
      <c r="N164">
        <v>0.44761747748072178</v>
      </c>
      <c r="O164">
        <v>-3.9746500000006901E-3</v>
      </c>
      <c r="P164">
        <v>1.144431968256221</v>
      </c>
      <c r="Q164">
        <v>0.90319832363316976</v>
      </c>
      <c r="R164">
        <v>0.29332350089961157</v>
      </c>
      <c r="S164">
        <v>1.4860911696496393</v>
      </c>
      <c r="T164">
        <v>0.1329150689197478</v>
      </c>
      <c r="U164">
        <v>17.673587879044494</v>
      </c>
      <c r="V164">
        <v>1.2577514626811226</v>
      </c>
      <c r="W164">
        <v>0.9616073477065834</v>
      </c>
      <c r="X164">
        <v>-0.15293140999999982</v>
      </c>
      <c r="Y164">
        <v>0.25942181000000036</v>
      </c>
      <c r="Z164">
        <v>8.6988259999999998E-2</v>
      </c>
    </row>
    <row r="165" spans="1:26">
      <c r="A165" s="54" t="str">
        <f>CONCATENATE(raw[[#This Row],[redis_ls]],raw[[#This Row],[wage_eq]],raw[[#This Row],[flex]],raw[[#This Row],[expo]],raw[[#This Row],[_date_]])</f>
        <v>120040179</v>
      </c>
      <c r="B165" s="1">
        <v>40179</v>
      </c>
      <c r="C165">
        <v>1</v>
      </c>
      <c r="D165">
        <v>2</v>
      </c>
      <c r="E165">
        <v>0</v>
      </c>
      <c r="F165">
        <v>0</v>
      </c>
      <c r="G165">
        <v>2.7176619306734651E-2</v>
      </c>
      <c r="H165">
        <v>55.858130000000529</v>
      </c>
      <c r="I165">
        <v>-2.8114090396685443</v>
      </c>
      <c r="J165">
        <v>0.48195337879122224</v>
      </c>
      <c r="K165">
        <v>-0.69158251067338306</v>
      </c>
      <c r="L165">
        <v>-0.56471899259531444</v>
      </c>
      <c r="M165">
        <v>-0.16426347221499826</v>
      </c>
      <c r="N165">
        <v>0.48002113497052079</v>
      </c>
      <c r="O165">
        <v>-1.7263699999991999E-3</v>
      </c>
      <c r="P165">
        <v>1.2048126420702188</v>
      </c>
      <c r="Q165">
        <v>0.97687098770877778</v>
      </c>
      <c r="R165">
        <v>0.3821102512492347</v>
      </c>
      <c r="S165">
        <v>1.5411893586412928</v>
      </c>
      <c r="T165">
        <v>3.677765388365728E-3</v>
      </c>
      <c r="U165">
        <v>21.052396016732324</v>
      </c>
      <c r="V165">
        <v>1.3606861847020868</v>
      </c>
      <c r="W165">
        <v>0.97485094069293954</v>
      </c>
      <c r="X165">
        <v>-0.13457923000000094</v>
      </c>
      <c r="Y165">
        <v>0.26787763000000048</v>
      </c>
      <c r="Z165">
        <v>0.10058611999999995</v>
      </c>
    </row>
    <row r="166" spans="1:26">
      <c r="A166" s="54" t="str">
        <f>CONCATENATE(raw[[#This Row],[redis_ls]],raw[[#This Row],[wage_eq]],raw[[#This Row],[flex]],raw[[#This Row],[expo]],raw[[#This Row],[_date_]])</f>
        <v>120040544</v>
      </c>
      <c r="B166" s="1">
        <v>40544</v>
      </c>
      <c r="C166">
        <v>1</v>
      </c>
      <c r="D166">
        <v>2</v>
      </c>
      <c r="E166">
        <v>0</v>
      </c>
      <c r="F166">
        <v>0</v>
      </c>
      <c r="G166">
        <v>2.1036745425617731E-2</v>
      </c>
      <c r="H166">
        <v>49.725940000000264</v>
      </c>
      <c r="I166">
        <v>-2.7755623023100973</v>
      </c>
      <c r="J166">
        <v>0.51429744946551725</v>
      </c>
      <c r="K166">
        <v>-0.69697578464029686</v>
      </c>
      <c r="L166">
        <v>-0.60774649236895462</v>
      </c>
      <c r="M166">
        <v>-0.13987091149889608</v>
      </c>
      <c r="N166">
        <v>0.51391947250534198</v>
      </c>
      <c r="O166">
        <v>-3.375700000002313E-4</v>
      </c>
      <c r="P166">
        <v>1.2545334212956893</v>
      </c>
      <c r="Q166">
        <v>1.0381169333498752</v>
      </c>
      <c r="R166">
        <v>0.45601872027256629</v>
      </c>
      <c r="S166">
        <v>1.5862021686682715</v>
      </c>
      <c r="T166">
        <v>-0.14145215786300902</v>
      </c>
      <c r="U166">
        <v>24.622854511224766</v>
      </c>
      <c r="V166">
        <v>1.4498999748356667</v>
      </c>
      <c r="W166">
        <v>0.9893695511111078</v>
      </c>
      <c r="X166">
        <v>-0.11903615000000006</v>
      </c>
      <c r="Y166">
        <v>0.27470259999999996</v>
      </c>
      <c r="Z166">
        <v>0.11787913999999969</v>
      </c>
    </row>
    <row r="167" spans="1:26">
      <c r="A167" s="54" t="str">
        <f>CONCATENATE(raw[[#This Row],[redis_ls]],raw[[#This Row],[wage_eq]],raw[[#This Row],[flex]],raw[[#This Row],[expo]],raw[[#This Row],[_date_]])</f>
        <v>120040909</v>
      </c>
      <c r="B167" s="1">
        <v>40909</v>
      </c>
      <c r="C167">
        <v>1</v>
      </c>
      <c r="D167">
        <v>2</v>
      </c>
      <c r="E167">
        <v>0</v>
      </c>
      <c r="F167">
        <v>0</v>
      </c>
      <c r="G167">
        <v>1.732389174353699E-2</v>
      </c>
      <c r="H167">
        <v>44.630289999997331</v>
      </c>
      <c r="I167">
        <v>-2.7353359396734667</v>
      </c>
      <c r="J167">
        <v>0.54767784651572615</v>
      </c>
      <c r="K167">
        <v>-0.69595498723103999</v>
      </c>
      <c r="L167">
        <v>-0.64536995206919689</v>
      </c>
      <c r="M167">
        <v>-0.11577544677950913</v>
      </c>
      <c r="N167">
        <v>0.54777498964051485</v>
      </c>
      <c r="O167">
        <v>8.675000000013533E-5</v>
      </c>
      <c r="P167">
        <v>1.293927925849192</v>
      </c>
      <c r="Q167">
        <v>1.0874249055303764</v>
      </c>
      <c r="R167">
        <v>0.51573902081716305</v>
      </c>
      <c r="S167">
        <v>1.6214090035327811</v>
      </c>
      <c r="T167">
        <v>-0.29963647993320741</v>
      </c>
      <c r="U167">
        <v>28.352909539938519</v>
      </c>
      <c r="V167">
        <v>1.5257317004740534</v>
      </c>
      <c r="W167">
        <v>1.0048104998548801</v>
      </c>
      <c r="X167">
        <v>-0.10645529999999959</v>
      </c>
      <c r="Y167">
        <v>0.28011993000000013</v>
      </c>
      <c r="Z167">
        <v>0.13729645999999984</v>
      </c>
    </row>
    <row r="168" spans="1:26">
      <c r="A168" s="54" t="str">
        <f>CONCATENATE(raw[[#This Row],[redis_ls]],raw[[#This Row],[wage_eq]],raw[[#This Row],[flex]],raw[[#This Row],[expo]],raw[[#This Row],[_date_]])</f>
        <v>120041275</v>
      </c>
      <c r="B168" s="1">
        <v>41275</v>
      </c>
      <c r="C168">
        <v>1</v>
      </c>
      <c r="D168">
        <v>2</v>
      </c>
      <c r="E168">
        <v>0</v>
      </c>
      <c r="F168">
        <v>0</v>
      </c>
      <c r="G168">
        <v>1.5228338763484395E-2</v>
      </c>
      <c r="H168">
        <v>40.535370000001421</v>
      </c>
      <c r="I168">
        <v>-2.6930050906337377</v>
      </c>
      <c r="J168">
        <v>0.58040755452783976</v>
      </c>
      <c r="K168">
        <v>-0.68994047369171918</v>
      </c>
      <c r="L168">
        <v>-0.67757279343947374</v>
      </c>
      <c r="M168">
        <v>-9.3052422318540273E-2</v>
      </c>
      <c r="N168">
        <v>0.58006552467730899</v>
      </c>
      <c r="O168">
        <v>-3.0506999999929674E-4</v>
      </c>
      <c r="P168">
        <v>1.3235086820943209</v>
      </c>
      <c r="Q168">
        <v>1.1254730844927341</v>
      </c>
      <c r="R168">
        <v>0.5621570580151003</v>
      </c>
      <c r="S168">
        <v>1.6472713466147759</v>
      </c>
      <c r="T168">
        <v>-0.46815264719519689</v>
      </c>
      <c r="U168">
        <v>32.208969238885118</v>
      </c>
      <c r="V168">
        <v>1.5886588179529593</v>
      </c>
      <c r="W168">
        <v>1.0207634523665465</v>
      </c>
      <c r="X168">
        <v>-9.6535130000000025E-2</v>
      </c>
      <c r="Y168">
        <v>0.28437565000000026</v>
      </c>
      <c r="Z168">
        <v>0.15730102999999968</v>
      </c>
    </row>
    <row r="169" spans="1:26">
      <c r="A169" s="54" t="str">
        <f>CONCATENATE(raw[[#This Row],[redis_ls]],raw[[#This Row],[wage_eq]],raw[[#This Row],[flex]],raw[[#This Row],[expo]],raw[[#This Row],[_date_]])</f>
        <v>120041640</v>
      </c>
      <c r="B169" s="1">
        <v>41640</v>
      </c>
      <c r="C169">
        <v>1</v>
      </c>
      <c r="D169">
        <v>2</v>
      </c>
      <c r="E169">
        <v>0</v>
      </c>
      <c r="F169">
        <v>0</v>
      </c>
      <c r="G169">
        <v>1.3984025260960209E-2</v>
      </c>
      <c r="H169">
        <v>37.298039999997854</v>
      </c>
      <c r="I169">
        <v>-2.6501484758947647</v>
      </c>
      <c r="J169">
        <v>0.61090451467746831</v>
      </c>
      <c r="K169">
        <v>-0.68028793033283463</v>
      </c>
      <c r="L169">
        <v>-0.70444880887554628</v>
      </c>
      <c r="M169">
        <v>-7.2575114098138993E-2</v>
      </c>
      <c r="N169">
        <v>0.60950518675717547</v>
      </c>
      <c r="O169">
        <v>-1.2476500000010993E-3</v>
      </c>
      <c r="P169">
        <v>1.3439185846904955</v>
      </c>
      <c r="Q169">
        <v>1.1530672901108208</v>
      </c>
      <c r="R169">
        <v>0.59628276422889481</v>
      </c>
      <c r="S169">
        <v>1.6643832200687214</v>
      </c>
      <c r="T169">
        <v>-0.64438611400970958</v>
      </c>
      <c r="U169">
        <v>36.156437822048268</v>
      </c>
      <c r="V169">
        <v>1.6392551896880381</v>
      </c>
      <c r="W169">
        <v>1.0367902229932779</v>
      </c>
      <c r="X169">
        <v>-8.8775500000000396E-2</v>
      </c>
      <c r="Y169">
        <v>0.28770245999999999</v>
      </c>
      <c r="Z169">
        <v>0.17658925999999991</v>
      </c>
    </row>
    <row r="170" spans="1:26">
      <c r="A170" s="54" t="str">
        <f>CONCATENATE(raw[[#This Row],[redis_ls]],raw[[#This Row],[wage_eq]],raw[[#This Row],[flex]],raw[[#This Row],[expo]],raw[[#This Row],[_date_]])</f>
        <v>120042005</v>
      </c>
      <c r="B170" s="1">
        <v>42005</v>
      </c>
      <c r="C170">
        <v>1</v>
      </c>
      <c r="D170">
        <v>2</v>
      </c>
      <c r="E170">
        <v>0</v>
      </c>
      <c r="F170">
        <v>0</v>
      </c>
      <c r="G170">
        <v>1.2982020253682336E-2</v>
      </c>
      <c r="H170">
        <v>34.74069000000236</v>
      </c>
      <c r="I170">
        <v>-2.6077769154505215</v>
      </c>
      <c r="J170">
        <v>0.63791236681807195</v>
      </c>
      <c r="K170">
        <v>-0.66817513956081154</v>
      </c>
      <c r="L170">
        <v>-0.72618033382547686</v>
      </c>
      <c r="M170">
        <v>-5.4933364287779174E-2</v>
      </c>
      <c r="N170">
        <v>0.63515826585169854</v>
      </c>
      <c r="O170">
        <v>-2.4542200000005066E-3</v>
      </c>
      <c r="P170">
        <v>1.3559004322780011</v>
      </c>
      <c r="Q170">
        <v>1.1711086103042279</v>
      </c>
      <c r="R170">
        <v>0.61921862758880231</v>
      </c>
      <c r="S170">
        <v>1.6734402726051867</v>
      </c>
      <c r="T170">
        <v>-0.82583912076118482</v>
      </c>
      <c r="U170">
        <v>40.160401810574456</v>
      </c>
      <c r="V170">
        <v>1.6781786290011924</v>
      </c>
      <c r="W170">
        <v>1.0524430458745959</v>
      </c>
      <c r="X170">
        <v>-8.2653979999999794E-2</v>
      </c>
      <c r="Y170">
        <v>0.29029846999999998</v>
      </c>
      <c r="Z170">
        <v>0.19418835999999995</v>
      </c>
    </row>
    <row r="171" spans="1:26">
      <c r="A171" s="54" t="str">
        <f>CONCATENATE(raw[[#This Row],[redis_ls]],raw[[#This Row],[wage_eq]],raw[[#This Row],[flex]],raw[[#This Row],[expo]],raw[[#This Row],[_date_]])</f>
        <v>120042370</v>
      </c>
      <c r="B171" s="1">
        <v>42370</v>
      </c>
      <c r="C171">
        <v>1</v>
      </c>
      <c r="D171">
        <v>2</v>
      </c>
      <c r="E171">
        <v>0</v>
      </c>
      <c r="F171">
        <v>0</v>
      </c>
      <c r="G171">
        <v>1.1812174980962986E-2</v>
      </c>
      <c r="H171">
        <v>32.698159999999916</v>
      </c>
      <c r="I171">
        <v>-2.5664530548314302</v>
      </c>
      <c r="J171">
        <v>0.66059538248890437</v>
      </c>
      <c r="K171">
        <v>-0.65454731007206224</v>
      </c>
      <c r="L171">
        <v>-0.74302306786189209</v>
      </c>
      <c r="M171">
        <v>-4.0417457554897673E-2</v>
      </c>
      <c r="N171">
        <v>0.65646910482413112</v>
      </c>
      <c r="O171">
        <v>-3.6749500000002322E-3</v>
      </c>
      <c r="P171">
        <v>1.360274581229004</v>
      </c>
      <c r="Q171">
        <v>1.1805732268274527</v>
      </c>
      <c r="R171">
        <v>0.6321450799821271</v>
      </c>
      <c r="S171">
        <v>1.6752168383751043</v>
      </c>
      <c r="T171">
        <v>-1.0101550604130649</v>
      </c>
      <c r="U171">
        <v>44.186417805583474</v>
      </c>
      <c r="V171">
        <v>1.7061745448918586</v>
      </c>
      <c r="W171">
        <v>1.0672826804977165</v>
      </c>
      <c r="X171">
        <v>-7.7728210000001241E-2</v>
      </c>
      <c r="Y171">
        <v>0.29231935000000042</v>
      </c>
      <c r="Z171">
        <v>0.20947624999999997</v>
      </c>
    </row>
    <row r="172" spans="1:26">
      <c r="A172" s="54" t="str">
        <f>CONCATENATE(raw[[#This Row],[redis_ls]],raw[[#This Row],[wage_eq]],raw[[#This Row],[flex]],raw[[#This Row],[expo]],raw[[#This Row],[_date_]])</f>
        <v>120042736</v>
      </c>
      <c r="B172" s="1">
        <v>42736</v>
      </c>
      <c r="C172">
        <v>1</v>
      </c>
      <c r="D172">
        <v>2</v>
      </c>
      <c r="E172">
        <v>0</v>
      </c>
      <c r="F172">
        <v>0</v>
      </c>
      <c r="G172">
        <v>1.0256786625362224E-2</v>
      </c>
      <c r="H172">
        <v>31.042010000001028</v>
      </c>
      <c r="I172">
        <v>-2.5264067355411313</v>
      </c>
      <c r="J172">
        <v>0.6785433801913987</v>
      </c>
      <c r="K172">
        <v>-0.64010993996688192</v>
      </c>
      <c r="L172">
        <v>-0.7552945160645308</v>
      </c>
      <c r="M172">
        <v>-2.904821727116591E-2</v>
      </c>
      <c r="N172">
        <v>0.67323540538672955</v>
      </c>
      <c r="O172">
        <v>-4.725240000000297E-3</v>
      </c>
      <c r="P172">
        <v>1.3579191624395248</v>
      </c>
      <c r="Q172">
        <v>1.1824947251970919</v>
      </c>
      <c r="R172">
        <v>0.63630870793949246</v>
      </c>
      <c r="S172">
        <v>1.6705451948183958</v>
      </c>
      <c r="T172">
        <v>-1.1951529308445119</v>
      </c>
      <c r="U172">
        <v>48.201336375238689</v>
      </c>
      <c r="V172">
        <v>1.7240843516631355</v>
      </c>
      <c r="W172">
        <v>1.08089781851195</v>
      </c>
      <c r="X172">
        <v>-7.3679059999999519E-2</v>
      </c>
      <c r="Y172">
        <v>0.29388045999999973</v>
      </c>
      <c r="Z172">
        <v>0.22215003999999927</v>
      </c>
    </row>
    <row r="173" spans="1:26">
      <c r="A173" s="54" t="str">
        <f>CONCATENATE(raw[[#This Row],[redis_ls]],raw[[#This Row],[wage_eq]],raw[[#This Row],[flex]],raw[[#This Row],[expo]],raw[[#This Row],[_date_]])</f>
        <v>120043101</v>
      </c>
      <c r="B173" s="1">
        <v>43101</v>
      </c>
      <c r="C173">
        <v>1</v>
      </c>
      <c r="D173">
        <v>2</v>
      </c>
      <c r="E173">
        <v>0</v>
      </c>
      <c r="F173">
        <v>0</v>
      </c>
      <c r="G173">
        <v>8.2561304538542046E-3</v>
      </c>
      <c r="H173">
        <v>29.687600000001112</v>
      </c>
      <c r="I173">
        <v>-2.4876400414327149</v>
      </c>
      <c r="J173">
        <v>0.69171957433746822</v>
      </c>
      <c r="K173">
        <v>-0.62535219996726621</v>
      </c>
      <c r="L173">
        <v>-0.76336389010333017</v>
      </c>
      <c r="M173">
        <v>-2.063378144454564E-2</v>
      </c>
      <c r="N173">
        <v>0.6855474044401566</v>
      </c>
      <c r="O173">
        <v>-5.4924700000000271E-3</v>
      </c>
      <c r="P173">
        <v>1.3497502801967043</v>
      </c>
      <c r="Q173">
        <v>1.1779443003486545</v>
      </c>
      <c r="R173">
        <v>0.63300603098206398</v>
      </c>
      <c r="S173">
        <v>1.6602945342059083</v>
      </c>
      <c r="T173">
        <v>-1.3788648068536968</v>
      </c>
      <c r="U173">
        <v>52.174101511990109</v>
      </c>
      <c r="V173">
        <v>1.7328487011395</v>
      </c>
      <c r="W173">
        <v>1.0929244117499071</v>
      </c>
      <c r="X173">
        <v>-7.0312680000000904E-2</v>
      </c>
      <c r="Y173">
        <v>0.29506492000000023</v>
      </c>
      <c r="Z173">
        <v>0.23216600999999976</v>
      </c>
    </row>
    <row r="174" spans="1:26">
      <c r="A174" s="54" t="str">
        <f>CONCATENATE(raw[[#This Row],[redis_ls]],raw[[#This Row],[wage_eq]],raw[[#This Row],[flex]],raw[[#This Row],[expo]],raw[[#This Row],[_date_]])</f>
        <v>120043466</v>
      </c>
      <c r="B174" s="1">
        <v>43466</v>
      </c>
      <c r="C174">
        <v>1</v>
      </c>
      <c r="D174">
        <v>2</v>
      </c>
      <c r="E174">
        <v>0</v>
      </c>
      <c r="F174">
        <v>0</v>
      </c>
      <c r="G174">
        <v>5.8621828466165482E-3</v>
      </c>
      <c r="H174">
        <v>28.590069999998377</v>
      </c>
      <c r="I174">
        <v>-2.4500173153401028</v>
      </c>
      <c r="J174">
        <v>0.70037839308134675</v>
      </c>
      <c r="K174">
        <v>-0.61058654166629145</v>
      </c>
      <c r="L174">
        <v>-0.76764186904350051</v>
      </c>
      <c r="M174">
        <v>-1.4835395044310307E-2</v>
      </c>
      <c r="N174">
        <v>0.69371312776711491</v>
      </c>
      <c r="O174">
        <v>-5.929169999999151E-3</v>
      </c>
      <c r="P174">
        <v>1.3367011929328099</v>
      </c>
      <c r="Q174">
        <v>1.1680074425945541</v>
      </c>
      <c r="R174">
        <v>0.62356016040221451</v>
      </c>
      <c r="S174">
        <v>1.6453488322349719</v>
      </c>
      <c r="T174">
        <v>-1.5595697442022938</v>
      </c>
      <c r="U174">
        <v>56.07646638783195</v>
      </c>
      <c r="V174">
        <v>1.7335008995725376</v>
      </c>
      <c r="W174">
        <v>1.1030624838526792</v>
      </c>
      <c r="X174">
        <v>-6.7538140000000108E-2</v>
      </c>
      <c r="Y174">
        <v>0.29593372000000018</v>
      </c>
      <c r="Z174">
        <v>0.23966903999999983</v>
      </c>
    </row>
    <row r="175" spans="1:26">
      <c r="A175" s="54" t="str">
        <f>CONCATENATE(raw[[#This Row],[redis_ls]],raw[[#This Row],[wage_eq]],raw[[#This Row],[flex]],raw[[#This Row],[expo]],raw[[#This Row],[_date_]])</f>
        <v>120043831</v>
      </c>
      <c r="B175" s="1">
        <v>43831</v>
      </c>
      <c r="C175">
        <v>1</v>
      </c>
      <c r="D175">
        <v>2</v>
      </c>
      <c r="E175">
        <v>0</v>
      </c>
      <c r="F175">
        <v>0</v>
      </c>
      <c r="G175">
        <v>3.192562387677178E-3</v>
      </c>
      <c r="H175">
        <v>27.734189999999217</v>
      </c>
      <c r="I175">
        <v>-2.4133358376031366</v>
      </c>
      <c r="J175">
        <v>0.70497481390492389</v>
      </c>
      <c r="K175">
        <v>-0.59599236029648228</v>
      </c>
      <c r="L175">
        <v>-0.76856954613427897</v>
      </c>
      <c r="M175">
        <v>-1.12304540564101E-2</v>
      </c>
      <c r="N175">
        <v>0.69818429376260482</v>
      </c>
      <c r="O175">
        <v>-6.0389199999996701E-3</v>
      </c>
      <c r="P175">
        <v>1.3197005127105976</v>
      </c>
      <c r="Q175">
        <v>1.1537580512700263</v>
      </c>
      <c r="R175">
        <v>0.6092912256107974</v>
      </c>
      <c r="S175">
        <v>1.6265844145742392</v>
      </c>
      <c r="T175">
        <v>-1.7358189252999812</v>
      </c>
      <c r="U175">
        <v>59.883580473522692</v>
      </c>
      <c r="V175">
        <v>1.7271499228858511</v>
      </c>
      <c r="W175">
        <v>1.1110889230953269</v>
      </c>
      <c r="X175">
        <v>-6.5334400000000015E-2</v>
      </c>
      <c r="Y175">
        <v>0.29653523000000015</v>
      </c>
      <c r="Z175">
        <v>0.24492425999999984</v>
      </c>
    </row>
    <row r="176" spans="1:26">
      <c r="A176" s="54" t="str">
        <f>CONCATENATE(raw[[#This Row],[redis_ls]],raw[[#This Row],[wage_eq]],raw[[#This Row],[flex]],raw[[#This Row],[expo]],raw[[#This Row],[_date_]])</f>
        <v>120044197</v>
      </c>
      <c r="B176" s="1">
        <v>44197</v>
      </c>
      <c r="C176">
        <v>1</v>
      </c>
      <c r="D176">
        <v>2</v>
      </c>
      <c r="E176">
        <v>0</v>
      </c>
      <c r="F176">
        <v>0</v>
      </c>
      <c r="G176">
        <v>3.9142390970692276E-4</v>
      </c>
      <c r="H176">
        <v>27.122240000000602</v>
      </c>
      <c r="I176">
        <v>-2.3773770345980161</v>
      </c>
      <c r="J176">
        <v>0.70608026762957188</v>
      </c>
      <c r="K176">
        <v>-0.58165613407288319</v>
      </c>
      <c r="L176">
        <v>-0.76660658875985499</v>
      </c>
      <c r="M176">
        <v>-9.3655637646183898E-3</v>
      </c>
      <c r="N176">
        <v>0.69948928315342052</v>
      </c>
      <c r="O176">
        <v>-5.8603900000009368E-3</v>
      </c>
      <c r="P176">
        <v>1.2996505583095619</v>
      </c>
      <c r="Q176">
        <v>1.1362318232917223</v>
      </c>
      <c r="R176">
        <v>0.59148319409114691</v>
      </c>
      <c r="S176">
        <v>1.604848212684562</v>
      </c>
      <c r="T176">
        <v>-1.9064489409903684</v>
      </c>
      <c r="U176">
        <v>63.574414605889459</v>
      </c>
      <c r="V176">
        <v>1.7149541752862207</v>
      </c>
      <c r="W176">
        <v>1.1168649052646806</v>
      </c>
      <c r="X176">
        <v>-6.3716330000000015E-2</v>
      </c>
      <c r="Y176">
        <v>0.29691230999999985</v>
      </c>
      <c r="Z176">
        <v>0.24825818000000083</v>
      </c>
    </row>
    <row r="177" spans="1:26">
      <c r="A177" s="54" t="str">
        <f>CONCATENATE(raw[[#This Row],[redis_ls]],raw[[#This Row],[wage_eq]],raw[[#This Row],[flex]],raw[[#This Row],[expo]],raw[[#This Row],[_date_]])</f>
        <v>120044562</v>
      </c>
      <c r="B177" s="1">
        <v>44562</v>
      </c>
      <c r="C177">
        <v>1</v>
      </c>
      <c r="D177">
        <v>2</v>
      </c>
      <c r="E177">
        <v>0</v>
      </c>
      <c r="F177">
        <v>0</v>
      </c>
      <c r="G177">
        <v>-2.3999064240332046E-3</v>
      </c>
      <c r="H177">
        <v>26.762670000000071</v>
      </c>
      <c r="I177">
        <v>-2.3419393706690328</v>
      </c>
      <c r="J177">
        <v>0.7043117830658252</v>
      </c>
      <c r="K177">
        <v>-0.56760463315214116</v>
      </c>
      <c r="L177">
        <v>-0.76221865827170721</v>
      </c>
      <c r="M177">
        <v>-8.7965666570988255E-3</v>
      </c>
      <c r="N177">
        <v>0.69817919811430151</v>
      </c>
      <c r="O177">
        <v>-5.4520600000010355E-3</v>
      </c>
      <c r="P177">
        <v>1.2774070351224021</v>
      </c>
      <c r="Q177">
        <v>1.1164014761211982</v>
      </c>
      <c r="R177">
        <v>0.57135067249753924</v>
      </c>
      <c r="S177">
        <v>1.5809381403973255</v>
      </c>
      <c r="T177">
        <v>-2.0705819587299668</v>
      </c>
      <c r="U177">
        <v>67.132008223712987</v>
      </c>
      <c r="V177">
        <v>1.698089110333334</v>
      </c>
      <c r="W177">
        <v>1.1203373774075764</v>
      </c>
      <c r="X177">
        <v>-6.2705819999999551E-2</v>
      </c>
      <c r="Y177">
        <v>0.29710647999999995</v>
      </c>
      <c r="Z177">
        <v>0.25001305000000029</v>
      </c>
    </row>
    <row r="178" spans="1:26">
      <c r="A178" s="54" t="str">
        <f>CONCATENATE(raw[[#This Row],[redis_ls]],raw[[#This Row],[wage_eq]],raw[[#This Row],[flex]],raw[[#This Row],[expo]],raw[[#This Row],[_date_]])</f>
        <v>120044927</v>
      </c>
      <c r="B178" s="1">
        <v>44927</v>
      </c>
      <c r="C178">
        <v>1</v>
      </c>
      <c r="D178">
        <v>2</v>
      </c>
      <c r="E178">
        <v>0</v>
      </c>
      <c r="F178">
        <v>0</v>
      </c>
      <c r="G178">
        <v>-5.0616598166630666E-3</v>
      </c>
      <c r="H178">
        <v>26.661039999999048</v>
      </c>
      <c r="I178">
        <v>-2.3068566299991211</v>
      </c>
      <c r="J178">
        <v>0.70027828129006764</v>
      </c>
      <c r="K178">
        <v>-0.55382944282560409</v>
      </c>
      <c r="L178">
        <v>-0.75586511582431681</v>
      </c>
      <c r="M178">
        <v>-9.1155665786435414E-3</v>
      </c>
      <c r="N178">
        <v>0.69478891245102758</v>
      </c>
      <c r="O178">
        <v>-4.8797899999994399E-3</v>
      </c>
      <c r="P178">
        <v>1.2537609966456476</v>
      </c>
      <c r="Q178">
        <v>1.0951555123538848</v>
      </c>
      <c r="R178">
        <v>0.55000865922947284</v>
      </c>
      <c r="S178">
        <v>1.5555867412409885</v>
      </c>
      <c r="T178">
        <v>-2.2276135643327644</v>
      </c>
      <c r="U178">
        <v>70.543539566480163</v>
      </c>
      <c r="V178">
        <v>1.6777125732504006</v>
      </c>
      <c r="W178">
        <v>1.1215353638247993</v>
      </c>
      <c r="X178">
        <v>-6.2310720000000042E-2</v>
      </c>
      <c r="Y178">
        <v>0.29715933999999999</v>
      </c>
      <c r="Z178">
        <v>0.25051495000000118</v>
      </c>
    </row>
    <row r="179" spans="1:26">
      <c r="A179" s="54" t="str">
        <f>CONCATENATE(raw[[#This Row],[redis_ls]],raw[[#This Row],[wage_eq]],raw[[#This Row],[flex]],raw[[#This Row],[expo]],raw[[#This Row],[_date_]])</f>
        <v>120045292</v>
      </c>
      <c r="B179" s="1">
        <v>45292</v>
      </c>
      <c r="C179">
        <v>1</v>
      </c>
      <c r="D179">
        <v>2</v>
      </c>
      <c r="E179">
        <v>0</v>
      </c>
      <c r="F179">
        <v>0</v>
      </c>
      <c r="G179">
        <v>-7.505309727262599E-3</v>
      </c>
      <c r="H179">
        <v>26.814010000001872</v>
      </c>
      <c r="I179">
        <v>-2.2720044808963613</v>
      </c>
      <c r="J179">
        <v>0.69454422112467107</v>
      </c>
      <c r="K179">
        <v>-0.54030353743071968</v>
      </c>
      <c r="L179">
        <v>-0.74798745103638042</v>
      </c>
      <c r="M179">
        <v>-9.9663800798732716E-3</v>
      </c>
      <c r="N179">
        <v>0.68981076456628987</v>
      </c>
      <c r="O179">
        <v>-4.2076799999998804E-3</v>
      </c>
      <c r="P179">
        <v>1.2294244449253311</v>
      </c>
      <c r="Q179">
        <v>1.0732820013504396</v>
      </c>
      <c r="R179">
        <v>0.52844833039344952</v>
      </c>
      <c r="S179">
        <v>1.5294487202801132</v>
      </c>
      <c r="T179">
        <v>-2.37719021435987</v>
      </c>
      <c r="U179">
        <v>73.80023198969073</v>
      </c>
      <c r="V179">
        <v>1.6549308104377936</v>
      </c>
      <c r="W179">
        <v>1.1205608897126407</v>
      </c>
      <c r="X179">
        <v>-6.2512680000000043E-2</v>
      </c>
      <c r="Y179">
        <v>0.29711176999999978</v>
      </c>
      <c r="Z179">
        <v>0.2500546500000006</v>
      </c>
    </row>
    <row r="180" spans="1:26">
      <c r="A180" s="54" t="str">
        <f>CONCATENATE(raw[[#This Row],[redis_ls]],raw[[#This Row],[wage_eq]],raw[[#This Row],[flex]],raw[[#This Row],[expo]],raw[[#This Row],[_date_]])</f>
        <v>120045658</v>
      </c>
      <c r="B180" s="1">
        <v>45658</v>
      </c>
      <c r="C180">
        <v>1</v>
      </c>
      <c r="D180">
        <v>2</v>
      </c>
      <c r="E180">
        <v>0</v>
      </c>
      <c r="F180">
        <v>0</v>
      </c>
      <c r="G180">
        <v>-9.6757818746073809E-3</v>
      </c>
      <c r="H180">
        <v>27.206330000000889</v>
      </c>
      <c r="I180">
        <v>-2.2372996349352192</v>
      </c>
      <c r="J180">
        <v>0.68760791425772627</v>
      </c>
      <c r="K180">
        <v>-0.52699157533767638</v>
      </c>
      <c r="L180">
        <v>-0.73899921289276582</v>
      </c>
      <c r="M180">
        <v>-1.1050955307190247E-2</v>
      </c>
      <c r="N180">
        <v>0.68367966213367382</v>
      </c>
      <c r="O180">
        <v>-3.4920199999996515E-3</v>
      </c>
      <c r="P180">
        <v>1.2050199198901712</v>
      </c>
      <c r="Q180">
        <v>1.0514582855743582</v>
      </c>
      <c r="R180">
        <v>0.50752013020836095</v>
      </c>
      <c r="S180">
        <v>1.5030929084776989</v>
      </c>
      <c r="T180">
        <v>-2.5191793974547849</v>
      </c>
      <c r="U180">
        <v>76.897120288800309</v>
      </c>
      <c r="V180">
        <v>1.6307685162041174</v>
      </c>
      <c r="W180">
        <v>1.1175764389114384</v>
      </c>
      <c r="X180">
        <v>-6.3262509999999911E-2</v>
      </c>
      <c r="Y180">
        <v>0.29700203000000008</v>
      </c>
      <c r="Z180">
        <v>0.2488790099999999</v>
      </c>
    </row>
    <row r="181" spans="1:26">
      <c r="A181" s="54" t="str">
        <f>CONCATENATE(raw[[#This Row],[redis_ls]],raw[[#This Row],[wage_eq]],raw[[#This Row],[flex]],raw[[#This Row],[expo]],raw[[#This Row],[_date_]])</f>
        <v>120046023</v>
      </c>
      <c r="B181" s="1">
        <v>46023</v>
      </c>
      <c r="C181">
        <v>1</v>
      </c>
      <c r="D181">
        <v>2</v>
      </c>
      <c r="E181">
        <v>0</v>
      </c>
      <c r="F181">
        <v>0</v>
      </c>
      <c r="G181">
        <v>-1.1548810924399966E-2</v>
      </c>
      <c r="H181">
        <v>27.810499999999593</v>
      </c>
      <c r="I181">
        <v>-2.2026942448561848</v>
      </c>
      <c r="J181">
        <v>0.67989356667248479</v>
      </c>
      <c r="K181">
        <v>-0.51385525791632913</v>
      </c>
      <c r="L181">
        <v>-0.7292777809728368</v>
      </c>
      <c r="M181">
        <v>-1.2129264314597599E-2</v>
      </c>
      <c r="N181">
        <v>0.67676841156694145</v>
      </c>
      <c r="O181">
        <v>-2.7782099999998366E-3</v>
      </c>
      <c r="P181">
        <v>1.1810745378270093</v>
      </c>
      <c r="Q181">
        <v>1.0302463296055553</v>
      </c>
      <c r="R181">
        <v>0.48792484448667572</v>
      </c>
      <c r="S181">
        <v>1.4769984587392537</v>
      </c>
      <c r="T181">
        <v>-2.6536353453257444</v>
      </c>
      <c r="U181">
        <v>79.832708336288775</v>
      </c>
      <c r="V181">
        <v>1.6061444795256064</v>
      </c>
      <c r="W181">
        <v>1.1127900795712131</v>
      </c>
      <c r="X181">
        <v>-6.4482129999999388E-2</v>
      </c>
      <c r="Y181">
        <v>0.29686329999999983</v>
      </c>
      <c r="Z181">
        <v>0.2471901700000001</v>
      </c>
    </row>
    <row r="182" spans="1:26">
      <c r="A182" s="54" t="str">
        <f>CONCATENATE(raw[[#This Row],[redis_ls]],raw[[#This Row],[wage_eq]],raw[[#This Row],[flex]],raw[[#This Row],[expo]],raw[[#This Row],[_date_]])</f>
        <v>120046388</v>
      </c>
      <c r="B182" s="1">
        <v>46388</v>
      </c>
      <c r="C182">
        <v>1</v>
      </c>
      <c r="D182">
        <v>2</v>
      </c>
      <c r="E182">
        <v>0</v>
      </c>
      <c r="F182">
        <v>0</v>
      </c>
      <c r="G182">
        <v>-1.3125138424541216E-2</v>
      </c>
      <c r="H182">
        <v>28.588370000001305</v>
      </c>
      <c r="I182">
        <v>-2.1681679998294734</v>
      </c>
      <c r="J182">
        <v>0.67175010278732739</v>
      </c>
      <c r="K182">
        <v>-0.50085558159936872</v>
      </c>
      <c r="L182">
        <v>-0.71915853753969916</v>
      </c>
      <c r="M182">
        <v>-1.3014899553420722E-2</v>
      </c>
      <c r="N182">
        <v>0.66938823284252713</v>
      </c>
      <c r="O182">
        <v>-2.0997800000005507E-3</v>
      </c>
      <c r="P182">
        <v>1.1580181325062666</v>
      </c>
      <c r="Q182">
        <v>1.0100933000187995</v>
      </c>
      <c r="R182">
        <v>0.47021216406260002</v>
      </c>
      <c r="S182">
        <v>1.451554791661791</v>
      </c>
      <c r="T182">
        <v>-2.7807637735540847</v>
      </c>
      <c r="U182">
        <v>82.608550758482991</v>
      </c>
      <c r="V182">
        <v>1.5818544040198335</v>
      </c>
      <c r="W182">
        <v>1.1064396369037555</v>
      </c>
      <c r="X182">
        <v>-6.6070569999999995E-2</v>
      </c>
      <c r="Y182">
        <v>0.29672149999999953</v>
      </c>
      <c r="Z182">
        <v>0.24515000000000092</v>
      </c>
    </row>
    <row r="183" spans="1:26">
      <c r="A183" s="54" t="str">
        <f>CONCATENATE(raw[[#This Row],[redis_ls]],raw[[#This Row],[wage_eq]],raw[[#This Row],[flex]],raw[[#This Row],[expo]],raw[[#This Row],[_date_]])</f>
        <v>120046753</v>
      </c>
      <c r="B183" s="1">
        <v>46753</v>
      </c>
      <c r="C183">
        <v>1</v>
      </c>
      <c r="D183">
        <v>2</v>
      </c>
      <c r="E183">
        <v>0</v>
      </c>
      <c r="F183">
        <v>0</v>
      </c>
      <c r="G183">
        <v>-1.4423676705899169E-2</v>
      </c>
      <c r="H183">
        <v>29.494070000000647</v>
      </c>
      <c r="I183">
        <v>-2.133720196013722</v>
      </c>
      <c r="J183">
        <v>0.6634577953708698</v>
      </c>
      <c r="K183">
        <v>-0.48795334694013981</v>
      </c>
      <c r="L183">
        <v>-0.70893108852009279</v>
      </c>
      <c r="M183">
        <v>-1.3568638183614201E-2</v>
      </c>
      <c r="N183">
        <v>0.66179445266554282</v>
      </c>
      <c r="O183">
        <v>-1.4789799999997966E-3</v>
      </c>
      <c r="P183">
        <v>1.1361852223702229</v>
      </c>
      <c r="Q183">
        <v>0.99133662636330389</v>
      </c>
      <c r="R183">
        <v>0.45478618590599762</v>
      </c>
      <c r="S183">
        <v>1.427065014629525</v>
      </c>
      <c r="T183">
        <v>-2.9008875839592441</v>
      </c>
      <c r="U183">
        <v>85.228790762789373</v>
      </c>
      <c r="V183">
        <v>1.5585606961594278</v>
      </c>
      <c r="W183">
        <v>1.0987774291393748</v>
      </c>
      <c r="X183">
        <v>-6.7912319999999943E-2</v>
      </c>
      <c r="Y183">
        <v>0.2965937599999996</v>
      </c>
      <c r="Z183">
        <v>0.24288709000000047</v>
      </c>
    </row>
    <row r="184" spans="1:26">
      <c r="A184" s="54" t="str">
        <f>CONCATENATE(raw[[#This Row],[redis_ls]],raw[[#This Row],[wage_eq]],raw[[#This Row],[flex]],raw[[#This Row],[expo]],raw[[#This Row],[_date_]])</f>
        <v>120047119</v>
      </c>
      <c r="B184" s="1">
        <v>47119</v>
      </c>
      <c r="C184">
        <v>1</v>
      </c>
      <c r="D184">
        <v>2</v>
      </c>
      <c r="E184">
        <v>0</v>
      </c>
      <c r="F184">
        <v>0</v>
      </c>
      <c r="G184">
        <v>-1.5474292372918974E-2</v>
      </c>
      <c r="H184">
        <v>30.477559999999357</v>
      </c>
      <c r="I184">
        <v>-2.099362249463832</v>
      </c>
      <c r="J184">
        <v>0.6552368151433674</v>
      </c>
      <c r="K184">
        <v>-0.47510902341130201</v>
      </c>
      <c r="L184">
        <v>-0.69883753501529533</v>
      </c>
      <c r="M184">
        <v>-1.3690956617717909E-2</v>
      </c>
      <c r="N184">
        <v>0.65419268003721331</v>
      </c>
      <c r="O184">
        <v>-9.2849999999977673E-4</v>
      </c>
      <c r="P184">
        <v>1.1158201687399671</v>
      </c>
      <c r="Q184">
        <v>0.97421240492174821</v>
      </c>
      <c r="R184">
        <v>0.44191566079079259</v>
      </c>
      <c r="S184">
        <v>1.4037517401505717</v>
      </c>
      <c r="T184">
        <v>-3.01441560130149</v>
      </c>
      <c r="U184">
        <v>87.699683694303303</v>
      </c>
      <c r="V184">
        <v>1.5367896568111217</v>
      </c>
      <c r="W184">
        <v>1.090056863142097</v>
      </c>
      <c r="X184">
        <v>-6.9886560000000097E-2</v>
      </c>
      <c r="Y184">
        <v>0.29648777999999876</v>
      </c>
      <c r="Z184">
        <v>0.2405044000000009</v>
      </c>
    </row>
    <row r="185" spans="1:26">
      <c r="A185" s="54" t="str">
        <f>CONCATENATE(raw[[#This Row],[redis_ls]],raw[[#This Row],[wage_eq]],raw[[#This Row],[flex]],raw[[#This Row],[expo]],raw[[#This Row],[_date_]])</f>
        <v>120047484</v>
      </c>
      <c r="B185" s="1">
        <v>47484</v>
      </c>
      <c r="C185">
        <v>1</v>
      </c>
      <c r="D185">
        <v>2</v>
      </c>
      <c r="E185">
        <v>0</v>
      </c>
      <c r="F185">
        <v>0</v>
      </c>
      <c r="G185">
        <v>-1.6312086289382854E-2</v>
      </c>
      <c r="H185">
        <v>31.488199999999779</v>
      </c>
      <c r="I185">
        <v>-2.0651120439026505</v>
      </c>
      <c r="J185">
        <v>0.64725644214940203</v>
      </c>
      <c r="K185">
        <v>-0.46228247319488602</v>
      </c>
      <c r="L185">
        <v>-0.68907331268693861</v>
      </c>
      <c r="M185">
        <v>-1.3315138001324112E-2</v>
      </c>
      <c r="N185">
        <v>0.64674657438208438</v>
      </c>
      <c r="O185">
        <v>-4.5349000000055595E-4</v>
      </c>
      <c r="P185">
        <v>1.0970847342876899</v>
      </c>
      <c r="Q185">
        <v>0.95886604907673423</v>
      </c>
      <c r="R185">
        <v>0.43174836737676081</v>
      </c>
      <c r="S185">
        <v>1.3817646629325164</v>
      </c>
      <c r="T185">
        <v>-3.1218153073586996</v>
      </c>
      <c r="U185">
        <v>90.029127802813008</v>
      </c>
      <c r="V185">
        <v>1.5169346003629292</v>
      </c>
      <c r="W185">
        <v>1.0805210800997278</v>
      </c>
      <c r="X185">
        <v>-7.1875539999999988E-2</v>
      </c>
      <c r="Y185">
        <v>0.29640204999999975</v>
      </c>
      <c r="Z185">
        <v>0.23808598999999903</v>
      </c>
    </row>
    <row r="186" spans="1:26">
      <c r="A186" s="54" t="str">
        <f>CONCATENATE(raw[[#This Row],[redis_ls]],raw[[#This Row],[wage_eq]],raw[[#This Row],[flex]],raw[[#This Row],[expo]],raw[[#This Row],[_date_]])</f>
        <v>120047849</v>
      </c>
      <c r="B186" s="1">
        <v>47849</v>
      </c>
      <c r="C186">
        <v>1</v>
      </c>
      <c r="D186">
        <v>2</v>
      </c>
      <c r="E186">
        <v>0</v>
      </c>
      <c r="F186">
        <v>0</v>
      </c>
      <c r="G186">
        <v>-1.6972688715533035E-2</v>
      </c>
      <c r="H186">
        <v>32.477890000001935</v>
      </c>
      <c r="I186">
        <v>-2.0309898623287248</v>
      </c>
      <c r="J186">
        <v>0.63964432234668855</v>
      </c>
      <c r="K186">
        <v>-0.44943321415734649</v>
      </c>
      <c r="L186">
        <v>-0.67978888784406832</v>
      </c>
      <c r="M186">
        <v>-1.2401031165476528E-2</v>
      </c>
      <c r="N186">
        <v>0.63958375222776809</v>
      </c>
      <c r="O186">
        <v>-5.3880000000505746E-5</v>
      </c>
      <c r="P186">
        <v>1.0800671616426838</v>
      </c>
      <c r="Q186">
        <v>0.94536418622084284</v>
      </c>
      <c r="R186">
        <v>0.4243273174358686</v>
      </c>
      <c r="S186">
        <v>1.3611893736985126</v>
      </c>
      <c r="T186">
        <v>-3.2235897848139405</v>
      </c>
      <c r="U186">
        <v>92.226221623464085</v>
      </c>
      <c r="V186">
        <v>1.499263790948091</v>
      </c>
      <c r="W186">
        <v>1.0703945041320662</v>
      </c>
      <c r="X186">
        <v>-7.3771559999999931E-2</v>
      </c>
      <c r="Y186">
        <v>0.2963269699999993</v>
      </c>
      <c r="Z186">
        <v>0.23570200000000013</v>
      </c>
    </row>
    <row r="187" spans="1:26">
      <c r="A187" s="54" t="str">
        <f>CONCATENATE(raw[[#This Row],[redis_ls]],raw[[#This Row],[wage_eq]],raw[[#This Row],[flex]],raw[[#This Row],[expo]],raw[[#This Row],[_date_]])</f>
        <v>120048214</v>
      </c>
      <c r="B187" s="1">
        <v>48214</v>
      </c>
      <c r="C187">
        <v>1</v>
      </c>
      <c r="D187">
        <v>2</v>
      </c>
      <c r="E187">
        <v>0</v>
      </c>
      <c r="F187">
        <v>0</v>
      </c>
      <c r="G187">
        <v>-1.7489363665601498E-2</v>
      </c>
      <c r="H187">
        <v>33.403550000002724</v>
      </c>
      <c r="I187">
        <v>-1.9970160932660908</v>
      </c>
      <c r="J187">
        <v>0.63249276622237005</v>
      </c>
      <c r="K187">
        <v>-0.43652103304336887</v>
      </c>
      <c r="L187">
        <v>-0.67109317836159255</v>
      </c>
      <c r="M187">
        <v>-1.0930057842528651E-2</v>
      </c>
      <c r="N187">
        <v>0.63280035306974014</v>
      </c>
      <c r="O187">
        <v>2.7366999999917097E-4</v>
      </c>
      <c r="P187">
        <v>1.0647923208900734</v>
      </c>
      <c r="Q187">
        <v>0.93370714293765644</v>
      </c>
      <c r="R187">
        <v>0.4196078531608638</v>
      </c>
      <c r="S187">
        <v>1.3420565524030703</v>
      </c>
      <c r="T187">
        <v>-3.3202587151074159</v>
      </c>
      <c r="U187">
        <v>94.300858810237571</v>
      </c>
      <c r="V187">
        <v>1.4839324166714185</v>
      </c>
      <c r="W187">
        <v>1.0598772243250787</v>
      </c>
      <c r="X187">
        <v>-7.5481870000000145E-2</v>
      </c>
      <c r="Y187">
        <v>0.29624647000000004</v>
      </c>
      <c r="Z187">
        <v>0.23341157000000001</v>
      </c>
    </row>
    <row r="188" spans="1:26">
      <c r="A188" s="54" t="str">
        <f>CONCATENATE(raw[[#This Row],[redis_ls]],raw[[#This Row],[wage_eq]],raw[[#This Row],[flex]],raw[[#This Row],[expo]],raw[[#This Row],[_date_]])</f>
        <v>120048580</v>
      </c>
      <c r="B188" s="1">
        <v>48580</v>
      </c>
      <c r="C188">
        <v>1</v>
      </c>
      <c r="D188">
        <v>2</v>
      </c>
      <c r="E188">
        <v>0</v>
      </c>
      <c r="F188">
        <v>0</v>
      </c>
      <c r="G188">
        <v>-1.7891431971561733E-2</v>
      </c>
      <c r="H188">
        <v>34.228780000001279</v>
      </c>
      <c r="I188">
        <v>-1.9632102882590652</v>
      </c>
      <c r="J188">
        <v>0.62586474050563279</v>
      </c>
      <c r="K188">
        <v>-0.42350737560836738</v>
      </c>
      <c r="L188">
        <v>-0.66305714270564753</v>
      </c>
      <c r="M188">
        <v>-8.9014083594407545E-3</v>
      </c>
      <c r="N188">
        <v>0.62646499807090805</v>
      </c>
      <c r="O188">
        <v>5.3413999999973871E-4</v>
      </c>
      <c r="P188">
        <v>1.0512319606757803</v>
      </c>
      <c r="Q188">
        <v>0.92384099259013031</v>
      </c>
      <c r="R188">
        <v>0.41747475537323719</v>
      </c>
      <c r="S188">
        <v>1.3243511312347467</v>
      </c>
      <c r="T188">
        <v>-3.4123430959537293</v>
      </c>
      <c r="U188">
        <v>96.26336752645615</v>
      </c>
      <c r="V188">
        <v>1.4709964041249135</v>
      </c>
      <c r="W188">
        <v>1.0491417242393108</v>
      </c>
      <c r="X188">
        <v>-7.6931540000000145E-2</v>
      </c>
      <c r="Y188">
        <v>0.29614004999999888</v>
      </c>
      <c r="Z188">
        <v>0.23126385999999999</v>
      </c>
    </row>
    <row r="189" spans="1:26">
      <c r="A189" s="54" t="str">
        <f>CONCATENATE(raw[[#This Row],[redis_ls]],raw[[#This Row],[wage_eq]],raw[[#This Row],[flex]],raw[[#This Row],[expo]],raw[[#This Row],[_date_]])</f>
        <v>120048945</v>
      </c>
      <c r="B189" s="1">
        <v>48945</v>
      </c>
      <c r="C189">
        <v>1</v>
      </c>
      <c r="D189">
        <v>2</v>
      </c>
      <c r="E189">
        <v>0</v>
      </c>
      <c r="F189">
        <v>0</v>
      </c>
      <c r="G189">
        <v>-1.8203816542294859E-2</v>
      </c>
      <c r="H189">
        <v>34.924689999999828</v>
      </c>
      <c r="I189">
        <v>-1.9295913277823318</v>
      </c>
      <c r="J189">
        <v>0.61979696005847185</v>
      </c>
      <c r="K189">
        <v>-0.41035687823569589</v>
      </c>
      <c r="L189">
        <v>-0.65571897329996798</v>
      </c>
      <c r="M189">
        <v>-6.3291321753311536E-3</v>
      </c>
      <c r="N189">
        <v>0.62062068411325999</v>
      </c>
      <c r="O189">
        <v>7.3309999999993103E-4</v>
      </c>
      <c r="P189">
        <v>1.0393149128387735</v>
      </c>
      <c r="Q189">
        <v>0.91566906425382122</v>
      </c>
      <c r="R189">
        <v>0.41775800212755509</v>
      </c>
      <c r="S189">
        <v>1.3080210621624566</v>
      </c>
      <c r="T189">
        <v>-3.5003527044867866</v>
      </c>
      <c r="U189">
        <v>98.12419651241369</v>
      </c>
      <c r="V189">
        <v>1.4604277099496299</v>
      </c>
      <c r="W189">
        <v>1.0383319847766082</v>
      </c>
      <c r="X189">
        <v>-7.806439699999998E-2</v>
      </c>
      <c r="Y189">
        <v>0.2959848600000009</v>
      </c>
      <c r="Z189">
        <v>0.22929780000000011</v>
      </c>
    </row>
    <row r="190" spans="1:26">
      <c r="A190" s="54" t="str">
        <f>CONCATENATE(raw[[#This Row],[redis_ls]],raw[[#This Row],[wage_eq]],raw[[#This Row],[flex]],raw[[#This Row],[expo]],raw[[#This Row],[_date_]])</f>
        <v>120049310</v>
      </c>
      <c r="B190" s="1">
        <v>49310</v>
      </c>
      <c r="C190">
        <v>1</v>
      </c>
      <c r="D190">
        <v>2</v>
      </c>
      <c r="E190">
        <v>0</v>
      </c>
      <c r="F190">
        <v>0</v>
      </c>
      <c r="G190">
        <v>-1.8447632468077124E-2</v>
      </c>
      <c r="H190">
        <v>35.470030000000406</v>
      </c>
      <c r="I190">
        <v>-1.8961780262970684</v>
      </c>
      <c r="J190">
        <v>0.61430251842879979</v>
      </c>
      <c r="K190">
        <v>-0.3970389833562793</v>
      </c>
      <c r="L190">
        <v>-0.6490885632830512</v>
      </c>
      <c r="M190">
        <v>-3.2399264323190735E-3</v>
      </c>
      <c r="N190">
        <v>0.61528667091870215</v>
      </c>
      <c r="O190">
        <v>8.7598999999882743E-4</v>
      </c>
      <c r="P190">
        <v>1.0289365375755644</v>
      </c>
      <c r="Q190">
        <v>0.90906234725005586</v>
      </c>
      <c r="R190">
        <v>0.42024737641919163</v>
      </c>
      <c r="S190">
        <v>1.2929856225569747</v>
      </c>
      <c r="T190">
        <v>-3.5847761389238175</v>
      </c>
      <c r="U190">
        <v>99.893648806760041</v>
      </c>
      <c r="V190">
        <v>1.4521297350375661</v>
      </c>
      <c r="W190">
        <v>1.0275640815736953</v>
      </c>
      <c r="X190">
        <v>-7.8842378999999976E-2</v>
      </c>
      <c r="Y190">
        <v>0.29575769000000085</v>
      </c>
      <c r="Z190">
        <v>0.22754098999999972</v>
      </c>
    </row>
    <row r="191" spans="1:26">
      <c r="A191" s="54" t="str">
        <f>CONCATENATE(raw[[#This Row],[redis_ls]],raw[[#This Row],[wage_eq]],raw[[#This Row],[flex]],raw[[#This Row],[expo]],raw[[#This Row],[_date_]])</f>
        <v>120049675</v>
      </c>
      <c r="B191" s="1">
        <v>49675</v>
      </c>
      <c r="C191">
        <v>1</v>
      </c>
      <c r="D191">
        <v>2</v>
      </c>
      <c r="E191">
        <v>0</v>
      </c>
      <c r="F191">
        <v>0</v>
      </c>
      <c r="G191">
        <v>-1.8640902888167332E-2</v>
      </c>
      <c r="H191">
        <v>35.85080999999991</v>
      </c>
      <c r="I191">
        <v>-1.8629900365126129</v>
      </c>
      <c r="J191">
        <v>0.60937262317832808</v>
      </c>
      <c r="K191">
        <v>-0.38352951714589745</v>
      </c>
      <c r="L191">
        <v>-0.64315205031965084</v>
      </c>
      <c r="M191">
        <v>3.2861304515297007E-4</v>
      </c>
      <c r="N191">
        <v>0.61045994650688051</v>
      </c>
      <c r="O191">
        <v>9.6799000000036273E-4</v>
      </c>
      <c r="P191">
        <v>1.0199674797350511</v>
      </c>
      <c r="Q191">
        <v>0.90386869420107097</v>
      </c>
      <c r="R191">
        <v>0.424705194511521</v>
      </c>
      <c r="S191">
        <v>1.2791425382575161</v>
      </c>
      <c r="T191">
        <v>-3.6660724659802191</v>
      </c>
      <c r="U191">
        <v>101.58166029251005</v>
      </c>
      <c r="V191">
        <v>1.4459519960090539</v>
      </c>
      <c r="W191">
        <v>1.0169278676993132</v>
      </c>
      <c r="X191">
        <v>-7.92438117E-2</v>
      </c>
      <c r="Y191">
        <v>0.29543667000000023</v>
      </c>
      <c r="Z191">
        <v>0.22600863999999998</v>
      </c>
    </row>
    <row r="192" spans="1:26">
      <c r="A192" s="54" t="str">
        <f>CONCATENATE(raw[[#This Row],[redis_ls]],raw[[#This Row],[wage_eq]],raw[[#This Row],[flex]],raw[[#This Row],[expo]],raw[[#This Row],[_date_]])</f>
        <v>120050041</v>
      </c>
      <c r="B192" s="1">
        <v>50041</v>
      </c>
      <c r="C192">
        <v>1</v>
      </c>
      <c r="D192">
        <v>2</v>
      </c>
      <c r="E192">
        <v>0</v>
      </c>
      <c r="F192">
        <v>0</v>
      </c>
      <c r="G192">
        <v>-1.8799401285030104E-2</v>
      </c>
      <c r="H192">
        <v>36.059479999999894</v>
      </c>
      <c r="I192">
        <v>-1.8300484923850724</v>
      </c>
      <c r="J192">
        <v>0.60497873836649063</v>
      </c>
      <c r="K192">
        <v>-0.36981185394950877</v>
      </c>
      <c r="L192">
        <v>-0.63787669052253193</v>
      </c>
      <c r="M192">
        <v>4.3297664132468938E-3</v>
      </c>
      <c r="N192">
        <v>0.60611763039888356</v>
      </c>
      <c r="O192">
        <v>1.0139900000011304E-3</v>
      </c>
      <c r="P192">
        <v>1.0122612919598595</v>
      </c>
      <c r="Q192">
        <v>0.89992088382460089</v>
      </c>
      <c r="R192">
        <v>0.43087728137545245</v>
      </c>
      <c r="S192">
        <v>1.2663744988106185</v>
      </c>
      <c r="T192">
        <v>-3.7446647571103386</v>
      </c>
      <c r="U192">
        <v>103.19762073227396</v>
      </c>
      <c r="V192">
        <v>1.4417036877029776</v>
      </c>
      <c r="W192">
        <v>1.0064896843463789</v>
      </c>
      <c r="X192">
        <v>-7.9261047000000015E-2</v>
      </c>
      <c r="Y192">
        <v>0.29500250999999894</v>
      </c>
      <c r="Z192">
        <v>0.22470301000000054</v>
      </c>
    </row>
    <row r="193" spans="1:26">
      <c r="A193" s="54" t="str">
        <f>CONCATENATE(raw[[#This Row],[redis_ls]],raw[[#This Row],[wage_eq]],raw[[#This Row],[flex]],raw[[#This Row],[expo]],raw[[#This Row],[_date_]])</f>
        <v>120050406</v>
      </c>
      <c r="B193" s="1">
        <v>50406</v>
      </c>
      <c r="C193">
        <v>1</v>
      </c>
      <c r="D193">
        <v>2</v>
      </c>
      <c r="E193">
        <v>0</v>
      </c>
      <c r="F193">
        <v>0</v>
      </c>
      <c r="G193">
        <v>-1.8937453346801192E-2</v>
      </c>
      <c r="H193">
        <v>36.093959999998333</v>
      </c>
      <c r="I193">
        <v>-1.7973763923200159</v>
      </c>
      <c r="J193">
        <v>0.60107479524531549</v>
      </c>
      <c r="K193">
        <v>-0.3558776988368817</v>
      </c>
      <c r="L193">
        <v>-0.63321496964785506</v>
      </c>
      <c r="M193">
        <v>8.7093859153508646E-3</v>
      </c>
      <c r="N193">
        <v>0.60221887179856548</v>
      </c>
      <c r="O193">
        <v>1.0188100000002587E-3</v>
      </c>
      <c r="P193">
        <v>1.0056613165005723</v>
      </c>
      <c r="Q193">
        <v>0.89704349645141068</v>
      </c>
      <c r="R193">
        <v>0.43850222243244641</v>
      </c>
      <c r="S193">
        <v>1.2545549813967938</v>
      </c>
      <c r="T193">
        <v>-3.8209342532295243</v>
      </c>
      <c r="U193">
        <v>104.75023477792664</v>
      </c>
      <c r="V193">
        <v>1.4391660477789836</v>
      </c>
      <c r="W193">
        <v>0.99629506678302615</v>
      </c>
      <c r="X193">
        <v>-7.889787899999999E-2</v>
      </c>
      <c r="Y193">
        <v>0.29443930000000035</v>
      </c>
      <c r="Z193">
        <v>0.22361357000000026</v>
      </c>
    </row>
    <row r="194" spans="1:26">
      <c r="A194" s="54" t="str">
        <f>CONCATENATE(raw[[#This Row],[redis_ls]],raw[[#This Row],[wage_eq]],raw[[#This Row],[flex]],raw[[#This Row],[expo]],raw[[#This Row],[_date_]])</f>
        <v>120050771</v>
      </c>
      <c r="B194" s="1">
        <v>50771</v>
      </c>
      <c r="C194">
        <v>1</v>
      </c>
      <c r="D194">
        <v>2</v>
      </c>
      <c r="E194">
        <v>0</v>
      </c>
      <c r="F194">
        <v>0</v>
      </c>
      <c r="G194">
        <v>-1.906837233752734E-2</v>
      </c>
      <c r="H194">
        <v>35.956669999999576</v>
      </c>
      <c r="I194">
        <v>-1.7649985230716703</v>
      </c>
      <c r="J194">
        <v>0.59759982536085055</v>
      </c>
      <c r="K194">
        <v>-0.34172708039318378</v>
      </c>
      <c r="L194">
        <v>-0.629108459117389</v>
      </c>
      <c r="M194">
        <v>1.340783443066762E-2</v>
      </c>
      <c r="N194">
        <v>0.598708584646368</v>
      </c>
      <c r="O194">
        <v>9.8746000000010659E-4</v>
      </c>
      <c r="P194">
        <v>1.0000062838286361</v>
      </c>
      <c r="Q194">
        <v>0.89505865461441125</v>
      </c>
      <c r="R194">
        <v>0.44731902719263861</v>
      </c>
      <c r="S194">
        <v>1.2435530340610734</v>
      </c>
      <c r="T194">
        <v>-3.8952165954123319</v>
      </c>
      <c r="U194">
        <v>106.24741847111542</v>
      </c>
      <c r="V194">
        <v>1.4381030472369494</v>
      </c>
      <c r="W194">
        <v>0.9863718006502431</v>
      </c>
      <c r="X194">
        <v>-7.8167027999999972E-2</v>
      </c>
      <c r="Y194">
        <v>0.29373483999999978</v>
      </c>
      <c r="Z194">
        <v>0.22271804000000006</v>
      </c>
    </row>
    <row r="195" spans="1:26">
      <c r="A195" s="54" t="str">
        <f>CONCATENATE(raw[[#This Row],[redis_ls]],raw[[#This Row],[wage_eq]],raw[[#This Row],[flex]],raw[[#This Row],[expo]],raw[[#This Row],[_date_]])</f>
        <v>120051136</v>
      </c>
      <c r="B195" s="1">
        <v>51136</v>
      </c>
      <c r="C195">
        <v>1</v>
      </c>
      <c r="D195">
        <v>2</v>
      </c>
      <c r="E195">
        <v>0</v>
      </c>
      <c r="F195">
        <v>0</v>
      </c>
      <c r="G195">
        <v>-1.920441616091173E-2</v>
      </c>
      <c r="H195">
        <v>35.653530000003229</v>
      </c>
      <c r="I195">
        <v>-1.7329409710445387</v>
      </c>
      <c r="J195">
        <v>0.59448172575513603</v>
      </c>
      <c r="K195">
        <v>-0.32736816224099297</v>
      </c>
      <c r="L195">
        <v>-0.62549096173295515</v>
      </c>
      <c r="M195">
        <v>1.8361979083514335E-2</v>
      </c>
      <c r="N195">
        <v>0.59552047249677997</v>
      </c>
      <c r="O195">
        <v>9.2518999999929852E-4</v>
      </c>
      <c r="P195">
        <v>0.99513529148063107</v>
      </c>
      <c r="Q195">
        <v>0.89379084461889136</v>
      </c>
      <c r="R195">
        <v>0.45707342853775756</v>
      </c>
      <c r="S195">
        <v>1.2332370378858259</v>
      </c>
      <c r="T195">
        <v>-3.9677991407362501</v>
      </c>
      <c r="U195">
        <v>107.69622835127883</v>
      </c>
      <c r="V195">
        <v>1.4382704153910186</v>
      </c>
      <c r="W195">
        <v>0.97673258307955368</v>
      </c>
      <c r="X195">
        <v>-7.7087914000000063E-2</v>
      </c>
      <c r="Y195">
        <v>0.29288070000000055</v>
      </c>
      <c r="Z195">
        <v>0.22198441000000069</v>
      </c>
    </row>
    <row r="196" spans="1:26">
      <c r="A196" s="54" t="str">
        <f>CONCATENATE(raw[[#This Row],[redis_ls]],raw[[#This Row],[wage_eq]],raw[[#This Row],[flex]],raw[[#This Row],[expo]],raw[[#This Row],[_date_]])</f>
        <v>120051502</v>
      </c>
      <c r="B196" s="1">
        <v>51502</v>
      </c>
      <c r="C196">
        <v>1</v>
      </c>
      <c r="D196">
        <v>2</v>
      </c>
      <c r="E196">
        <v>0</v>
      </c>
      <c r="F196">
        <v>0</v>
      </c>
      <c r="G196">
        <v>-1.9356822559146725E-2</v>
      </c>
      <c r="H196">
        <v>35.193160000002536</v>
      </c>
      <c r="I196">
        <v>-1.701230322583136</v>
      </c>
      <c r="J196">
        <v>0.59164097117945236</v>
      </c>
      <c r="K196">
        <v>-0.3128162609928431</v>
      </c>
      <c r="L196">
        <v>-0.62229195424059469</v>
      </c>
      <c r="M196">
        <v>2.3507323070681707E-2</v>
      </c>
      <c r="N196">
        <v>0.59258120212062337</v>
      </c>
      <c r="O196">
        <v>8.3763000000014465E-4</v>
      </c>
      <c r="P196">
        <v>0.99089172230564238</v>
      </c>
      <c r="Q196">
        <v>0.89307084740755105</v>
      </c>
      <c r="R196">
        <v>0.46752279158419618</v>
      </c>
      <c r="S196">
        <v>1.2234783583418229</v>
      </c>
      <c r="T196">
        <v>-4.0389190724714918</v>
      </c>
      <c r="U196">
        <v>109.10282233315844</v>
      </c>
      <c r="V196">
        <v>1.4394234376720938</v>
      </c>
      <c r="W196">
        <v>0.96737793746528578</v>
      </c>
      <c r="X196">
        <v>-7.5684790000000141E-2</v>
      </c>
      <c r="Y196">
        <v>0.29187185999999948</v>
      </c>
      <c r="Z196">
        <v>0.22137332000000121</v>
      </c>
    </row>
    <row r="197" spans="1:26">
      <c r="A197" s="54" t="str">
        <f>CONCATENATE(raw[[#This Row],[redis_ls]],raw[[#This Row],[wage_eq]],raw[[#This Row],[flex]],raw[[#This Row],[expo]],raw[[#This Row],[_date_]])</f>
        <v>120051867</v>
      </c>
      <c r="B197" s="1">
        <v>51867</v>
      </c>
      <c r="C197">
        <v>1</v>
      </c>
      <c r="D197">
        <v>2</v>
      </c>
      <c r="E197">
        <v>0</v>
      </c>
      <c r="F197">
        <v>0</v>
      </c>
      <c r="G197">
        <v>-1.9535366128320408E-2</v>
      </c>
      <c r="H197">
        <v>34.586150000002817</v>
      </c>
      <c r="I197">
        <v>-1.6698927771318095</v>
      </c>
      <c r="J197">
        <v>0.58899435617203455</v>
      </c>
      <c r="K197">
        <v>-0.29809298160112796</v>
      </c>
      <c r="L197">
        <v>-0.61943898141015863</v>
      </c>
      <c r="M197">
        <v>2.8780089803692732E-2</v>
      </c>
      <c r="N197">
        <v>0.58981460476126291</v>
      </c>
      <c r="O197">
        <v>7.3065999999927245E-4</v>
      </c>
      <c r="P197">
        <v>0.98712629486881198</v>
      </c>
      <c r="Q197">
        <v>0.89273885498255545</v>
      </c>
      <c r="R197">
        <v>0.47844014740257013</v>
      </c>
      <c r="S197">
        <v>1.2141543165730351</v>
      </c>
      <c r="T197">
        <v>-4.1087634550441843</v>
      </c>
      <c r="U197">
        <v>110.47244724094681</v>
      </c>
      <c r="V197">
        <v>1.4413233992188079</v>
      </c>
      <c r="W197">
        <v>0.95829835153924403</v>
      </c>
      <c r="X197">
        <v>-7.3985260000000025E-2</v>
      </c>
      <c r="Y197">
        <v>0.29070628999999931</v>
      </c>
      <c r="Z197">
        <v>0.22084093999999999</v>
      </c>
    </row>
    <row r="198" spans="1:26">
      <c r="A198" s="54" t="str">
        <f>CONCATENATE(raw[[#This Row],[redis_ls]],raw[[#This Row],[wage_eq]],raw[[#This Row],[flex]],raw[[#This Row],[expo]],raw[[#This Row],[_date_]])</f>
        <v>120052232</v>
      </c>
      <c r="B198" s="1">
        <v>52232</v>
      </c>
      <c r="C198">
        <v>1</v>
      </c>
      <c r="D198">
        <v>2</v>
      </c>
      <c r="E198">
        <v>0</v>
      </c>
      <c r="F198">
        <v>0</v>
      </c>
      <c r="G198">
        <v>-1.9747997362817848E-2</v>
      </c>
      <c r="H198">
        <v>33.844519999998738</v>
      </c>
      <c r="I198">
        <v>-1.6389530787487838</v>
      </c>
      <c r="J198">
        <v>0.58645932078524865</v>
      </c>
      <c r="K198">
        <v>-0.28322478952069741</v>
      </c>
      <c r="L198">
        <v>-0.61685972287602864</v>
      </c>
      <c r="M198">
        <v>3.4119011649291764E-2</v>
      </c>
      <c r="N198">
        <v>0.58714434866420362</v>
      </c>
      <c r="O198">
        <v>6.1026000000019565E-4</v>
      </c>
      <c r="P198">
        <v>0.9837002430215902</v>
      </c>
      <c r="Q198">
        <v>0.89264705212441786</v>
      </c>
      <c r="R198">
        <v>0.48961708337644794</v>
      </c>
      <c r="S198">
        <v>1.205150079766848</v>
      </c>
      <c r="T198">
        <v>-4.1774710699379209</v>
      </c>
      <c r="U198">
        <v>111.80944945996801</v>
      </c>
      <c r="V198">
        <v>1.4437424474696314</v>
      </c>
      <c r="W198">
        <v>0.94947654142383264</v>
      </c>
      <c r="X198">
        <v>-7.2019170000000091E-2</v>
      </c>
      <c r="Y198">
        <v>0.28938435000000068</v>
      </c>
      <c r="Z198">
        <v>0.22034176000000072</v>
      </c>
    </row>
    <row r="199" spans="1:26">
      <c r="A199" s="54" t="str">
        <f>CONCATENATE(raw[[#This Row],[redis_ls]],raw[[#This Row],[wage_eq]],raw[[#This Row],[flex]],raw[[#This Row],[expo]],raw[[#This Row],[_date_]])</f>
        <v>120052597</v>
      </c>
      <c r="B199" s="1">
        <v>52597</v>
      </c>
      <c r="C199">
        <v>1</v>
      </c>
      <c r="D199">
        <v>2</v>
      </c>
      <c r="E199">
        <v>0</v>
      </c>
      <c r="F199">
        <v>0</v>
      </c>
      <c r="G199">
        <v>-2.0000471728798264E-2</v>
      </c>
      <c r="H199">
        <v>32.98127999999997</v>
      </c>
      <c r="I199">
        <v>-1.6084337943181426</v>
      </c>
      <c r="J199">
        <v>0.5839567332437845</v>
      </c>
      <c r="K199">
        <v>-0.26824180838390665</v>
      </c>
      <c r="L199">
        <v>-0.61448421719123569</v>
      </c>
      <c r="M199">
        <v>3.9467082165334233E-2</v>
      </c>
      <c r="N199">
        <v>0.58449805187728021</v>
      </c>
      <c r="O199">
        <v>4.8230999999954172E-4</v>
      </c>
      <c r="P199">
        <v>0.98048658331104654</v>
      </c>
      <c r="Q199">
        <v>0.89266136407595287</v>
      </c>
      <c r="R199">
        <v>0.50086586490443175</v>
      </c>
      <c r="S199">
        <v>1.1963602905368242</v>
      </c>
      <c r="T199">
        <v>-4.2451344549944148</v>
      </c>
      <c r="U199">
        <v>113.1173089378708</v>
      </c>
      <c r="V199">
        <v>1.4464678978831191</v>
      </c>
      <c r="W199">
        <v>0.94088943210546283</v>
      </c>
      <c r="X199">
        <v>-6.9817650000000148E-2</v>
      </c>
      <c r="Y199">
        <v>0.28790835999999986</v>
      </c>
      <c r="Z199">
        <v>0.21983120000000078</v>
      </c>
    </row>
    <row r="200" spans="1:26">
      <c r="A200" s="54" t="str">
        <f>CONCATENATE(raw[[#This Row],[redis_ls]],raw[[#This Row],[wage_eq]],raw[[#This Row],[flex]],raw[[#This Row],[expo]],raw[[#This Row],[_date_]])</f>
        <v>120052963</v>
      </c>
      <c r="B200" s="1">
        <v>52963</v>
      </c>
      <c r="C200">
        <v>1</v>
      </c>
      <c r="D200">
        <v>2</v>
      </c>
      <c r="E200">
        <v>0</v>
      </c>
      <c r="F200">
        <v>0</v>
      </c>
      <c r="G200">
        <v>-2.0296095952576643E-2</v>
      </c>
      <c r="H200">
        <v>32.010070000003907</v>
      </c>
      <c r="I200">
        <v>-1.5783543165257208</v>
      </c>
      <c r="J200">
        <v>0.58141422967963319</v>
      </c>
      <c r="K200">
        <v>-0.25317657334976706</v>
      </c>
      <c r="L200">
        <v>-0.61224600397653539</v>
      </c>
      <c r="M200">
        <v>4.4772669553405642E-2</v>
      </c>
      <c r="N200">
        <v>0.58180956877711409</v>
      </c>
      <c r="O200">
        <v>3.5230999999996682E-4</v>
      </c>
      <c r="P200">
        <v>0.97737145320095919</v>
      </c>
      <c r="Q200">
        <v>0.8926627955381683</v>
      </c>
      <c r="R200">
        <v>0.51202088108581734</v>
      </c>
      <c r="S200">
        <v>1.1876908813761133</v>
      </c>
      <c r="T200">
        <v>-4.3118037982700201</v>
      </c>
      <c r="U200">
        <v>114.39868940216095</v>
      </c>
      <c r="V200">
        <v>1.4493051566711213</v>
      </c>
      <c r="W200">
        <v>0.93250963732056658</v>
      </c>
      <c r="X200">
        <v>-6.7412519999999865E-2</v>
      </c>
      <c r="Y200">
        <v>0.28628200999999964</v>
      </c>
      <c r="Z200">
        <v>0.21926778000000008</v>
      </c>
    </row>
    <row r="201" spans="1:26">
      <c r="A201" s="54" t="str">
        <f>CONCATENATE(raw[[#This Row],[redis_ls]],raw[[#This Row],[wage_eq]],raw[[#This Row],[flex]],raw[[#This Row],[expo]],raw[[#This Row],[_date_]])</f>
        <v>120053328</v>
      </c>
      <c r="B201" s="1">
        <v>53328</v>
      </c>
      <c r="C201">
        <v>1</v>
      </c>
      <c r="D201">
        <v>2</v>
      </c>
      <c r="E201">
        <v>0</v>
      </c>
      <c r="F201">
        <v>0</v>
      </c>
      <c r="G201">
        <v>-2.0635658114198652E-2</v>
      </c>
      <c r="H201">
        <v>30.94485999999597</v>
      </c>
      <c r="I201">
        <v>-1.5487305504322646</v>
      </c>
      <c r="J201">
        <v>0.57876805870327175</v>
      </c>
      <c r="K201">
        <v>-0.23806289616309373</v>
      </c>
      <c r="L201">
        <v>-0.61008350755064056</v>
      </c>
      <c r="M201">
        <v>4.9990559964263603E-2</v>
      </c>
      <c r="N201">
        <v>0.57902081536225225</v>
      </c>
      <c r="O201">
        <v>2.251599999988918E-4</v>
      </c>
      <c r="P201">
        <v>0.97425531918027275</v>
      </c>
      <c r="Q201">
        <v>0.89254818476531828</v>
      </c>
      <c r="R201">
        <v>0.52293929359155111</v>
      </c>
      <c r="S201">
        <v>1.1790591567550912</v>
      </c>
      <c r="T201">
        <v>-4.3774919871868327</v>
      </c>
      <c r="U201">
        <v>115.6555040744434</v>
      </c>
      <c r="V201">
        <v>1.452079977270504</v>
      </c>
      <c r="W201">
        <v>0.92430712755435795</v>
      </c>
      <c r="X201">
        <v>-6.4835620000000191E-2</v>
      </c>
      <c r="Y201">
        <v>0.28451004000000085</v>
      </c>
      <c r="Z201">
        <v>0.21861483000000098</v>
      </c>
    </row>
    <row r="202" spans="1:26">
      <c r="A202" s="54" t="str">
        <f>CONCATENATE(raw[[#This Row],[redis_ls]],raw[[#This Row],[wage_eq]],raw[[#This Row],[flex]],raw[[#This Row],[expo]],raw[[#This Row],[_date_]])</f>
        <v>120053693</v>
      </c>
      <c r="B202" s="1">
        <v>53693</v>
      </c>
      <c r="C202">
        <v>1</v>
      </c>
      <c r="D202">
        <v>2</v>
      </c>
      <c r="E202">
        <v>0</v>
      </c>
      <c r="F202">
        <v>0</v>
      </c>
      <c r="G202">
        <v>-2.1017478287599367E-2</v>
      </c>
      <c r="H202">
        <v>29.799670000000333</v>
      </c>
      <c r="I202">
        <v>-1.5195749612696652</v>
      </c>
      <c r="J202">
        <v>0.57596459376532128</v>
      </c>
      <c r="K202">
        <v>-0.22293507775619226</v>
      </c>
      <c r="L202">
        <v>-0.60794093651840297</v>
      </c>
      <c r="M202">
        <v>5.508235536828554E-2</v>
      </c>
      <c r="N202">
        <v>0.57608251431564561</v>
      </c>
      <c r="O202">
        <v>1.0505000000021747E-4</v>
      </c>
      <c r="P202">
        <v>0.97105359081730569</v>
      </c>
      <c r="Q202">
        <v>0.89223051516076346</v>
      </c>
      <c r="R202">
        <v>0.53350111192311811</v>
      </c>
      <c r="S202">
        <v>1.170394697007926</v>
      </c>
      <c r="T202">
        <v>-4.4421794510026587</v>
      </c>
      <c r="U202">
        <v>116.88899349648092</v>
      </c>
      <c r="V202">
        <v>1.4546397633882657</v>
      </c>
      <c r="W202">
        <v>0.91625044851995074</v>
      </c>
      <c r="X202">
        <v>-6.2118369999999978E-2</v>
      </c>
      <c r="Y202">
        <v>0.28259796000000004</v>
      </c>
      <c r="Z202">
        <v>0.21784155999999971</v>
      </c>
    </row>
    <row r="203" spans="1:26">
      <c r="A203" s="54" t="str">
        <f>CONCATENATE(raw[[#This Row],[redis_ls]],raw[[#This Row],[wage_eq]],raw[[#This Row],[flex]],raw[[#This Row],[expo]],raw[[#This Row],[_date_]])</f>
        <v>120054058</v>
      </c>
      <c r="B203" s="1">
        <v>54058</v>
      </c>
      <c r="C203">
        <v>1</v>
      </c>
      <c r="D203">
        <v>2</v>
      </c>
      <c r="E203">
        <v>0</v>
      </c>
      <c r="F203">
        <v>0</v>
      </c>
      <c r="G203">
        <v>-2.143764051154573E-2</v>
      </c>
      <c r="H203">
        <v>28.588380000001052</v>
      </c>
      <c r="I203">
        <v>-1.4908961392242515</v>
      </c>
      <c r="J203">
        <v>0.57296094522405472</v>
      </c>
      <c r="K203">
        <v>-0.20782709674346256</v>
      </c>
      <c r="L203">
        <v>-0.60576896453383711</v>
      </c>
      <c r="M203">
        <v>6.0016667329110263E-2</v>
      </c>
      <c r="N203">
        <v>0.572955743754755</v>
      </c>
      <c r="O203">
        <v>-4.6900000008620601E-6</v>
      </c>
      <c r="P203">
        <v>0.96769578513478116</v>
      </c>
      <c r="Q203">
        <v>0.89163874058240111</v>
      </c>
      <c r="R203">
        <v>0.54360872294920703</v>
      </c>
      <c r="S203">
        <v>1.1616395540839042</v>
      </c>
      <c r="T203">
        <v>-4.505820055096887</v>
      </c>
      <c r="U203">
        <v>118.09980908304949</v>
      </c>
      <c r="V203">
        <v>1.4568543259521949</v>
      </c>
      <c r="W203">
        <v>0.90830796331105024</v>
      </c>
      <c r="X203">
        <v>-5.9291269999999993E-2</v>
      </c>
      <c r="Y203">
        <v>0.28055181999999956</v>
      </c>
      <c r="Z203">
        <v>0.21692372999999876</v>
      </c>
    </row>
    <row r="204" spans="1:26">
      <c r="A204" s="54" t="str">
        <f>CONCATENATE(raw[[#This Row],[redis_ls]],raw[[#This Row],[wage_eq]],raw[[#This Row],[flex]],raw[[#This Row],[expo]],raw[[#This Row],[_date_]])</f>
        <v>120054424</v>
      </c>
      <c r="B204" s="1">
        <v>54424</v>
      </c>
      <c r="C204">
        <v>1</v>
      </c>
      <c r="D204">
        <v>2</v>
      </c>
      <c r="E204">
        <v>0</v>
      </c>
      <c r="F204">
        <v>0</v>
      </c>
      <c r="G204">
        <v>-2.1890361382748136E-2</v>
      </c>
      <c r="H204">
        <v>27.32444000000396</v>
      </c>
      <c r="I204">
        <v>-1.4626988092804383</v>
      </c>
      <c r="J204">
        <v>0.56972515789674993</v>
      </c>
      <c r="K204">
        <v>-0.19277218023323606</v>
      </c>
      <c r="L204">
        <v>-0.60352497088768109</v>
      </c>
      <c r="M204">
        <v>6.4768969655659703E-2</v>
      </c>
      <c r="N204">
        <v>0.56961116951628199</v>
      </c>
      <c r="O204">
        <v>-1.0166000000005893E-4</v>
      </c>
      <c r="P204">
        <v>0.96412570763122485</v>
      </c>
      <c r="Q204">
        <v>0.89071726902156811</v>
      </c>
      <c r="R204">
        <v>0.55318597698768013</v>
      </c>
      <c r="S204">
        <v>1.1527470647507032</v>
      </c>
      <c r="T204">
        <v>-4.5683473511083816</v>
      </c>
      <c r="U204">
        <v>119.28810283742362</v>
      </c>
      <c r="V204">
        <v>1.4586158686703321</v>
      </c>
      <c r="W204">
        <v>0.90044873020491689</v>
      </c>
      <c r="X204">
        <v>-5.6383449999999891E-2</v>
      </c>
      <c r="Y204">
        <v>0.27837812000000017</v>
      </c>
      <c r="Z204">
        <v>0.21584374000000045</v>
      </c>
    </row>
    <row r="205" spans="1:26">
      <c r="A205" s="54" t="str">
        <f>CONCATENATE(raw[[#This Row],[redis_ls]],raw[[#This Row],[wage_eq]],raw[[#This Row],[flex]],raw[[#This Row],[expo]],raw[[#This Row],[_date_]])</f>
        <v>120054789</v>
      </c>
      <c r="B205" s="1">
        <v>54789</v>
      </c>
      <c r="C205">
        <v>1</v>
      </c>
      <c r="D205">
        <v>2</v>
      </c>
      <c r="E205">
        <v>0</v>
      </c>
      <c r="F205">
        <v>0</v>
      </c>
      <c r="G205">
        <v>-2.2368400658134835E-2</v>
      </c>
      <c r="H205">
        <v>26.020720000000438</v>
      </c>
      <c r="I205">
        <v>-1.4349851459872554</v>
      </c>
      <c r="J205">
        <v>0.56623564492359613</v>
      </c>
      <c r="K205">
        <v>-0.17780235093184382</v>
      </c>
      <c r="L205">
        <v>-0.60117333849344368</v>
      </c>
      <c r="M205">
        <v>6.9321287021173461E-2</v>
      </c>
      <c r="N205">
        <v>0.56602888111179084</v>
      </c>
      <c r="O205">
        <v>-1.8428999999930973E-4</v>
      </c>
      <c r="P205">
        <v>0.96030086604381726</v>
      </c>
      <c r="Q205">
        <v>0.88942510775831263</v>
      </c>
      <c r="R205">
        <v>0.56217674102276849</v>
      </c>
      <c r="S205">
        <v>1.1436824381412469</v>
      </c>
      <c r="T205">
        <v>-4.6296798387066351</v>
      </c>
      <c r="U205">
        <v>120.45361855805493</v>
      </c>
      <c r="V205">
        <v>1.4598384806711273</v>
      </c>
      <c r="W205">
        <v>0.89264351288189658</v>
      </c>
      <c r="X205">
        <v>-5.3422300000000034E-2</v>
      </c>
      <c r="Y205">
        <v>0.27608372999999992</v>
      </c>
      <c r="Z205">
        <v>0.21459045000000038</v>
      </c>
    </row>
    <row r="206" spans="1:26">
      <c r="A206" s="54" t="str">
        <f>CONCATENATE(raw[[#This Row],[redis_ls]],raw[[#This Row],[wage_eq]],raw[[#This Row],[flex]],raw[[#This Row],[expo]],raw[[#This Row],[_date_]])</f>
        <v>111136526</v>
      </c>
      <c r="B206" s="1">
        <v>36526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5.5122246639394135E-3</v>
      </c>
      <c r="U206">
        <v>0.21461386473387023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54" t="str">
        <f>CONCATENATE(raw[[#This Row],[redis_ls]],raw[[#This Row],[wage_eq]],raw[[#This Row],[flex]],raw[[#This Row],[expo]],raw[[#This Row],[_date_]])</f>
        <v>111136892</v>
      </c>
      <c r="B207" s="1">
        <v>36892</v>
      </c>
      <c r="C207">
        <v>1</v>
      </c>
      <c r="D207">
        <v>1</v>
      </c>
      <c r="E207">
        <v>1</v>
      </c>
      <c r="F207">
        <v>1</v>
      </c>
      <c r="G207">
        <v>0.21945389621906841</v>
      </c>
      <c r="H207">
        <v>42.511230000000069</v>
      </c>
      <c r="I207">
        <v>-5.3901452471495359</v>
      </c>
      <c r="J207">
        <v>0.1027454043633691</v>
      </c>
      <c r="K207">
        <v>0.60856456921989377</v>
      </c>
      <c r="L207">
        <v>-0.16051131716658951</v>
      </c>
      <c r="M207">
        <v>-0.31196932209232031</v>
      </c>
      <c r="N207">
        <v>0.14905353897713969</v>
      </c>
      <c r="O207">
        <v>4.1491240000000873E-2</v>
      </c>
      <c r="P207">
        <v>0.46863949815150185</v>
      </c>
      <c r="Q207">
        <v>0.12763874638039852</v>
      </c>
      <c r="R207">
        <v>-0.598485301737961</v>
      </c>
      <c r="S207">
        <v>0.85111389846872498</v>
      </c>
      <c r="T207">
        <v>0.27493381243701709</v>
      </c>
      <c r="U207">
        <v>0.7383468991344122</v>
      </c>
      <c r="V207">
        <v>3.7405489015140958E-2</v>
      </c>
      <c r="W207">
        <v>0.63971942012557292</v>
      </c>
      <c r="X207">
        <v>-0.12696333000000032</v>
      </c>
      <c r="Y207">
        <v>0.12053879999999982</v>
      </c>
      <c r="Z207">
        <v>6.3415189999999066E-3</v>
      </c>
    </row>
    <row r="208" spans="1:26">
      <c r="A208" s="54" t="str">
        <f>CONCATENATE(raw[[#This Row],[redis_ls]],raw[[#This Row],[wage_eq]],raw[[#This Row],[flex]],raw[[#This Row],[expo]],raw[[#This Row],[_date_]])</f>
        <v>111137257</v>
      </c>
      <c r="B208" s="1">
        <v>37257</v>
      </c>
      <c r="C208">
        <v>1</v>
      </c>
      <c r="D208">
        <v>1</v>
      </c>
      <c r="E208">
        <v>1</v>
      </c>
      <c r="F208">
        <v>1</v>
      </c>
      <c r="G208">
        <v>0.38919888662367619</v>
      </c>
      <c r="H208">
        <v>89.231929999998101</v>
      </c>
      <c r="I208">
        <v>-8.606373131372413</v>
      </c>
      <c r="J208">
        <v>0.27011011865694101</v>
      </c>
      <c r="K208">
        <v>1.1489603887981259</v>
      </c>
      <c r="L208">
        <v>-0.43204303394654975</v>
      </c>
      <c r="M208">
        <v>-0.44677442464083894</v>
      </c>
      <c r="N208">
        <v>0.32872505398597873</v>
      </c>
      <c r="O208">
        <v>5.2416160000000322E-2</v>
      </c>
      <c r="P208">
        <v>0.61984271697397286</v>
      </c>
      <c r="Q208">
        <v>0.33477074398275963</v>
      </c>
      <c r="R208">
        <v>-0.30886976313215797</v>
      </c>
      <c r="S208">
        <v>0.97946733465514857</v>
      </c>
      <c r="T208">
        <v>0.53192252596951928</v>
      </c>
      <c r="U208">
        <v>1.589078849063652</v>
      </c>
      <c r="V208">
        <v>0.24158946874728304</v>
      </c>
      <c r="W208">
        <v>0.55216469202667984</v>
      </c>
      <c r="X208">
        <v>-0.25517917999999945</v>
      </c>
      <c r="Y208">
        <v>0.16369894999999982</v>
      </c>
      <c r="Z208">
        <v>0.12700127599999997</v>
      </c>
    </row>
    <row r="209" spans="1:26">
      <c r="A209" s="54" t="str">
        <f>CONCATENATE(raw[[#This Row],[redis_ls]],raw[[#This Row],[wage_eq]],raw[[#This Row],[flex]],raw[[#This Row],[expo]],raw[[#This Row],[_date_]])</f>
        <v>111137622</v>
      </c>
      <c r="B209" s="1">
        <v>37622</v>
      </c>
      <c r="C209">
        <v>1</v>
      </c>
      <c r="D209">
        <v>1</v>
      </c>
      <c r="E209">
        <v>1</v>
      </c>
      <c r="F209">
        <v>1</v>
      </c>
      <c r="G209">
        <v>0.47730126026113151</v>
      </c>
      <c r="H209">
        <v>122.64732999999978</v>
      </c>
      <c r="I209">
        <v>-10.462111168795463</v>
      </c>
      <c r="J209">
        <v>0.44098995445178701</v>
      </c>
      <c r="K209">
        <v>1.5555198991730634</v>
      </c>
      <c r="L209">
        <v>-0.79380570121493355</v>
      </c>
      <c r="M209">
        <v>-0.45317858384432697</v>
      </c>
      <c r="N209">
        <v>0.48765877401422131</v>
      </c>
      <c r="O209">
        <v>4.1649790000000686E-2</v>
      </c>
      <c r="P209">
        <v>0.84223615242928762</v>
      </c>
      <c r="Q209">
        <v>0.61338814264646491</v>
      </c>
      <c r="R209">
        <v>5.6982764439528211E-2</v>
      </c>
      <c r="S209">
        <v>1.1745293784217958</v>
      </c>
      <c r="T209">
        <v>0.79839551992801905</v>
      </c>
      <c r="U209">
        <v>2.7406496804606828</v>
      </c>
      <c r="V209">
        <v>0.50580597539722216</v>
      </c>
      <c r="W209">
        <v>0.44856759443141492</v>
      </c>
      <c r="X209">
        <v>-0.33746412000000003</v>
      </c>
      <c r="Y209">
        <v>0.15605651999999992</v>
      </c>
      <c r="Z209">
        <v>0.23135619599999993</v>
      </c>
    </row>
    <row r="210" spans="1:26">
      <c r="A210" s="54" t="str">
        <f>CONCATENATE(raw[[#This Row],[redis_ls]],raw[[#This Row],[wage_eq]],raw[[#This Row],[flex]],raw[[#This Row],[expo]],raw[[#This Row],[_date_]])</f>
        <v>111137987</v>
      </c>
      <c r="B210" s="1">
        <v>37987</v>
      </c>
      <c r="C210">
        <v>1</v>
      </c>
      <c r="D210">
        <v>1</v>
      </c>
      <c r="E210">
        <v>1</v>
      </c>
      <c r="F210">
        <v>1</v>
      </c>
      <c r="G210">
        <v>0.48857955713621504</v>
      </c>
      <c r="H210">
        <v>136.18252999999822</v>
      </c>
      <c r="I210">
        <v>-11.543301859110521</v>
      </c>
      <c r="J210">
        <v>0.58398633771366004</v>
      </c>
      <c r="K210">
        <v>1.8348786386529259</v>
      </c>
      <c r="L210">
        <v>-1.2238615497157546</v>
      </c>
      <c r="M210">
        <v>-0.39894211195308227</v>
      </c>
      <c r="N210">
        <v>0.60687361382074645</v>
      </c>
      <c r="O210">
        <v>2.0391220000000321E-2</v>
      </c>
      <c r="P210">
        <v>1.1022291572042597</v>
      </c>
      <c r="Q210">
        <v>0.92926932749330948</v>
      </c>
      <c r="R210">
        <v>0.46031861476292235</v>
      </c>
      <c r="S210">
        <v>1.4072622660358025</v>
      </c>
      <c r="T210">
        <v>1.0649351330830337</v>
      </c>
      <c r="U210">
        <v>4.1427661076471667</v>
      </c>
      <c r="V210">
        <v>0.80287941171575117</v>
      </c>
      <c r="W210">
        <v>0.34099115074748276</v>
      </c>
      <c r="X210">
        <v>-0.36106246999999952</v>
      </c>
      <c r="Y210">
        <v>0.11508255999999988</v>
      </c>
      <c r="Z210">
        <v>0.30385163400000004</v>
      </c>
    </row>
    <row r="211" spans="1:26">
      <c r="A211" s="54" t="str">
        <f>CONCATENATE(raw[[#This Row],[redis_ls]],raw[[#This Row],[wage_eq]],raw[[#This Row],[flex]],raw[[#This Row],[expo]],raw[[#This Row],[_date_]])</f>
        <v>111138353</v>
      </c>
      <c r="B211" s="1">
        <v>38353</v>
      </c>
      <c r="C211">
        <v>1</v>
      </c>
      <c r="D211">
        <v>1</v>
      </c>
      <c r="E211">
        <v>1</v>
      </c>
      <c r="F211">
        <v>1</v>
      </c>
      <c r="G211">
        <v>0.43889933701715123</v>
      </c>
      <c r="H211">
        <v>129.2178899999999</v>
      </c>
      <c r="I211">
        <v>-12.193158838984298</v>
      </c>
      <c r="J211">
        <v>0.68806530006391142</v>
      </c>
      <c r="K211">
        <v>2.0168241158838862</v>
      </c>
      <c r="L211">
        <v>-1.6955917797097375</v>
      </c>
      <c r="M211">
        <v>-0.32596303307155239</v>
      </c>
      <c r="N211">
        <v>0.6875140998678031</v>
      </c>
      <c r="O211">
        <v>-4.9048000000107006E-4</v>
      </c>
      <c r="P211">
        <v>1.370907528576959</v>
      </c>
      <c r="Q211">
        <v>1.2497275872507485</v>
      </c>
      <c r="R211">
        <v>0.86377305325726628</v>
      </c>
      <c r="S211">
        <v>1.6500286267826958</v>
      </c>
      <c r="T211">
        <v>1.3167792378671939</v>
      </c>
      <c r="U211">
        <v>5.731909906369359</v>
      </c>
      <c r="V211">
        <v>1.1168332021094907</v>
      </c>
      <c r="W211">
        <v>0.25089301718064227</v>
      </c>
      <c r="X211">
        <v>-0.32909245000000004</v>
      </c>
      <c r="Y211">
        <v>5.1488329999999777E-2</v>
      </c>
      <c r="Z211">
        <v>0.34277759889999998</v>
      </c>
    </row>
    <row r="212" spans="1:26">
      <c r="A212" s="54" t="str">
        <f>CONCATENATE(raw[[#This Row],[redis_ls]],raw[[#This Row],[wage_eq]],raw[[#This Row],[flex]],raw[[#This Row],[expo]],raw[[#This Row],[_date_]])</f>
        <v>111138718</v>
      </c>
      <c r="B212" s="1">
        <v>38718</v>
      </c>
      <c r="C212">
        <v>1</v>
      </c>
      <c r="D212">
        <v>1</v>
      </c>
      <c r="E212">
        <v>1</v>
      </c>
      <c r="F212">
        <v>1</v>
      </c>
      <c r="G212">
        <v>0.34606220226649498</v>
      </c>
      <c r="H212">
        <v>104.15702999999849</v>
      </c>
      <c r="I212">
        <v>-12.606433288021702</v>
      </c>
      <c r="J212">
        <v>0.75137706064516419</v>
      </c>
      <c r="K212">
        <v>2.1341690234922828</v>
      </c>
      <c r="L212">
        <v>-2.1809247600345638</v>
      </c>
      <c r="M212">
        <v>-0.25760959839478126</v>
      </c>
      <c r="N212">
        <v>0.73230473340240021</v>
      </c>
      <c r="O212">
        <v>-1.6955689999999246E-2</v>
      </c>
      <c r="P212">
        <v>1.626844435495256</v>
      </c>
      <c r="Q212">
        <v>1.549938444793697</v>
      </c>
      <c r="R212">
        <v>1.2387632132805582</v>
      </c>
      <c r="S212">
        <v>1.8818238037519697</v>
      </c>
      <c r="T212">
        <v>1.5414707559868512</v>
      </c>
      <c r="U212">
        <v>7.4372803381304919</v>
      </c>
      <c r="V212">
        <v>1.4290409530145709</v>
      </c>
      <c r="W212">
        <v>0.18794946699416393</v>
      </c>
      <c r="X212">
        <v>-0.25146666000000067</v>
      </c>
      <c r="Y212">
        <v>-2.7013109999999771E-2</v>
      </c>
      <c r="Z212">
        <v>0.35062389659999998</v>
      </c>
    </row>
    <row r="213" spans="1:26">
      <c r="A213" s="54" t="str">
        <f>CONCATENATE(raw[[#This Row],[redis_ls]],raw[[#This Row],[wage_eq]],raw[[#This Row],[flex]],raw[[#This Row],[expo]],raw[[#This Row],[_date_]])</f>
        <v>111139083</v>
      </c>
      <c r="B213" s="1">
        <v>39083</v>
      </c>
      <c r="C213">
        <v>1</v>
      </c>
      <c r="D213">
        <v>1</v>
      </c>
      <c r="E213">
        <v>1</v>
      </c>
      <c r="F213">
        <v>1</v>
      </c>
      <c r="G213">
        <v>0.22632895525036556</v>
      </c>
      <c r="H213">
        <v>64.735489999999118</v>
      </c>
      <c r="I213">
        <v>-12.891956347505518</v>
      </c>
      <c r="J213">
        <v>0.77553874628550901</v>
      </c>
      <c r="K213">
        <v>2.2150045799099294</v>
      </c>
      <c r="L213">
        <v>-2.6536257745012004</v>
      </c>
      <c r="M213">
        <v>-0.20638109009746275</v>
      </c>
      <c r="N213">
        <v>0.74343220923620557</v>
      </c>
      <c r="O213">
        <v>-2.8530849999999774E-2</v>
      </c>
      <c r="P213">
        <v>1.854819125968854</v>
      </c>
      <c r="Q213">
        <v>1.8125778737724252</v>
      </c>
      <c r="R213">
        <v>1.5653330135129373</v>
      </c>
      <c r="S213">
        <v>2.08773630704846</v>
      </c>
      <c r="T213">
        <v>1.7299057202470713</v>
      </c>
      <c r="U213">
        <v>9.1846422994250396</v>
      </c>
      <c r="V213">
        <v>1.71905802805703</v>
      </c>
      <c r="W213">
        <v>0.15135579760681139</v>
      </c>
      <c r="X213">
        <v>-0.14034637999999974</v>
      </c>
      <c r="Y213">
        <v>-0.11386817999999993</v>
      </c>
      <c r="Z213">
        <v>0.33169093300000002</v>
      </c>
    </row>
    <row r="214" spans="1:26">
      <c r="A214" s="54" t="str">
        <f>CONCATENATE(raw[[#This Row],[redis_ls]],raw[[#This Row],[wage_eq]],raw[[#This Row],[flex]],raw[[#This Row],[expo]],raw[[#This Row],[_date_]])</f>
        <v>111139448</v>
      </c>
      <c r="B214" s="1">
        <v>39448</v>
      </c>
      <c r="C214">
        <v>1</v>
      </c>
      <c r="D214">
        <v>1</v>
      </c>
      <c r="E214">
        <v>1</v>
      </c>
      <c r="F214">
        <v>1</v>
      </c>
      <c r="G214">
        <v>9.3709550356835258E-2</v>
      </c>
      <c r="H214">
        <v>15.172429999998712</v>
      </c>
      <c r="I214">
        <v>-13.108598301225527</v>
      </c>
      <c r="J214">
        <v>0.76389720973324415</v>
      </c>
      <c r="K214">
        <v>2.280725093876157</v>
      </c>
      <c r="L214">
        <v>-3.0911736594720796</v>
      </c>
      <c r="M214">
        <v>-0.17815557475976407</v>
      </c>
      <c r="N214">
        <v>0.72370003517345793</v>
      </c>
      <c r="O214">
        <v>-3.5719389999999684E-2</v>
      </c>
      <c r="P214">
        <v>2.0441405657629197</v>
      </c>
      <c r="Q214">
        <v>2.0261671505733325</v>
      </c>
      <c r="R214">
        <v>1.8303870631005248</v>
      </c>
      <c r="S214">
        <v>2.2574658231803157</v>
      </c>
      <c r="T214">
        <v>1.8757223271251622</v>
      </c>
      <c r="U214">
        <v>10.899699412115037</v>
      </c>
      <c r="V214">
        <v>1.9677546220775444</v>
      </c>
      <c r="W214">
        <v>0.13489841752902798</v>
      </c>
      <c r="X214">
        <v>-8.129500000000206E-3</v>
      </c>
      <c r="Y214">
        <v>-0.20314417400000007</v>
      </c>
      <c r="Z214">
        <v>0.29150499899999999</v>
      </c>
    </row>
    <row r="215" spans="1:26">
      <c r="A215" s="54" t="str">
        <f>CONCATENATE(raw[[#This Row],[redis_ls]],raw[[#This Row],[wage_eq]],raw[[#This Row],[flex]],raw[[#This Row],[expo]],raw[[#This Row],[_date_]])</f>
        <v>111139814</v>
      </c>
      <c r="B215" s="1">
        <v>39814</v>
      </c>
      <c r="C215">
        <v>1</v>
      </c>
      <c r="D215">
        <v>1</v>
      </c>
      <c r="E215">
        <v>1</v>
      </c>
      <c r="F215">
        <v>1</v>
      </c>
      <c r="G215">
        <v>-3.9751430244316932E-2</v>
      </c>
      <c r="H215">
        <v>-40.171829999999318</v>
      </c>
      <c r="I215">
        <v>-13.285570928879487</v>
      </c>
      <c r="J215">
        <v>0.72137679785868603</v>
      </c>
      <c r="K215">
        <v>2.3465675995500757</v>
      </c>
      <c r="L215">
        <v>-3.4754739285351444</v>
      </c>
      <c r="M215">
        <v>-0.17432003430045695</v>
      </c>
      <c r="N215">
        <v>0.6774820804269055</v>
      </c>
      <c r="O215">
        <v>-3.9018050000000359E-2</v>
      </c>
      <c r="P215">
        <v>2.1875567567711807</v>
      </c>
      <c r="Q215">
        <v>2.1837474206824137</v>
      </c>
      <c r="R215">
        <v>2.0262132049561066</v>
      </c>
      <c r="S215">
        <v>2.3842381727389617</v>
      </c>
      <c r="T215">
        <v>1.9747562977191935</v>
      </c>
      <c r="U215">
        <v>12.511649855437824</v>
      </c>
      <c r="V215">
        <v>2.1596717912850893</v>
      </c>
      <c r="W215">
        <v>0.13080815377184418</v>
      </c>
      <c r="X215">
        <v>0.13324328999999996</v>
      </c>
      <c r="Y215">
        <v>-0.28951548399999999</v>
      </c>
      <c r="Z215">
        <v>0.23648399000000003</v>
      </c>
    </row>
    <row r="216" spans="1:26">
      <c r="A216" s="54" t="str">
        <f>CONCATENATE(raw[[#This Row],[redis_ls]],raw[[#This Row],[wage_eq]],raw[[#This Row],[flex]],raw[[#This Row],[expo]],raw[[#This Row],[_date_]])</f>
        <v>111140179</v>
      </c>
      <c r="B216" s="1">
        <v>40179</v>
      </c>
      <c r="C216">
        <v>1</v>
      </c>
      <c r="D216">
        <v>1</v>
      </c>
      <c r="E216">
        <v>1</v>
      </c>
      <c r="F216">
        <v>1</v>
      </c>
      <c r="G216">
        <v>-0.16361931881748726</v>
      </c>
      <c r="H216">
        <v>-96.910090000001219</v>
      </c>
      <c r="I216">
        <v>-13.434131034862462</v>
      </c>
      <c r="J216">
        <v>0.65453594383675373</v>
      </c>
      <c r="K216">
        <v>2.4229270741725983</v>
      </c>
      <c r="L216">
        <v>-3.7929526020833104</v>
      </c>
      <c r="M216">
        <v>-0.19295358916721073</v>
      </c>
      <c r="N216">
        <v>0.61093100611335771</v>
      </c>
      <c r="O216">
        <v>-3.878526999999965E-2</v>
      </c>
      <c r="P216">
        <v>2.2807557907737808</v>
      </c>
      <c r="Q216">
        <v>2.2821012727791912</v>
      </c>
      <c r="R216">
        <v>2.149578661685303</v>
      </c>
      <c r="S216">
        <v>2.4642481496506941</v>
      </c>
      <c r="T216">
        <v>2.0249064459101795</v>
      </c>
      <c r="U216">
        <v>13.956958560746813</v>
      </c>
      <c r="V216">
        <v>2.2843075524145107</v>
      </c>
      <c r="W216">
        <v>0.13189374064126458</v>
      </c>
      <c r="X216">
        <v>0.27247190000000004</v>
      </c>
      <c r="Y216">
        <v>-0.36841855330000006</v>
      </c>
      <c r="Z216">
        <v>0.17351989000000018</v>
      </c>
    </row>
    <row r="217" spans="1:26">
      <c r="A217" s="54" t="str">
        <f>CONCATENATE(raw[[#This Row],[redis_ls]],raw[[#This Row],[wage_eq]],raw[[#This Row],[flex]],raw[[#This Row],[expo]],raw[[#This Row],[_date_]])</f>
        <v>111140544</v>
      </c>
      <c r="B217" s="1">
        <v>40544</v>
      </c>
      <c r="C217">
        <v>1</v>
      </c>
      <c r="D217">
        <v>1</v>
      </c>
      <c r="E217">
        <v>1</v>
      </c>
      <c r="F217">
        <v>1</v>
      </c>
      <c r="G217">
        <v>-0.2689642220959243</v>
      </c>
      <c r="H217">
        <v>-150.70425999999861</v>
      </c>
      <c r="I217">
        <v>-13.554722000852138</v>
      </c>
      <c r="J217">
        <v>0.57134364438640173</v>
      </c>
      <c r="K217">
        <v>2.5166056266437087</v>
      </c>
      <c r="L217">
        <v>-4.0344196361369651</v>
      </c>
      <c r="M217">
        <v>-0.22969038687876697</v>
      </c>
      <c r="N217">
        <v>0.53161307400442226</v>
      </c>
      <c r="O217">
        <v>-3.5369809999999391E-2</v>
      </c>
      <c r="P217">
        <v>2.3222089886071329</v>
      </c>
      <c r="Q217">
        <v>2.3213160513635867</v>
      </c>
      <c r="R217">
        <v>2.201191256840751</v>
      </c>
      <c r="S217">
        <v>2.4964192660229534</v>
      </c>
      <c r="T217">
        <v>2.0262589048121615</v>
      </c>
      <c r="U217">
        <v>15.183028335514104</v>
      </c>
      <c r="V217">
        <v>2.3366232467709969</v>
      </c>
      <c r="W217">
        <v>0.13251508431226799</v>
      </c>
      <c r="X217">
        <v>0.39904150000000005</v>
      </c>
      <c r="Y217">
        <v>-0.43623790729999995</v>
      </c>
      <c r="Z217">
        <v>0.10948015000000026</v>
      </c>
    </row>
    <row r="218" spans="1:26">
      <c r="A218" s="54" t="str">
        <f>CONCATENATE(raw[[#This Row],[redis_ls]],raw[[#This Row],[wage_eq]],raw[[#This Row],[flex]],raw[[#This Row],[expo]],raw[[#This Row],[_date_]])</f>
        <v>111140909</v>
      </c>
      <c r="B218" s="1">
        <v>40909</v>
      </c>
      <c r="C218">
        <v>1</v>
      </c>
      <c r="D218">
        <v>1</v>
      </c>
      <c r="E218">
        <v>1</v>
      </c>
      <c r="F218">
        <v>1</v>
      </c>
      <c r="G218">
        <v>-0.34851295335939225</v>
      </c>
      <c r="H218">
        <v>-197.40562000000136</v>
      </c>
      <c r="I218">
        <v>-13.641700355859721</v>
      </c>
      <c r="J218">
        <v>0.48063072401003382</v>
      </c>
      <c r="K218">
        <v>2.6316918491390284</v>
      </c>
      <c r="L218">
        <v>-4.1948789576007233</v>
      </c>
      <c r="M218">
        <v>-0.27851769107231084</v>
      </c>
      <c r="N218">
        <v>0.44781937402700311</v>
      </c>
      <c r="O218">
        <v>-2.9239279999999923E-2</v>
      </c>
      <c r="P218">
        <v>2.3131075428731052</v>
      </c>
      <c r="Q218">
        <v>2.3044557723014725</v>
      </c>
      <c r="R218">
        <v>2.1852680040441719</v>
      </c>
      <c r="S218">
        <v>2.4822488840404278</v>
      </c>
      <c r="T218">
        <v>1.9812263841897382</v>
      </c>
      <c r="U218">
        <v>16.151304444141125</v>
      </c>
      <c r="V218">
        <v>2.3170243781969857</v>
      </c>
      <c r="W218">
        <v>0.12893873174248949</v>
      </c>
      <c r="X218">
        <v>0.503533377</v>
      </c>
      <c r="Y218">
        <v>-0.49046004299999996</v>
      </c>
      <c r="Z218">
        <v>5.0695679999999965E-2</v>
      </c>
    </row>
    <row r="219" spans="1:26">
      <c r="A219" s="54" t="str">
        <f>CONCATENATE(raw[[#This Row],[redis_ls]],raw[[#This Row],[wage_eq]],raw[[#This Row],[flex]],raw[[#This Row],[expo]],raw[[#This Row],[_date_]])</f>
        <v>111141275</v>
      </c>
      <c r="B219" s="1">
        <v>41275</v>
      </c>
      <c r="C219">
        <v>1</v>
      </c>
      <c r="D219">
        <v>1</v>
      </c>
      <c r="E219">
        <v>1</v>
      </c>
      <c r="F219">
        <v>1</v>
      </c>
      <c r="G219">
        <v>-0.39694349256650385</v>
      </c>
      <c r="H219">
        <v>-233.28888000000006</v>
      </c>
      <c r="I219">
        <v>-13.686702778174853</v>
      </c>
      <c r="J219">
        <v>0.39132783735615906</v>
      </c>
      <c r="K219">
        <v>2.7700554028781355</v>
      </c>
      <c r="L219">
        <v>-4.2733228635834735</v>
      </c>
      <c r="M219">
        <v>-0.33257449361648872</v>
      </c>
      <c r="N219">
        <v>0.36774310438918434</v>
      </c>
      <c r="O219">
        <v>-2.1039139999999568E-2</v>
      </c>
      <c r="P219">
        <v>2.2572285460978447</v>
      </c>
      <c r="Q219">
        <v>2.2371892418883599</v>
      </c>
      <c r="R219">
        <v>2.1090529824924875</v>
      </c>
      <c r="S219">
        <v>2.4255922798256169</v>
      </c>
      <c r="T219">
        <v>1.8945280778404738</v>
      </c>
      <c r="U219">
        <v>16.839372968858246</v>
      </c>
      <c r="V219">
        <v>2.2309454855335753</v>
      </c>
      <c r="W219">
        <v>0.11937482803603405</v>
      </c>
      <c r="X219">
        <v>0.57812143100000002</v>
      </c>
      <c r="Y219">
        <v>-0.529753217</v>
      </c>
      <c r="Z219">
        <v>2.4969899999997824E-3</v>
      </c>
    </row>
    <row r="220" spans="1:26">
      <c r="A220" s="54" t="str">
        <f>CONCATENATE(raw[[#This Row],[redis_ls]],raw[[#This Row],[wage_eq]],raw[[#This Row],[flex]],raw[[#This Row],[expo]],raw[[#This Row],[_date_]])</f>
        <v>111141640</v>
      </c>
      <c r="B220" s="1">
        <v>41640</v>
      </c>
      <c r="C220">
        <v>1</v>
      </c>
      <c r="D220">
        <v>1</v>
      </c>
      <c r="E220">
        <v>1</v>
      </c>
      <c r="F220">
        <v>1</v>
      </c>
      <c r="G220">
        <v>-0.41118810840017339</v>
      </c>
      <c r="H220">
        <v>-255.35478999999759</v>
      </c>
      <c r="I220">
        <v>-13.681129200435416</v>
      </c>
      <c r="J220">
        <v>0.3116329277680352</v>
      </c>
      <c r="K220">
        <v>2.9315664721760948</v>
      </c>
      <c r="L220">
        <v>-4.2724830011296895</v>
      </c>
      <c r="M220">
        <v>-0.38493168282552892</v>
      </c>
      <c r="N220">
        <v>0.29866130056832585</v>
      </c>
      <c r="O220">
        <v>-1.1583270000001256E-2</v>
      </c>
      <c r="P220">
        <v>2.1606524705250596</v>
      </c>
      <c r="Q220">
        <v>2.1273125806131388</v>
      </c>
      <c r="R220">
        <v>1.9822239347611292</v>
      </c>
      <c r="S220">
        <v>2.3323198012641155</v>
      </c>
      <c r="T220">
        <v>1.7729310846888113</v>
      </c>
      <c r="U220">
        <v>17.241749696123733</v>
      </c>
      <c r="V220">
        <v>2.0880995985542272</v>
      </c>
      <c r="W220">
        <v>0.10381775190506648</v>
      </c>
      <c r="X220">
        <v>0.61715925500000002</v>
      </c>
      <c r="Y220">
        <v>-0.55394488800000008</v>
      </c>
      <c r="Z220">
        <v>-3.1156820000000085E-2</v>
      </c>
    </row>
    <row r="221" spans="1:26">
      <c r="A221" s="54" t="str">
        <f>CONCATENATE(raw[[#This Row],[redis_ls]],raw[[#This Row],[wage_eq]],raw[[#This Row],[flex]],raw[[#This Row],[expo]],raw[[#This Row],[_date_]])</f>
        <v>111142005</v>
      </c>
      <c r="B221" s="1">
        <v>42005</v>
      </c>
      <c r="C221">
        <v>1</v>
      </c>
      <c r="D221">
        <v>1</v>
      </c>
      <c r="E221">
        <v>1</v>
      </c>
      <c r="F221">
        <v>1</v>
      </c>
      <c r="G221">
        <v>-0.39063435070715302</v>
      </c>
      <c r="H221">
        <v>-261.640330000002</v>
      </c>
      <c r="I221">
        <v>-13.617942474845057</v>
      </c>
      <c r="J221">
        <v>0.24824156204217296</v>
      </c>
      <c r="K221">
        <v>3.1141842067437864</v>
      </c>
      <c r="L221">
        <v>-4.1984974821754335</v>
      </c>
      <c r="M221">
        <v>-0.42930395485104578</v>
      </c>
      <c r="N221">
        <v>0.2462341370340404</v>
      </c>
      <c r="O221">
        <v>-1.7941399999998886E-3</v>
      </c>
      <c r="P221">
        <v>2.0313176383319087</v>
      </c>
      <c r="Q221">
        <v>1.9841762532440299</v>
      </c>
      <c r="R221">
        <v>1.8162017796141683</v>
      </c>
      <c r="S221">
        <v>2.2098501466251586</v>
      </c>
      <c r="T221">
        <v>1.6247688882408351</v>
      </c>
      <c r="U221">
        <v>17.369260568201806</v>
      </c>
      <c r="V221">
        <v>1.9014490095120129</v>
      </c>
      <c r="W221">
        <v>8.372658515767295E-2</v>
      </c>
      <c r="X221">
        <v>0.61771024000000008</v>
      </c>
      <c r="Y221">
        <v>-0.56389041999999989</v>
      </c>
      <c r="Z221">
        <v>-4.7925990000000085E-2</v>
      </c>
    </row>
    <row r="222" spans="1:26">
      <c r="A222" s="54" t="str">
        <f>CONCATENATE(raw[[#This Row],[redis_ls]],raw[[#This Row],[wage_eq]],raw[[#This Row],[flex]],raw[[#This Row],[expo]],raw[[#This Row],[_date_]])</f>
        <v>111142370</v>
      </c>
      <c r="B222" s="1">
        <v>42370</v>
      </c>
      <c r="C222">
        <v>1</v>
      </c>
      <c r="D222">
        <v>1</v>
      </c>
      <c r="E222">
        <v>1</v>
      </c>
      <c r="F222">
        <v>1</v>
      </c>
      <c r="G222">
        <v>-0.33714967590566802</v>
      </c>
      <c r="H222">
        <v>-251.46133999999802</v>
      </c>
      <c r="I222">
        <v>-13.492873514543668</v>
      </c>
      <c r="J222">
        <v>0.20575056179932272</v>
      </c>
      <c r="K222">
        <v>3.3140434624379989</v>
      </c>
      <c r="L222">
        <v>-4.060465253886747</v>
      </c>
      <c r="M222">
        <v>-0.46063671679525964</v>
      </c>
      <c r="N222">
        <v>0.21401234727740359</v>
      </c>
      <c r="O222">
        <v>7.3891000000006479E-3</v>
      </c>
      <c r="P222">
        <v>1.8784438272984483</v>
      </c>
      <c r="Q222">
        <v>1.818052351854571</v>
      </c>
      <c r="R222">
        <v>1.6234071598815181</v>
      </c>
      <c r="S222">
        <v>2.0665993305680974</v>
      </c>
      <c r="T222">
        <v>1.4593049359683974</v>
      </c>
      <c r="U222">
        <v>17.247136926502151</v>
      </c>
      <c r="V222">
        <v>1.6859849632057999</v>
      </c>
      <c r="W222">
        <v>6.15781324610154E-2</v>
      </c>
      <c r="X222">
        <v>0.57987195000000002</v>
      </c>
      <c r="Y222">
        <v>-0.56125194</v>
      </c>
      <c r="Z222">
        <v>-4.7195130000000224E-2</v>
      </c>
    </row>
    <row r="223" spans="1:26">
      <c r="A223" s="54" t="str">
        <f>CONCATENATE(raw[[#This Row],[redis_ls]],raw[[#This Row],[wage_eq]],raw[[#This Row],[flex]],raw[[#This Row],[expo]],raw[[#This Row],[_date_]])</f>
        <v>111142736</v>
      </c>
      <c r="B223" s="1">
        <v>42736</v>
      </c>
      <c r="C223">
        <v>1</v>
      </c>
      <c r="D223">
        <v>1</v>
      </c>
      <c r="E223">
        <v>1</v>
      </c>
      <c r="F223">
        <v>1</v>
      </c>
      <c r="G223">
        <v>-0.2548971422657087</v>
      </c>
      <c r="H223">
        <v>-225.52078999999867</v>
      </c>
      <c r="I223">
        <v>-13.305090680980857</v>
      </c>
      <c r="J223">
        <v>0.1863171471220948</v>
      </c>
      <c r="K223">
        <v>3.5256316149195666</v>
      </c>
      <c r="L223">
        <v>-3.8698798697661685</v>
      </c>
      <c r="M223">
        <v>-0.47551733048775136</v>
      </c>
      <c r="N223">
        <v>0.20321053454390725</v>
      </c>
      <c r="O223">
        <v>1.5116140000000222E-2</v>
      </c>
      <c r="P223">
        <v>1.7118820963699433</v>
      </c>
      <c r="Q223">
        <v>1.6394938870331499</v>
      </c>
      <c r="R223">
        <v>1.416516476303209</v>
      </c>
      <c r="S223">
        <v>1.9113993181870459</v>
      </c>
      <c r="T223">
        <v>1.2860372604699188</v>
      </c>
      <c r="U223">
        <v>16.91211850850376</v>
      </c>
      <c r="V223">
        <v>1.4574350628782762</v>
      </c>
      <c r="W223">
        <v>4.0347060004597424E-2</v>
      </c>
      <c r="X223">
        <v>0.50678814999999999</v>
      </c>
      <c r="Y223">
        <v>-0.54822614000000003</v>
      </c>
      <c r="Z223">
        <v>-3.0027029999999538E-2</v>
      </c>
    </row>
    <row r="224" spans="1:26">
      <c r="A224" s="54" t="str">
        <f>CONCATENATE(raw[[#This Row],[redis_ls]],raw[[#This Row],[wage_eq]],raw[[#This Row],[flex]],raw[[#This Row],[expo]],raw[[#This Row],[_date_]])</f>
        <v>111143101</v>
      </c>
      <c r="B224" s="1">
        <v>43101</v>
      </c>
      <c r="C224">
        <v>1</v>
      </c>
      <c r="D224">
        <v>1</v>
      </c>
      <c r="E224">
        <v>1</v>
      </c>
      <c r="F224">
        <v>1</v>
      </c>
      <c r="G224">
        <v>-0.1499493154638265</v>
      </c>
      <c r="H224">
        <v>-185.84430000000066</v>
      </c>
      <c r="I224">
        <v>-13.057393359666836</v>
      </c>
      <c r="J224">
        <v>0.1896117427799382</v>
      </c>
      <c r="K224">
        <v>3.7421026533794866</v>
      </c>
      <c r="L224">
        <v>-3.6399554243331633</v>
      </c>
      <c r="M224">
        <v>-0.47237758900442461</v>
      </c>
      <c r="N224">
        <v>0.21276785699750889</v>
      </c>
      <c r="O224">
        <v>2.0724760000000175E-2</v>
      </c>
      <c r="P224">
        <v>1.5414534513265243</v>
      </c>
      <c r="Q224">
        <v>1.4587354752301884</v>
      </c>
      <c r="R224">
        <v>1.207766343813832</v>
      </c>
      <c r="S224">
        <v>1.7529408900242682</v>
      </c>
      <c r="T224">
        <v>1.1140376624210857</v>
      </c>
      <c r="U224">
        <v>16.408965365832962</v>
      </c>
      <c r="V224">
        <v>1.2310315101583313</v>
      </c>
      <c r="W224">
        <v>2.298751687626055E-2</v>
      </c>
      <c r="X224">
        <v>0.40431122000000008</v>
      </c>
      <c r="Y224">
        <v>-0.52726731999999998</v>
      </c>
      <c r="Z224">
        <v>1.0292099999996418E-3</v>
      </c>
    </row>
    <row r="225" spans="1:26">
      <c r="A225" s="54" t="str">
        <f>CONCATENATE(raw[[#This Row],[redis_ls]],raw[[#This Row],[wage_eq]],raw[[#This Row],[flex]],raw[[#This Row],[expo]],raw[[#This Row],[_date_]])</f>
        <v>111143466</v>
      </c>
      <c r="B225" s="1">
        <v>43466</v>
      </c>
      <c r="C225">
        <v>1</v>
      </c>
      <c r="D225">
        <v>1</v>
      </c>
      <c r="E225">
        <v>1</v>
      </c>
      <c r="F225">
        <v>1</v>
      </c>
      <c r="G225">
        <v>-2.9739945209150687E-2</v>
      </c>
      <c r="H225">
        <v>-135.54453999999896</v>
      </c>
      <c r="I225">
        <v>-12.756004102212415</v>
      </c>
      <c r="J225">
        <v>0.21305498006887191</v>
      </c>
      <c r="K225">
        <v>3.9557311429754716</v>
      </c>
      <c r="L225">
        <v>-3.3848743190205477</v>
      </c>
      <c r="M225">
        <v>-0.45147844881390231</v>
      </c>
      <c r="N225">
        <v>0.23966354174469462</v>
      </c>
      <c r="O225">
        <v>2.3814629999999171E-2</v>
      </c>
      <c r="P225">
        <v>1.3763401805277464</v>
      </c>
      <c r="Q225">
        <v>1.2851667632109098</v>
      </c>
      <c r="R225">
        <v>1.0083410377919488</v>
      </c>
      <c r="S225">
        <v>1.5992829768583849</v>
      </c>
      <c r="T225">
        <v>0.95139788262024183</v>
      </c>
      <c r="U225">
        <v>15.786794438862373</v>
      </c>
      <c r="V225">
        <v>1.0204579715714646</v>
      </c>
      <c r="W225">
        <v>1.199598919352507E-2</v>
      </c>
      <c r="X225">
        <v>0.2803552800000001</v>
      </c>
      <c r="Y225">
        <v>-0.50084561000000005</v>
      </c>
      <c r="Z225">
        <v>4.225398000000033E-2</v>
      </c>
    </row>
    <row r="226" spans="1:26">
      <c r="A226" s="54" t="str">
        <f>CONCATENATE(raw[[#This Row],[redis_ls]],raw[[#This Row],[wage_eq]],raw[[#This Row],[flex]],raw[[#This Row],[expo]],raw[[#This Row],[_date_]])</f>
        <v>111143831</v>
      </c>
      <c r="B226" s="1">
        <v>43831</v>
      </c>
      <c r="C226">
        <v>1</v>
      </c>
      <c r="D226">
        <v>1</v>
      </c>
      <c r="E226">
        <v>1</v>
      </c>
      <c r="F226">
        <v>1</v>
      </c>
      <c r="G226">
        <v>9.7582828520414999E-2</v>
      </c>
      <c r="H226">
        <v>-78.455069999999978</v>
      </c>
      <c r="I226">
        <v>-12.410045773498169</v>
      </c>
      <c r="J226">
        <v>0.25228707164290931</v>
      </c>
      <c r="K226">
        <v>4.1584719909872891</v>
      </c>
      <c r="L226">
        <v>-3.1189992410848855</v>
      </c>
      <c r="M226">
        <v>-0.41469758032052217</v>
      </c>
      <c r="N226">
        <v>0.27942331559280831</v>
      </c>
      <c r="O226">
        <v>2.4281570000000974E-2</v>
      </c>
      <c r="P226">
        <v>1.2245748475948393</v>
      </c>
      <c r="Q226">
        <v>1.1269081947921089</v>
      </c>
      <c r="R226">
        <v>0.82787239243320432</v>
      </c>
      <c r="S226">
        <v>1.4574551302561467</v>
      </c>
      <c r="T226">
        <v>0.80482506846883961</v>
      </c>
      <c r="U226">
        <v>15.095606318318765</v>
      </c>
      <c r="V226">
        <v>0.83705761279000424</v>
      </c>
      <c r="W226">
        <v>9.1098138933487505E-3</v>
      </c>
      <c r="X226">
        <v>0.14404382000000016</v>
      </c>
      <c r="Y226">
        <v>-0.47126543000000026</v>
      </c>
      <c r="Z226">
        <v>8.9160409999999857E-2</v>
      </c>
    </row>
    <row r="227" spans="1:26">
      <c r="A227" s="54" t="str">
        <f>CONCATENATE(raw[[#This Row],[redis_ls]],raw[[#This Row],[wage_eq]],raw[[#This Row],[flex]],raw[[#This Row],[expo]],raw[[#This Row],[_date_]])</f>
        <v>111144197</v>
      </c>
      <c r="B227" s="1">
        <v>44197</v>
      </c>
      <c r="C227">
        <v>1</v>
      </c>
      <c r="D227">
        <v>1</v>
      </c>
      <c r="E227">
        <v>1</v>
      </c>
      <c r="F227">
        <v>1</v>
      </c>
      <c r="G227">
        <v>0.22382769012785353</v>
      </c>
      <c r="H227">
        <v>-18.700850000001083</v>
      </c>
      <c r="I227">
        <v>-12.030799259850999</v>
      </c>
      <c r="J227">
        <v>0.30178491924914841</v>
      </c>
      <c r="K227">
        <v>4.3425671760994877</v>
      </c>
      <c r="L227">
        <v>-2.8560982688969672</v>
      </c>
      <c r="M227">
        <v>-0.36516564916327932</v>
      </c>
      <c r="N227">
        <v>0.32672497487469254</v>
      </c>
      <c r="O227">
        <v>2.2307900000000103E-2</v>
      </c>
      <c r="P227">
        <v>1.0926609492418304</v>
      </c>
      <c r="Q227">
        <v>0.99049633153998062</v>
      </c>
      <c r="R227">
        <v>0.67406552481414916</v>
      </c>
      <c r="S227">
        <v>1.3331676121425717</v>
      </c>
      <c r="T227">
        <v>0.67939940122874187</v>
      </c>
      <c r="U227">
        <v>14.383268165923969</v>
      </c>
      <c r="V227">
        <v>0.68933783666556003</v>
      </c>
      <c r="W227">
        <v>1.5170052545609991E-2</v>
      </c>
      <c r="X227">
        <v>4.7895999999998662E-3</v>
      </c>
      <c r="Y227">
        <v>-0.44055161000000015</v>
      </c>
      <c r="Z227">
        <v>0.13694070999999974</v>
      </c>
    </row>
    <row r="228" spans="1:26">
      <c r="A228" s="54" t="str">
        <f>CONCATENATE(raw[[#This Row],[redis_ls]],raw[[#This Row],[wage_eq]],raw[[#This Row],[flex]],raw[[#This Row],[expo]],raw[[#This Row],[_date_]])</f>
        <v>111144562</v>
      </c>
      <c r="B228" s="1">
        <v>44562</v>
      </c>
      <c r="C228">
        <v>1</v>
      </c>
      <c r="D228">
        <v>1</v>
      </c>
      <c r="E228">
        <v>1</v>
      </c>
      <c r="F228">
        <v>1</v>
      </c>
      <c r="G228">
        <v>0.34138504587764018</v>
      </c>
      <c r="H228">
        <v>39.72132000000056</v>
      </c>
      <c r="I228">
        <v>-11.630837678808204</v>
      </c>
      <c r="J228">
        <v>0.35553399649230766</v>
      </c>
      <c r="K228">
        <v>4.5011310563355833</v>
      </c>
      <c r="L228">
        <v>-2.6086334629664254</v>
      </c>
      <c r="M228">
        <v>-0.3068129020603938</v>
      </c>
      <c r="N228">
        <v>0.37601994440383812</v>
      </c>
      <c r="O228">
        <v>1.8314760000000263E-2</v>
      </c>
      <c r="P228">
        <v>0.98533631016155532</v>
      </c>
      <c r="Q228">
        <v>0.88068484539365333</v>
      </c>
      <c r="R228">
        <v>0.55246184103636686</v>
      </c>
      <c r="S228">
        <v>1.2306279319928226</v>
      </c>
      <c r="T228">
        <v>0.57847974667730728</v>
      </c>
      <c r="U228">
        <v>13.693105762896995</v>
      </c>
      <c r="V228">
        <v>0.58276411800934902</v>
      </c>
      <c r="W228">
        <v>3.0135795910446461E-2</v>
      </c>
      <c r="X228">
        <v>-0.12855777000000002</v>
      </c>
      <c r="Y228">
        <v>-0.41039689000000013</v>
      </c>
      <c r="Z228">
        <v>0.18091219000000019</v>
      </c>
    </row>
    <row r="229" spans="1:26">
      <c r="A229" s="54" t="str">
        <f>CONCATENATE(raw[[#This Row],[redis_ls]],raw[[#This Row],[wage_eq]],raw[[#This Row],[flex]],raw[[#This Row],[expo]],raw[[#This Row],[_date_]])</f>
        <v>111144927</v>
      </c>
      <c r="B229" s="1">
        <v>44927</v>
      </c>
      <c r="C229">
        <v>1</v>
      </c>
      <c r="D229">
        <v>1</v>
      </c>
      <c r="E229">
        <v>1</v>
      </c>
      <c r="F229">
        <v>1</v>
      </c>
      <c r="G229">
        <v>0.44374900696497743</v>
      </c>
      <c r="H229">
        <v>93.290800000002491</v>
      </c>
      <c r="I229">
        <v>-11.223126831865581</v>
      </c>
      <c r="J229">
        <v>0.40767309615856728</v>
      </c>
      <c r="K229">
        <v>4.6286491115690165</v>
      </c>
      <c r="L229">
        <v>-2.3871593258703361</v>
      </c>
      <c r="M229">
        <v>-0.24389209377319032</v>
      </c>
      <c r="N229">
        <v>0.42209856432315895</v>
      </c>
      <c r="O229">
        <v>1.2889509999999826E-2</v>
      </c>
      <c r="P229">
        <v>0.90547813176018455</v>
      </c>
      <c r="Q229">
        <v>0.80035459612901594</v>
      </c>
      <c r="R229">
        <v>0.46633626983711984</v>
      </c>
      <c r="S229">
        <v>1.1524594933636445</v>
      </c>
      <c r="T229">
        <v>0.50373284259606077</v>
      </c>
      <c r="U229">
        <v>13.062158989878947</v>
      </c>
      <c r="V229">
        <v>0.51980275238989737</v>
      </c>
      <c r="W229">
        <v>5.3218295868062704E-2</v>
      </c>
      <c r="X229">
        <v>-0.24839296799999999</v>
      </c>
      <c r="Y229">
        <v>-0.38215573999999997</v>
      </c>
      <c r="Z229">
        <v>0.21692511000000053</v>
      </c>
    </row>
    <row r="230" spans="1:26">
      <c r="A230" s="54" t="str">
        <f>CONCATENATE(raw[[#This Row],[redis_ls]],raw[[#This Row],[wage_eq]],raw[[#This Row],[flex]],raw[[#This Row],[expo]],raw[[#This Row],[_date_]])</f>
        <v>111145292</v>
      </c>
      <c r="B230" s="1">
        <v>45292</v>
      </c>
      <c r="C230">
        <v>1</v>
      </c>
      <c r="D230">
        <v>1</v>
      </c>
      <c r="E230">
        <v>1</v>
      </c>
      <c r="F230">
        <v>1</v>
      </c>
      <c r="G230">
        <v>0.52589988732303361</v>
      </c>
      <c r="H230">
        <v>139.2032300000028</v>
      </c>
      <c r="I230">
        <v>-10.820169521576961</v>
      </c>
      <c r="J230">
        <v>0.45304611232059866</v>
      </c>
      <c r="K230">
        <v>4.7213416188104596</v>
      </c>
      <c r="L230">
        <v>-2.199868682508932</v>
      </c>
      <c r="M230">
        <v>-0.18053619857346659</v>
      </c>
      <c r="N230">
        <v>0.46055167097893701</v>
      </c>
      <c r="O230">
        <v>6.7027900000002361E-3</v>
      </c>
      <c r="P230">
        <v>0.85413364130790814</v>
      </c>
      <c r="Q230">
        <v>0.75052754484634665</v>
      </c>
      <c r="R230">
        <v>0.41672439962010532</v>
      </c>
      <c r="S230">
        <v>1.0997124080336818</v>
      </c>
      <c r="T230">
        <v>0.45525614796460001</v>
      </c>
      <c r="U230">
        <v>12.520075525889474</v>
      </c>
      <c r="V230">
        <v>0.50015530706504219</v>
      </c>
      <c r="W230">
        <v>8.3084607132599686E-2</v>
      </c>
      <c r="X230">
        <v>-0.34880894400000007</v>
      </c>
      <c r="Y230">
        <v>-0.35686775000000026</v>
      </c>
      <c r="Z230">
        <v>0.24170120000000031</v>
      </c>
    </row>
    <row r="231" spans="1:26">
      <c r="A231" s="54" t="str">
        <f>CONCATENATE(raw[[#This Row],[redis_ls]],raw[[#This Row],[wage_eq]],raw[[#This Row],[flex]],raw[[#This Row],[expo]],raw[[#This Row],[_date_]])</f>
        <v>111145658</v>
      </c>
      <c r="B231" s="1">
        <v>45658</v>
      </c>
      <c r="C231">
        <v>1</v>
      </c>
      <c r="D231">
        <v>1</v>
      </c>
      <c r="E231">
        <v>1</v>
      </c>
      <c r="F231">
        <v>1</v>
      </c>
      <c r="G231">
        <v>0.58452992589381747</v>
      </c>
      <c r="H231">
        <v>175.49277000000075</v>
      </c>
      <c r="I231">
        <v>-10.433258193997574</v>
      </c>
      <c r="J231">
        <v>0.48761637318903706</v>
      </c>
      <c r="K231">
        <v>4.7773609492545166</v>
      </c>
      <c r="L231">
        <v>-2.0523107539654251</v>
      </c>
      <c r="M231">
        <v>-0.12039735404890672</v>
      </c>
      <c r="N231">
        <v>0.48809530056161954</v>
      </c>
      <c r="O231">
        <v>4.2747000000009638E-4</v>
      </c>
      <c r="P231">
        <v>0.83065656745640037</v>
      </c>
      <c r="Q231">
        <v>0.73047371982233322</v>
      </c>
      <c r="R231">
        <v>0.40256409532755111</v>
      </c>
      <c r="S231">
        <v>1.0719542854119579</v>
      </c>
      <c r="T231">
        <v>0.43176248307232878</v>
      </c>
      <c r="U231">
        <v>12.088568885217876</v>
      </c>
      <c r="V231">
        <v>0.52112493278826388</v>
      </c>
      <c r="W231">
        <v>0.11808548004670349</v>
      </c>
      <c r="X231">
        <v>-0.425815208</v>
      </c>
      <c r="Y231">
        <v>-0.33529387999999999</v>
      </c>
      <c r="Z231">
        <v>0.2530758500000001</v>
      </c>
    </row>
    <row r="232" spans="1:26">
      <c r="A232" s="54" t="str">
        <f>CONCATENATE(raw[[#This Row],[redis_ls]],raw[[#This Row],[wage_eq]],raw[[#This Row],[flex]],raw[[#This Row],[expo]],raw[[#This Row],[_date_]])</f>
        <v>111146023</v>
      </c>
      <c r="B232" s="1">
        <v>46023</v>
      </c>
      <c r="C232">
        <v>1</v>
      </c>
      <c r="D232">
        <v>1</v>
      </c>
      <c r="E232">
        <v>1</v>
      </c>
      <c r="F232">
        <v>1</v>
      </c>
      <c r="G232">
        <v>0.61811041305546155</v>
      </c>
      <c r="H232">
        <v>201.04915999999866</v>
      </c>
      <c r="I232">
        <v>-10.071881975413133</v>
      </c>
      <c r="J232">
        <v>0.50871837026393862</v>
      </c>
      <c r="K232">
        <v>4.7968151194069719</v>
      </c>
      <c r="L232">
        <v>-1.9472919740873951</v>
      </c>
      <c r="M232">
        <v>-6.6395258481077857E-2</v>
      </c>
      <c r="N232">
        <v>0.50274171641746523</v>
      </c>
      <c r="O232">
        <v>-5.3327500000005523E-3</v>
      </c>
      <c r="P232">
        <v>0.83292450973833088</v>
      </c>
      <c r="Q232">
        <v>0.73789909413226606</v>
      </c>
      <c r="R232">
        <v>0.42093751917624544</v>
      </c>
      <c r="S232">
        <v>1.0674293925993172</v>
      </c>
      <c r="T232">
        <v>0.43080703021649569</v>
      </c>
      <c r="U232">
        <v>11.781349491605164</v>
      </c>
      <c r="V232">
        <v>0.57806094939081287</v>
      </c>
      <c r="W232">
        <v>0.15646482454643174</v>
      </c>
      <c r="X232">
        <v>-0.47734841600000011</v>
      </c>
      <c r="Y232">
        <v>-0.31795361</v>
      </c>
      <c r="Z232">
        <v>0.25012217000000003</v>
      </c>
    </row>
    <row r="233" spans="1:26">
      <c r="A233" s="54" t="str">
        <f>CONCATENATE(raw[[#This Row],[redis_ls]],raw[[#This Row],[wage_eq]],raw[[#This Row],[flex]],raw[[#This Row],[expo]],raw[[#This Row],[_date_]])</f>
        <v>111146388</v>
      </c>
      <c r="B233" s="1">
        <v>46388</v>
      </c>
      <c r="C233">
        <v>1</v>
      </c>
      <c r="D233">
        <v>1</v>
      </c>
      <c r="E233">
        <v>1</v>
      </c>
      <c r="F233">
        <v>1</v>
      </c>
      <c r="G233">
        <v>0.62681384029585896</v>
      </c>
      <c r="H233">
        <v>215.55438999999751</v>
      </c>
      <c r="I233">
        <v>-9.7433197868632249</v>
      </c>
      <c r="J233">
        <v>0.51513621966390311</v>
      </c>
      <c r="K233">
        <v>4.7816267679795077</v>
      </c>
      <c r="L233">
        <v>-1.8849539564136597</v>
      </c>
      <c r="M233">
        <v>-2.0587975368657752E-2</v>
      </c>
      <c r="N233">
        <v>0.5038143738423484</v>
      </c>
      <c r="O233">
        <v>-1.0099449999999288E-2</v>
      </c>
      <c r="P233">
        <v>0.85761180779206914</v>
      </c>
      <c r="Q233">
        <v>0.76920037828418497</v>
      </c>
      <c r="R233">
        <v>0.46739066377268212</v>
      </c>
      <c r="S233">
        <v>1.0832722048667254</v>
      </c>
      <c r="T233">
        <v>0.44903533843605459</v>
      </c>
      <c r="U233">
        <v>11.604429343612965</v>
      </c>
      <c r="V233">
        <v>0.66483840466888822</v>
      </c>
      <c r="W233">
        <v>0.19652912480450091</v>
      </c>
      <c r="X233">
        <v>-0.50312284399999996</v>
      </c>
      <c r="Y233">
        <v>-0.30515394000000007</v>
      </c>
      <c r="Z233">
        <v>0.23314392999999983</v>
      </c>
    </row>
    <row r="234" spans="1:26">
      <c r="A234" s="54" t="str">
        <f>CONCATENATE(raw[[#This Row],[redis_ls]],raw[[#This Row],[wage_eq]],raw[[#This Row],[flex]],raw[[#This Row],[expo]],raw[[#This Row],[_date_]])</f>
        <v>111146753</v>
      </c>
      <c r="B234" s="1">
        <v>46753</v>
      </c>
      <c r="C234">
        <v>1</v>
      </c>
      <c r="D234">
        <v>1</v>
      </c>
      <c r="E234">
        <v>1</v>
      </c>
      <c r="F234">
        <v>1</v>
      </c>
      <c r="G234">
        <v>0.61231298116020128</v>
      </c>
      <c r="H234">
        <v>219.36834999999701</v>
      </c>
      <c r="I234">
        <v>-9.4524308513556754</v>
      </c>
      <c r="J234">
        <v>0.50701997447271108</v>
      </c>
      <c r="K234">
        <v>4.7352548435068309</v>
      </c>
      <c r="L234">
        <v>-1.8630093993937114</v>
      </c>
      <c r="M234">
        <v>1.5840013352952376E-2</v>
      </c>
      <c r="N234">
        <v>0.49182109670065088</v>
      </c>
      <c r="O234">
        <v>-1.3556160000000039E-2</v>
      </c>
      <c r="P234">
        <v>0.90049516462098467</v>
      </c>
      <c r="Q234">
        <v>0.8197694539786804</v>
      </c>
      <c r="R234">
        <v>0.53630901387669017</v>
      </c>
      <c r="S234">
        <v>1.1157600830682846</v>
      </c>
      <c r="T234">
        <v>0.48244180658520985</v>
      </c>
      <c r="U234">
        <v>11.556715606812308</v>
      </c>
      <c r="V234">
        <v>0.77434105333809011</v>
      </c>
      <c r="W234">
        <v>0.23676222331829866</v>
      </c>
      <c r="X234">
        <v>-0.50437443900000001</v>
      </c>
      <c r="Y234">
        <v>-0.29700663800000004</v>
      </c>
      <c r="Z234">
        <v>0.20354061999999992</v>
      </c>
    </row>
    <row r="235" spans="1:26">
      <c r="A235" s="54" t="str">
        <f>CONCATENATE(raw[[#This Row],[redis_ls]],raw[[#This Row],[wage_eq]],raw[[#This Row],[flex]],raw[[#This Row],[expo]],raw[[#This Row],[_date_]])</f>
        <v>111147119</v>
      </c>
      <c r="B235" s="1">
        <v>47119</v>
      </c>
      <c r="C235">
        <v>1</v>
      </c>
      <c r="D235">
        <v>1</v>
      </c>
      <c r="E235">
        <v>1</v>
      </c>
      <c r="F235">
        <v>1</v>
      </c>
      <c r="G235">
        <v>0.5774900185490317</v>
      </c>
      <c r="H235">
        <v>213.38978000000134</v>
      </c>
      <c r="I235">
        <v>-9.2016353032915106</v>
      </c>
      <c r="J235">
        <v>0.48566638804756757</v>
      </c>
      <c r="K235">
        <v>4.6623176711066305</v>
      </c>
      <c r="L235">
        <v>-1.8771053675787797</v>
      </c>
      <c r="M235">
        <v>4.249311744706219E-2</v>
      </c>
      <c r="N235">
        <v>0.46821822260973978</v>
      </c>
      <c r="O235">
        <v>-1.5562630000000299E-2</v>
      </c>
      <c r="P235">
        <v>0.95677038315120644</v>
      </c>
      <c r="Q235">
        <v>0.88432862197531659</v>
      </c>
      <c r="R235">
        <v>0.62132331358037973</v>
      </c>
      <c r="S235">
        <v>1.1605889647942513</v>
      </c>
      <c r="T235">
        <v>0.526626478424852</v>
      </c>
      <c r="U235">
        <v>11.63081925395093</v>
      </c>
      <c r="V235">
        <v>0.89892488300029605</v>
      </c>
      <c r="W235">
        <v>0.27588744772908402</v>
      </c>
      <c r="X235">
        <v>-0.48354784000000006</v>
      </c>
      <c r="Y235">
        <v>-0.29343459099999986</v>
      </c>
      <c r="Z235">
        <v>0.16356670000000004</v>
      </c>
    </row>
    <row r="236" spans="1:26">
      <c r="A236" s="54" t="str">
        <f>CONCATENATE(raw[[#This Row],[redis_ls]],raw[[#This Row],[wage_eq]],raw[[#This Row],[flex]],raw[[#This Row],[expo]],raw[[#This Row],[_date_]])</f>
        <v>111147484</v>
      </c>
      <c r="B236" s="1">
        <v>47484</v>
      </c>
      <c r="C236">
        <v>1</v>
      </c>
      <c r="D236">
        <v>1</v>
      </c>
      <c r="E236">
        <v>1</v>
      </c>
      <c r="F236">
        <v>1</v>
      </c>
      <c r="G236">
        <v>0.5260931544062597</v>
      </c>
      <c r="H236">
        <v>198.91313999999693</v>
      </c>
      <c r="I236">
        <v>-8.9910599271551543</v>
      </c>
      <c r="J236">
        <v>0.45321180271451489</v>
      </c>
      <c r="K236">
        <v>4.5681645579921604</v>
      </c>
      <c r="L236">
        <v>-1.9212751517155846</v>
      </c>
      <c r="M236">
        <v>5.9614388702255994E-2</v>
      </c>
      <c r="N236">
        <v>0.43511240290956543</v>
      </c>
      <c r="O236">
        <v>-1.6145959999999682E-2</v>
      </c>
      <c r="P236">
        <v>1.0213628016036536</v>
      </c>
      <c r="Q236">
        <v>0.95727471704611933</v>
      </c>
      <c r="R236">
        <v>0.71572297518860406</v>
      </c>
      <c r="S236">
        <v>1.2131553875799561</v>
      </c>
      <c r="T236">
        <v>0.57704270919023415</v>
      </c>
      <c r="U236">
        <v>11.81402100078024</v>
      </c>
      <c r="V236">
        <v>1.0308469543949927</v>
      </c>
      <c r="W236">
        <v>0.31288461105511978</v>
      </c>
      <c r="X236">
        <v>-0.44396687999999995</v>
      </c>
      <c r="Y236">
        <v>-0.29417136700000002</v>
      </c>
      <c r="Z236">
        <v>0.11602512000000002</v>
      </c>
    </row>
    <row r="237" spans="1:26">
      <c r="A237" s="54" t="str">
        <f>CONCATENATE(raw[[#This Row],[redis_ls]],raw[[#This Row],[wage_eq]],raw[[#This Row],[flex]],raw[[#This Row],[expo]],raw[[#This Row],[_date_]])</f>
        <v>111147849</v>
      </c>
      <c r="B237" s="1">
        <v>47849</v>
      </c>
      <c r="C237">
        <v>1</v>
      </c>
      <c r="D237">
        <v>1</v>
      </c>
      <c r="E237">
        <v>1</v>
      </c>
      <c r="F237">
        <v>1</v>
      </c>
      <c r="G237">
        <v>0.46238049251550173</v>
      </c>
      <c r="H237">
        <v>177.49493000000075</v>
      </c>
      <c r="I237">
        <v>-8.8188110581281514</v>
      </c>
      <c r="J237">
        <v>0.41228933745725005</v>
      </c>
      <c r="K237">
        <v>4.4584437207950245</v>
      </c>
      <c r="L237">
        <v>-1.9884386371823326</v>
      </c>
      <c r="M237">
        <v>6.790648744963157E-2</v>
      </c>
      <c r="N237">
        <v>0.39495092423098566</v>
      </c>
      <c r="O237">
        <v>-1.5471150000000156E-2</v>
      </c>
      <c r="P237">
        <v>1.089216445275687</v>
      </c>
      <c r="Q237">
        <v>1.0330137820070195</v>
      </c>
      <c r="R237">
        <v>0.81285046942554118</v>
      </c>
      <c r="S237">
        <v>1.2688291507777727</v>
      </c>
      <c r="T237">
        <v>0.629228136531923</v>
      </c>
      <c r="U237">
        <v>12.089349822682482</v>
      </c>
      <c r="V237">
        <v>1.162648465019589</v>
      </c>
      <c r="W237">
        <v>0.34697761823629936</v>
      </c>
      <c r="X237">
        <v>-0.38951789000000009</v>
      </c>
      <c r="Y237">
        <v>-0.29876085099999999</v>
      </c>
      <c r="Z237">
        <v>6.394351999999999E-2</v>
      </c>
    </row>
    <row r="238" spans="1:26">
      <c r="A238" s="54" t="str">
        <f>CONCATENATE(raw[[#This Row],[redis_ls]],raw[[#This Row],[wage_eq]],raw[[#This Row],[flex]],raw[[#This Row],[expo]],raw[[#This Row],[_date_]])</f>
        <v>111148214</v>
      </c>
      <c r="B238" s="1">
        <v>48214</v>
      </c>
      <c r="C238">
        <v>1</v>
      </c>
      <c r="D238">
        <v>1</v>
      </c>
      <c r="E238">
        <v>1</v>
      </c>
      <c r="F238">
        <v>1</v>
      </c>
      <c r="G238">
        <v>0.39078565429198076</v>
      </c>
      <c r="H238">
        <v>150.83701999999903</v>
      </c>
      <c r="I238">
        <v>-8.6813312289189639</v>
      </c>
      <c r="J238">
        <v>0.36570336671972736</v>
      </c>
      <c r="K238">
        <v>4.3387100696378855</v>
      </c>
      <c r="L238">
        <v>-2.0709120785642687</v>
      </c>
      <c r="M238">
        <v>6.8357565655863262E-2</v>
      </c>
      <c r="N238">
        <v>0.350246288793854</v>
      </c>
      <c r="O238">
        <v>-1.3797290000000517E-2</v>
      </c>
      <c r="P238">
        <v>1.1555508827981953</v>
      </c>
      <c r="Q238">
        <v>1.1062656987435471</v>
      </c>
      <c r="R238">
        <v>0.90645876118193858</v>
      </c>
      <c r="S238">
        <v>1.3232025392625912</v>
      </c>
      <c r="T238">
        <v>0.67901221088555452</v>
      </c>
      <c r="U238">
        <v>12.436735756165419</v>
      </c>
      <c r="V238">
        <v>1.2874848855605858</v>
      </c>
      <c r="W238">
        <v>0.37760335407595047</v>
      </c>
      <c r="X238">
        <v>-0.32436509000000008</v>
      </c>
      <c r="Y238">
        <v>-0.30656430000000001</v>
      </c>
      <c r="Z238">
        <v>1.0280199999999906E-2</v>
      </c>
    </row>
    <row r="239" spans="1:26">
      <c r="A239" s="54" t="str">
        <f>CONCATENATE(raw[[#This Row],[redis_ls]],raw[[#This Row],[wage_eq]],raw[[#This Row],[flex]],raw[[#This Row],[expo]],raw[[#This Row],[_date_]])</f>
        <v>111148580</v>
      </c>
      <c r="B239" s="1">
        <v>48580</v>
      </c>
      <c r="C239">
        <v>1</v>
      </c>
      <c r="D239">
        <v>1</v>
      </c>
      <c r="E239">
        <v>1</v>
      </c>
      <c r="F239">
        <v>1</v>
      </c>
      <c r="G239">
        <v>0.31563107500089949</v>
      </c>
      <c r="H239">
        <v>120.6893799999998</v>
      </c>
      <c r="I239">
        <v>-8.5737963911050272</v>
      </c>
      <c r="J239">
        <v>0.31616291921783279</v>
      </c>
      <c r="K239">
        <v>4.2141040438701483</v>
      </c>
      <c r="L239">
        <v>-2.1608940454110881</v>
      </c>
      <c r="M239">
        <v>6.209766604041711E-2</v>
      </c>
      <c r="N239">
        <v>0.30336543817350847</v>
      </c>
      <c r="O239">
        <v>-1.1428099999999386E-2</v>
      </c>
      <c r="P239">
        <v>1.2160780002250293</v>
      </c>
      <c r="Q239">
        <v>1.1723243068402223</v>
      </c>
      <c r="R239">
        <v>0.99101320278252025</v>
      </c>
      <c r="S239">
        <v>1.3723055053812105</v>
      </c>
      <c r="T239">
        <v>0.72269553876129766</v>
      </c>
      <c r="U239">
        <v>12.834201511470145</v>
      </c>
      <c r="V239">
        <v>1.3993974749613391</v>
      </c>
      <c r="W239">
        <v>0.40437678891853679</v>
      </c>
      <c r="X239">
        <v>-0.25270825999999991</v>
      </c>
      <c r="Y239">
        <v>-0.31678052100000009</v>
      </c>
      <c r="Z239">
        <v>-4.2305289999999829E-2</v>
      </c>
    </row>
    <row r="240" spans="1:26">
      <c r="A240" s="54" t="str">
        <f>CONCATENATE(raw[[#This Row],[redis_ls]],raw[[#This Row],[wage_eq]],raw[[#This Row],[flex]],raw[[#This Row],[expo]],raw[[#This Row],[_date_]])</f>
        <v>111148945</v>
      </c>
      <c r="B240" s="1">
        <v>48945</v>
      </c>
      <c r="C240">
        <v>1</v>
      </c>
      <c r="D240">
        <v>1</v>
      </c>
      <c r="E240">
        <v>1</v>
      </c>
      <c r="F240">
        <v>1</v>
      </c>
      <c r="G240">
        <v>0.24090363851361207</v>
      </c>
      <c r="H240">
        <v>88.771529999998165</v>
      </c>
      <c r="I240">
        <v>-8.4905197326699327</v>
      </c>
      <c r="J240">
        <v>0.26609615827539734</v>
      </c>
      <c r="K240">
        <v>4.0891192300420931</v>
      </c>
      <c r="L240">
        <v>-2.2508999692149811</v>
      </c>
      <c r="M240">
        <v>5.0298447924590484E-2</v>
      </c>
      <c r="N240">
        <v>0.25639654057563188</v>
      </c>
      <c r="O240">
        <v>-8.6657199999992662E-3</v>
      </c>
      <c r="P240">
        <v>1.2671737518579862</v>
      </c>
      <c r="Q240">
        <v>1.2272620269396128</v>
      </c>
      <c r="R240">
        <v>1.0619263801457057</v>
      </c>
      <c r="S240">
        <v>1.4127781076985535</v>
      </c>
      <c r="T240">
        <v>0.75719523123161103</v>
      </c>
      <c r="U240">
        <v>13.259055880701464</v>
      </c>
      <c r="V240">
        <v>1.4935226791328526</v>
      </c>
      <c r="W240">
        <v>0.42706119188899994</v>
      </c>
      <c r="X240">
        <v>-0.17858525999999986</v>
      </c>
      <c r="Y240">
        <v>-0.32848229700000003</v>
      </c>
      <c r="Z240">
        <v>-9.1599709999999959E-2</v>
      </c>
    </row>
    <row r="241" spans="1:26">
      <c r="A241" s="54" t="str">
        <f>CONCATENATE(raw[[#This Row],[redis_ls]],raw[[#This Row],[wage_eq]],raw[[#This Row],[flex]],raw[[#This Row],[expo]],raw[[#This Row],[_date_]])</f>
        <v>111149310</v>
      </c>
      <c r="B241" s="1">
        <v>49310</v>
      </c>
      <c r="C241">
        <v>1</v>
      </c>
      <c r="D241">
        <v>1</v>
      </c>
      <c r="E241">
        <v>1</v>
      </c>
      <c r="F241">
        <v>1</v>
      </c>
      <c r="G241">
        <v>0.17009494887432197</v>
      </c>
      <c r="H241">
        <v>56.709820000000036</v>
      </c>
      <c r="I241">
        <v>-8.4253360736885945</v>
      </c>
      <c r="J241">
        <v>0.21754955518702435</v>
      </c>
      <c r="K241">
        <v>3.9674606371473686</v>
      </c>
      <c r="L241">
        <v>-2.3341292232520905</v>
      </c>
      <c r="M241">
        <v>3.4116769936343161E-2</v>
      </c>
      <c r="N241">
        <v>0.21108841438970405</v>
      </c>
      <c r="O241">
        <v>-5.7751400000000119E-3</v>
      </c>
      <c r="P241">
        <v>1.3060017878489427</v>
      </c>
      <c r="Q241">
        <v>1.2680723505147373</v>
      </c>
      <c r="R241">
        <v>1.1157186956705978</v>
      </c>
      <c r="S241">
        <v>1.4419954447637551</v>
      </c>
      <c r="T241">
        <v>0.78015260515369445</v>
      </c>
      <c r="U241">
        <v>13.689048348050425</v>
      </c>
      <c r="V241">
        <v>1.5662378087495155</v>
      </c>
      <c r="W241">
        <v>0.44554802911180857</v>
      </c>
      <c r="X241">
        <v>-0.10571716000000002</v>
      </c>
      <c r="Y241">
        <v>-0.34066857</v>
      </c>
      <c r="Z241">
        <v>-0.13590253999999982</v>
      </c>
    </row>
    <row r="242" spans="1:26">
      <c r="A242" s="54" t="str">
        <f>CONCATENATE(raw[[#This Row],[redis_ls]],raw[[#This Row],[wage_eq]],raw[[#This Row],[flex]],raw[[#This Row],[expo]],raw[[#This Row],[_date_]])</f>
        <v>111149675</v>
      </c>
      <c r="B242" s="1">
        <v>49675</v>
      </c>
      <c r="C242">
        <v>1</v>
      </c>
      <c r="D242">
        <v>1</v>
      </c>
      <c r="E242">
        <v>1</v>
      </c>
      <c r="F242">
        <v>1</v>
      </c>
      <c r="G242">
        <v>0.10610094809238024</v>
      </c>
      <c r="H242">
        <v>25.986979999997857</v>
      </c>
      <c r="I242">
        <v>-8.3719526042106303</v>
      </c>
      <c r="J242">
        <v>0.17215889523221062</v>
      </c>
      <c r="K242">
        <v>3.8519841127061083</v>
      </c>
      <c r="L242">
        <v>-2.4047524217514327</v>
      </c>
      <c r="M242">
        <v>1.4672397309212215E-2</v>
      </c>
      <c r="N242">
        <v>0.16884515539496991</v>
      </c>
      <c r="O242">
        <v>-2.9633500000000867E-3</v>
      </c>
      <c r="P242">
        <v>1.3305881504755535</v>
      </c>
      <c r="Q242">
        <v>1.2927477910920526</v>
      </c>
      <c r="R242">
        <v>1.1501034669189059</v>
      </c>
      <c r="S242">
        <v>1.4581429294846071</v>
      </c>
      <c r="T242">
        <v>0.79000013697643201</v>
      </c>
      <c r="U242">
        <v>14.103439029964093</v>
      </c>
      <c r="V242">
        <v>1.6152394147826987</v>
      </c>
      <c r="W242">
        <v>0.45984727135186532</v>
      </c>
      <c r="X242">
        <v>-3.7390011999999945E-2</v>
      </c>
      <c r="Y242">
        <v>-0.35232816000000006</v>
      </c>
      <c r="Z242">
        <v>-0.17402620999999974</v>
      </c>
    </row>
    <row r="243" spans="1:26">
      <c r="A243" s="54" t="str">
        <f>CONCATENATE(raw[[#This Row],[redis_ls]],raw[[#This Row],[wage_eq]],raw[[#This Row],[flex]],raw[[#This Row],[expo]],raw[[#This Row],[_date_]])</f>
        <v>111150041</v>
      </c>
      <c r="B243" s="1">
        <v>50041</v>
      </c>
      <c r="C243">
        <v>1</v>
      </c>
      <c r="D243">
        <v>1</v>
      </c>
      <c r="E243">
        <v>1</v>
      </c>
      <c r="F243">
        <v>1</v>
      </c>
      <c r="G243">
        <v>5.11688437563107E-2</v>
      </c>
      <c r="H243">
        <v>-2.0994700000010198</v>
      </c>
      <c r="I243">
        <v>-8.3242596657911676</v>
      </c>
      <c r="J243">
        <v>0.1311702406052051</v>
      </c>
      <c r="K243">
        <v>3.7446991727360102</v>
      </c>
      <c r="L243">
        <v>-2.458116566567814</v>
      </c>
      <c r="M243">
        <v>-6.9548033211352944E-3</v>
      </c>
      <c r="N243">
        <v>0.13075282857588633</v>
      </c>
      <c r="O243">
        <v>-3.73450000000497E-4</v>
      </c>
      <c r="P243">
        <v>1.3398485033460972</v>
      </c>
      <c r="Q243">
        <v>1.3002966598750776</v>
      </c>
      <c r="R243">
        <v>1.1639985598853819</v>
      </c>
      <c r="S243">
        <v>1.4602421024629386</v>
      </c>
      <c r="T243">
        <v>0.78598427013658601</v>
      </c>
      <c r="U243">
        <v>14.483936976422251</v>
      </c>
      <c r="V243">
        <v>1.6395569871606952</v>
      </c>
      <c r="W243">
        <v>0.47008671444042083</v>
      </c>
      <c r="X243">
        <v>2.3633635999999961E-2</v>
      </c>
      <c r="Y243">
        <v>-0.36250826000000008</v>
      </c>
      <c r="Z243">
        <v>-0.20525219999999977</v>
      </c>
    </row>
    <row r="244" spans="1:26">
      <c r="A244" s="54" t="str">
        <f>CONCATENATE(raw[[#This Row],[redis_ls]],raw[[#This Row],[wage_eq]],raw[[#This Row],[flex]],raw[[#This Row],[expo]],raw[[#This Row],[_date_]])</f>
        <v>111150406</v>
      </c>
      <c r="B244" s="1">
        <v>50406</v>
      </c>
      <c r="C244">
        <v>1</v>
      </c>
      <c r="D244">
        <v>1</v>
      </c>
      <c r="E244">
        <v>1</v>
      </c>
      <c r="F244">
        <v>1</v>
      </c>
      <c r="G244">
        <v>6.8798835811900716E-3</v>
      </c>
      <c r="H244">
        <v>-26.472179999997024</v>
      </c>
      <c r="I244">
        <v>-8.2765971845374047</v>
      </c>
      <c r="J244">
        <v>9.5484706894111149E-2</v>
      </c>
      <c r="K244">
        <v>3.6468160422806095</v>
      </c>
      <c r="L244">
        <v>-2.4908676529571294</v>
      </c>
      <c r="M244">
        <v>-2.9722940806053977E-2</v>
      </c>
      <c r="N244">
        <v>9.7617730368537714E-2</v>
      </c>
      <c r="O244">
        <v>1.9090900000004463E-3</v>
      </c>
      <c r="P244">
        <v>1.333568831403964</v>
      </c>
      <c r="Q244">
        <v>1.2907020084561571</v>
      </c>
      <c r="R244">
        <v>1.1574724188748053</v>
      </c>
      <c r="S244">
        <v>1.4481301574388761</v>
      </c>
      <c r="T244">
        <v>0.76814595291325727</v>
      </c>
      <c r="U244">
        <v>14.815461336787571</v>
      </c>
      <c r="V244">
        <v>1.639501983169378</v>
      </c>
      <c r="W244">
        <v>0.47651401959394324</v>
      </c>
      <c r="X244">
        <v>7.5178721000000032E-2</v>
      </c>
      <c r="Y244">
        <v>-0.37037960000000003</v>
      </c>
      <c r="Z244">
        <v>-0.22926524999999989</v>
      </c>
    </row>
    <row r="245" spans="1:26">
      <c r="A245" s="54" t="str">
        <f>CONCATENATE(raw[[#This Row],[redis_ls]],raw[[#This Row],[wage_eq]],raw[[#This Row],[flex]],raw[[#This Row],[expo]],raw[[#This Row],[_date_]])</f>
        <v>111150771</v>
      </c>
      <c r="B245" s="1">
        <v>50771</v>
      </c>
      <c r="C245">
        <v>1</v>
      </c>
      <c r="D245">
        <v>1</v>
      </c>
      <c r="E245">
        <v>1</v>
      </c>
      <c r="F245">
        <v>1</v>
      </c>
      <c r="G245">
        <v>-2.5842005005471957E-2</v>
      </c>
      <c r="H245">
        <v>-46.303299999999581</v>
      </c>
      <c r="I245">
        <v>-8.2239768469524854</v>
      </c>
      <c r="J245">
        <v>6.5707028900052755E-2</v>
      </c>
      <c r="K245">
        <v>3.5588191412504688</v>
      </c>
      <c r="L245">
        <v>-2.5009975590358446</v>
      </c>
      <c r="M245">
        <v>-5.2633770004339997E-2</v>
      </c>
      <c r="N245">
        <v>6.9998804484927568E-2</v>
      </c>
      <c r="O245">
        <v>3.8426100000002461E-3</v>
      </c>
      <c r="P245">
        <v>1.312345099662271</v>
      </c>
      <c r="Q245">
        <v>1.2648330534846153</v>
      </c>
      <c r="R245">
        <v>1.131633669528731</v>
      </c>
      <c r="S245">
        <v>1.4223978122985148</v>
      </c>
      <c r="T245">
        <v>0.73725935876283177</v>
      </c>
      <c r="U245">
        <v>15.086687883540971</v>
      </c>
      <c r="V245">
        <v>1.6165560964640946</v>
      </c>
      <c r="W245">
        <v>0.47949622223930621</v>
      </c>
      <c r="X245">
        <v>0.11570089400000001</v>
      </c>
      <c r="Y245">
        <v>-0.37529038999999981</v>
      </c>
      <c r="Z245">
        <v>-0.24608413000000023</v>
      </c>
    </row>
    <row r="246" spans="1:26">
      <c r="A246" s="54" t="str">
        <f>CONCATENATE(raw[[#This Row],[redis_ls]],raw[[#This Row],[wage_eq]],raw[[#This Row],[flex]],raw[[#This Row],[expo]],raw[[#This Row],[_date_]])</f>
        <v>111151136</v>
      </c>
      <c r="B246" s="1">
        <v>51136</v>
      </c>
      <c r="C246">
        <v>1</v>
      </c>
      <c r="D246">
        <v>1</v>
      </c>
      <c r="E246">
        <v>1</v>
      </c>
      <c r="F246">
        <v>1</v>
      </c>
      <c r="G246">
        <v>-4.6702692973199511E-2</v>
      </c>
      <c r="H246">
        <v>-61.037039999999251</v>
      </c>
      <c r="I246">
        <v>-8.1622570995913186</v>
      </c>
      <c r="J246">
        <v>4.2184037455639256E-2</v>
      </c>
      <c r="K246">
        <v>3.4805543081577239</v>
      </c>
      <c r="L246">
        <v>-2.4878200808141293</v>
      </c>
      <c r="M246">
        <v>-7.4750517722566023E-2</v>
      </c>
      <c r="N246">
        <v>4.8228116164139578E-2</v>
      </c>
      <c r="O246">
        <v>5.4132400000003744E-3</v>
      </c>
      <c r="P246">
        <v>1.2774857579619381</v>
      </c>
      <c r="Q246">
        <v>1.2243174285776037</v>
      </c>
      <c r="R246">
        <v>1.0884765135392493</v>
      </c>
      <c r="S246">
        <v>1.3842922131293678</v>
      </c>
      <c r="T246">
        <v>0.69473377506099609</v>
      </c>
      <c r="U246">
        <v>15.290354468682366</v>
      </c>
      <c r="V246">
        <v>1.5732073782629863</v>
      </c>
      <c r="W246">
        <v>0.47951150221052785</v>
      </c>
      <c r="X246">
        <v>0.14430897369999998</v>
      </c>
      <c r="Y246">
        <v>-0.37680322999999999</v>
      </c>
      <c r="Z246">
        <v>-0.25599970000000016</v>
      </c>
    </row>
    <row r="247" spans="1:26">
      <c r="A247" s="54" t="str">
        <f>CONCATENATE(raw[[#This Row],[redis_ls]],raw[[#This Row],[wage_eq]],raw[[#This Row],[flex]],raw[[#This Row],[expo]],raw[[#This Row],[_date_]])</f>
        <v>111151502</v>
      </c>
      <c r="B247" s="1">
        <v>51502</v>
      </c>
      <c r="C247">
        <v>1</v>
      </c>
      <c r="D247">
        <v>1</v>
      </c>
      <c r="E247">
        <v>1</v>
      </c>
      <c r="F247">
        <v>1</v>
      </c>
      <c r="G247">
        <v>-5.5993900015560705E-2</v>
      </c>
      <c r="H247">
        <v>-70.403500000000349</v>
      </c>
      <c r="I247">
        <v>-8.0882688262982398</v>
      </c>
      <c r="J247">
        <v>2.5027548414957579E-2</v>
      </c>
      <c r="K247">
        <v>3.4113225593733976</v>
      </c>
      <c r="L247">
        <v>-2.4518851296262412</v>
      </c>
      <c r="M247">
        <v>-9.5228586876716648E-2</v>
      </c>
      <c r="N247">
        <v>3.2418072502005124E-2</v>
      </c>
      <c r="O247">
        <v>6.6207900000003761E-3</v>
      </c>
      <c r="P247">
        <v>1.2308849405974209</v>
      </c>
      <c r="Q247">
        <v>1.1713858099017704</v>
      </c>
      <c r="R247">
        <v>1.0306941351344134</v>
      </c>
      <c r="S247">
        <v>1.3355933209610038</v>
      </c>
      <c r="T247">
        <v>0.64248689240675727</v>
      </c>
      <c r="U247">
        <v>15.423317904970135</v>
      </c>
      <c r="V247">
        <v>1.5127429542237447</v>
      </c>
      <c r="W247">
        <v>0.47713103240472066</v>
      </c>
      <c r="X247">
        <v>0.16076461900000003</v>
      </c>
      <c r="Y247">
        <v>-0.3747115700000001</v>
      </c>
      <c r="Z247">
        <v>-0.25952460999999971</v>
      </c>
    </row>
    <row r="248" spans="1:26">
      <c r="A248" s="54" t="str">
        <f>CONCATENATE(raw[[#This Row],[redis_ls]],raw[[#This Row],[wage_eq]],raw[[#This Row],[flex]],raw[[#This Row],[expo]],raw[[#This Row],[_date_]])</f>
        <v>111151867</v>
      </c>
      <c r="B248" s="1">
        <v>51867</v>
      </c>
      <c r="C248">
        <v>1</v>
      </c>
      <c r="D248">
        <v>1</v>
      </c>
      <c r="E248">
        <v>1</v>
      </c>
      <c r="F248">
        <v>1</v>
      </c>
      <c r="G248">
        <v>-5.453366261943815E-2</v>
      </c>
      <c r="H248">
        <v>-74.420680000002903</v>
      </c>
      <c r="I248">
        <v>-7.9998883759946011</v>
      </c>
      <c r="J248">
        <v>1.412507511533434E-2</v>
      </c>
      <c r="K248">
        <v>3.3499771884855312</v>
      </c>
      <c r="L248">
        <v>-2.3948426181188309</v>
      </c>
      <c r="M248">
        <v>-0.11335337693393344</v>
      </c>
      <c r="N248">
        <v>2.2460972528248746E-2</v>
      </c>
      <c r="O248">
        <v>7.4692200000003872E-3</v>
      </c>
      <c r="P248">
        <v>1.1748745732207633</v>
      </c>
      <c r="Q248">
        <v>1.1086995624643103</v>
      </c>
      <c r="R248">
        <v>0.96147447792445107</v>
      </c>
      <c r="S248">
        <v>1.2784725722762458</v>
      </c>
      <c r="T248">
        <v>0.58279738634225975</v>
      </c>
      <c r="U248">
        <v>15.486370950869999</v>
      </c>
      <c r="V248">
        <v>1.4390114425406386</v>
      </c>
      <c r="W248">
        <v>0.47298930552019947</v>
      </c>
      <c r="X248">
        <v>0.16545599500000005</v>
      </c>
      <c r="Y248">
        <v>-0.36903541000000012</v>
      </c>
      <c r="Z248">
        <v>-0.25735302000000004</v>
      </c>
    </row>
    <row r="249" spans="1:26">
      <c r="A249" s="54" t="str">
        <f>CONCATENATE(raw[[#This Row],[redis_ls]],raw[[#This Row],[wage_eq]],raw[[#This Row],[flex]],raw[[#This Row],[expo]],raw[[#This Row],[_date_]])</f>
        <v>111152232</v>
      </c>
      <c r="B249" s="1">
        <v>52232</v>
      </c>
      <c r="C249">
        <v>1</v>
      </c>
      <c r="D249">
        <v>1</v>
      </c>
      <c r="E249">
        <v>1</v>
      </c>
      <c r="F249">
        <v>1</v>
      </c>
      <c r="G249">
        <v>-4.3590714668650943E-2</v>
      </c>
      <c r="H249">
        <v>-73.382209999996121</v>
      </c>
      <c r="I249">
        <v>-7.8960557564460965</v>
      </c>
      <c r="J249">
        <v>9.1438190185977319E-3</v>
      </c>
      <c r="K249">
        <v>3.2950242593537515</v>
      </c>
      <c r="L249">
        <v>-2.3192639675245874</v>
      </c>
      <c r="M249">
        <v>-0.12857908726093825</v>
      </c>
      <c r="N249">
        <v>1.8029351747261835E-2</v>
      </c>
      <c r="O249">
        <v>7.9626999999998782E-3</v>
      </c>
      <c r="P249">
        <v>1.1120644201962904</v>
      </c>
      <c r="Q249">
        <v>1.0391726182765959</v>
      </c>
      <c r="R249">
        <v>0.88428941965781327</v>
      </c>
      <c r="S249">
        <v>1.2153433918055789</v>
      </c>
      <c r="T249">
        <v>0.51814878471498904</v>
      </c>
      <c r="U249">
        <v>15.483846961863312</v>
      </c>
      <c r="V249">
        <v>1.3561719041890852</v>
      </c>
      <c r="W249">
        <v>0.4677462286283518</v>
      </c>
      <c r="X249">
        <v>0.15934292000000005</v>
      </c>
      <c r="Y249">
        <v>-0.35999906999999998</v>
      </c>
      <c r="Z249">
        <v>-0.25032634999999981</v>
      </c>
    </row>
    <row r="250" spans="1:26">
      <c r="A250" s="54" t="str">
        <f>CONCATENATE(raw[[#This Row],[redis_ls]],raw[[#This Row],[wage_eq]],raw[[#This Row],[flex]],raw[[#This Row],[expo]],raw[[#This Row],[_date_]])</f>
        <v>111152597</v>
      </c>
      <c r="B250" s="1">
        <v>52597</v>
      </c>
      <c r="C250">
        <v>1</v>
      </c>
      <c r="D250">
        <v>1</v>
      </c>
      <c r="E250">
        <v>1</v>
      </c>
      <c r="F250">
        <v>1</v>
      </c>
      <c r="G250">
        <v>-2.4793507319609276E-2</v>
      </c>
      <c r="H250">
        <v>-67.829610000000685</v>
      </c>
      <c r="I250">
        <v>-7.7767387471161413</v>
      </c>
      <c r="J250">
        <v>9.5383110958469075E-3</v>
      </c>
      <c r="K250">
        <v>3.244726887443683</v>
      </c>
      <c r="L250">
        <v>-2.2284340012864168</v>
      </c>
      <c r="M250">
        <v>-0.14055866345135115</v>
      </c>
      <c r="N250">
        <v>1.8583603437294371E-2</v>
      </c>
      <c r="O250">
        <v>8.1064000000005687E-3</v>
      </c>
      <c r="P250">
        <v>1.0451807887110753</v>
      </c>
      <c r="Q250">
        <v>0.96579809468766431</v>
      </c>
      <c r="R250">
        <v>0.80269052690817855</v>
      </c>
      <c r="S250">
        <v>1.1487122159961727</v>
      </c>
      <c r="T250">
        <v>0.45107447071572881</v>
      </c>
      <c r="U250">
        <v>15.423054292822957</v>
      </c>
      <c r="V250">
        <v>1.2684438145376786</v>
      </c>
      <c r="W250">
        <v>0.46204454006326667</v>
      </c>
      <c r="X250">
        <v>0.14387330000000001</v>
      </c>
      <c r="Y250">
        <v>-0.34799519000000001</v>
      </c>
      <c r="Z250">
        <v>-0.23939965000000021</v>
      </c>
    </row>
    <row r="251" spans="1:26">
      <c r="A251" s="54" t="str">
        <f>CONCATENATE(raw[[#This Row],[redis_ls]],raw[[#This Row],[wage_eq]],raw[[#This Row],[flex]],raw[[#This Row],[expo]],raw[[#This Row],[_date_]])</f>
        <v>111152963</v>
      </c>
      <c r="B251" s="1">
        <v>52963</v>
      </c>
      <c r="C251">
        <v>1</v>
      </c>
      <c r="D251">
        <v>1</v>
      </c>
      <c r="E251">
        <v>1</v>
      </c>
      <c r="F251">
        <v>1</v>
      </c>
      <c r="G251">
        <v>-2.601375638233705E-5</v>
      </c>
      <c r="H251">
        <v>-58.509369999999763</v>
      </c>
      <c r="I251">
        <v>-7.6428462601628606</v>
      </c>
      <c r="J251">
        <v>1.4567455772085403E-2</v>
      </c>
      <c r="K251">
        <v>3.1972130838555657</v>
      </c>
      <c r="L251">
        <v>-2.1261248074905037</v>
      </c>
      <c r="M251">
        <v>-0.14916046570817576</v>
      </c>
      <c r="N251">
        <v>2.3393840812291344E-2</v>
      </c>
      <c r="O251">
        <v>7.910359999999117E-3</v>
      </c>
      <c r="P251">
        <v>0.97691212285744289</v>
      </c>
      <c r="Q251">
        <v>0.89148724535728086</v>
      </c>
      <c r="R251">
        <v>0.72012012212032683</v>
      </c>
      <c r="S251">
        <v>1.0810392350565357</v>
      </c>
      <c r="T251">
        <v>0.3840142943066116</v>
      </c>
      <c r="U251">
        <v>15.313592295931411</v>
      </c>
      <c r="V251">
        <v>1.1798751807419183</v>
      </c>
      <c r="W251">
        <v>0.45646799293748153</v>
      </c>
      <c r="X251">
        <v>0.12087393799999997</v>
      </c>
      <c r="Y251">
        <v>-0.33354066999999982</v>
      </c>
      <c r="Z251">
        <v>-0.22560473000000011</v>
      </c>
    </row>
    <row r="252" spans="1:26">
      <c r="A252" s="54" t="str">
        <f>CONCATENATE(raw[[#This Row],[redis_ls]],raw[[#This Row],[wage_eq]],raw[[#This Row],[flex]],raw[[#This Row],[expo]],raw[[#This Row],[_date_]])</f>
        <v>111153328</v>
      </c>
      <c r="B252" s="1">
        <v>53328</v>
      </c>
      <c r="C252">
        <v>1</v>
      </c>
      <c r="D252">
        <v>1</v>
      </c>
      <c r="E252">
        <v>1</v>
      </c>
      <c r="F252">
        <v>1</v>
      </c>
      <c r="G252">
        <v>2.8685662147220903E-2</v>
      </c>
      <c r="H252">
        <v>-46.317620000001625</v>
      </c>
      <c r="I252">
        <v>-7.4960970645300051</v>
      </c>
      <c r="J252">
        <v>2.33263055181121E-2</v>
      </c>
      <c r="K252">
        <v>3.1505851018758468</v>
      </c>
      <c r="L252">
        <v>-2.0163636795098472</v>
      </c>
      <c r="M252">
        <v>-0.15446691797574852</v>
      </c>
      <c r="N252">
        <v>3.1577355891565517E-2</v>
      </c>
      <c r="O252">
        <v>7.3944399999997801E-3</v>
      </c>
      <c r="P252">
        <v>0.90977049911684649</v>
      </c>
      <c r="Q252">
        <v>0.81892858425069992</v>
      </c>
      <c r="R252">
        <v>0.63974663355113037</v>
      </c>
      <c r="S252">
        <v>1.0146147044693743</v>
      </c>
      <c r="T252">
        <v>0.31919062608234405</v>
      </c>
      <c r="U252">
        <v>15.166604127337813</v>
      </c>
      <c r="V252">
        <v>1.0941408617012538</v>
      </c>
      <c r="W252">
        <v>0.45150576615544669</v>
      </c>
      <c r="X252">
        <v>9.2422362000000022E-2</v>
      </c>
      <c r="Y252">
        <v>-0.31722975999999986</v>
      </c>
      <c r="Z252">
        <v>-0.21000801999999999</v>
      </c>
    </row>
    <row r="253" spans="1:26">
      <c r="A253" s="54" t="str">
        <f>CONCATENATE(raw[[#This Row],[redis_ls]],raw[[#This Row],[wage_eq]],raw[[#This Row],[flex]],raw[[#This Row],[expo]],raw[[#This Row],[_date_]])</f>
        <v>111153693</v>
      </c>
      <c r="B253" s="1">
        <v>53693</v>
      </c>
      <c r="C253">
        <v>1</v>
      </c>
      <c r="D253">
        <v>1</v>
      </c>
      <c r="E253">
        <v>1</v>
      </c>
      <c r="F253">
        <v>1</v>
      </c>
      <c r="G253">
        <v>5.9289476366974903E-2</v>
      </c>
      <c r="H253">
        <v>-32.236840000005031</v>
      </c>
      <c r="I253">
        <v>-7.3388538501340861</v>
      </c>
      <c r="J253">
        <v>3.4793147464107221E-2</v>
      </c>
      <c r="K253">
        <v>3.1030262824802479</v>
      </c>
      <c r="L253">
        <v>-1.9032065498594042</v>
      </c>
      <c r="M253">
        <v>-0.15675537687267482</v>
      </c>
      <c r="N253">
        <v>4.2149674336799947E-2</v>
      </c>
      <c r="O253">
        <v>6.5922900000001117E-3</v>
      </c>
      <c r="P253">
        <v>0.84597598785927097</v>
      </c>
      <c r="Q253">
        <v>0.75047292315224556</v>
      </c>
      <c r="R253">
        <v>0.56432987039307658</v>
      </c>
      <c r="S253">
        <v>0.95145661729996167</v>
      </c>
      <c r="T253">
        <v>0.25851003958989871</v>
      </c>
      <c r="U253">
        <v>14.994020719548562</v>
      </c>
      <c r="V253">
        <v>1.0143820962872141</v>
      </c>
      <c r="W253">
        <v>0.44752664386928931</v>
      </c>
      <c r="X253">
        <v>6.0708984000000001E-2</v>
      </c>
      <c r="Y253">
        <v>-0.29968923999999997</v>
      </c>
      <c r="Z253">
        <v>-0.19366357999999959</v>
      </c>
    </row>
    <row r="254" spans="1:26">
      <c r="A254" s="54" t="str">
        <f>CONCATENATE(raw[[#This Row],[redis_ls]],raw[[#This Row],[wage_eq]],raw[[#This Row],[flex]],raw[[#This Row],[expo]],raw[[#This Row],[_date_]])</f>
        <v>111154058</v>
      </c>
      <c r="B254" s="1">
        <v>54058</v>
      </c>
      <c r="C254">
        <v>1</v>
      </c>
      <c r="D254">
        <v>1</v>
      </c>
      <c r="E254">
        <v>1</v>
      </c>
      <c r="F254">
        <v>1</v>
      </c>
      <c r="G254">
        <v>8.9819636909016509E-2</v>
      </c>
      <c r="H254">
        <v>-17.269979999997304</v>
      </c>
      <c r="I254">
        <v>-7.1739339359573107</v>
      </c>
      <c r="J254">
        <v>4.7888468473744616E-2</v>
      </c>
      <c r="K254">
        <v>3.0528999015573044</v>
      </c>
      <c r="L254">
        <v>-1.790528276860559</v>
      </c>
      <c r="M254">
        <v>-0.15646249592251582</v>
      </c>
      <c r="N254">
        <v>5.4086037803946496E-2</v>
      </c>
      <c r="O254">
        <v>5.5531200000000225E-3</v>
      </c>
      <c r="P254">
        <v>0.78736777154890802</v>
      </c>
      <c r="Q254">
        <v>0.68804647847737765</v>
      </c>
      <c r="R254">
        <v>0.49612039643056605</v>
      </c>
      <c r="S254">
        <v>0.89323304130284331</v>
      </c>
      <c r="T254">
        <v>0.20349338505323278</v>
      </c>
      <c r="U254">
        <v>14.807843330295501</v>
      </c>
      <c r="V254">
        <v>0.94309287584410928</v>
      </c>
      <c r="W254">
        <v>0.4447658859402015</v>
      </c>
      <c r="X254">
        <v>2.7900375000000036E-2</v>
      </c>
      <c r="Y254">
        <v>-0.28153874000000012</v>
      </c>
      <c r="Z254">
        <v>-0.17756353000000016</v>
      </c>
    </row>
    <row r="255" spans="1:26">
      <c r="A255" s="54" t="str">
        <f>CONCATENATE(raw[[#This Row],[redis_ls]],raw[[#This Row],[wage_eq]],raw[[#This Row],[flex]],raw[[#This Row],[expo]],raw[[#This Row],[_date_]])</f>
        <v>111154424</v>
      </c>
      <c r="B255" s="1">
        <v>54424</v>
      </c>
      <c r="C255">
        <v>1</v>
      </c>
      <c r="D255">
        <v>1</v>
      </c>
      <c r="E255">
        <v>1</v>
      </c>
      <c r="F255">
        <v>1</v>
      </c>
      <c r="G255">
        <v>0.11849745210323892</v>
      </c>
      <c r="H255">
        <v>-2.3778200000015204</v>
      </c>
      <c r="I255">
        <v>-7.0044107490851104</v>
      </c>
      <c r="J255">
        <v>6.1540700104956159E-2</v>
      </c>
      <c r="K255">
        <v>2.9988348576629686</v>
      </c>
      <c r="L255">
        <v>-1.6818396964620508</v>
      </c>
      <c r="M255">
        <v>-0.1541384843977478</v>
      </c>
      <c r="N255">
        <v>6.6385769763810387E-2</v>
      </c>
      <c r="O255">
        <v>4.340679999999264E-3</v>
      </c>
      <c r="P255">
        <v>0.73534510543988851</v>
      </c>
      <c r="Q255">
        <v>0.63309408295166847</v>
      </c>
      <c r="R255">
        <v>0.43679500008670935</v>
      </c>
      <c r="S255">
        <v>0.84121052724994705</v>
      </c>
      <c r="T255">
        <v>0.15523532583223698</v>
      </c>
      <c r="U255">
        <v>14.619503178137293</v>
      </c>
      <c r="V255">
        <v>0.88205494744459934</v>
      </c>
      <c r="W255">
        <v>0.44332350782412266</v>
      </c>
      <c r="X255">
        <v>-3.9858109999999815E-3</v>
      </c>
      <c r="Y255">
        <v>-0.26335830999999998</v>
      </c>
      <c r="Z255">
        <v>-0.16259014000000044</v>
      </c>
    </row>
    <row r="256" spans="1:26">
      <c r="A256" s="54" t="str">
        <f>CONCATENATE(raw[[#This Row],[redis_ls]],raw[[#This Row],[wage_eq]],raw[[#This Row],[flex]],raw[[#This Row],[expo]],raw[[#This Row],[_date_]])</f>
        <v>111154789</v>
      </c>
      <c r="B256" s="1">
        <v>54789</v>
      </c>
      <c r="C256">
        <v>1</v>
      </c>
      <c r="D256">
        <v>1</v>
      </c>
      <c r="E256">
        <v>1</v>
      </c>
      <c r="F256">
        <v>1</v>
      </c>
      <c r="G256">
        <v>0.14381470747850678</v>
      </c>
      <c r="H256">
        <v>11.575430000004417</v>
      </c>
      <c r="I256">
        <v>-6.8334171567810191</v>
      </c>
      <c r="J256">
        <v>7.4751379805770846E-2</v>
      </c>
      <c r="K256">
        <v>2.93979103448192</v>
      </c>
      <c r="L256">
        <v>-1.5801387943576328</v>
      </c>
      <c r="M256">
        <v>-0.15039561722490769</v>
      </c>
      <c r="N256">
        <v>7.813333519268717E-2</v>
      </c>
      <c r="O256">
        <v>3.0294600000008165E-3</v>
      </c>
      <c r="P256">
        <v>0.69083827416933641</v>
      </c>
      <c r="Q256">
        <v>0.58655342639699626</v>
      </c>
      <c r="R256">
        <v>0.38742716008075551</v>
      </c>
      <c r="S256">
        <v>0.79622883349688145</v>
      </c>
      <c r="T256">
        <v>0.11439161895789862</v>
      </c>
      <c r="U256">
        <v>14.439324713619861</v>
      </c>
      <c r="V256">
        <v>0.83231963926984065</v>
      </c>
      <c r="W256">
        <v>0.44317548509684723</v>
      </c>
      <c r="X256">
        <v>-3.3185443000000037E-2</v>
      </c>
      <c r="Y256">
        <v>-0.24566407000000018</v>
      </c>
      <c r="Z256">
        <v>-0.14947355999999981</v>
      </c>
    </row>
    <row r="257" spans="1:26">
      <c r="A257" s="54" t="str">
        <f>CONCATENATE(raw[[#This Row],[redis_ls]],raw[[#This Row],[wage_eq]],raw[[#This Row],[flex]],raw[[#This Row],[expo]],raw[[#This Row],[_date_]])</f>
        <v>111036526</v>
      </c>
      <c r="B257" s="1">
        <v>36526</v>
      </c>
      <c r="C257">
        <v>1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3.8736428717323079E-3</v>
      </c>
      <c r="U257">
        <v>0.21921084285785319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s="54" t="str">
        <f>CONCATENATE(raw[[#This Row],[redis_ls]],raw[[#This Row],[wage_eq]],raw[[#This Row],[flex]],raw[[#This Row],[expo]],raw[[#This Row],[_date_]])</f>
        <v>111036892</v>
      </c>
      <c r="B258" s="1">
        <v>36892</v>
      </c>
      <c r="C258">
        <v>1</v>
      </c>
      <c r="D258">
        <v>1</v>
      </c>
      <c r="E258">
        <v>1</v>
      </c>
      <c r="F258">
        <v>0</v>
      </c>
      <c r="G258">
        <v>0.25831138912779661</v>
      </c>
      <c r="H258">
        <v>48.362949999998818</v>
      </c>
      <c r="I258">
        <v>-5.3296635539064718</v>
      </c>
      <c r="J258">
        <v>0.11419419114477858</v>
      </c>
      <c r="K258">
        <v>0.63625849895756481</v>
      </c>
      <c r="L258">
        <v>-4.9688103212419676E-2</v>
      </c>
      <c r="M258">
        <v>-0.31320477911167544</v>
      </c>
      <c r="N258">
        <v>0.16589330301872707</v>
      </c>
      <c r="O258">
        <v>4.6321859999999548E-2</v>
      </c>
      <c r="P258">
        <v>0.47429036147634829</v>
      </c>
      <c r="Q258">
        <v>0.1346465561741006</v>
      </c>
      <c r="R258">
        <v>-0.59018133984740651</v>
      </c>
      <c r="S258">
        <v>0.85689343736909951</v>
      </c>
      <c r="T258">
        <v>0.27530516817284578</v>
      </c>
      <c r="U258">
        <v>0.76437603278298738</v>
      </c>
      <c r="V258">
        <v>4.2899602058521502E-2</v>
      </c>
      <c r="W258">
        <v>0.63683943362562445</v>
      </c>
      <c r="X258">
        <v>-0.14447355999999967</v>
      </c>
      <c r="Y258">
        <v>0.15091282999999989</v>
      </c>
      <c r="Z258">
        <v>2.2203974999999987E-2</v>
      </c>
    </row>
    <row r="259" spans="1:26">
      <c r="A259" s="54" t="str">
        <f>CONCATENATE(raw[[#This Row],[redis_ls]],raw[[#This Row],[wage_eq]],raw[[#This Row],[flex]],raw[[#This Row],[expo]],raw[[#This Row],[_date_]])</f>
        <v>111037257</v>
      </c>
      <c r="B259" s="1">
        <v>37257</v>
      </c>
      <c r="C259">
        <v>1</v>
      </c>
      <c r="D259">
        <v>1</v>
      </c>
      <c r="E259">
        <v>1</v>
      </c>
      <c r="F259">
        <v>0</v>
      </c>
      <c r="G259">
        <v>0.50158557672284054</v>
      </c>
      <c r="H259">
        <v>109.85958000000028</v>
      </c>
      <c r="I259">
        <v>-8.4323106205189902</v>
      </c>
      <c r="J259">
        <v>0.31552061802120335</v>
      </c>
      <c r="K259">
        <v>1.2405682010282693</v>
      </c>
      <c r="L259">
        <v>-0.13675931974296285</v>
      </c>
      <c r="M259">
        <v>-0.43437329167915761</v>
      </c>
      <c r="N259">
        <v>0.38866077656574127</v>
      </c>
      <c r="O259">
        <v>6.539426999999931E-2</v>
      </c>
      <c r="P259">
        <v>0.64345225751629709</v>
      </c>
      <c r="Q259">
        <v>0.36431275178365752</v>
      </c>
      <c r="R259">
        <v>-0.27336763777225936</v>
      </c>
      <c r="S259">
        <v>1.0032149274044722</v>
      </c>
      <c r="T259">
        <v>0.54158181994632404</v>
      </c>
      <c r="U259">
        <v>1.6740686216036194</v>
      </c>
      <c r="V259">
        <v>0.26729021474198866</v>
      </c>
      <c r="W259">
        <v>0.5421398774311692</v>
      </c>
      <c r="X259">
        <v>-0.31537021000000026</v>
      </c>
      <c r="Y259">
        <v>0.24495001999999994</v>
      </c>
      <c r="Z259">
        <v>0.18142208100000012</v>
      </c>
    </row>
    <row r="260" spans="1:26">
      <c r="A260" s="54" t="str">
        <f>CONCATENATE(raw[[#This Row],[redis_ls]],raw[[#This Row],[wage_eq]],raw[[#This Row],[flex]],raw[[#This Row],[expo]],raw[[#This Row],[_date_]])</f>
        <v>111037622</v>
      </c>
      <c r="B260" s="1">
        <v>37622</v>
      </c>
      <c r="C260">
        <v>1</v>
      </c>
      <c r="D260">
        <v>1</v>
      </c>
      <c r="E260">
        <v>1</v>
      </c>
      <c r="F260">
        <v>0</v>
      </c>
      <c r="G260">
        <v>0.69774204993720002</v>
      </c>
      <c r="H260">
        <v>168.36729000000196</v>
      </c>
      <c r="I260">
        <v>-10.121136377564998</v>
      </c>
      <c r="J260">
        <v>0.55150379162078877</v>
      </c>
      <c r="K260">
        <v>1.7479820410170044</v>
      </c>
      <c r="L260">
        <v>-0.25794411405111184</v>
      </c>
      <c r="M260">
        <v>-0.40507582867989056</v>
      </c>
      <c r="N260">
        <v>0.62343457724785001</v>
      </c>
      <c r="O260">
        <v>6.4159230000000733E-2</v>
      </c>
      <c r="P260">
        <v>0.90295200729271219</v>
      </c>
      <c r="Q260">
        <v>0.68978544136257813</v>
      </c>
      <c r="R260">
        <v>0.1498561345114835</v>
      </c>
      <c r="S260">
        <v>1.2348346170972135</v>
      </c>
      <c r="T260">
        <v>0.82718003805923868</v>
      </c>
      <c r="U260">
        <v>2.9508091044104123</v>
      </c>
      <c r="V260">
        <v>0.57797213445744955</v>
      </c>
      <c r="W260">
        <v>0.4274754076951881</v>
      </c>
      <c r="X260">
        <v>-0.46817180000000014</v>
      </c>
      <c r="Y260">
        <v>0.30632835999999974</v>
      </c>
      <c r="Z260">
        <v>0.35080294799999989</v>
      </c>
    </row>
    <row r="261" spans="1:26">
      <c r="A261" s="54" t="str">
        <f>CONCATENATE(raw[[#This Row],[redis_ls]],raw[[#This Row],[wage_eq]],raw[[#This Row],[flex]],raw[[#This Row],[expo]],raw[[#This Row],[_date_]])</f>
        <v>111037987</v>
      </c>
      <c r="B261" s="1">
        <v>37987</v>
      </c>
      <c r="C261">
        <v>1</v>
      </c>
      <c r="D261">
        <v>1</v>
      </c>
      <c r="E261">
        <v>1</v>
      </c>
      <c r="F261">
        <v>0</v>
      </c>
      <c r="G261">
        <v>0.84870434038721854</v>
      </c>
      <c r="H261">
        <v>217.47327000000223</v>
      </c>
      <c r="I261">
        <v>-10.979435374958136</v>
      </c>
      <c r="J261">
        <v>0.79624677596255022</v>
      </c>
      <c r="K261">
        <v>2.1614078787952851</v>
      </c>
      <c r="L261">
        <v>-0.4097747038898647</v>
      </c>
      <c r="M261">
        <v>-0.28716647614250856</v>
      </c>
      <c r="N261">
        <v>0.85484141530129953</v>
      </c>
      <c r="O261">
        <v>5.2140250000000388E-2</v>
      </c>
      <c r="P261">
        <v>1.2258306715434264</v>
      </c>
      <c r="Q261">
        <v>1.0854041068206977</v>
      </c>
      <c r="R261">
        <v>0.65192398237789995</v>
      </c>
      <c r="S261">
        <v>1.5287654799311934</v>
      </c>
      <c r="T261">
        <v>1.1257124589927558</v>
      </c>
      <c r="U261">
        <v>4.5799536183135814</v>
      </c>
      <c r="V261">
        <v>0.96030474812107691</v>
      </c>
      <c r="W261">
        <v>0.30638337901562895</v>
      </c>
      <c r="X261">
        <v>-0.58943519000000111</v>
      </c>
      <c r="Y261">
        <v>0.35009870000000004</v>
      </c>
      <c r="Z261">
        <v>0.51578381500000003</v>
      </c>
    </row>
    <row r="262" spans="1:26">
      <c r="A262" s="54" t="str">
        <f>CONCATENATE(raw[[#This Row],[redis_ls]],raw[[#This Row],[wage_eq]],raw[[#This Row],[flex]],raw[[#This Row],[expo]],raw[[#This Row],[_date_]])</f>
        <v>111038353</v>
      </c>
      <c r="B262" s="1">
        <v>38353</v>
      </c>
      <c r="C262">
        <v>1</v>
      </c>
      <c r="D262">
        <v>1</v>
      </c>
      <c r="E262">
        <v>1</v>
      </c>
      <c r="F262">
        <v>0</v>
      </c>
      <c r="G262">
        <v>0.96422084880081194</v>
      </c>
      <c r="H262">
        <v>255.70503000000099</v>
      </c>
      <c r="I262">
        <v>-11.350754803907604</v>
      </c>
      <c r="J262">
        <v>1.0407859869756564</v>
      </c>
      <c r="K262">
        <v>2.5036600384807706</v>
      </c>
      <c r="L262">
        <v>-0.58728135603414167</v>
      </c>
      <c r="M262">
        <v>-0.11861770916348213</v>
      </c>
      <c r="N262">
        <v>1.0845878733023007</v>
      </c>
      <c r="O262">
        <v>3.8887390000000299E-2</v>
      </c>
      <c r="P262">
        <v>1.5892284269488854</v>
      </c>
      <c r="Q262">
        <v>1.5261131271161466</v>
      </c>
      <c r="R262">
        <v>1.2056230447670346</v>
      </c>
      <c r="S262">
        <v>1.862735393298931</v>
      </c>
      <c r="T262">
        <v>1.4260182762373397</v>
      </c>
      <c r="U262">
        <v>6.5392299391013653</v>
      </c>
      <c r="V262">
        <v>1.4105776774331114</v>
      </c>
      <c r="W262">
        <v>0.20251307326741852</v>
      </c>
      <c r="X262">
        <v>-0.67886545999999992</v>
      </c>
      <c r="Y262">
        <v>0.38360851000000007</v>
      </c>
      <c r="Z262">
        <v>0.67282389499999995</v>
      </c>
    </row>
    <row r="263" spans="1:26">
      <c r="A263" s="54" t="str">
        <f>CONCATENATE(raw[[#This Row],[redis_ls]],raw[[#This Row],[wage_eq]],raw[[#This Row],[flex]],raw[[#This Row],[expo]],raw[[#This Row],[_date_]])</f>
        <v>111038718</v>
      </c>
      <c r="B263" s="1">
        <v>38718</v>
      </c>
      <c r="C263">
        <v>1</v>
      </c>
      <c r="D263">
        <v>1</v>
      </c>
      <c r="E263">
        <v>1</v>
      </c>
      <c r="F263">
        <v>0</v>
      </c>
      <c r="G263">
        <v>1.0536773158627222</v>
      </c>
      <c r="H263">
        <v>283.77930999999808</v>
      </c>
      <c r="I263">
        <v>-11.434822451713744</v>
      </c>
      <c r="J263">
        <v>1.2819890784153687</v>
      </c>
      <c r="K263">
        <v>2.7986908237246366</v>
      </c>
      <c r="L263">
        <v>-0.78472780979974566</v>
      </c>
      <c r="M263">
        <v>7.8414494489709163E-2</v>
      </c>
      <c r="N263">
        <v>1.3130585903854852</v>
      </c>
      <c r="O263">
        <v>2.7521979999999002E-2</v>
      </c>
      <c r="P263">
        <v>1.9768246501063569</v>
      </c>
      <c r="Q263">
        <v>1.9931254192681935</v>
      </c>
      <c r="R263">
        <v>1.7905624365793127</v>
      </c>
      <c r="S263">
        <v>2.2200822648850371</v>
      </c>
      <c r="T263">
        <v>1.7194403008711667</v>
      </c>
      <c r="U263">
        <v>8.8028466162796803</v>
      </c>
      <c r="V263">
        <v>1.9210393521973179</v>
      </c>
      <c r="W263">
        <v>0.12818172930495475</v>
      </c>
      <c r="X263">
        <v>-0.74077726999999949</v>
      </c>
      <c r="Y263">
        <v>0.41056000999999986</v>
      </c>
      <c r="Z263">
        <v>0.82016488700000001</v>
      </c>
    </row>
    <row r="264" spans="1:26">
      <c r="A264" s="54" t="str">
        <f>CONCATENATE(raw[[#This Row],[redis_ls]],raw[[#This Row],[wage_eq]],raw[[#This Row],[flex]],raw[[#This Row],[expo]],raw[[#This Row],[_date_]])</f>
        <v>111039083</v>
      </c>
      <c r="B264" s="1">
        <v>39083</v>
      </c>
      <c r="C264">
        <v>1</v>
      </c>
      <c r="D264">
        <v>1</v>
      </c>
      <c r="E264">
        <v>1</v>
      </c>
      <c r="F264">
        <v>0</v>
      </c>
      <c r="G264">
        <v>1.1236517291753234</v>
      </c>
      <c r="H264">
        <v>303.07675000000017</v>
      </c>
      <c r="I264">
        <v>-11.349977723519778</v>
      </c>
      <c r="J264">
        <v>1.5172430465420605</v>
      </c>
      <c r="K264">
        <v>3.0652077314504034</v>
      </c>
      <c r="L264">
        <v>-0.99640830502106814</v>
      </c>
      <c r="M264">
        <v>0.28987247403895466</v>
      </c>
      <c r="N264">
        <v>1.5376261491266696</v>
      </c>
      <c r="O264">
        <v>1.801658000000067E-2</v>
      </c>
      <c r="P264">
        <v>2.377202640692766</v>
      </c>
      <c r="Q264">
        <v>2.4730207483845357</v>
      </c>
      <c r="R264">
        <v>2.3922580900023638</v>
      </c>
      <c r="S264">
        <v>2.5888977441963279</v>
      </c>
      <c r="T264">
        <v>2.0003638933032697</v>
      </c>
      <c r="U264">
        <v>11.34288952673459</v>
      </c>
      <c r="V264">
        <v>2.4797642961883692</v>
      </c>
      <c r="W264">
        <v>8.546174259587147E-2</v>
      </c>
      <c r="X264">
        <v>-0.78011082000000043</v>
      </c>
      <c r="Y264">
        <v>0.43318882000000014</v>
      </c>
      <c r="Z264">
        <v>0.9561410680000002</v>
      </c>
    </row>
    <row r="265" spans="1:26">
      <c r="A265" s="54" t="str">
        <f>CONCATENATE(raw[[#This Row],[redis_ls]],raw[[#This Row],[wage_eq]],raw[[#This Row],[flex]],raw[[#This Row],[expo]],raw[[#This Row],[_date_]])</f>
        <v>111039448</v>
      </c>
      <c r="B265" s="1">
        <v>39448</v>
      </c>
      <c r="C265">
        <v>1</v>
      </c>
      <c r="D265">
        <v>1</v>
      </c>
      <c r="E265">
        <v>1</v>
      </c>
      <c r="F265">
        <v>0</v>
      </c>
      <c r="G265">
        <v>1.1780482307915729</v>
      </c>
      <c r="H265">
        <v>314.93343000000095</v>
      </c>
      <c r="I265">
        <v>-11.168377096418558</v>
      </c>
      <c r="J265">
        <v>1.7432925793285703</v>
      </c>
      <c r="K265">
        <v>3.3157155645961778</v>
      </c>
      <c r="L265">
        <v>-1.2170710672247287</v>
      </c>
      <c r="M265">
        <v>0.50588661788495415</v>
      </c>
      <c r="N265">
        <v>1.7543258246055737</v>
      </c>
      <c r="O265">
        <v>9.7317999999999016E-3</v>
      </c>
      <c r="P265">
        <v>2.781839427151378</v>
      </c>
      <c r="Q265">
        <v>2.955689228496583</v>
      </c>
      <c r="R265">
        <v>2.9998040664243719</v>
      </c>
      <c r="S265">
        <v>2.9602499336017329</v>
      </c>
      <c r="T265">
        <v>2.2650596235113563</v>
      </c>
      <c r="U265">
        <v>14.129577859954413</v>
      </c>
      <c r="V265">
        <v>3.07298805904761</v>
      </c>
      <c r="W265">
        <v>7.1052520435066491E-2</v>
      </c>
      <c r="X265">
        <v>-0.80094204000000091</v>
      </c>
      <c r="Y265">
        <v>0.45302129000000035</v>
      </c>
      <c r="Z265">
        <v>1.0793221899999998</v>
      </c>
    </row>
    <row r="266" spans="1:26">
      <c r="A266" s="54" t="str">
        <f>CONCATENATE(raw[[#This Row],[redis_ls]],raw[[#This Row],[wage_eq]],raw[[#This Row],[flex]],raw[[#This Row],[expo]],raw[[#This Row],[_date_]])</f>
        <v>111039814</v>
      </c>
      <c r="B266" s="1">
        <v>39814</v>
      </c>
      <c r="C266">
        <v>1</v>
      </c>
      <c r="D266">
        <v>1</v>
      </c>
      <c r="E266">
        <v>1</v>
      </c>
      <c r="F266">
        <v>0</v>
      </c>
      <c r="G266">
        <v>1.219035922360856</v>
      </c>
      <c r="H266">
        <v>320.41883999999845</v>
      </c>
      <c r="I266">
        <v>-10.935301081020143</v>
      </c>
      <c r="J266">
        <v>1.9566868392937753</v>
      </c>
      <c r="K266">
        <v>3.5576343713192182</v>
      </c>
      <c r="L266">
        <v>-1.4420335544718221</v>
      </c>
      <c r="M266">
        <v>0.71912632425159551</v>
      </c>
      <c r="N266">
        <v>1.9593031970618568</v>
      </c>
      <c r="O266">
        <v>2.3031000000006685E-3</v>
      </c>
      <c r="P266">
        <v>3.1837203434240902</v>
      </c>
      <c r="Q266">
        <v>3.4327650476349225</v>
      </c>
      <c r="R266">
        <v>3.604056075960882</v>
      </c>
      <c r="S266">
        <v>3.326855062848022</v>
      </c>
      <c r="T266">
        <v>2.5106229531974167</v>
      </c>
      <c r="U266">
        <v>17.131181296556996</v>
      </c>
      <c r="V266">
        <v>3.6868406649064989</v>
      </c>
      <c r="W266">
        <v>7.9904769077265847E-2</v>
      </c>
      <c r="X266">
        <v>-0.80625668999999989</v>
      </c>
      <c r="Y266">
        <v>0.47106340999999996</v>
      </c>
      <c r="Z266">
        <v>1.18879405</v>
      </c>
    </row>
    <row r="267" spans="1:26">
      <c r="A267" s="54" t="str">
        <f>CONCATENATE(raw[[#This Row],[redis_ls]],raw[[#This Row],[wage_eq]],raw[[#This Row],[flex]],raw[[#This Row],[expo]],raw[[#This Row],[_date_]])</f>
        <v>111040179</v>
      </c>
      <c r="B267" s="1">
        <v>40179</v>
      </c>
      <c r="C267">
        <v>1</v>
      </c>
      <c r="D267">
        <v>1</v>
      </c>
      <c r="E267">
        <v>1</v>
      </c>
      <c r="F267">
        <v>0</v>
      </c>
      <c r="G267">
        <v>1.24793071716367</v>
      </c>
      <c r="H267">
        <v>320.34879999999976</v>
      </c>
      <c r="I267">
        <v>-10.679720228529455</v>
      </c>
      <c r="J267">
        <v>2.1544035048142396</v>
      </c>
      <c r="K267">
        <v>3.7948547481447825</v>
      </c>
      <c r="L267">
        <v>-1.6671452338836379</v>
      </c>
      <c r="M267">
        <v>0.92412462632247561</v>
      </c>
      <c r="N267">
        <v>2.149484347187669</v>
      </c>
      <c r="O267">
        <v>-4.3219100000005395E-3</v>
      </c>
      <c r="P267">
        <v>3.5766211386319968</v>
      </c>
      <c r="Q267">
        <v>3.8967914391118796</v>
      </c>
      <c r="R267">
        <v>4.19664259943342</v>
      </c>
      <c r="S267">
        <v>3.6823685455782185</v>
      </c>
      <c r="T267">
        <v>2.7344197381782731</v>
      </c>
      <c r="U267">
        <v>20.313954453640235</v>
      </c>
      <c r="V267">
        <v>4.3082079358280012</v>
      </c>
      <c r="W267">
        <v>0.1070719048327673</v>
      </c>
      <c r="X267">
        <v>-0.79822209999999982</v>
      </c>
      <c r="Y267">
        <v>0.4878511000000002</v>
      </c>
      <c r="Z267">
        <v>1.2842221899999999</v>
      </c>
    </row>
    <row r="268" spans="1:26">
      <c r="A268" s="54" t="str">
        <f>CONCATENATE(raw[[#This Row],[redis_ls]],raw[[#This Row],[wage_eq]],raw[[#This Row],[flex]],raw[[#This Row],[expo]],raw[[#This Row],[_date_]])</f>
        <v>111040544</v>
      </c>
      <c r="B268" s="1">
        <v>40544</v>
      </c>
      <c r="C268">
        <v>1</v>
      </c>
      <c r="D268">
        <v>1</v>
      </c>
      <c r="E268">
        <v>1</v>
      </c>
      <c r="F268">
        <v>0</v>
      </c>
      <c r="G268">
        <v>1.2657576478474875</v>
      </c>
      <c r="H268">
        <v>315.3748599999999</v>
      </c>
      <c r="I268">
        <v>-10.420196359399581</v>
      </c>
      <c r="J268">
        <v>2.3341726249392458</v>
      </c>
      <c r="K268">
        <v>4.0290456742794856</v>
      </c>
      <c r="L268">
        <v>-1.8887123044383114</v>
      </c>
      <c r="M268">
        <v>1.1169245542691719</v>
      </c>
      <c r="N268">
        <v>2.3226899589312788</v>
      </c>
      <c r="O268">
        <v>-1.007026000000022E-2</v>
      </c>
      <c r="P268">
        <v>3.9548461825087422</v>
      </c>
      <c r="Q268">
        <v>4.34092858578361</v>
      </c>
      <c r="R268">
        <v>4.7696106347369538</v>
      </c>
      <c r="S268">
        <v>4.0211269462377075</v>
      </c>
      <c r="T268">
        <v>2.9339559456588393</v>
      </c>
      <c r="U268">
        <v>23.642231826942517</v>
      </c>
      <c r="V268">
        <v>4.9250543386943235</v>
      </c>
      <c r="W268">
        <v>0.14836718363671064</v>
      </c>
      <c r="X268">
        <v>-0.7785437499999992</v>
      </c>
      <c r="Y268">
        <v>0.50351289999999993</v>
      </c>
      <c r="Z268">
        <v>1.3657374400000002</v>
      </c>
    </row>
    <row r="269" spans="1:26">
      <c r="A269" s="54" t="str">
        <f>CONCATENATE(raw[[#This Row],[redis_ls]],raw[[#This Row],[wage_eq]],raw[[#This Row],[flex]],raw[[#This Row],[expo]],raw[[#This Row],[_date_]])</f>
        <v>111040909</v>
      </c>
      <c r="B269" s="1">
        <v>40909</v>
      </c>
      <c r="C269">
        <v>1</v>
      </c>
      <c r="D269">
        <v>1</v>
      </c>
      <c r="E269">
        <v>1</v>
      </c>
      <c r="F269">
        <v>0</v>
      </c>
      <c r="G269">
        <v>1.2735157949629095</v>
      </c>
      <c r="H269">
        <v>306.07144999999946</v>
      </c>
      <c r="I269">
        <v>-10.168331323123848</v>
      </c>
      <c r="J269">
        <v>2.4944970900342867</v>
      </c>
      <c r="K269">
        <v>4.2605435090294241</v>
      </c>
      <c r="L269">
        <v>-2.1034407339689754</v>
      </c>
      <c r="M269">
        <v>1.2948023280635601</v>
      </c>
      <c r="N269">
        <v>2.4774894476163434</v>
      </c>
      <c r="O269">
        <v>-1.4890589999999593E-2</v>
      </c>
      <c r="P269">
        <v>4.3132118397205765</v>
      </c>
      <c r="Q269">
        <v>4.7589671902708686</v>
      </c>
      <c r="R269">
        <v>5.3154389831796545</v>
      </c>
      <c r="S269">
        <v>4.3381346017829614</v>
      </c>
      <c r="T269">
        <v>3.1069804892614128</v>
      </c>
      <c r="U269">
        <v>27.078719293036691</v>
      </c>
      <c r="V269">
        <v>5.5265145405660743</v>
      </c>
      <c r="W269">
        <v>0.20042223649445745</v>
      </c>
      <c r="X269">
        <v>-0.74873659000000004</v>
      </c>
      <c r="Y269">
        <v>0.51786809000000034</v>
      </c>
      <c r="Z269">
        <v>1.4337529599999996</v>
      </c>
    </row>
    <row r="270" spans="1:26">
      <c r="A270" s="54" t="str">
        <f>CONCATENATE(raw[[#This Row],[redis_ls]],raw[[#This Row],[wage_eq]],raw[[#This Row],[flex]],raw[[#This Row],[expo]],raw[[#This Row],[_date_]])</f>
        <v>111041275</v>
      </c>
      <c r="B270" s="1">
        <v>41275</v>
      </c>
      <c r="C270">
        <v>1</v>
      </c>
      <c r="D270">
        <v>1</v>
      </c>
      <c r="E270">
        <v>1</v>
      </c>
      <c r="F270">
        <v>0</v>
      </c>
      <c r="G270">
        <v>1.2722529416069772</v>
      </c>
      <c r="H270">
        <v>292.9933400000009</v>
      </c>
      <c r="I270">
        <v>-9.9309158416126522</v>
      </c>
      <c r="J270">
        <v>2.6345087790212718</v>
      </c>
      <c r="K270">
        <v>4.4888794737003357</v>
      </c>
      <c r="L270">
        <v>-2.3084124874795386</v>
      </c>
      <c r="M270">
        <v>1.4560127849468918</v>
      </c>
      <c r="N270">
        <v>2.6129941140845103</v>
      </c>
      <c r="O270">
        <v>-1.8807650000000897E-2</v>
      </c>
      <c r="P270">
        <v>4.6471295416710579</v>
      </c>
      <c r="Q270">
        <v>5.145467480871635</v>
      </c>
      <c r="R270">
        <v>5.8272149104917181</v>
      </c>
      <c r="S270">
        <v>4.6291481604570972</v>
      </c>
      <c r="T270">
        <v>3.2516665940045764</v>
      </c>
      <c r="U270">
        <v>30.584980307724873</v>
      </c>
      <c r="V270">
        <v>6.1029237602255426</v>
      </c>
      <c r="W270">
        <v>0.26052735244128655</v>
      </c>
      <c r="X270">
        <v>-0.71027748000000024</v>
      </c>
      <c r="Y270">
        <v>0.53054220000000041</v>
      </c>
      <c r="Z270">
        <v>1.4887961100000002</v>
      </c>
    </row>
    <row r="271" spans="1:26">
      <c r="A271" s="54" t="str">
        <f>CONCATENATE(raw[[#This Row],[redis_ls]],raw[[#This Row],[wage_eq]],raw[[#This Row],[flex]],raw[[#This Row],[expo]],raw[[#This Row],[_date_]])</f>
        <v>111041640</v>
      </c>
      <c r="B271" s="1">
        <v>41640</v>
      </c>
      <c r="C271">
        <v>1</v>
      </c>
      <c r="D271">
        <v>1</v>
      </c>
      <c r="E271">
        <v>1</v>
      </c>
      <c r="F271">
        <v>0</v>
      </c>
      <c r="G271">
        <v>1.2630492823979989</v>
      </c>
      <c r="H271">
        <v>276.70280999999886</v>
      </c>
      <c r="I271">
        <v>-9.7113622833829396</v>
      </c>
      <c r="J271">
        <v>2.7537889392244441</v>
      </c>
      <c r="K271">
        <v>4.7130677034232793</v>
      </c>
      <c r="L271">
        <v>-2.5010884516974863</v>
      </c>
      <c r="M271">
        <v>1.5995644902671691</v>
      </c>
      <c r="N271">
        <v>2.7286883806179718</v>
      </c>
      <c r="O271">
        <v>-2.1912039999999466E-2</v>
      </c>
      <c r="P271">
        <v>4.9527075909647555</v>
      </c>
      <c r="Q271">
        <v>5.4959147392017904</v>
      </c>
      <c r="R271">
        <v>6.2988496215114376</v>
      </c>
      <c r="S271">
        <v>4.8907698389868637</v>
      </c>
      <c r="T271">
        <v>3.3667751157456349</v>
      </c>
      <c r="U271">
        <v>34.122089429473078</v>
      </c>
      <c r="V271">
        <v>6.6458532711257678</v>
      </c>
      <c r="W271">
        <v>0.32644159330079692</v>
      </c>
      <c r="X271">
        <v>-0.66466345999999998</v>
      </c>
      <c r="Y271">
        <v>0.54107704000000001</v>
      </c>
      <c r="Z271">
        <v>1.5313957199999999</v>
      </c>
    </row>
    <row r="272" spans="1:26">
      <c r="A272" s="54" t="str">
        <f>CONCATENATE(raw[[#This Row],[redis_ls]],raw[[#This Row],[wage_eq]],raw[[#This Row],[flex]],raw[[#This Row],[expo]],raw[[#This Row],[_date_]])</f>
        <v>111042005</v>
      </c>
      <c r="B272" s="1">
        <v>42005</v>
      </c>
      <c r="C272">
        <v>1</v>
      </c>
      <c r="D272">
        <v>1</v>
      </c>
      <c r="E272">
        <v>1</v>
      </c>
      <c r="F272">
        <v>0</v>
      </c>
      <c r="G272">
        <v>1.2469754859596671</v>
      </c>
      <c r="H272">
        <v>257.77584000000206</v>
      </c>
      <c r="I272">
        <v>-9.5107139838698114</v>
      </c>
      <c r="J272">
        <v>2.852224976235096</v>
      </c>
      <c r="K272">
        <v>4.9317640166069765</v>
      </c>
      <c r="L272">
        <v>-2.6793252761692643</v>
      </c>
      <c r="M272">
        <v>1.7250386867721179</v>
      </c>
      <c r="N272">
        <v>2.8243276681479745</v>
      </c>
      <c r="O272">
        <v>-2.4324039999999714E-2</v>
      </c>
      <c r="P272">
        <v>5.2268329308406747</v>
      </c>
      <c r="Q272">
        <v>5.8068387260693077</v>
      </c>
      <c r="R272">
        <v>6.7252679722450193</v>
      </c>
      <c r="S272">
        <v>5.1205095921366794</v>
      </c>
      <c r="T272">
        <v>3.4517577493776486</v>
      </c>
      <c r="U272">
        <v>37.651410075996729</v>
      </c>
      <c r="V272">
        <v>7.148160484961319</v>
      </c>
      <c r="W272">
        <v>0.3962440514392318</v>
      </c>
      <c r="X272">
        <v>-0.61341371000000056</v>
      </c>
      <c r="Y272">
        <v>0.54902120999999959</v>
      </c>
      <c r="Z272">
        <v>1.5620320700000003</v>
      </c>
    </row>
    <row r="273" spans="1:26">
      <c r="A273" s="54" t="str">
        <f>CONCATENATE(raw[[#This Row],[redis_ls]],raw[[#This Row],[wage_eq]],raw[[#This Row],[flex]],raw[[#This Row],[expo]],raw[[#This Row],[_date_]])</f>
        <v>111042370</v>
      </c>
      <c r="B273" s="1">
        <v>42370</v>
      </c>
      <c r="C273">
        <v>1</v>
      </c>
      <c r="D273">
        <v>1</v>
      </c>
      <c r="E273">
        <v>1</v>
      </c>
      <c r="F273">
        <v>0</v>
      </c>
      <c r="G273">
        <v>1.2250569027664193</v>
      </c>
      <c r="H273">
        <v>236.79678000000058</v>
      </c>
      <c r="I273">
        <v>-9.3283836667950268</v>
      </c>
      <c r="J273">
        <v>2.929928929706116</v>
      </c>
      <c r="K273">
        <v>5.1433701987920077</v>
      </c>
      <c r="L273">
        <v>-2.8413935528350032</v>
      </c>
      <c r="M273">
        <v>1.8324551607659778</v>
      </c>
      <c r="N273">
        <v>2.899896767475707</v>
      </c>
      <c r="O273">
        <v>-2.6158600000000809E-2</v>
      </c>
      <c r="P273">
        <v>5.4672188088858986</v>
      </c>
      <c r="Q273">
        <v>6.0758759337570467</v>
      </c>
      <c r="R273">
        <v>7.1025452721994009</v>
      </c>
      <c r="S273">
        <v>5.316801389356085</v>
      </c>
      <c r="T273">
        <v>3.506792183414853</v>
      </c>
      <c r="U273">
        <v>41.135447841956974</v>
      </c>
      <c r="V273">
        <v>7.6040421317439932</v>
      </c>
      <c r="W273">
        <v>0.46823991227606943</v>
      </c>
      <c r="X273">
        <v>-0.55804569000000026</v>
      </c>
      <c r="Y273">
        <v>0.55399538999999987</v>
      </c>
      <c r="Z273">
        <v>1.5811369400000004</v>
      </c>
    </row>
    <row r="274" spans="1:26">
      <c r="A274" s="54" t="str">
        <f>CONCATENATE(raw[[#This Row],[redis_ls]],raw[[#This Row],[wage_eq]],raw[[#This Row],[flex]],raw[[#This Row],[expo]],raw[[#This Row],[_date_]])</f>
        <v>111042736</v>
      </c>
      <c r="B274" s="1">
        <v>42736</v>
      </c>
      <c r="C274">
        <v>1</v>
      </c>
      <c r="D274">
        <v>1</v>
      </c>
      <c r="E274">
        <v>1</v>
      </c>
      <c r="F274">
        <v>0</v>
      </c>
      <c r="G274">
        <v>1.1982527248712627</v>
      </c>
      <c r="H274">
        <v>214.34846000000107</v>
      </c>
      <c r="I274">
        <v>-9.1627059900703411</v>
      </c>
      <c r="J274">
        <v>2.9872091856116612</v>
      </c>
      <c r="K274">
        <v>5.3461223172283079</v>
      </c>
      <c r="L274">
        <v>-2.9859891222805746</v>
      </c>
      <c r="M274">
        <v>1.9221772905704482</v>
      </c>
      <c r="N274">
        <v>2.9556065167908541</v>
      </c>
      <c r="O274">
        <v>-2.7503739999999721E-2</v>
      </c>
      <c r="P274">
        <v>5.6724165868717202</v>
      </c>
      <c r="Q274">
        <v>6.3017721478344724</v>
      </c>
      <c r="R274">
        <v>7.4279832601424678</v>
      </c>
      <c r="S274">
        <v>5.478973593508818</v>
      </c>
      <c r="T274">
        <v>3.5327557056504144</v>
      </c>
      <c r="U274">
        <v>44.53871755330043</v>
      </c>
      <c r="V274">
        <v>8.009074771391278</v>
      </c>
      <c r="W274">
        <v>0.5409126159509059</v>
      </c>
      <c r="X274">
        <v>-0.50004366999999994</v>
      </c>
      <c r="Y274">
        <v>0.55573306</v>
      </c>
      <c r="Z274">
        <v>1.5891239199999998</v>
      </c>
    </row>
    <row r="275" spans="1:26">
      <c r="A275" s="54" t="str">
        <f>CONCATENATE(raw[[#This Row],[redis_ls]],raw[[#This Row],[wage_eq]],raw[[#This Row],[flex]],raw[[#This Row],[expo]],raw[[#This Row],[_date_]])</f>
        <v>111043101</v>
      </c>
      <c r="B275" s="1">
        <v>43101</v>
      </c>
      <c r="C275">
        <v>1</v>
      </c>
      <c r="D275">
        <v>1</v>
      </c>
      <c r="E275">
        <v>1</v>
      </c>
      <c r="F275">
        <v>0</v>
      </c>
      <c r="G275">
        <v>1.1674479170237451</v>
      </c>
      <c r="H275">
        <v>191.00117999999929</v>
      </c>
      <c r="I275">
        <v>-9.0113562271961438</v>
      </c>
      <c r="J275">
        <v>3.0245741954947336</v>
      </c>
      <c r="K275">
        <v>5.5381779046028923</v>
      </c>
      <c r="L275">
        <v>-3.1122328789929377</v>
      </c>
      <c r="M275">
        <v>1.9948442607369721</v>
      </c>
      <c r="N275">
        <v>2.9919048678893612</v>
      </c>
      <c r="O275">
        <v>-2.8414129999999871E-2</v>
      </c>
      <c r="P275">
        <v>5.8417950100279059</v>
      </c>
      <c r="Q275">
        <v>6.4843319086546947</v>
      </c>
      <c r="R275">
        <v>7.700126834081189</v>
      </c>
      <c r="S275">
        <v>5.6071821387793541</v>
      </c>
      <c r="T275">
        <v>3.5311534475450657</v>
      </c>
      <c r="U275">
        <v>47.828566227612356</v>
      </c>
      <c r="V275">
        <v>8.3602294226783549</v>
      </c>
      <c r="W275">
        <v>0.6129078985861014</v>
      </c>
      <c r="X275">
        <v>-0.44082802999999976</v>
      </c>
      <c r="Y275">
        <v>0.5541007</v>
      </c>
      <c r="Z275">
        <v>1.5864288900000003</v>
      </c>
    </row>
    <row r="276" spans="1:26">
      <c r="A276" s="54" t="str">
        <f>CONCATENATE(raw[[#This Row],[redis_ls]],raw[[#This Row],[wage_eq]],raw[[#This Row],[flex]],raw[[#This Row],[expo]],raw[[#This Row],[_date_]])</f>
        <v>111043466</v>
      </c>
      <c r="B276" s="1">
        <v>43466</v>
      </c>
      <c r="C276">
        <v>1</v>
      </c>
      <c r="D276">
        <v>1</v>
      </c>
      <c r="E276">
        <v>1</v>
      </c>
      <c r="F276">
        <v>0</v>
      </c>
      <c r="G276">
        <v>1.1334524144106739</v>
      </c>
      <c r="H276">
        <v>167.30166000000099</v>
      </c>
      <c r="I276">
        <v>-8.871670042740476</v>
      </c>
      <c r="J276">
        <v>3.0427458360736237</v>
      </c>
      <c r="K276">
        <v>5.7177024366528384</v>
      </c>
      <c r="L276">
        <v>-3.2196578098216633</v>
      </c>
      <c r="M276">
        <v>2.0513179794374725</v>
      </c>
      <c r="N276">
        <v>3.0094851573062131</v>
      </c>
      <c r="O276">
        <v>-2.8916209999998999E-2</v>
      </c>
      <c r="P276">
        <v>5.9754913357575212</v>
      </c>
      <c r="Q276">
        <v>6.6243250230809236</v>
      </c>
      <c r="R276">
        <v>7.9187270118695752</v>
      </c>
      <c r="S276">
        <v>5.7023134235397066</v>
      </c>
      <c r="T276">
        <v>3.5040157588807075</v>
      </c>
      <c r="U276">
        <v>50.975895209285468</v>
      </c>
      <c r="V276">
        <v>8.655851832405137</v>
      </c>
      <c r="W276">
        <v>0.68303696194715879</v>
      </c>
      <c r="X276">
        <v>-0.38172694000000035</v>
      </c>
      <c r="Y276">
        <v>0.54910201000000003</v>
      </c>
      <c r="Z276">
        <v>1.5735453800000008</v>
      </c>
    </row>
    <row r="277" spans="1:26">
      <c r="A277" s="54" t="str">
        <f>CONCATENATE(raw[[#This Row],[redis_ls]],raw[[#This Row],[wage_eq]],raw[[#This Row],[flex]],raw[[#This Row],[expo]],raw[[#This Row],[_date_]])</f>
        <v>111043831</v>
      </c>
      <c r="B277" s="1">
        <v>43831</v>
      </c>
      <c r="C277">
        <v>1</v>
      </c>
      <c r="D277">
        <v>1</v>
      </c>
      <c r="E277">
        <v>1</v>
      </c>
      <c r="F277">
        <v>0</v>
      </c>
      <c r="G277">
        <v>1.0970023985814148</v>
      </c>
      <c r="H277">
        <v>143.76221000000078</v>
      </c>
      <c r="I277">
        <v>-8.7408878874611133</v>
      </c>
      <c r="J277">
        <v>3.0426662100887736</v>
      </c>
      <c r="K277">
        <v>5.8829498334587171</v>
      </c>
      <c r="L277">
        <v>-3.3081838417563514</v>
      </c>
      <c r="M277">
        <v>2.0926357163480125</v>
      </c>
      <c r="N277">
        <v>3.0092796429567636</v>
      </c>
      <c r="O277">
        <v>-2.9019319999999682E-2</v>
      </c>
      <c r="P277">
        <v>6.0743405057269939</v>
      </c>
      <c r="Q277">
        <v>6.7233615515950085</v>
      </c>
      <c r="R277">
        <v>8.0846580904602838</v>
      </c>
      <c r="S277">
        <v>5.765870437569931</v>
      </c>
      <c r="T277">
        <v>3.4537789217031101</v>
      </c>
      <c r="U277">
        <v>53.955738730975611</v>
      </c>
      <c r="V277">
        <v>8.8956047612923417</v>
      </c>
      <c r="W277">
        <v>0.75028844472102563</v>
      </c>
      <c r="X277">
        <v>-0.32395012000000012</v>
      </c>
      <c r="Y277">
        <v>0.54087083999999963</v>
      </c>
      <c r="Z277">
        <v>1.5510458200000001</v>
      </c>
    </row>
    <row r="278" spans="1:26">
      <c r="A278" s="54" t="str">
        <f>CONCATENATE(raw[[#This Row],[redis_ls]],raw[[#This Row],[wage_eq]],raw[[#This Row],[flex]],raw[[#This Row],[expo]],raw[[#This Row],[_date_]])</f>
        <v>111044197</v>
      </c>
      <c r="B278" s="1">
        <v>44197</v>
      </c>
      <c r="C278">
        <v>1</v>
      </c>
      <c r="D278">
        <v>1</v>
      </c>
      <c r="E278">
        <v>1</v>
      </c>
      <c r="F278">
        <v>0</v>
      </c>
      <c r="G278">
        <v>1.0587596781358899</v>
      </c>
      <c r="H278">
        <v>120.84964000000036</v>
      </c>
      <c r="I278">
        <v>-8.6163400939329176</v>
      </c>
      <c r="J278">
        <v>3.0254879702237947</v>
      </c>
      <c r="K278">
        <v>6.0323314116148552</v>
      </c>
      <c r="L278">
        <v>-3.3780828220156711</v>
      </c>
      <c r="M278">
        <v>2.1199637050580922</v>
      </c>
      <c r="N278">
        <v>2.9924357133617852</v>
      </c>
      <c r="O278">
        <v>-2.872813999999918E-2</v>
      </c>
      <c r="P278">
        <v>6.1397867907066139</v>
      </c>
      <c r="Q278">
        <v>6.7837469045281873</v>
      </c>
      <c r="R278">
        <v>8.1997976672189665</v>
      </c>
      <c r="S278">
        <v>5.7998481240117972</v>
      </c>
      <c r="T278">
        <v>3.3831608658870582</v>
      </c>
      <c r="U278">
        <v>56.747667874546707</v>
      </c>
      <c r="V278">
        <v>9.0803726772870732</v>
      </c>
      <c r="W278">
        <v>0.81384163265474374</v>
      </c>
      <c r="X278">
        <v>-0.26856407999999998</v>
      </c>
      <c r="Y278">
        <v>0.5296566199999998</v>
      </c>
      <c r="Z278">
        <v>1.5195858000000007</v>
      </c>
    </row>
    <row r="279" spans="1:26">
      <c r="A279" s="54" t="str">
        <f>CONCATENATE(raw[[#This Row],[redis_ls]],raw[[#This Row],[wage_eq]],raw[[#This Row],[flex]],raw[[#This Row],[expo]],raw[[#This Row],[_date_]])</f>
        <v>111044562</v>
      </c>
      <c r="B279" s="1">
        <v>44562</v>
      </c>
      <c r="C279">
        <v>1</v>
      </c>
      <c r="D279">
        <v>1</v>
      </c>
      <c r="E279">
        <v>1</v>
      </c>
      <c r="F279">
        <v>0</v>
      </c>
      <c r="G279">
        <v>1.0193091620551487</v>
      </c>
      <c r="H279">
        <v>98.97443000000203</v>
      </c>
      <c r="I279">
        <v>-8.4955833617994863</v>
      </c>
      <c r="J279">
        <v>2.9925468254843768</v>
      </c>
      <c r="K279">
        <v>6.1644696314330005</v>
      </c>
      <c r="L279">
        <v>-3.4299358199094132</v>
      </c>
      <c r="M279">
        <v>2.1345504697031226</v>
      </c>
      <c r="N279">
        <v>2.9602768157965365</v>
      </c>
      <c r="O279">
        <v>-2.8052719999999143E-2</v>
      </c>
      <c r="P279">
        <v>6.1737843075469367</v>
      </c>
      <c r="Q279">
        <v>6.8083279570134936</v>
      </c>
      <c r="R279">
        <v>8.2668794544400903</v>
      </c>
      <c r="S279">
        <v>5.8066088177642916</v>
      </c>
      <c r="T279">
        <v>3.2950399254326967</v>
      </c>
      <c r="U279">
        <v>59.336006686431951</v>
      </c>
      <c r="V279">
        <v>9.212131255057777</v>
      </c>
      <c r="W279">
        <v>0.87307566916086099</v>
      </c>
      <c r="X279">
        <v>-0.21646946000000028</v>
      </c>
      <c r="Y279">
        <v>0.51580487000000008</v>
      </c>
      <c r="Z279">
        <v>1.4798938599999991</v>
      </c>
    </row>
    <row r="280" spans="1:26">
      <c r="A280" s="54" t="str">
        <f>CONCATENATE(raw[[#This Row],[redis_ls]],raw[[#This Row],[wage_eq]],raw[[#This Row],[flex]],raw[[#This Row],[expo]],raw[[#This Row],[_date_]])</f>
        <v>111044927</v>
      </c>
      <c r="B280" s="1">
        <v>44927</v>
      </c>
      <c r="C280">
        <v>1</v>
      </c>
      <c r="D280">
        <v>1</v>
      </c>
      <c r="E280">
        <v>1</v>
      </c>
      <c r="F280">
        <v>0</v>
      </c>
      <c r="G280">
        <v>0.97915577339655613</v>
      </c>
      <c r="H280">
        <v>78.480739999999059</v>
      </c>
      <c r="I280">
        <v>-8.3764958782305712</v>
      </c>
      <c r="J280">
        <v>2.945320079126601</v>
      </c>
      <c r="K280">
        <v>6.2782355015114755</v>
      </c>
      <c r="L280">
        <v>-3.4645858561736631</v>
      </c>
      <c r="M280">
        <v>2.1376816690534817</v>
      </c>
      <c r="N280">
        <v>2.9142549050878541</v>
      </c>
      <c r="O280">
        <v>-2.7014440000000528E-2</v>
      </c>
      <c r="P280">
        <v>6.1786911931979382</v>
      </c>
      <c r="Q280">
        <v>6.80033960011448</v>
      </c>
      <c r="R280">
        <v>8.2893291438902459</v>
      </c>
      <c r="S280">
        <v>5.7887626930873015</v>
      </c>
      <c r="T280">
        <v>3.1923434408717144</v>
      </c>
      <c r="U280">
        <v>61.709863553856351</v>
      </c>
      <c r="V280">
        <v>9.2937890369957152</v>
      </c>
      <c r="W280">
        <v>0.92757055758418971</v>
      </c>
      <c r="X280">
        <v>-0.16838209000000007</v>
      </c>
      <c r="Y280">
        <v>0.49973513999999952</v>
      </c>
      <c r="Z280">
        <v>1.4327521500000002</v>
      </c>
    </row>
    <row r="281" spans="1:26">
      <c r="A281" s="54" t="str">
        <f>CONCATENATE(raw[[#This Row],[redis_ls]],raw[[#This Row],[wage_eq]],raw[[#This Row],[flex]],raw[[#This Row],[expo]],raw[[#This Row],[_date_]])</f>
        <v>111045292</v>
      </c>
      <c r="B281" s="1">
        <v>45292</v>
      </c>
      <c r="C281">
        <v>1</v>
      </c>
      <c r="D281">
        <v>1</v>
      </c>
      <c r="E281">
        <v>1</v>
      </c>
      <c r="F281">
        <v>0</v>
      </c>
      <c r="G281">
        <v>0.93872234092153839</v>
      </c>
      <c r="H281">
        <v>59.638129999999364</v>
      </c>
      <c r="I281">
        <v>-8.2573359813828411</v>
      </c>
      <c r="J281">
        <v>2.885379474797034</v>
      </c>
      <c r="K281">
        <v>6.3727708016885209</v>
      </c>
      <c r="L281">
        <v>-3.4830883276675273</v>
      </c>
      <c r="M281">
        <v>2.1306395550236612</v>
      </c>
      <c r="N281">
        <v>2.8559011201828577</v>
      </c>
      <c r="O281">
        <v>-2.5647220000001025E-2</v>
      </c>
      <c r="P281">
        <v>6.157162637595337</v>
      </c>
      <c r="Q281">
        <v>6.7632597542864659</v>
      </c>
      <c r="R281">
        <v>8.2710933093596886</v>
      </c>
      <c r="S281">
        <v>5.7490586862367854</v>
      </c>
      <c r="T281">
        <v>3.0779503043224521</v>
      </c>
      <c r="U281">
        <v>63.862993181112039</v>
      </c>
      <c r="V281">
        <v>9.3290092596281191</v>
      </c>
      <c r="W281">
        <v>0.97709915315344897</v>
      </c>
      <c r="X281">
        <v>-0.12482041999999985</v>
      </c>
      <c r="Y281">
        <v>0.48191735999999974</v>
      </c>
      <c r="Z281">
        <v>1.3789751099999998</v>
      </c>
    </row>
    <row r="282" spans="1:26">
      <c r="A282" s="54" t="str">
        <f>CONCATENATE(raw[[#This Row],[redis_ls]],raw[[#This Row],[wage_eq]],raw[[#This Row],[flex]],raw[[#This Row],[expo]],raw[[#This Row],[_date_]])</f>
        <v>111045658</v>
      </c>
      <c r="B282" s="1">
        <v>45658</v>
      </c>
      <c r="C282">
        <v>1</v>
      </c>
      <c r="D282">
        <v>1</v>
      </c>
      <c r="E282">
        <v>1</v>
      </c>
      <c r="F282">
        <v>0</v>
      </c>
      <c r="G282">
        <v>0.89835105134885573</v>
      </c>
      <c r="H282">
        <v>42.636539999999513</v>
      </c>
      <c r="I282">
        <v>-8.1367683531738066</v>
      </c>
      <c r="J282">
        <v>2.8143452922558376</v>
      </c>
      <c r="K282">
        <v>6.4474979928855536</v>
      </c>
      <c r="L282">
        <v>-3.4866616138506945</v>
      </c>
      <c r="M282">
        <v>2.1146698297577649</v>
      </c>
      <c r="N282">
        <v>2.7867833043752288</v>
      </c>
      <c r="O282">
        <v>-2.3995120000000481E-2</v>
      </c>
      <c r="P282">
        <v>6.1120482789747577</v>
      </c>
      <c r="Q282">
        <v>6.70067893258115</v>
      </c>
      <c r="R282">
        <v>8.2164706199697513</v>
      </c>
      <c r="S282">
        <v>5.6902900340079832</v>
      </c>
      <c r="T282">
        <v>2.9546102247213435</v>
      </c>
      <c r="U282">
        <v>65.793514663643066</v>
      </c>
      <c r="V282">
        <v>9.3220207307060257</v>
      </c>
      <c r="W282">
        <v>1.0216098441698129</v>
      </c>
      <c r="X282">
        <v>-8.6101520000000237E-2</v>
      </c>
      <c r="Y282">
        <v>0.46284803999999957</v>
      </c>
      <c r="Z282">
        <v>1.3193920400000003</v>
      </c>
    </row>
    <row r="283" spans="1:26">
      <c r="A283" s="54" t="str">
        <f>CONCATENATE(raw[[#This Row],[redis_ls]],raw[[#This Row],[wage_eq]],raw[[#This Row],[flex]],raw[[#This Row],[expo]],raw[[#This Row],[_date_]])</f>
        <v>111046023</v>
      </c>
      <c r="B283" s="1">
        <v>46023</v>
      </c>
      <c r="C283">
        <v>1</v>
      </c>
      <c r="D283">
        <v>1</v>
      </c>
      <c r="E283">
        <v>1</v>
      </c>
      <c r="F283">
        <v>0</v>
      </c>
      <c r="G283">
        <v>0.85830979207470737</v>
      </c>
      <c r="H283">
        <v>27.585279999999329</v>
      </c>
      <c r="I283">
        <v>-8.0138621743908729</v>
      </c>
      <c r="J283">
        <v>2.7338491954346678</v>
      </c>
      <c r="K283">
        <v>6.5021203869348287</v>
      </c>
      <c r="L283">
        <v>-3.4766397522662085</v>
      </c>
      <c r="M283">
        <v>2.0909584031631123</v>
      </c>
      <c r="N283">
        <v>2.7084744663131932</v>
      </c>
      <c r="O283">
        <v>-2.2107690000000568E-2</v>
      </c>
      <c r="P283">
        <v>6.0462961688548145</v>
      </c>
      <c r="Q283">
        <v>6.6161880418720953</v>
      </c>
      <c r="R283">
        <v>8.1299534597053089</v>
      </c>
      <c r="S283">
        <v>5.6152157470606978</v>
      </c>
      <c r="T283">
        <v>2.8248809838304023</v>
      </c>
      <c r="U283">
        <v>67.503517738241797</v>
      </c>
      <c r="V283">
        <v>9.2774295441738097</v>
      </c>
      <c r="W283">
        <v>1.0612009603808037</v>
      </c>
      <c r="X283">
        <v>-5.2347349999999973E-2</v>
      </c>
      <c r="Y283">
        <v>0.44302691000000016</v>
      </c>
      <c r="Z283">
        <v>1.2548376099999994</v>
      </c>
    </row>
    <row r="284" spans="1:26">
      <c r="A284" s="54" t="str">
        <f>CONCATENATE(raw[[#This Row],[redis_ls]],raw[[#This Row],[wage_eq]],raw[[#This Row],[flex]],raw[[#This Row],[expo]],raw[[#This Row],[_date_]])</f>
        <v>111046388</v>
      </c>
      <c r="B284" s="1">
        <v>46388</v>
      </c>
      <c r="C284">
        <v>1</v>
      </c>
      <c r="D284">
        <v>1</v>
      </c>
      <c r="E284">
        <v>1</v>
      </c>
      <c r="F284">
        <v>0</v>
      </c>
      <c r="G284">
        <v>0.81880329395265239</v>
      </c>
      <c r="H284">
        <v>14.516469999998662</v>
      </c>
      <c r="I284">
        <v>-7.8880656605375794</v>
      </c>
      <c r="J284">
        <v>2.6455082528314078</v>
      </c>
      <c r="K284">
        <v>6.536615769513543</v>
      </c>
      <c r="L284">
        <v>-3.4544284092233424</v>
      </c>
      <c r="M284">
        <v>2.0606186516321623</v>
      </c>
      <c r="N284">
        <v>2.6225327554257438</v>
      </c>
      <c r="O284">
        <v>-2.0034590000000962E-2</v>
      </c>
      <c r="P284">
        <v>5.9628683687829254</v>
      </c>
      <c r="Q284">
        <v>6.5132870369710938</v>
      </c>
      <c r="R284">
        <v>8.0160861949522211</v>
      </c>
      <c r="S284">
        <v>5.5264979988820295</v>
      </c>
      <c r="T284">
        <v>2.691084029450197</v>
      </c>
      <c r="U284">
        <v>68.998590812467214</v>
      </c>
      <c r="V284">
        <v>9.2000396763443071</v>
      </c>
      <c r="W284">
        <v>1.0960899734496765</v>
      </c>
      <c r="X284">
        <v>-2.3501510000000295E-2</v>
      </c>
      <c r="Y284">
        <v>0.42293493999999987</v>
      </c>
      <c r="Z284">
        <v>1.1861512499999998</v>
      </c>
    </row>
    <row r="285" spans="1:26">
      <c r="A285" s="54" t="str">
        <f>CONCATENATE(raw[[#This Row],[redis_ls]],raw[[#This Row],[wage_eq]],raw[[#This Row],[flex]],raw[[#This Row],[expo]],raw[[#This Row],[_date_]])</f>
        <v>111046753</v>
      </c>
      <c r="B285" s="1">
        <v>46753</v>
      </c>
      <c r="C285">
        <v>1</v>
      </c>
      <c r="D285">
        <v>1</v>
      </c>
      <c r="E285">
        <v>1</v>
      </c>
      <c r="F285">
        <v>0</v>
      </c>
      <c r="G285">
        <v>0.77998844096933695</v>
      </c>
      <c r="H285">
        <v>3.3929099999986647</v>
      </c>
      <c r="I285">
        <v>-7.7591623605983262</v>
      </c>
      <c r="J285">
        <v>2.5509112390137645</v>
      </c>
      <c r="K285">
        <v>6.5512247330816731</v>
      </c>
      <c r="L285">
        <v>-3.4214662485631431</v>
      </c>
      <c r="M285">
        <v>2.0246883768832102</v>
      </c>
      <c r="N285">
        <v>2.5304930483422972</v>
      </c>
      <c r="O285">
        <v>-1.7821369999999892E-2</v>
      </c>
      <c r="P285">
        <v>5.864668880651247</v>
      </c>
      <c r="Q285">
        <v>6.3953143128563816</v>
      </c>
      <c r="R285">
        <v>7.8793438436578711</v>
      </c>
      <c r="S285">
        <v>5.4266566465051014</v>
      </c>
      <c r="T285">
        <v>2.5552767615473426</v>
      </c>
      <c r="U285">
        <v>70.287302678773628</v>
      </c>
      <c r="V285">
        <v>9.0946916403806366</v>
      </c>
      <c r="W285">
        <v>1.1265806361706376</v>
      </c>
      <c r="X285">
        <v>6.4464999999999661E-4</v>
      </c>
      <c r="Y285">
        <v>0.40301474999999976</v>
      </c>
      <c r="Z285">
        <v>1.1141835699999998</v>
      </c>
    </row>
    <row r="286" spans="1:26">
      <c r="A286" s="54" t="str">
        <f>CONCATENATE(raw[[#This Row],[redis_ls]],raw[[#This Row],[wage_eq]],raw[[#This Row],[flex]],raw[[#This Row],[expo]],raw[[#This Row],[_date_]])</f>
        <v>111047119</v>
      </c>
      <c r="B286" s="1">
        <v>47119</v>
      </c>
      <c r="C286">
        <v>1</v>
      </c>
      <c r="D286">
        <v>1</v>
      </c>
      <c r="E286">
        <v>1</v>
      </c>
      <c r="F286">
        <v>0</v>
      </c>
      <c r="G286">
        <v>0.74199132103363041</v>
      </c>
      <c r="H286">
        <v>-5.8804199999976845</v>
      </c>
      <c r="I286">
        <v>-7.6272151620628499</v>
      </c>
      <c r="J286">
        <v>2.4516138317521419</v>
      </c>
      <c r="K286">
        <v>6.546434942401036</v>
      </c>
      <c r="L286">
        <v>-3.3791905331372107</v>
      </c>
      <c r="M286">
        <v>1.9841338581094492</v>
      </c>
      <c r="N286">
        <v>2.4338650121833671</v>
      </c>
      <c r="O286">
        <v>-1.5507110000000102E-2</v>
      </c>
      <c r="P286">
        <v>5.7544853973431787</v>
      </c>
      <c r="Q286">
        <v>6.2653960447306201</v>
      </c>
      <c r="R286">
        <v>7.7240338461615377</v>
      </c>
      <c r="S286">
        <v>5.3180373068413278</v>
      </c>
      <c r="T286">
        <v>2.4192399421981703</v>
      </c>
      <c r="U286">
        <v>71.380667914300318</v>
      </c>
      <c r="V286">
        <v>8.9661246463101474</v>
      </c>
      <c r="W286">
        <v>1.1530303562637068</v>
      </c>
      <c r="X286">
        <v>2.0419309999999968E-2</v>
      </c>
      <c r="Y286">
        <v>0.38365446999999997</v>
      </c>
      <c r="Z286">
        <v>1.0398056400000002</v>
      </c>
    </row>
    <row r="287" spans="1:26">
      <c r="A287" s="54" t="str">
        <f>CONCATENATE(raw[[#This Row],[redis_ls]],raw[[#This Row],[wage_eq]],raw[[#This Row],[flex]],raw[[#This Row],[expo]],raw[[#This Row],[_date_]])</f>
        <v>111047484</v>
      </c>
      <c r="B287" s="1">
        <v>47484</v>
      </c>
      <c r="C287">
        <v>1</v>
      </c>
      <c r="D287">
        <v>1</v>
      </c>
      <c r="E287">
        <v>1</v>
      </c>
      <c r="F287">
        <v>0</v>
      </c>
      <c r="G287">
        <v>0.70492387133120893</v>
      </c>
      <c r="H287">
        <v>-13.442540000000008</v>
      </c>
      <c r="I287">
        <v>-7.4925042367148471</v>
      </c>
      <c r="J287">
        <v>2.3491379610634189</v>
      </c>
      <c r="K287">
        <v>6.5229614500146083</v>
      </c>
      <c r="L287">
        <v>-3.3290095159399069</v>
      </c>
      <c r="M287">
        <v>1.939858336335476</v>
      </c>
      <c r="N287">
        <v>2.3341322685137333</v>
      </c>
      <c r="O287">
        <v>-1.3124370000000551E-2</v>
      </c>
      <c r="P287">
        <v>5.6349451111591398</v>
      </c>
      <c r="Q287">
        <v>6.1264133688504918</v>
      </c>
      <c r="R287">
        <v>7.5542205887087599</v>
      </c>
      <c r="S287">
        <v>5.2027930138363043</v>
      </c>
      <c r="T287">
        <v>2.2844785493161934</v>
      </c>
      <c r="U287">
        <v>72.291617655356546</v>
      </c>
      <c r="V287">
        <v>8.8188661053992377</v>
      </c>
      <c r="W287">
        <v>1.1758213795531214</v>
      </c>
      <c r="X287">
        <v>3.6233890000000012E-2</v>
      </c>
      <c r="Y287">
        <v>0.3651757499999998</v>
      </c>
      <c r="Z287">
        <v>0.96391632999999965</v>
      </c>
    </row>
    <row r="288" spans="1:26">
      <c r="A288" s="54" t="str">
        <f>CONCATENATE(raw[[#This Row],[redis_ls]],raw[[#This Row],[wage_eq]],raw[[#This Row],[flex]],raw[[#This Row],[expo]],raw[[#This Row],[_date_]])</f>
        <v>111047849</v>
      </c>
      <c r="B288" s="1">
        <v>47849</v>
      </c>
      <c r="C288">
        <v>1</v>
      </c>
      <c r="D288">
        <v>1</v>
      </c>
      <c r="E288">
        <v>1</v>
      </c>
      <c r="F288">
        <v>0</v>
      </c>
      <c r="G288">
        <v>0.66889729076660132</v>
      </c>
      <c r="H288">
        <v>-19.46190999999817</v>
      </c>
      <c r="I288">
        <v>-7.3554646284978649</v>
      </c>
      <c r="J288">
        <v>2.2449697555595227</v>
      </c>
      <c r="K288">
        <v>6.4817227235934416</v>
      </c>
      <c r="L288">
        <v>-3.2722797184609909</v>
      </c>
      <c r="M288">
        <v>1.8927111270291563</v>
      </c>
      <c r="N288">
        <v>2.2327480021868462</v>
      </c>
      <c r="O288">
        <v>-1.0701159999999821E-2</v>
      </c>
      <c r="P288">
        <v>5.5084831852316718</v>
      </c>
      <c r="Q288">
        <v>5.9809843998686496</v>
      </c>
      <c r="R288">
        <v>7.3736715736363534</v>
      </c>
      <c r="S288">
        <v>5.0828759481891916</v>
      </c>
      <c r="T288">
        <v>2.1522328866401486</v>
      </c>
      <c r="U288">
        <v>73.034497176656203</v>
      </c>
      <c r="V288">
        <v>8.6571488695489585</v>
      </c>
      <c r="W288">
        <v>1.1953370789334228</v>
      </c>
      <c r="X288">
        <v>4.854745000000011E-2</v>
      </c>
      <c r="Y288">
        <v>0.34782689999999994</v>
      </c>
      <c r="Z288">
        <v>0.88744284000000018</v>
      </c>
    </row>
    <row r="289" spans="1:26">
      <c r="A289" s="54" t="str">
        <f>CONCATENATE(raw[[#This Row],[redis_ls]],raw[[#This Row],[wage_eq]],raw[[#This Row],[flex]],raw[[#This Row],[expo]],raw[[#This Row],[_date_]])</f>
        <v>111048214</v>
      </c>
      <c r="B289" s="1">
        <v>48214</v>
      </c>
      <c r="C289">
        <v>1</v>
      </c>
      <c r="D289">
        <v>1</v>
      </c>
      <c r="E289">
        <v>1</v>
      </c>
      <c r="F289">
        <v>0</v>
      </c>
      <c r="G289">
        <v>0.63402999841410956</v>
      </c>
      <c r="H289">
        <v>-24.122470000002068</v>
      </c>
      <c r="I289">
        <v>-7.2166287509940581</v>
      </c>
      <c r="J289">
        <v>2.140551620529596</v>
      </c>
      <c r="K289">
        <v>6.4238120672412746</v>
      </c>
      <c r="L289">
        <v>-3.2102884651015517</v>
      </c>
      <c r="M289">
        <v>1.8434944672278908</v>
      </c>
      <c r="N289">
        <v>2.1311235084600977</v>
      </c>
      <c r="O289">
        <v>-8.2640800000005621E-3</v>
      </c>
      <c r="P289">
        <v>5.377322810776719</v>
      </c>
      <c r="Q289">
        <v>5.8314581602654902</v>
      </c>
      <c r="R289">
        <v>7.1858226792611113</v>
      </c>
      <c r="S289">
        <v>4.9600360851308922</v>
      </c>
      <c r="T289">
        <v>2.0234963425906916</v>
      </c>
      <c r="U289">
        <v>73.624599023454749</v>
      </c>
      <c r="V289">
        <v>8.4848552542144073</v>
      </c>
      <c r="W289">
        <v>1.2119443999947244</v>
      </c>
      <c r="X289">
        <v>5.7834749999999963E-2</v>
      </c>
      <c r="Y289">
        <v>0.33178126000000041</v>
      </c>
      <c r="Z289">
        <v>0.81133153000000002</v>
      </c>
    </row>
    <row r="290" spans="1:26">
      <c r="A290" s="54" t="str">
        <f>CONCATENATE(raw[[#This Row],[redis_ls]],raw[[#This Row],[wage_eq]],raw[[#This Row],[flex]],raw[[#This Row],[expo]],raw[[#This Row],[_date_]])</f>
        <v>111048580</v>
      </c>
      <c r="B290" s="1">
        <v>48580</v>
      </c>
      <c r="C290">
        <v>1</v>
      </c>
      <c r="D290">
        <v>1</v>
      </c>
      <c r="E290">
        <v>1</v>
      </c>
      <c r="F290">
        <v>0</v>
      </c>
      <c r="G290">
        <v>0.60045009841069863</v>
      </c>
      <c r="H290">
        <v>-27.611960000002</v>
      </c>
      <c r="I290">
        <v>-7.0765773216713512</v>
      </c>
      <c r="J290">
        <v>2.037265767566554</v>
      </c>
      <c r="K290">
        <v>6.3504648603721181</v>
      </c>
      <c r="L290">
        <v>-3.1442413834063321</v>
      </c>
      <c r="M290">
        <v>1.7929661343966563</v>
      </c>
      <c r="N290">
        <v>2.0306084934689661</v>
      </c>
      <c r="O290">
        <v>-5.8417800000001852E-3</v>
      </c>
      <c r="P290">
        <v>5.24346425319826</v>
      </c>
      <c r="Q290">
        <v>5.6799170861822512</v>
      </c>
      <c r="R290">
        <v>6.9937593086856431</v>
      </c>
      <c r="S290">
        <v>4.8358263371387267</v>
      </c>
      <c r="T290">
        <v>1.899038338694381</v>
      </c>
      <c r="U290">
        <v>74.077743471152772</v>
      </c>
      <c r="V290">
        <v>8.3054842210483759</v>
      </c>
      <c r="W290">
        <v>1.2259826391022077</v>
      </c>
      <c r="X290">
        <v>6.4560850000000031E-2</v>
      </c>
      <c r="Y290">
        <v>0.31714054999999952</v>
      </c>
      <c r="Z290">
        <v>0.73652787999999991</v>
      </c>
    </row>
    <row r="291" spans="1:26">
      <c r="A291" s="54" t="str">
        <f>CONCATENATE(raw[[#This Row],[redis_ls]],raw[[#This Row],[wage_eq]],raw[[#This Row],[flex]],raw[[#This Row],[expo]],raw[[#This Row],[_date_]])</f>
        <v>111048945</v>
      </c>
      <c r="B291" s="1">
        <v>48945</v>
      </c>
      <c r="C291">
        <v>1</v>
      </c>
      <c r="D291">
        <v>1</v>
      </c>
      <c r="E291">
        <v>1</v>
      </c>
      <c r="F291">
        <v>0</v>
      </c>
      <c r="G291">
        <v>0.56829109743434802</v>
      </c>
      <c r="H291">
        <v>-30.112909999999829</v>
      </c>
      <c r="I291">
        <v>-6.9359014150271125</v>
      </c>
      <c r="J291">
        <v>1.9364095305286266</v>
      </c>
      <c r="K291">
        <v>6.2630221673788844</v>
      </c>
      <c r="L291">
        <v>-3.0752537255206658</v>
      </c>
      <c r="M291">
        <v>1.7418367558657</v>
      </c>
      <c r="N291">
        <v>1.9324624796310585</v>
      </c>
      <c r="O291">
        <v>-3.4673799999995758E-3</v>
      </c>
      <c r="P291">
        <v>5.1086820395837229</v>
      </c>
      <c r="Q291">
        <v>5.5281851042792596</v>
      </c>
      <c r="R291">
        <v>6.8002099014964568</v>
      </c>
      <c r="S291">
        <v>4.7116105079205273</v>
      </c>
      <c r="T291">
        <v>1.7794303965585678</v>
      </c>
      <c r="U291">
        <v>74.409906662152594</v>
      </c>
      <c r="V291">
        <v>8.1221376712937943</v>
      </c>
      <c r="W291">
        <v>1.2377576500455234</v>
      </c>
      <c r="X291">
        <v>6.9163489000000078E-2</v>
      </c>
      <c r="Y291">
        <v>0.30394274000000027</v>
      </c>
      <c r="Z291">
        <v>0.6639472799999997</v>
      </c>
    </row>
    <row r="292" spans="1:26">
      <c r="A292" s="54" t="str">
        <f>CONCATENATE(raw[[#This Row],[redis_ls]],raw[[#This Row],[wage_eq]],raw[[#This Row],[flex]],raw[[#This Row],[expo]],raw[[#This Row],[_date_]])</f>
        <v>111049310</v>
      </c>
      <c r="B292" s="1">
        <v>49310</v>
      </c>
      <c r="C292">
        <v>1</v>
      </c>
      <c r="D292">
        <v>1</v>
      </c>
      <c r="E292">
        <v>1</v>
      </c>
      <c r="F292">
        <v>0</v>
      </c>
      <c r="G292">
        <v>0.53768282761412767</v>
      </c>
      <c r="H292">
        <v>-31.797070000000531</v>
      </c>
      <c r="I292">
        <v>-6.7951760637056324</v>
      </c>
      <c r="J292">
        <v>1.8391638457851078</v>
      </c>
      <c r="K292">
        <v>6.1628921179338159</v>
      </c>
      <c r="L292">
        <v>-3.0043447116673949</v>
      </c>
      <c r="M292">
        <v>1.6907623636347013</v>
      </c>
      <c r="N292">
        <v>1.837822378558962</v>
      </c>
      <c r="O292">
        <v>-1.1796500000008092E-3</v>
      </c>
      <c r="P292">
        <v>4.9745269110204271</v>
      </c>
      <c r="Q292">
        <v>5.377839198630463</v>
      </c>
      <c r="R292">
        <v>6.6075486264914884</v>
      </c>
      <c r="S292">
        <v>4.588572196956342</v>
      </c>
      <c r="T292">
        <v>1.6650703623328322</v>
      </c>
      <c r="U292">
        <v>74.636898572057049</v>
      </c>
      <c r="V292">
        <v>7.9375209084005416</v>
      </c>
      <c r="W292">
        <v>1.247540448361506</v>
      </c>
      <c r="X292">
        <v>7.2043552000000149E-2</v>
      </c>
      <c r="Y292">
        <v>0.29217290000000051</v>
      </c>
      <c r="Z292">
        <v>0.59443988000000003</v>
      </c>
    </row>
    <row r="293" spans="1:26">
      <c r="A293" s="54" t="str">
        <f>CONCATENATE(raw[[#This Row],[redis_ls]],raw[[#This Row],[wage_eq]],raw[[#This Row],[flex]],raw[[#This Row],[expo]],raw[[#This Row],[_date_]])</f>
        <v>111049675</v>
      </c>
      <c r="B293" s="1">
        <v>49675</v>
      </c>
      <c r="C293">
        <v>1</v>
      </c>
      <c r="D293">
        <v>1</v>
      </c>
      <c r="E293">
        <v>1</v>
      </c>
      <c r="F293">
        <v>0</v>
      </c>
      <c r="G293">
        <v>0.50873952750976059</v>
      </c>
      <c r="H293">
        <v>-32.822789999998349</v>
      </c>
      <c r="I293">
        <v>-6.6549446171937703</v>
      </c>
      <c r="J293">
        <v>1.7465591907010802</v>
      </c>
      <c r="K293">
        <v>6.0515113521452335</v>
      </c>
      <c r="L293">
        <v>-2.932434730290534</v>
      </c>
      <c r="M293">
        <v>1.6403333552093446</v>
      </c>
      <c r="N293">
        <v>1.7476700228430175</v>
      </c>
      <c r="O293">
        <v>9.7785000000016886E-4</v>
      </c>
      <c r="P293">
        <v>4.8423309076378818</v>
      </c>
      <c r="Q293">
        <v>5.230221468512064</v>
      </c>
      <c r="R293">
        <v>6.4178043218246827</v>
      </c>
      <c r="S293">
        <v>4.46772474197632</v>
      </c>
      <c r="T293">
        <v>1.556207257867781</v>
      </c>
      <c r="U293">
        <v>74.774088801850922</v>
      </c>
      <c r="V293">
        <v>7.7539529348603864</v>
      </c>
      <c r="W293">
        <v>1.2555686732929727</v>
      </c>
      <c r="X293">
        <v>7.3562507000000082E-2</v>
      </c>
      <c r="Y293">
        <v>0.28177593000000001</v>
      </c>
      <c r="Z293">
        <v>0.52875435999999998</v>
      </c>
    </row>
    <row r="294" spans="1:26">
      <c r="A294" s="54" t="str">
        <f>CONCATENATE(raw[[#This Row],[redis_ls]],raw[[#This Row],[wage_eq]],raw[[#This Row],[flex]],raw[[#This Row],[expo]],raw[[#This Row],[_date_]])</f>
        <v>111050041</v>
      </c>
      <c r="B294" s="1">
        <v>50041</v>
      </c>
      <c r="C294">
        <v>1</v>
      </c>
      <c r="D294">
        <v>1</v>
      </c>
      <c r="E294">
        <v>1</v>
      </c>
      <c r="F294">
        <v>0</v>
      </c>
      <c r="G294">
        <v>0.48154680823671026</v>
      </c>
      <c r="H294">
        <v>-33.335000000002765</v>
      </c>
      <c r="I294">
        <v>-6.51571227656963</v>
      </c>
      <c r="J294">
        <v>1.659444439755875</v>
      </c>
      <c r="K294">
        <v>5.9303082412741182</v>
      </c>
      <c r="L294">
        <v>-2.8603435978464375</v>
      </c>
      <c r="M294">
        <v>1.5910622818505527</v>
      </c>
      <c r="N294">
        <v>1.6628029723209981</v>
      </c>
      <c r="O294">
        <v>2.9592600000002967E-3</v>
      </c>
      <c r="P294">
        <v>4.7132153980365965</v>
      </c>
      <c r="Q294">
        <v>5.0864529447176343</v>
      </c>
      <c r="R294">
        <v>6.2326733555980729</v>
      </c>
      <c r="S294">
        <v>4.3499197440143966</v>
      </c>
      <c r="T294">
        <v>1.452962914580147</v>
      </c>
      <c r="U294">
        <v>74.836178410941216</v>
      </c>
      <c r="V294">
        <v>7.5733824373434233</v>
      </c>
      <c r="W294">
        <v>1.2620496278987092</v>
      </c>
      <c r="X294">
        <v>7.4045111999999996E-2</v>
      </c>
      <c r="Y294">
        <v>0.27266950999999956</v>
      </c>
      <c r="Z294">
        <v>0.46750545999999993</v>
      </c>
    </row>
    <row r="295" spans="1:26">
      <c r="A295" s="54" t="str">
        <f>CONCATENATE(raw[[#This Row],[redis_ls]],raw[[#This Row],[wage_eq]],raw[[#This Row],[flex]],raw[[#This Row],[expo]],raw[[#This Row],[_date_]])</f>
        <v>111050406</v>
      </c>
      <c r="B295" s="1">
        <v>50406</v>
      </c>
      <c r="C295">
        <v>1</v>
      </c>
      <c r="D295">
        <v>1</v>
      </c>
      <c r="E295">
        <v>1</v>
      </c>
      <c r="F295">
        <v>0</v>
      </c>
      <c r="G295">
        <v>0.45615046757851996</v>
      </c>
      <c r="H295">
        <v>-33.466639999998733</v>
      </c>
      <c r="I295">
        <v>-6.3779459229438507</v>
      </c>
      <c r="J295">
        <v>1.5784616065905421</v>
      </c>
      <c r="K295">
        <v>5.8006705241491874</v>
      </c>
      <c r="L295">
        <v>-2.7887911503918672</v>
      </c>
      <c r="M295">
        <v>1.5433723542076283</v>
      </c>
      <c r="N295">
        <v>1.5838137121295448</v>
      </c>
      <c r="O295">
        <v>4.7200499999996981E-3</v>
      </c>
      <c r="P295">
        <v>4.5880999193220084</v>
      </c>
      <c r="Q295">
        <v>4.9474440626999128</v>
      </c>
      <c r="R295">
        <v>6.0535348215714047</v>
      </c>
      <c r="S295">
        <v>4.235855583048842</v>
      </c>
      <c r="T295">
        <v>1.3553510883728803</v>
      </c>
      <c r="U295">
        <v>74.837013203108398</v>
      </c>
      <c r="V295">
        <v>7.3974068181695829</v>
      </c>
      <c r="W295">
        <v>1.2671637918769241</v>
      </c>
      <c r="X295">
        <v>7.3785137999999972E-2</v>
      </c>
      <c r="Y295">
        <v>0.26475595999999946</v>
      </c>
      <c r="Z295">
        <v>0.41114966000000003</v>
      </c>
    </row>
    <row r="296" spans="1:26">
      <c r="A296" s="54" t="str">
        <f>CONCATENATE(raw[[#This Row],[redis_ls]],raw[[#This Row],[wage_eq]],raw[[#This Row],[flex]],raw[[#This Row],[expo]],raw[[#This Row],[_date_]])</f>
        <v>111050771</v>
      </c>
      <c r="B296" s="1">
        <v>50771</v>
      </c>
      <c r="C296">
        <v>1</v>
      </c>
      <c r="D296">
        <v>1</v>
      </c>
      <c r="E296">
        <v>1</v>
      </c>
      <c r="F296">
        <v>0</v>
      </c>
      <c r="G296">
        <v>0.43254859473538243</v>
      </c>
      <c r="H296">
        <v>-33.341029999999591</v>
      </c>
      <c r="I296">
        <v>-6.2420776243691467</v>
      </c>
      <c r="J296">
        <v>1.5040319645201139</v>
      </c>
      <c r="K296">
        <v>5.663918510363497</v>
      </c>
      <c r="L296">
        <v>-2.7183977976985907</v>
      </c>
      <c r="M296">
        <v>1.4975890569196793</v>
      </c>
      <c r="N296">
        <v>1.511080522669106</v>
      </c>
      <c r="O296">
        <v>6.2212800000002733E-3</v>
      </c>
      <c r="P296">
        <v>4.4677108943817379</v>
      </c>
      <c r="Q296">
        <v>4.8139066586915025</v>
      </c>
      <c r="R296">
        <v>5.881467124285189</v>
      </c>
      <c r="S296">
        <v>4.1260833577904554</v>
      </c>
      <c r="T296">
        <v>1.2632930785071883</v>
      </c>
      <c r="U296">
        <v>74.789434924104654</v>
      </c>
      <c r="V296">
        <v>7.2272923830726254</v>
      </c>
      <c r="W296">
        <v>1.271067816355087</v>
      </c>
      <c r="X296">
        <v>7.3051965000000066E-2</v>
      </c>
      <c r="Y296">
        <v>0.25793205999999969</v>
      </c>
      <c r="Z296">
        <v>0.35997181000000034</v>
      </c>
    </row>
    <row r="297" spans="1:26">
      <c r="A297" s="54" t="str">
        <f>CONCATENATE(raw[[#This Row],[redis_ls]],raw[[#This Row],[wage_eq]],raw[[#This Row],[flex]],raw[[#This Row],[expo]],raw[[#This Row],[_date_]])</f>
        <v>111051136</v>
      </c>
      <c r="B297" s="1">
        <v>51136</v>
      </c>
      <c r="C297">
        <v>1</v>
      </c>
      <c r="D297">
        <v>1</v>
      </c>
      <c r="E297">
        <v>1</v>
      </c>
      <c r="F297">
        <v>0</v>
      </c>
      <c r="G297">
        <v>0.41068819202132456</v>
      </c>
      <c r="H297">
        <v>-33.073950000001787</v>
      </c>
      <c r="I297">
        <v>-6.1085094511351805</v>
      </c>
      <c r="J297">
        <v>1.4363540263766961</v>
      </c>
      <c r="K297">
        <v>5.5212854077012707</v>
      </c>
      <c r="L297">
        <v>-2.6496857445803212</v>
      </c>
      <c r="M297">
        <v>1.4539361085835312</v>
      </c>
      <c r="N297">
        <v>1.4447693383782934</v>
      </c>
      <c r="O297">
        <v>7.4333199999998545E-3</v>
      </c>
      <c r="P297">
        <v>4.3525921062940842</v>
      </c>
      <c r="Q297">
        <v>4.6863642745371692</v>
      </c>
      <c r="R297">
        <v>5.7172655384453819</v>
      </c>
      <c r="S297">
        <v>4.0210143535109877</v>
      </c>
      <c r="T297">
        <v>1.1766314745828899</v>
      </c>
      <c r="U297">
        <v>74.705169789636656</v>
      </c>
      <c r="V297">
        <v>7.0639943702665908</v>
      </c>
      <c r="W297">
        <v>1.2738967674482016</v>
      </c>
      <c r="X297">
        <v>7.2096203999999928E-2</v>
      </c>
      <c r="Y297">
        <v>0.25209629</v>
      </c>
      <c r="Z297">
        <v>0.31408367999999975</v>
      </c>
    </row>
    <row r="298" spans="1:26">
      <c r="A298" s="54" t="str">
        <f>CONCATENATE(raw[[#This Row],[redis_ls]],raw[[#This Row],[wage_eq]],raw[[#This Row],[flex]],raw[[#This Row],[expo]],raw[[#This Row],[_date_]])</f>
        <v>111051502</v>
      </c>
      <c r="B298" s="1">
        <v>51502</v>
      </c>
      <c r="C298">
        <v>1</v>
      </c>
      <c r="D298">
        <v>1</v>
      </c>
      <c r="E298">
        <v>1</v>
      </c>
      <c r="F298">
        <v>0</v>
      </c>
      <c r="G298">
        <v>0.39046690215838176</v>
      </c>
      <c r="H298">
        <v>-32.775109999998676</v>
      </c>
      <c r="I298">
        <v>-5.9776173333710547</v>
      </c>
      <c r="J298">
        <v>1.3754139897558026</v>
      </c>
      <c r="K298">
        <v>5.373904851831024</v>
      </c>
      <c r="L298">
        <v>-2.5830819170232999</v>
      </c>
      <c r="M298">
        <v>1.4125365392868128</v>
      </c>
      <c r="N298">
        <v>1.3848480640343608</v>
      </c>
      <c r="O298">
        <v>8.3388200000006352E-3</v>
      </c>
      <c r="P298">
        <v>4.2431139743762447</v>
      </c>
      <c r="Q298">
        <v>4.565162258065536</v>
      </c>
      <c r="R298">
        <v>5.5614604363599884</v>
      </c>
      <c r="S298">
        <v>3.9209254362559953</v>
      </c>
      <c r="T298">
        <v>1.0951411843604042</v>
      </c>
      <c r="U298">
        <v>74.594747548558288</v>
      </c>
      <c r="V298">
        <v>6.9081771866281283</v>
      </c>
      <c r="W298">
        <v>1.2757655527965817</v>
      </c>
      <c r="X298">
        <v>7.1153151999999928E-2</v>
      </c>
      <c r="Y298">
        <v>0.24715314000000044</v>
      </c>
      <c r="Z298">
        <v>0.27343437000000026</v>
      </c>
    </row>
    <row r="299" spans="1:26">
      <c r="A299" s="54" t="str">
        <f>CONCATENATE(raw[[#This Row],[redis_ls]],raw[[#This Row],[wage_eq]],raw[[#This Row],[flex]],raw[[#This Row],[expo]],raw[[#This Row],[_date_]])</f>
        <v>111051867</v>
      </c>
      <c r="B299" s="1">
        <v>51867</v>
      </c>
      <c r="C299">
        <v>1</v>
      </c>
      <c r="D299">
        <v>1</v>
      </c>
      <c r="E299">
        <v>1</v>
      </c>
      <c r="F299">
        <v>0</v>
      </c>
      <c r="G299">
        <v>0.37173908384902088</v>
      </c>
      <c r="H299">
        <v>-32.548539999999775</v>
      </c>
      <c r="I299">
        <v>-5.8497530538224041</v>
      </c>
      <c r="J299">
        <v>1.3210076861187359</v>
      </c>
      <c r="K299">
        <v>5.2228051564141342</v>
      </c>
      <c r="L299">
        <v>-2.5189200432256365</v>
      </c>
      <c r="M299">
        <v>1.3734189883725323</v>
      </c>
      <c r="N299">
        <v>1.3311090536915149</v>
      </c>
      <c r="O299">
        <v>8.9341900000011742E-3</v>
      </c>
      <c r="P299">
        <v>4.1394851036744562</v>
      </c>
      <c r="Q299">
        <v>4.4504783461869923</v>
      </c>
      <c r="R299">
        <v>5.4143365911631491</v>
      </c>
      <c r="S299">
        <v>3.8259658786728323</v>
      </c>
      <c r="T299">
        <v>1.018538920816292</v>
      </c>
      <c r="U299">
        <v>74.467452207848055</v>
      </c>
      <c r="V299">
        <v>6.760234705809598</v>
      </c>
      <c r="W299">
        <v>1.2767695221178821</v>
      </c>
      <c r="X299">
        <v>7.044354900000005E-2</v>
      </c>
      <c r="Y299">
        <v>0.24301508000000027</v>
      </c>
      <c r="Z299">
        <v>0.23783003999999983</v>
      </c>
    </row>
    <row r="300" spans="1:26">
      <c r="A300" s="54" t="str">
        <f>CONCATENATE(raw[[#This Row],[redis_ls]],raw[[#This Row],[wage_eq]],raw[[#This Row],[flex]],raw[[#This Row],[expo]],raw[[#This Row],[_date_]])</f>
        <v>111052232</v>
      </c>
      <c r="B300" s="1">
        <v>52232</v>
      </c>
      <c r="C300">
        <v>1</v>
      </c>
      <c r="D300">
        <v>1</v>
      </c>
      <c r="E300">
        <v>1</v>
      </c>
      <c r="F300">
        <v>0</v>
      </c>
      <c r="G300">
        <v>0.35432561790034178</v>
      </c>
      <c r="H300">
        <v>-32.491890000001149</v>
      </c>
      <c r="I300">
        <v>-5.7252436258883099</v>
      </c>
      <c r="J300">
        <v>1.2727702344923486</v>
      </c>
      <c r="K300">
        <v>5.0689095364086612</v>
      </c>
      <c r="L300">
        <v>-2.4574443413465819</v>
      </c>
      <c r="M300">
        <v>1.336528087664024</v>
      </c>
      <c r="N300">
        <v>1.2831999578483133</v>
      </c>
      <c r="O300">
        <v>9.2296199999994388E-3</v>
      </c>
      <c r="P300">
        <v>4.0417634064236596</v>
      </c>
      <c r="Q300">
        <v>4.3423345223700949</v>
      </c>
      <c r="R300">
        <v>5.2759537921208244</v>
      </c>
      <c r="S300">
        <v>3.7361650537198532</v>
      </c>
      <c r="T300">
        <v>0.94649201721805909</v>
      </c>
      <c r="U300">
        <v>74.331299608721764</v>
      </c>
      <c r="V300">
        <v>6.6203114174970379</v>
      </c>
      <c r="W300">
        <v>1.276984536429282</v>
      </c>
      <c r="X300">
        <v>7.017170999999997E-2</v>
      </c>
      <c r="Y300">
        <v>0.23960231999999998</v>
      </c>
      <c r="Z300">
        <v>0.20696044000000011</v>
      </c>
    </row>
    <row r="301" spans="1:26">
      <c r="A301" s="54" t="str">
        <f>CONCATENATE(raw[[#This Row],[redis_ls]],raw[[#This Row],[wage_eq]],raw[[#This Row],[flex]],raw[[#This Row],[expo]],raw[[#This Row],[_date_]])</f>
        <v>111052597</v>
      </c>
      <c r="B301" s="1">
        <v>52597</v>
      </c>
      <c r="C301">
        <v>1</v>
      </c>
      <c r="D301">
        <v>1</v>
      </c>
      <c r="E301">
        <v>1</v>
      </c>
      <c r="F301">
        <v>0</v>
      </c>
      <c r="G301">
        <v>0.33802589662466076</v>
      </c>
      <c r="H301">
        <v>-32.694769999998243</v>
      </c>
      <c r="I301">
        <v>-5.604388310053487</v>
      </c>
      <c r="J301">
        <v>1.23021175569904</v>
      </c>
      <c r="K301">
        <v>4.9130408606134601</v>
      </c>
      <c r="L301">
        <v>-2.3988135650391373</v>
      </c>
      <c r="M301">
        <v>1.301738280934539</v>
      </c>
      <c r="N301">
        <v>1.2406568447698607</v>
      </c>
      <c r="O301">
        <v>9.2476600000002129E-3</v>
      </c>
      <c r="P301">
        <v>3.94986911784585</v>
      </c>
      <c r="Q301">
        <v>4.2406092658817895</v>
      </c>
      <c r="R301">
        <v>5.1461686596863121</v>
      </c>
      <c r="S301">
        <v>3.6514405615030165</v>
      </c>
      <c r="T301">
        <v>0.87862590156895237</v>
      </c>
      <c r="U301">
        <v>74.193040240925583</v>
      </c>
      <c r="V301">
        <v>6.4883247713020564</v>
      </c>
      <c r="W301">
        <v>1.276466977673052</v>
      </c>
      <c r="X301">
        <v>7.0521652999999948E-2</v>
      </c>
      <c r="Y301">
        <v>0.23684136999999952</v>
      </c>
      <c r="Z301">
        <v>0.18042903000000005</v>
      </c>
    </row>
    <row r="302" spans="1:26">
      <c r="A302" s="54" t="str">
        <f>CONCATENATE(raw[[#This Row],[redis_ls]],raw[[#This Row],[wage_eq]],raw[[#This Row],[flex]],raw[[#This Row],[expo]],raw[[#This Row],[_date_]])</f>
        <v>111052963</v>
      </c>
      <c r="B302" s="1">
        <v>52963</v>
      </c>
      <c r="C302">
        <v>1</v>
      </c>
      <c r="D302">
        <v>1</v>
      </c>
      <c r="E302">
        <v>1</v>
      </c>
      <c r="F302">
        <v>0</v>
      </c>
      <c r="G302">
        <v>0.32263050657512782</v>
      </c>
      <c r="H302">
        <v>-33.236480000003212</v>
      </c>
      <c r="I302">
        <v>-5.4874537172245557</v>
      </c>
      <c r="J302">
        <v>1.1927540183398699</v>
      </c>
      <c r="K302">
        <v>4.7559292440805923</v>
      </c>
      <c r="L302">
        <v>-2.3431060730944919</v>
      </c>
      <c r="M302">
        <v>1.2688693263551931</v>
      </c>
      <c r="N302">
        <v>1.2029386266564579</v>
      </c>
      <c r="O302">
        <v>9.0208499999994141E-3</v>
      </c>
      <c r="P302">
        <v>3.8635989687382466</v>
      </c>
      <c r="Q302">
        <v>4.1450525656705706</v>
      </c>
      <c r="R302">
        <v>5.0246577394239544</v>
      </c>
      <c r="S302">
        <v>3.5716088261596557</v>
      </c>
      <c r="T302">
        <v>0.81453278391991901</v>
      </c>
      <c r="U302">
        <v>74.058185268013915</v>
      </c>
      <c r="V302">
        <v>6.3639892204238047</v>
      </c>
      <c r="W302">
        <v>1.2752543613607559</v>
      </c>
      <c r="X302">
        <v>7.1652057999999935E-2</v>
      </c>
      <c r="Y302">
        <v>0.2346627599999998</v>
      </c>
      <c r="Z302">
        <v>0.15778356000000007</v>
      </c>
    </row>
    <row r="303" spans="1:26">
      <c r="A303" s="54" t="str">
        <f>CONCATENATE(raw[[#This Row],[redis_ls]],raw[[#This Row],[wage_eq]],raw[[#This Row],[flex]],raw[[#This Row],[expo]],raw[[#This Row],[_date_]])</f>
        <v>111053328</v>
      </c>
      <c r="B303" s="1">
        <v>53328</v>
      </c>
      <c r="C303">
        <v>1</v>
      </c>
      <c r="D303">
        <v>1</v>
      </c>
      <c r="E303">
        <v>1</v>
      </c>
      <c r="F303">
        <v>0</v>
      </c>
      <c r="G303">
        <v>0.30793355086833341</v>
      </c>
      <c r="H303">
        <v>-34.183559999997669</v>
      </c>
      <c r="I303">
        <v>-5.3746679811248255</v>
      </c>
      <c r="J303">
        <v>1.1597665686170266</v>
      </c>
      <c r="K303">
        <v>4.5982213299142094</v>
      </c>
      <c r="L303">
        <v>-2.2903258531798532</v>
      </c>
      <c r="M303">
        <v>1.2377020904453362</v>
      </c>
      <c r="N303">
        <v>1.1694596546305558</v>
      </c>
      <c r="O303">
        <v>8.588589999999896E-3</v>
      </c>
      <c r="P303">
        <v>3.7826411184288533</v>
      </c>
      <c r="Q303">
        <v>4.055301533982103</v>
      </c>
      <c r="R303">
        <v>4.9109425280216223</v>
      </c>
      <c r="S303">
        <v>3.4963965064199076</v>
      </c>
      <c r="T303">
        <v>0.75377918056311888</v>
      </c>
      <c r="U303">
        <v>73.931053215342786</v>
      </c>
      <c r="V303">
        <v>6.2468421303500499</v>
      </c>
      <c r="W303">
        <v>1.273365405116289</v>
      </c>
      <c r="X303">
        <v>7.3691040999999957E-2</v>
      </c>
      <c r="Y303">
        <v>0.23299877999999954</v>
      </c>
      <c r="Z303">
        <v>0.13854465000000016</v>
      </c>
    </row>
    <row r="304" spans="1:26">
      <c r="A304" s="54" t="str">
        <f>CONCATENATE(raw[[#This Row],[redis_ls]],raw[[#This Row],[wage_eq]],raw[[#This Row],[flex]],raw[[#This Row],[expo]],raw[[#This Row],[_date_]])</f>
        <v>111053693</v>
      </c>
      <c r="B304" s="1">
        <v>53693</v>
      </c>
      <c r="C304">
        <v>1</v>
      </c>
      <c r="D304">
        <v>1</v>
      </c>
      <c r="E304">
        <v>1</v>
      </c>
      <c r="F304">
        <v>0</v>
      </c>
      <c r="G304">
        <v>0.29374321808979253</v>
      </c>
      <c r="H304">
        <v>-35.587499999994179</v>
      </c>
      <c r="I304">
        <v>-5.26621462532243</v>
      </c>
      <c r="J304">
        <v>1.1305991025280626</v>
      </c>
      <c r="K304">
        <v>4.4404898099554613</v>
      </c>
      <c r="L304">
        <v>-2.2404092915935592</v>
      </c>
      <c r="M304">
        <v>1.2079938599504292</v>
      </c>
      <c r="N304">
        <v>1.1396180571151326</v>
      </c>
      <c r="O304">
        <v>7.9939200000003763E-3</v>
      </c>
      <c r="P304">
        <v>3.706592100624162</v>
      </c>
      <c r="Q304">
        <v>3.9708979026755076</v>
      </c>
      <c r="R304">
        <v>4.8044147126268255</v>
      </c>
      <c r="S304">
        <v>3.4254535943671005</v>
      </c>
      <c r="T304">
        <v>0.69591461330591464</v>
      </c>
      <c r="U304">
        <v>73.814834131126176</v>
      </c>
      <c r="V304">
        <v>6.1362712482185167</v>
      </c>
      <c r="W304">
        <v>1.2708019395628822</v>
      </c>
      <c r="X304">
        <v>7.6731607000000021E-2</v>
      </c>
      <c r="Y304">
        <v>0.23178148000000051</v>
      </c>
      <c r="Z304">
        <v>0.12223058000000002</v>
      </c>
    </row>
    <row r="305" spans="1:26">
      <c r="A305" s="54" t="str">
        <f>CONCATENATE(raw[[#This Row],[redis_ls]],raw[[#This Row],[wage_eq]],raw[[#This Row],[flex]],raw[[#This Row],[expo]],raw[[#This Row],[_date_]])</f>
        <v>111054058</v>
      </c>
      <c r="B305" s="1">
        <v>54058</v>
      </c>
      <c r="C305">
        <v>1</v>
      </c>
      <c r="D305">
        <v>1</v>
      </c>
      <c r="E305">
        <v>1</v>
      </c>
      <c r="F305">
        <v>0</v>
      </c>
      <c r="G305">
        <v>0.27989028037056496</v>
      </c>
      <c r="H305">
        <v>-37.482920000002196</v>
      </c>
      <c r="I305">
        <v>-5.1622275704717779</v>
      </c>
      <c r="J305">
        <v>1.1046085377244275</v>
      </c>
      <c r="K305">
        <v>4.2832425636789129</v>
      </c>
      <c r="L305">
        <v>-2.1932327292383924</v>
      </c>
      <c r="M305">
        <v>1.1794923362052012</v>
      </c>
      <c r="N305">
        <v>1.112820262344294</v>
      </c>
      <c r="O305">
        <v>7.2804199999998431E-3</v>
      </c>
      <c r="P305">
        <v>3.6349733215942592</v>
      </c>
      <c r="Q305">
        <v>3.8913061268124549</v>
      </c>
      <c r="R305">
        <v>4.7043631793807217</v>
      </c>
      <c r="S305">
        <v>3.3583671739682464</v>
      </c>
      <c r="T305">
        <v>0.64048005921983897</v>
      </c>
      <c r="U305">
        <v>73.711668885618977</v>
      </c>
      <c r="V305">
        <v>6.0315433940753893</v>
      </c>
      <c r="W305">
        <v>1.2675501186222515</v>
      </c>
      <c r="X305">
        <v>8.0828455999999979E-2</v>
      </c>
      <c r="Y305">
        <v>0.23094139000000014</v>
      </c>
      <c r="Z305">
        <v>0.10837718999999989</v>
      </c>
    </row>
    <row r="306" spans="1:26">
      <c r="A306" s="54" t="str">
        <f>CONCATENATE(raw[[#This Row],[redis_ls]],raw[[#This Row],[wage_eq]],raw[[#This Row],[flex]],raw[[#This Row],[expo]],raw[[#This Row],[_date_]])</f>
        <v>111054424</v>
      </c>
      <c r="B306" s="1">
        <v>54424</v>
      </c>
      <c r="C306">
        <v>1</v>
      </c>
      <c r="D306">
        <v>1</v>
      </c>
      <c r="E306">
        <v>1</v>
      </c>
      <c r="F306">
        <v>0</v>
      </c>
      <c r="G306">
        <v>0.26623384236670322</v>
      </c>
      <c r="H306">
        <v>-39.886500000000524</v>
      </c>
      <c r="I306">
        <v>-5.0627867695582696</v>
      </c>
      <c r="J306">
        <v>1.0811810452106885</v>
      </c>
      <c r="K306">
        <v>4.1269304252989913</v>
      </c>
      <c r="L306">
        <v>-2.1486208456121925</v>
      </c>
      <c r="M306">
        <v>1.1519460889287236</v>
      </c>
      <c r="N306">
        <v>1.0884989888178431</v>
      </c>
      <c r="O306">
        <v>6.4896700000011132E-3</v>
      </c>
      <c r="P306">
        <v>3.5672494791468168</v>
      </c>
      <c r="Q306">
        <v>3.8159329607130532</v>
      </c>
      <c r="R306">
        <v>4.6099998613477799</v>
      </c>
      <c r="S306">
        <v>3.294676496022797</v>
      </c>
      <c r="T306">
        <v>0.58701680150845537</v>
      </c>
      <c r="U306">
        <v>73.622741977838118</v>
      </c>
      <c r="V306">
        <v>5.9318340180854134</v>
      </c>
      <c r="W306">
        <v>1.2635829737612569</v>
      </c>
      <c r="X306">
        <v>8.5996553000000031E-2</v>
      </c>
      <c r="Y306">
        <v>0.23040692000000015</v>
      </c>
      <c r="Z306">
        <v>9.6552479999999913E-2</v>
      </c>
    </row>
    <row r="307" spans="1:26">
      <c r="A307" s="54" t="str">
        <f>CONCATENATE(raw[[#This Row],[redis_ls]],raw[[#This Row],[wage_eq]],raw[[#This Row],[flex]],raw[[#This Row],[expo]],raw[[#This Row],[_date_]])</f>
        <v>111054789</v>
      </c>
      <c r="B307" s="1">
        <v>54789</v>
      </c>
      <c r="C307">
        <v>1</v>
      </c>
      <c r="D307">
        <v>1</v>
      </c>
      <c r="E307">
        <v>1</v>
      </c>
      <c r="F307">
        <v>0</v>
      </c>
      <c r="G307">
        <v>0.25266444122524767</v>
      </c>
      <c r="H307">
        <v>-42.796750000001339</v>
      </c>
      <c r="I307">
        <v>-4.9679160413698238</v>
      </c>
      <c r="J307">
        <v>1.0597470687378596</v>
      </c>
      <c r="K307">
        <v>3.9719537969476137</v>
      </c>
      <c r="L307">
        <v>-2.1063554919603877</v>
      </c>
      <c r="M307">
        <v>1.1251148730303751</v>
      </c>
      <c r="N307">
        <v>1.0661272417967771</v>
      </c>
      <c r="O307">
        <v>5.6592500000007817E-3</v>
      </c>
      <c r="P307">
        <v>3.5028457007464153</v>
      </c>
      <c r="Q307">
        <v>3.744146585337238</v>
      </c>
      <c r="R307">
        <v>4.5204864777477871</v>
      </c>
      <c r="S307">
        <v>3.2338880301141737</v>
      </c>
      <c r="T307">
        <v>0.53507546147550933</v>
      </c>
      <c r="U307">
        <v>73.54838254212703</v>
      </c>
      <c r="V307">
        <v>5.8362565330584593</v>
      </c>
      <c r="W307">
        <v>1.2588633683151773</v>
      </c>
      <c r="X307">
        <v>9.2211609000000028E-2</v>
      </c>
      <c r="Y307">
        <v>0.23010461999999968</v>
      </c>
      <c r="Z307">
        <v>8.6366390000000223E-2</v>
      </c>
    </row>
    <row r="308" spans="1:26">
      <c r="A308" s="54" t="str">
        <f>CONCATENATE(raw[[#This Row],[redis_ls]],raw[[#This Row],[wage_eq]],raw[[#This Row],[flex]],raw[[#This Row],[expo]],raw[[#This Row],[_date_]])</f>
        <v>110136526</v>
      </c>
      <c r="B308" s="1">
        <v>36526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5.2064544503682697E-3</v>
      </c>
      <c r="U308">
        <v>0.21586010219090124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 s="54" t="str">
        <f>CONCATENATE(raw[[#This Row],[redis_ls]],raw[[#This Row],[wage_eq]],raw[[#This Row],[flex]],raw[[#This Row],[expo]],raw[[#This Row],[_date_]])</f>
        <v>110136892</v>
      </c>
      <c r="B309" s="1">
        <v>36892</v>
      </c>
      <c r="C309">
        <v>1</v>
      </c>
      <c r="D309">
        <v>1</v>
      </c>
      <c r="E309">
        <v>0</v>
      </c>
      <c r="F309">
        <v>1</v>
      </c>
      <c r="G309">
        <v>2.3494811651314507E-3</v>
      </c>
      <c r="H309">
        <v>18.349290000001929</v>
      </c>
      <c r="I309">
        <v>-1.2461890787078156</v>
      </c>
      <c r="J309">
        <v>4.9182849274354012E-2</v>
      </c>
      <c r="K309">
        <v>-0.18127296108075841</v>
      </c>
      <c r="L309">
        <v>-0.12595615880324207</v>
      </c>
      <c r="M309">
        <v>-0.14755617086871231</v>
      </c>
      <c r="N309">
        <v>6.8399893536441603E-2</v>
      </c>
      <c r="O309">
        <v>1.723238999999932E-2</v>
      </c>
      <c r="P309">
        <v>0.45399390768814385</v>
      </c>
      <c r="Q309">
        <v>6.6597054569128566E-2</v>
      </c>
      <c r="R309">
        <v>-0.72166855075581626</v>
      </c>
      <c r="S309">
        <v>0.84775535698522475</v>
      </c>
      <c r="T309">
        <v>0.21564429120601858</v>
      </c>
      <c r="U309">
        <v>0.74463729455909178</v>
      </c>
      <c r="V309">
        <v>1.5907142990090328E-2</v>
      </c>
      <c r="W309">
        <v>0.74293724135006123</v>
      </c>
      <c r="X309">
        <v>-5.4810110000000356E-2</v>
      </c>
      <c r="Y309">
        <v>6.5866520000000192E-2</v>
      </c>
      <c r="Z309">
        <v>-2.8128827999999995E-2</v>
      </c>
    </row>
    <row r="310" spans="1:26">
      <c r="A310" s="54" t="str">
        <f>CONCATENATE(raw[[#This Row],[redis_ls]],raw[[#This Row],[wage_eq]],raw[[#This Row],[flex]],raw[[#This Row],[expo]],raw[[#This Row],[_date_]])</f>
        <v>110137257</v>
      </c>
      <c r="B310" s="1">
        <v>37257</v>
      </c>
      <c r="C310">
        <v>1</v>
      </c>
      <c r="D310">
        <v>1</v>
      </c>
      <c r="E310">
        <v>0</v>
      </c>
      <c r="F310">
        <v>1</v>
      </c>
      <c r="G310">
        <v>-9.2354070881484063E-3</v>
      </c>
      <c r="H310">
        <v>33.537420000000566</v>
      </c>
      <c r="I310">
        <v>-2.0719559948140898</v>
      </c>
      <c r="J310">
        <v>0.11525882327003689</v>
      </c>
      <c r="K310">
        <v>-0.35583400229911577</v>
      </c>
      <c r="L310">
        <v>-0.2949395087701423</v>
      </c>
      <c r="M310">
        <v>-0.24194834689161837</v>
      </c>
      <c r="N310">
        <v>0.13805005700817663</v>
      </c>
      <c r="O310">
        <v>2.0420779999999472E-2</v>
      </c>
      <c r="P310">
        <v>0.50710709267753895</v>
      </c>
      <c r="Q310">
        <v>0.13432840119416145</v>
      </c>
      <c r="R310">
        <v>-0.63817206564178441</v>
      </c>
      <c r="S310">
        <v>0.89885519105747935</v>
      </c>
      <c r="T310">
        <v>0.33803535003724683</v>
      </c>
      <c r="U310">
        <v>1.6072273013736815</v>
      </c>
      <c r="V310">
        <v>0.17115068553570367</v>
      </c>
      <c r="W310">
        <v>0.81452078519304028</v>
      </c>
      <c r="X310">
        <v>-9.5368500000000966E-2</v>
      </c>
      <c r="Y310">
        <v>8.4167849999999822E-2</v>
      </c>
      <c r="Z310">
        <v>2.913570000000025E-3</v>
      </c>
    </row>
    <row r="311" spans="1:26">
      <c r="A311" s="54" t="str">
        <f>CONCATENATE(raw[[#This Row],[redis_ls]],raw[[#This Row],[wage_eq]],raw[[#This Row],[flex]],raw[[#This Row],[expo]],raw[[#This Row],[_date_]])</f>
        <v>110137622</v>
      </c>
      <c r="B311" s="1">
        <v>37622</v>
      </c>
      <c r="C311">
        <v>1</v>
      </c>
      <c r="D311">
        <v>1</v>
      </c>
      <c r="E311">
        <v>0</v>
      </c>
      <c r="F311">
        <v>1</v>
      </c>
      <c r="G311">
        <v>-4.1896138565777896E-2</v>
      </c>
      <c r="H311">
        <v>38.867880000001605</v>
      </c>
      <c r="I311">
        <v>-2.589123347275768</v>
      </c>
      <c r="J311">
        <v>0.1668489373707116</v>
      </c>
      <c r="K311">
        <v>-0.51176397158755327</v>
      </c>
      <c r="L311">
        <v>-0.47519782935829813</v>
      </c>
      <c r="M311">
        <v>-0.29031680560572815</v>
      </c>
      <c r="N311">
        <v>0.17775157311441525</v>
      </c>
      <c r="O311">
        <v>9.7609999999997976E-3</v>
      </c>
      <c r="P311">
        <v>0.57423582013014229</v>
      </c>
      <c r="Q311">
        <v>0.21468672334596928</v>
      </c>
      <c r="R311">
        <v>-0.5390168385849492</v>
      </c>
      <c r="S311">
        <v>0.95869579973208996</v>
      </c>
      <c r="T311">
        <v>0.41377365143364653</v>
      </c>
      <c r="U311">
        <v>2.7800737906746864</v>
      </c>
      <c r="V311">
        <v>0.34058439452675504</v>
      </c>
      <c r="W311">
        <v>0.88436811884755606</v>
      </c>
      <c r="X311">
        <v>-0.10524090999999985</v>
      </c>
      <c r="Y311">
        <v>7.9887240000000095E-2</v>
      </c>
      <c r="Z311">
        <v>-7.2631599999997687E-4</v>
      </c>
    </row>
    <row r="312" spans="1:26">
      <c r="A312" s="54" t="str">
        <f>CONCATENATE(raw[[#This Row],[redis_ls]],raw[[#This Row],[wage_eq]],raw[[#This Row],[flex]],raw[[#This Row],[expo]],raw[[#This Row],[_date_]])</f>
        <v>110137987</v>
      </c>
      <c r="B312" s="1">
        <v>37987</v>
      </c>
      <c r="C312">
        <v>1</v>
      </c>
      <c r="D312">
        <v>1</v>
      </c>
      <c r="E312">
        <v>0</v>
      </c>
      <c r="F312">
        <v>1</v>
      </c>
      <c r="G312">
        <v>-9.6577459614732852E-2</v>
      </c>
      <c r="H312">
        <v>33.26166000000012</v>
      </c>
      <c r="I312">
        <v>-2.9189934464727174</v>
      </c>
      <c r="J312">
        <v>0.18549786199322238</v>
      </c>
      <c r="K312">
        <v>-0.65274104465237182</v>
      </c>
      <c r="L312">
        <v>-0.65221225457586796</v>
      </c>
      <c r="M312">
        <v>-0.32027503811786762</v>
      </c>
      <c r="N312">
        <v>0.1786512161736864</v>
      </c>
      <c r="O312">
        <v>-6.1267700000006142E-3</v>
      </c>
      <c r="P312">
        <v>0.64529458333788536</v>
      </c>
      <c r="Q312">
        <v>0.2983886604640551</v>
      </c>
      <c r="R312">
        <v>-0.4358524056723434</v>
      </c>
      <c r="S312">
        <v>1.0205454882090015</v>
      </c>
      <c r="T312">
        <v>0.45840452410403909</v>
      </c>
      <c r="U312">
        <v>4.2144760079538823</v>
      </c>
      <c r="V312">
        <v>0.49091754403385313</v>
      </c>
      <c r="W312">
        <v>0.93082699191411322</v>
      </c>
      <c r="X312">
        <v>-8.4564669999999398E-2</v>
      </c>
      <c r="Y312">
        <v>6.586036999999996E-2</v>
      </c>
      <c r="Z312">
        <v>-3.2925429000000075E-2</v>
      </c>
    </row>
    <row r="313" spans="1:26">
      <c r="A313" s="54" t="str">
        <f>CONCATENATE(raw[[#This Row],[redis_ls]],raw[[#This Row],[wage_eq]],raw[[#This Row],[flex]],raw[[#This Row],[expo]],raw[[#This Row],[_date_]])</f>
        <v>110138353</v>
      </c>
      <c r="B313" s="1">
        <v>38353</v>
      </c>
      <c r="C313">
        <v>1</v>
      </c>
      <c r="D313">
        <v>1</v>
      </c>
      <c r="E313">
        <v>0</v>
      </c>
      <c r="F313">
        <v>1</v>
      </c>
      <c r="G313">
        <v>-0.16737296032173221</v>
      </c>
      <c r="H313">
        <v>18.191320000001724</v>
      </c>
      <c r="I313">
        <v>-3.1368031501287641</v>
      </c>
      <c r="J313">
        <v>0.17143979176528212</v>
      </c>
      <c r="K313">
        <v>-0.78302982297419055</v>
      </c>
      <c r="L313">
        <v>-0.81652082268858228</v>
      </c>
      <c r="M313">
        <v>-0.34783202817937342</v>
      </c>
      <c r="N313">
        <v>0.15135421135807903</v>
      </c>
      <c r="O313">
        <v>-1.796981000000003E-2</v>
      </c>
      <c r="P313">
        <v>0.70946591643603618</v>
      </c>
      <c r="Q313">
        <v>0.37362180824673796</v>
      </c>
      <c r="R313">
        <v>-0.34308396011856201</v>
      </c>
      <c r="S313">
        <v>1.0753748514304773</v>
      </c>
      <c r="T313">
        <v>0.47823147416532485</v>
      </c>
      <c r="U313">
        <v>5.8471420837524324</v>
      </c>
      <c r="V313">
        <v>0.61291985541203076</v>
      </c>
      <c r="W313">
        <v>0.95929499257958462</v>
      </c>
      <c r="X313">
        <v>-3.9632650000000214E-2</v>
      </c>
      <c r="Y313">
        <v>4.8320820000000153E-2</v>
      </c>
      <c r="Z313">
        <v>-8.1792795000000001E-2</v>
      </c>
    </row>
    <row r="314" spans="1:26">
      <c r="A314" s="54" t="str">
        <f>CONCATENATE(raw[[#This Row],[redis_ls]],raw[[#This Row],[wage_eq]],raw[[#This Row],[flex]],raw[[#This Row],[expo]],raw[[#This Row],[_date_]])</f>
        <v>110138718</v>
      </c>
      <c r="B314" s="1">
        <v>38718</v>
      </c>
      <c r="C314">
        <v>1</v>
      </c>
      <c r="D314">
        <v>1</v>
      </c>
      <c r="E314">
        <v>0</v>
      </c>
      <c r="F314">
        <v>1</v>
      </c>
      <c r="G314">
        <v>-0.24562345232207461</v>
      </c>
      <c r="H314">
        <v>-3.7092300000003888</v>
      </c>
      <c r="I314">
        <v>-3.2839082938444952</v>
      </c>
      <c r="J314">
        <v>0.13340292632444406</v>
      </c>
      <c r="K314">
        <v>-0.90337279896139933</v>
      </c>
      <c r="L314">
        <v>-0.96025397310773863</v>
      </c>
      <c r="M314">
        <v>-0.37867653601014739</v>
      </c>
      <c r="N314">
        <v>0.10749591077396925</v>
      </c>
      <c r="O314">
        <v>-2.3178289999999102E-2</v>
      </c>
      <c r="P314">
        <v>0.7587206116612899</v>
      </c>
      <c r="Q314">
        <v>0.43124190730028378</v>
      </c>
      <c r="R314">
        <v>-0.27168324765165508</v>
      </c>
      <c r="S314">
        <v>1.1160020400020176</v>
      </c>
      <c r="T314">
        <v>0.47671293213100707</v>
      </c>
      <c r="U314">
        <v>7.6059262886827517</v>
      </c>
      <c r="V314">
        <v>0.7026013118003327</v>
      </c>
      <c r="W314">
        <v>0.97693873663604602</v>
      </c>
      <c r="X314">
        <v>2.1060950000000023E-2</v>
      </c>
      <c r="Y314">
        <v>3.0088370000000073E-2</v>
      </c>
      <c r="Z314">
        <v>-0.13678591199999998</v>
      </c>
    </row>
    <row r="315" spans="1:26">
      <c r="A315" s="54" t="str">
        <f>CONCATENATE(raw[[#This Row],[redis_ls]],raw[[#This Row],[wage_eq]],raw[[#This Row],[flex]],raw[[#This Row],[expo]],raw[[#This Row],[_date_]])</f>
        <v>110139083</v>
      </c>
      <c r="B315" s="1">
        <v>39083</v>
      </c>
      <c r="C315">
        <v>1</v>
      </c>
      <c r="D315">
        <v>1</v>
      </c>
      <c r="E315">
        <v>0</v>
      </c>
      <c r="F315">
        <v>1</v>
      </c>
      <c r="G315">
        <v>-0.32285190510529249</v>
      </c>
      <c r="H315">
        <v>-29.443820000000414</v>
      </c>
      <c r="I315">
        <v>-3.3820411948801143</v>
      </c>
      <c r="J315">
        <v>8.1522082971718923E-2</v>
      </c>
      <c r="K315">
        <v>-1.0117818752495844</v>
      </c>
      <c r="L315">
        <v>-1.0766824219427651</v>
      </c>
      <c r="M315">
        <v>-0.41309375898882505</v>
      </c>
      <c r="N315">
        <v>5.599228185164673E-2</v>
      </c>
      <c r="O315">
        <v>-2.2844299999999484E-2</v>
      </c>
      <c r="P315">
        <v>0.78802653191032412</v>
      </c>
      <c r="Q315">
        <v>0.46560466085963093</v>
      </c>
      <c r="R315">
        <v>-0.22818522969009214</v>
      </c>
      <c r="S315">
        <v>1.1377504785370807</v>
      </c>
      <c r="T315">
        <v>0.45664404054834851</v>
      </c>
      <c r="U315">
        <v>9.4135914687591296</v>
      </c>
      <c r="V315">
        <v>0.75731535294361052</v>
      </c>
      <c r="W315">
        <v>0.9877544877301192</v>
      </c>
      <c r="X315">
        <v>8.8843099999999509E-2</v>
      </c>
      <c r="Y315">
        <v>1.267462999999993E-2</v>
      </c>
      <c r="Z315">
        <v>-0.19012398019999996</v>
      </c>
    </row>
    <row r="316" spans="1:26">
      <c r="A316" s="54" t="str">
        <f>CONCATENATE(raw[[#This Row],[redis_ls]],raw[[#This Row],[wage_eq]],raw[[#This Row],[flex]],raw[[#This Row],[expo]],raw[[#This Row],[_date_]])</f>
        <v>110139448</v>
      </c>
      <c r="B316" s="1">
        <v>39448</v>
      </c>
      <c r="C316">
        <v>1</v>
      </c>
      <c r="D316">
        <v>1</v>
      </c>
      <c r="E316">
        <v>0</v>
      </c>
      <c r="F316">
        <v>1</v>
      </c>
      <c r="G316">
        <v>-0.39206983401453011</v>
      </c>
      <c r="H316">
        <v>-56.108189999999013</v>
      </c>
      <c r="I316">
        <v>-3.4425310551390087</v>
      </c>
      <c r="J316">
        <v>2.4367416131987341E-2</v>
      </c>
      <c r="K316">
        <v>-1.1052590239665872</v>
      </c>
      <c r="L316">
        <v>-1.160546056308065</v>
      </c>
      <c r="M316">
        <v>-0.44928869693258155</v>
      </c>
      <c r="N316">
        <v>3.0935102269369352E-3</v>
      </c>
      <c r="O316">
        <v>-1.9040639999999553E-2</v>
      </c>
      <c r="P316">
        <v>0.79485030751542673</v>
      </c>
      <c r="Q316">
        <v>0.47417474018545125</v>
      </c>
      <c r="R316">
        <v>-0.21518955491010017</v>
      </c>
      <c r="S316">
        <v>1.1382032856217306</v>
      </c>
      <c r="T316">
        <v>0.42078762019244209</v>
      </c>
      <c r="U316">
        <v>11.191246376199393</v>
      </c>
      <c r="V316">
        <v>0.77566682605103576</v>
      </c>
      <c r="W316">
        <v>0.99299320066210672</v>
      </c>
      <c r="X316">
        <v>0.15591946999999953</v>
      </c>
      <c r="Y316">
        <v>-2.7540489999998419E-3</v>
      </c>
      <c r="Z316">
        <v>-0.23662885999999997</v>
      </c>
    </row>
    <row r="317" spans="1:26">
      <c r="A317" s="54" t="str">
        <f>CONCATENATE(raw[[#This Row],[redis_ls]],raw[[#This Row],[wage_eq]],raw[[#This Row],[flex]],raw[[#This Row],[expo]],raw[[#This Row],[_date_]])</f>
        <v>110139814</v>
      </c>
      <c r="B317" s="1">
        <v>39814</v>
      </c>
      <c r="C317">
        <v>1</v>
      </c>
      <c r="D317">
        <v>1</v>
      </c>
      <c r="E317">
        <v>0</v>
      </c>
      <c r="F317">
        <v>1</v>
      </c>
      <c r="G317">
        <v>-0.44811815534143706</v>
      </c>
      <c r="H317">
        <v>-81.115639999999985</v>
      </c>
      <c r="I317">
        <v>-3.4715045172974968</v>
      </c>
      <c r="J317">
        <v>-3.1708465451152357E-2</v>
      </c>
      <c r="K317">
        <v>-1.1810518633122324</v>
      </c>
      <c r="L317">
        <v>-1.2084198942385771</v>
      </c>
      <c r="M317">
        <v>-0.48502815930893117</v>
      </c>
      <c r="N317">
        <v>-4.6877187732441428E-2</v>
      </c>
      <c r="O317">
        <v>-1.358060000000022E-2</v>
      </c>
      <c r="P317">
        <v>0.77868844242539037</v>
      </c>
      <c r="Q317">
        <v>0.45694244608589507</v>
      </c>
      <c r="R317">
        <v>-0.23213365618658388</v>
      </c>
      <c r="S317">
        <v>1.1168471842214922</v>
      </c>
      <c r="T317">
        <v>0.37201516661786727</v>
      </c>
      <c r="U317">
        <v>12.86217819533395</v>
      </c>
      <c r="V317">
        <v>0.75795794676494221</v>
      </c>
      <c r="W317">
        <v>0.99239527161993912</v>
      </c>
      <c r="X317">
        <v>0.2158327700000004</v>
      </c>
      <c r="Y317">
        <v>-1.5089298000000011E-2</v>
      </c>
      <c r="Z317">
        <v>-0.2732030310000001</v>
      </c>
    </row>
    <row r="318" spans="1:26">
      <c r="A318" s="54" t="str">
        <f>CONCATENATE(raw[[#This Row],[redis_ls]],raw[[#This Row],[wage_eq]],raw[[#This Row],[flex]],raw[[#This Row],[expo]],raw[[#This Row],[_date_]])</f>
        <v>110140179</v>
      </c>
      <c r="B318" s="1">
        <v>40179</v>
      </c>
      <c r="C318">
        <v>1</v>
      </c>
      <c r="D318">
        <v>1</v>
      </c>
      <c r="E318">
        <v>0</v>
      </c>
      <c r="F318">
        <v>1</v>
      </c>
      <c r="G318">
        <v>-0.48759967938840632</v>
      </c>
      <c r="H318">
        <v>-102.29471000000194</v>
      </c>
      <c r="I318">
        <v>-3.4726707577042326</v>
      </c>
      <c r="J318">
        <v>-8.2287528498414808E-2</v>
      </c>
      <c r="K318">
        <v>-1.2372794906423734</v>
      </c>
      <c r="L318">
        <v>-1.2189304067175888</v>
      </c>
      <c r="M318">
        <v>-0.51828165259903969</v>
      </c>
      <c r="N318">
        <v>-9.087333189576885E-2</v>
      </c>
      <c r="O318">
        <v>-7.6894100000002297E-3</v>
      </c>
      <c r="P318">
        <v>0.74072709164128003</v>
      </c>
      <c r="Q318">
        <v>0.41589468482630121</v>
      </c>
      <c r="R318">
        <v>-0.27601857492658421</v>
      </c>
      <c r="S318">
        <v>1.0747717030308079</v>
      </c>
      <c r="T318">
        <v>0.3133097131665874</v>
      </c>
      <c r="U318">
        <v>14.356153120276517</v>
      </c>
      <c r="V318">
        <v>0.70641764046204258</v>
      </c>
      <c r="W318">
        <v>0.98515541139940765</v>
      </c>
      <c r="X318">
        <v>0.26359664999999999</v>
      </c>
      <c r="Y318">
        <v>-2.3317942350000002E-2</v>
      </c>
      <c r="Z318">
        <v>-0.2982954000000001</v>
      </c>
    </row>
    <row r="319" spans="1:26">
      <c r="A319" s="54" t="str">
        <f>CONCATENATE(raw[[#This Row],[redis_ls]],raw[[#This Row],[wage_eq]],raw[[#This Row],[flex]],raw[[#This Row],[expo]],raw[[#This Row],[_date_]])</f>
        <v>110140544</v>
      </c>
      <c r="B319" s="1">
        <v>40544</v>
      </c>
      <c r="C319">
        <v>1</v>
      </c>
      <c r="D319">
        <v>1</v>
      </c>
      <c r="E319">
        <v>0</v>
      </c>
      <c r="F319">
        <v>1</v>
      </c>
      <c r="G319">
        <v>-0.50870019990745252</v>
      </c>
      <c r="H319">
        <v>-117.93663000000015</v>
      </c>
      <c r="I319">
        <v>-3.4487952041394099</v>
      </c>
      <c r="J319">
        <v>-0.12439271677053831</v>
      </c>
      <c r="K319">
        <v>-1.2731308381376594</v>
      </c>
      <c r="L319">
        <v>-1.1928075301671281</v>
      </c>
      <c r="M319">
        <v>-0.5473976361989652</v>
      </c>
      <c r="N319">
        <v>-0.12670091360093005</v>
      </c>
      <c r="O319">
        <v>-2.0679500000009288E-3</v>
      </c>
      <c r="P319">
        <v>0.68356632415464968</v>
      </c>
      <c r="Q319">
        <v>0.35454970075723402</v>
      </c>
      <c r="R319">
        <v>-0.34206847747787483</v>
      </c>
      <c r="S319">
        <v>1.0144046169726639</v>
      </c>
      <c r="T319">
        <v>0.24772047769310301</v>
      </c>
      <c r="U319">
        <v>15.61384694204957</v>
      </c>
      <c r="V319">
        <v>0.62515158419191863</v>
      </c>
      <c r="W319">
        <v>0.97053998033100886</v>
      </c>
      <c r="X319">
        <v>0.29570260999999992</v>
      </c>
      <c r="Y319">
        <v>-2.6675676999999946E-2</v>
      </c>
      <c r="Z319">
        <v>-0.31145960000000006</v>
      </c>
    </row>
    <row r="320" spans="1:26">
      <c r="A320" s="54" t="str">
        <f>CONCATENATE(raw[[#This Row],[redis_ls]],raw[[#This Row],[wage_eq]],raw[[#This Row],[flex]],raw[[#This Row],[expo]],raw[[#This Row],[_date_]])</f>
        <v>110140909</v>
      </c>
      <c r="B320" s="1">
        <v>40909</v>
      </c>
      <c r="C320">
        <v>1</v>
      </c>
      <c r="D320">
        <v>1</v>
      </c>
      <c r="E320">
        <v>0</v>
      </c>
      <c r="F320">
        <v>1</v>
      </c>
      <c r="G320">
        <v>-0.51101074197087426</v>
      </c>
      <c r="H320">
        <v>-126.83691000000181</v>
      </c>
      <c r="I320">
        <v>-3.4024845922727254</v>
      </c>
      <c r="J320">
        <v>-0.15608052137904282</v>
      </c>
      <c r="K320">
        <v>-1.2888480898768262</v>
      </c>
      <c r="L320">
        <v>-1.1327886589437175</v>
      </c>
      <c r="M320">
        <v>-0.57111690172966245</v>
      </c>
      <c r="N320">
        <v>-0.15280830766589704</v>
      </c>
      <c r="O320">
        <v>2.9327400000001003E-3</v>
      </c>
      <c r="P320">
        <v>0.61093845516964063</v>
      </c>
      <c r="Q320">
        <v>0.27751900189281198</v>
      </c>
      <c r="R320">
        <v>-0.42435035862339321</v>
      </c>
      <c r="S320">
        <v>0.93923847312071818</v>
      </c>
      <c r="T320">
        <v>0.17828213655064484</v>
      </c>
      <c r="U320">
        <v>16.590843961078484</v>
      </c>
      <c r="V320">
        <v>0.51987962610520189</v>
      </c>
      <c r="W320">
        <v>0.94825391120709757</v>
      </c>
      <c r="X320">
        <v>0.31010507199999998</v>
      </c>
      <c r="Y320">
        <v>-2.4798103999999939E-2</v>
      </c>
      <c r="Z320">
        <v>-0.31302897999999979</v>
      </c>
    </row>
    <row r="321" spans="1:26">
      <c r="A321" s="54" t="str">
        <f>CONCATENATE(raw[[#This Row],[redis_ls]],raw[[#This Row],[wage_eq]],raw[[#This Row],[flex]],raw[[#This Row],[expo]],raw[[#This Row],[_date_]])</f>
        <v>110141275</v>
      </c>
      <c r="B321" s="1">
        <v>41275</v>
      </c>
      <c r="C321">
        <v>1</v>
      </c>
      <c r="D321">
        <v>1</v>
      </c>
      <c r="E321">
        <v>0</v>
      </c>
      <c r="F321">
        <v>1</v>
      </c>
      <c r="G321">
        <v>-0.49536669460873428</v>
      </c>
      <c r="H321">
        <v>-128.34283000000141</v>
      </c>
      <c r="I321">
        <v>-3.3365942155244577</v>
      </c>
      <c r="J321">
        <v>-0.17620367490037703</v>
      </c>
      <c r="K321">
        <v>-1.2856256234426322</v>
      </c>
      <c r="L321">
        <v>-1.0433917416847294</v>
      </c>
      <c r="M321">
        <v>-0.58855733617738659</v>
      </c>
      <c r="N321">
        <v>-0.1682315143619495</v>
      </c>
      <c r="O321">
        <v>7.1476500000000609E-3</v>
      </c>
      <c r="P321">
        <v>0.52738292560796651</v>
      </c>
      <c r="Q321">
        <v>0.19007485130135837</v>
      </c>
      <c r="R321">
        <v>-0.51636141727241514</v>
      </c>
      <c r="S321">
        <v>0.85352386332020469</v>
      </c>
      <c r="T321">
        <v>0.10790776026519122</v>
      </c>
      <c r="U321">
        <v>17.26060825864062</v>
      </c>
      <c r="V321">
        <v>0.39752301914735</v>
      </c>
      <c r="W321">
        <v>0.91862787998402418</v>
      </c>
      <c r="X321">
        <v>0.30620909960000003</v>
      </c>
      <c r="Y321">
        <v>-1.7805149999999999E-2</v>
      </c>
      <c r="Z321">
        <v>-0.30389633000000027</v>
      </c>
    </row>
    <row r="322" spans="1:26">
      <c r="A322" s="54" t="str">
        <f>CONCATENATE(raw[[#This Row],[redis_ls]],raw[[#This Row],[wage_eq]],raw[[#This Row],[flex]],raw[[#This Row],[expo]],raw[[#This Row],[_date_]])</f>
        <v>110141640</v>
      </c>
      <c r="B322" s="1">
        <v>41640</v>
      </c>
      <c r="C322">
        <v>1</v>
      </c>
      <c r="D322">
        <v>1</v>
      </c>
      <c r="E322">
        <v>0</v>
      </c>
      <c r="F322">
        <v>1</v>
      </c>
      <c r="G322">
        <v>-0.46368304009939409</v>
      </c>
      <c r="H322">
        <v>-122.39442000000054</v>
      </c>
      <c r="I322">
        <v>-3.2544010018574432</v>
      </c>
      <c r="J322">
        <v>-0.18431996067972412</v>
      </c>
      <c r="K322">
        <v>-1.2654788933747718</v>
      </c>
      <c r="L322">
        <v>-0.93057454616298774</v>
      </c>
      <c r="M322">
        <v>-0.59920976782691371</v>
      </c>
      <c r="N322">
        <v>-0.17262795078311077</v>
      </c>
      <c r="O322">
        <v>1.048652000000122E-2</v>
      </c>
      <c r="P322">
        <v>0.43788130984172557</v>
      </c>
      <c r="Q322">
        <v>9.7732723598120685E-2</v>
      </c>
      <c r="R322">
        <v>-0.61156614442835489</v>
      </c>
      <c r="S322">
        <v>0.76193239949804425</v>
      </c>
      <c r="T322">
        <v>3.927143459261373E-2</v>
      </c>
      <c r="U322">
        <v>17.61595017684272</v>
      </c>
      <c r="V322">
        <v>0.2656918937924857</v>
      </c>
      <c r="W322">
        <v>0.88265604774542261</v>
      </c>
      <c r="X322">
        <v>0.28483334899999985</v>
      </c>
      <c r="Y322">
        <v>-6.2946399999999625E-3</v>
      </c>
      <c r="Z322">
        <v>-0.28537043999999967</v>
      </c>
    </row>
    <row r="323" spans="1:26">
      <c r="A323" s="54" t="str">
        <f>CONCATENATE(raw[[#This Row],[redis_ls]],raw[[#This Row],[wage_eq]],raw[[#This Row],[flex]],raw[[#This Row],[expo]],raw[[#This Row],[_date_]])</f>
        <v>110142005</v>
      </c>
      <c r="B323" s="1">
        <v>42005</v>
      </c>
      <c r="C323">
        <v>1</v>
      </c>
      <c r="D323">
        <v>1</v>
      </c>
      <c r="E323">
        <v>0</v>
      </c>
      <c r="F323">
        <v>1</v>
      </c>
      <c r="G323">
        <v>-0.41875994718919562</v>
      </c>
      <c r="H323">
        <v>-109.53431999999884</v>
      </c>
      <c r="I323">
        <v>-3.1596115490581944</v>
      </c>
      <c r="J323">
        <v>-0.18068374881439198</v>
      </c>
      <c r="K323">
        <v>-1.2310936769423297</v>
      </c>
      <c r="L323">
        <v>-0.80130523208602478</v>
      </c>
      <c r="M323">
        <v>-0.60294238926400512</v>
      </c>
      <c r="N323">
        <v>-0.16632792656785522</v>
      </c>
      <c r="O323">
        <v>1.2879599999998659E-2</v>
      </c>
      <c r="P323">
        <v>0.34747721209358318</v>
      </c>
      <c r="Q323">
        <v>5.8650381344671487E-3</v>
      </c>
      <c r="R323">
        <v>-0.70385037933501371</v>
      </c>
      <c r="S323">
        <v>0.66921178524215197</v>
      </c>
      <c r="T323">
        <v>-2.530221735214111E-2</v>
      </c>
      <c r="U323">
        <v>17.668747569844733</v>
      </c>
      <c r="V323">
        <v>0.13212318229605113</v>
      </c>
      <c r="W323">
        <v>0.84189929113525075</v>
      </c>
      <c r="X323">
        <v>0.24810286999999986</v>
      </c>
      <c r="Y323">
        <v>8.7477799999999273E-3</v>
      </c>
      <c r="Z323">
        <v>-0.25907677999999978</v>
      </c>
    </row>
    <row r="324" spans="1:26">
      <c r="A324" s="54" t="str">
        <f>CONCATENATE(raw[[#This Row],[redis_ls]],raw[[#This Row],[wage_eq]],raw[[#This Row],[flex]],raw[[#This Row],[expo]],raw[[#This Row],[_date_]])</f>
        <v>110142370</v>
      </c>
      <c r="B324" s="1">
        <v>42370</v>
      </c>
      <c r="C324">
        <v>1</v>
      </c>
      <c r="D324">
        <v>1</v>
      </c>
      <c r="E324">
        <v>0</v>
      </c>
      <c r="F324">
        <v>1</v>
      </c>
      <c r="G324">
        <v>-0.36404682218568185</v>
      </c>
      <c r="H324">
        <v>-90.863110000002052</v>
      </c>
      <c r="I324">
        <v>-3.0562492664310548</v>
      </c>
      <c r="J324">
        <v>-0.16624675115300969</v>
      </c>
      <c r="K324">
        <v>-1.1856508881454175</v>
      </c>
      <c r="L324">
        <v>-0.66307848605683395</v>
      </c>
      <c r="M324">
        <v>-0.59999692726691034</v>
      </c>
      <c r="N324">
        <v>-0.15034653572074674</v>
      </c>
      <c r="O324">
        <v>1.4268859999999606E-2</v>
      </c>
      <c r="P324">
        <v>0.26091845912890044</v>
      </c>
      <c r="Q324">
        <v>-8.0628202376531455E-2</v>
      </c>
      <c r="R324">
        <v>-0.78787177603359959</v>
      </c>
      <c r="S324">
        <v>0.57986051921663506</v>
      </c>
      <c r="T324">
        <v>-8.3924076811292547E-2</v>
      </c>
      <c r="U324">
        <v>17.447979089360487</v>
      </c>
      <c r="V324">
        <v>4.1270394373515984E-3</v>
      </c>
      <c r="W324">
        <v>0.7982883080810188</v>
      </c>
      <c r="X324">
        <v>0.19923708999999984</v>
      </c>
      <c r="Y324">
        <v>2.6093759999999688E-2</v>
      </c>
      <c r="Z324">
        <v>-0.22687493000000045</v>
      </c>
    </row>
    <row r="325" spans="1:26">
      <c r="A325" s="54" t="str">
        <f>CONCATENATE(raw[[#This Row],[redis_ls]],raw[[#This Row],[wage_eq]],raw[[#This Row],[flex]],raw[[#This Row],[expo]],raw[[#This Row],[_date_]])</f>
        <v>110142736</v>
      </c>
      <c r="B325" s="1">
        <v>42736</v>
      </c>
      <c r="C325">
        <v>1</v>
      </c>
      <c r="D325">
        <v>1</v>
      </c>
      <c r="E325">
        <v>0</v>
      </c>
      <c r="F325">
        <v>1</v>
      </c>
      <c r="G325">
        <v>-0.30336906552844711</v>
      </c>
      <c r="H325">
        <v>-67.929549999997107</v>
      </c>
      <c r="I325">
        <v>-2.9484607548652342</v>
      </c>
      <c r="J325">
        <v>-0.14261348995522338</v>
      </c>
      <c r="K325">
        <v>-1.1326251579733437</v>
      </c>
      <c r="L325">
        <v>-0.52341834001562448</v>
      </c>
      <c r="M325">
        <v>-0.59096240450455806</v>
      </c>
      <c r="N325">
        <v>-0.12631832589106162</v>
      </c>
      <c r="O325">
        <v>1.4626069999999769E-2</v>
      </c>
      <c r="P325">
        <v>0.1823528287365983</v>
      </c>
      <c r="Q325">
        <v>-0.15757548491547313</v>
      </c>
      <c r="R325">
        <v>-0.85929509888864608</v>
      </c>
      <c r="S325">
        <v>0.49784985225305167</v>
      </c>
      <c r="T325">
        <v>-0.13519634677866543</v>
      </c>
      <c r="U325">
        <v>16.996386702475075</v>
      </c>
      <c r="V325">
        <v>-0.11190021673339601</v>
      </c>
      <c r="W325">
        <v>0.753872872638639</v>
      </c>
      <c r="X325">
        <v>0.14222836999999988</v>
      </c>
      <c r="Y325">
        <v>4.4435259999999963E-2</v>
      </c>
      <c r="Z325">
        <v>-0.1907730199999999</v>
      </c>
    </row>
    <row r="326" spans="1:26">
      <c r="A326" s="54" t="str">
        <f>CONCATENATE(raw[[#This Row],[redis_ls]],raw[[#This Row],[wage_eq]],raw[[#This Row],[flex]],raw[[#This Row],[expo]],raw[[#This Row],[_date_]])</f>
        <v>110143101</v>
      </c>
      <c r="B326" s="1">
        <v>43101</v>
      </c>
      <c r="C326">
        <v>1</v>
      </c>
      <c r="D326">
        <v>1</v>
      </c>
      <c r="E326">
        <v>0</v>
      </c>
      <c r="F326">
        <v>1</v>
      </c>
      <c r="G326">
        <v>-0.24063622988165223</v>
      </c>
      <c r="H326">
        <v>-42.563149999998132</v>
      </c>
      <c r="I326">
        <v>-2.840282367161262</v>
      </c>
      <c r="J326">
        <v>-0.11192322867074056</v>
      </c>
      <c r="K326">
        <v>-1.0755642379068786</v>
      </c>
      <c r="L326">
        <v>-0.38940927590584984</v>
      </c>
      <c r="M326">
        <v>-0.57671939691646967</v>
      </c>
      <c r="N326">
        <v>-9.6350935727818054E-2</v>
      </c>
      <c r="O326">
        <v>1.3978700000000233E-2</v>
      </c>
      <c r="P326">
        <v>0.11510482994157023</v>
      </c>
      <c r="Q326">
        <v>-0.22170874418945274</v>
      </c>
      <c r="R326">
        <v>-0.91491970828398994</v>
      </c>
      <c r="S326">
        <v>0.42641226785424813</v>
      </c>
      <c r="T326">
        <v>-0.17823415900692918</v>
      </c>
      <c r="U326">
        <v>16.366269289838442</v>
      </c>
      <c r="V326">
        <v>-0.21084677936099583</v>
      </c>
      <c r="W326">
        <v>0.71057410417560973</v>
      </c>
      <c r="X326">
        <v>8.1440170000000173E-2</v>
      </c>
      <c r="Y326">
        <v>6.2531139999999832E-2</v>
      </c>
      <c r="Z326">
        <v>-0.15282991999999995</v>
      </c>
    </row>
    <row r="327" spans="1:26">
      <c r="A327" s="54" t="str">
        <f>CONCATENATE(raw[[#This Row],[redis_ls]],raw[[#This Row],[wage_eq]],raw[[#This Row],[flex]],raw[[#This Row],[expo]],raw[[#This Row],[_date_]])</f>
        <v>110143466</v>
      </c>
      <c r="B327" s="1">
        <v>43466</v>
      </c>
      <c r="C327">
        <v>1</v>
      </c>
      <c r="D327">
        <v>1</v>
      </c>
      <c r="E327">
        <v>0</v>
      </c>
      <c r="F327">
        <v>1</v>
      </c>
      <c r="G327">
        <v>-0.1795582970346099</v>
      </c>
      <c r="H327">
        <v>-16.673940000000584</v>
      </c>
      <c r="I327">
        <v>-2.7354054248853399</v>
      </c>
      <c r="J327">
        <v>-7.6659262693778984E-2</v>
      </c>
      <c r="K327">
        <v>-1.017864672125246</v>
      </c>
      <c r="L327">
        <v>-0.26729280051484006</v>
      </c>
      <c r="M327">
        <v>-0.55835663432666216</v>
      </c>
      <c r="N327">
        <v>-6.2814175327718935E-2</v>
      </c>
      <c r="O327">
        <v>1.2428390000000789E-2</v>
      </c>
      <c r="P327">
        <v>6.1540046358188327E-2</v>
      </c>
      <c r="Q327">
        <v>-0.27075846535866699</v>
      </c>
      <c r="R327">
        <v>-0.95271424278350336</v>
      </c>
      <c r="S327">
        <v>0.36790650175497763</v>
      </c>
      <c r="T327">
        <v>-0.21265586744314557</v>
      </c>
      <c r="U327">
        <v>15.614969252697431</v>
      </c>
      <c r="V327">
        <v>-0.28911064269693254</v>
      </c>
      <c r="W327">
        <v>0.66998666266846474</v>
      </c>
      <c r="X327">
        <v>2.1179949999999836E-2</v>
      </c>
      <c r="Y327">
        <v>7.9314939999999834E-2</v>
      </c>
      <c r="Z327">
        <v>-0.11504498000000016</v>
      </c>
    </row>
    <row r="328" spans="1:26">
      <c r="A328" s="54" t="str">
        <f>CONCATENATE(raw[[#This Row],[redis_ls]],raw[[#This Row],[wage_eq]],raw[[#This Row],[flex]],raw[[#This Row],[expo]],raw[[#This Row],[_date_]])</f>
        <v>110143831</v>
      </c>
      <c r="B328" s="1">
        <v>43831</v>
      </c>
      <c r="C328">
        <v>1</v>
      </c>
      <c r="D328">
        <v>1</v>
      </c>
      <c r="E328">
        <v>0</v>
      </c>
      <c r="F328">
        <v>1</v>
      </c>
      <c r="G328">
        <v>-0.12339765289560711</v>
      </c>
      <c r="H328">
        <v>7.9465400000008231</v>
      </c>
      <c r="I328">
        <v>-2.636972753722433</v>
      </c>
      <c r="J328">
        <v>-3.94142032032474E-2</v>
      </c>
      <c r="K328">
        <v>-0.96256456667506152</v>
      </c>
      <c r="L328">
        <v>-0.16215614670767042</v>
      </c>
      <c r="M328">
        <v>-0.53706909526775037</v>
      </c>
      <c r="N328">
        <v>-2.8103014828151363E-2</v>
      </c>
      <c r="O328">
        <v>1.0152920000000565E-2</v>
      </c>
      <c r="P328">
        <v>2.3019509911326175E-2</v>
      </c>
      <c r="Q328">
        <v>-0.30347385883139344</v>
      </c>
      <c r="R328">
        <v>-0.9717784033830501</v>
      </c>
      <c r="S328">
        <v>0.32375956255350502</v>
      </c>
      <c r="T328">
        <v>-0.2385467146774789</v>
      </c>
      <c r="U328">
        <v>14.800565569324565</v>
      </c>
      <c r="V328">
        <v>-0.3446731180054563</v>
      </c>
      <c r="W328">
        <v>0.63325916614134226</v>
      </c>
      <c r="X328">
        <v>-3.4690180000000043E-2</v>
      </c>
      <c r="Y328">
        <v>9.3955459999999977E-2</v>
      </c>
      <c r="Z328">
        <v>-7.924322999999997E-2</v>
      </c>
    </row>
    <row r="329" spans="1:26">
      <c r="A329" s="54" t="str">
        <f>CONCATENATE(raw[[#This Row],[redis_ls]],raw[[#This Row],[wage_eq]],raw[[#This Row],[flex]],raw[[#This Row],[expo]],raw[[#This Row],[_date_]])</f>
        <v>110144197</v>
      </c>
      <c r="B329" s="1">
        <v>44197</v>
      </c>
      <c r="C329">
        <v>1</v>
      </c>
      <c r="D329">
        <v>1</v>
      </c>
      <c r="E329">
        <v>0</v>
      </c>
      <c r="F329">
        <v>1</v>
      </c>
      <c r="G329">
        <v>-7.4779206514252738E-2</v>
      </c>
      <c r="H329">
        <v>29.790240000002086</v>
      </c>
      <c r="I329">
        <v>-2.5474291985155717</v>
      </c>
      <c r="J329">
        <v>-2.649065240745152E-3</v>
      </c>
      <c r="K329">
        <v>-0.91217252653430503</v>
      </c>
      <c r="L329">
        <v>-7.7728666194143425E-2</v>
      </c>
      <c r="M329">
        <v>-0.51405162718360931</v>
      </c>
      <c r="N329">
        <v>5.5854835822710669E-3</v>
      </c>
      <c r="O329">
        <v>7.3900299999998809E-3</v>
      </c>
      <c r="P329">
        <v>-6.9128510016280842E-5</v>
      </c>
      <c r="Q329">
        <v>-0.31958277356678444</v>
      </c>
      <c r="R329">
        <v>-0.97225289829223627</v>
      </c>
      <c r="S329">
        <v>0.29447828938471421</v>
      </c>
      <c r="T329">
        <v>-0.25640300886250467</v>
      </c>
      <c r="U329">
        <v>13.978158528026196</v>
      </c>
      <c r="V329">
        <v>-0.37703678348856018</v>
      </c>
      <c r="W329">
        <v>0.60105994071470992</v>
      </c>
      <c r="X329">
        <v>-8.3051450000000068E-2</v>
      </c>
      <c r="Y329">
        <v>0.10587370000000006</v>
      </c>
      <c r="Z329">
        <v>-4.6968990000000044E-2</v>
      </c>
    </row>
    <row r="330" spans="1:26">
      <c r="A330" s="54" t="str">
        <f>CONCATENATE(raw[[#This Row],[redis_ls]],raw[[#This Row],[wage_eq]],raw[[#This Row],[flex]],raw[[#This Row],[expo]],raw[[#This Row],[_date_]])</f>
        <v>110144562</v>
      </c>
      <c r="B330" s="1">
        <v>44562</v>
      </c>
      <c r="C330">
        <v>1</v>
      </c>
      <c r="D330">
        <v>1</v>
      </c>
      <c r="E330">
        <v>0</v>
      </c>
      <c r="F330">
        <v>1</v>
      </c>
      <c r="G330">
        <v>-3.5572989779852904E-2</v>
      </c>
      <c r="H330">
        <v>47.740730000001349</v>
      </c>
      <c r="I330">
        <v>-2.4684390936715039</v>
      </c>
      <c r="J330">
        <v>3.1513423245188577E-2</v>
      </c>
      <c r="K330">
        <v>-0.86854867710204342</v>
      </c>
      <c r="L330">
        <v>-1.6288925089635864E-2</v>
      </c>
      <c r="M330">
        <v>-0.4904036261080047</v>
      </c>
      <c r="N330">
        <v>3.6426290127211658E-2</v>
      </c>
      <c r="O330">
        <v>4.4079399999993885E-3</v>
      </c>
      <c r="P330">
        <v>-8.2195704591669916E-3</v>
      </c>
      <c r="Q330">
        <v>-0.31970155533191935</v>
      </c>
      <c r="R330">
        <v>-0.95519325168262892</v>
      </c>
      <c r="S330">
        <v>0.27971895356386778</v>
      </c>
      <c r="T330">
        <v>-0.26706217983223368</v>
      </c>
      <c r="U330">
        <v>13.196969145710202</v>
      </c>
      <c r="V330">
        <v>-0.38705821948269437</v>
      </c>
      <c r="W330">
        <v>0.5736141678075013</v>
      </c>
      <c r="X330">
        <v>-0.12170383000000007</v>
      </c>
      <c r="Y330">
        <v>0.11472756000000008</v>
      </c>
      <c r="Z330">
        <v>-1.9401709999999905E-2</v>
      </c>
    </row>
    <row r="331" spans="1:26">
      <c r="A331" s="54" t="str">
        <f>CONCATENATE(raw[[#This Row],[redis_ls]],raw[[#This Row],[wage_eq]],raw[[#This Row],[flex]],raw[[#This Row],[expo]],raw[[#This Row],[_date_]])</f>
        <v>110144927</v>
      </c>
      <c r="B331" s="1">
        <v>44927</v>
      </c>
      <c r="C331">
        <v>1</v>
      </c>
      <c r="D331">
        <v>1</v>
      </c>
      <c r="E331">
        <v>0</v>
      </c>
      <c r="F331">
        <v>1</v>
      </c>
      <c r="G331">
        <v>-6.8529638457603959E-3</v>
      </c>
      <c r="H331">
        <v>61.11670999999842</v>
      </c>
      <c r="I331">
        <v>-2.4008718276648411</v>
      </c>
      <c r="J331">
        <v>6.1432824343432557E-2</v>
      </c>
      <c r="K331">
        <v>-0.83284587244082386</v>
      </c>
      <c r="L331">
        <v>2.1325324307874816E-2</v>
      </c>
      <c r="M331">
        <v>-0.46705749265280039</v>
      </c>
      <c r="N331">
        <v>6.3072029947353059E-2</v>
      </c>
      <c r="O331">
        <v>1.4702799999988247E-3</v>
      </c>
      <c r="P331">
        <v>-2.6729882955822681E-3</v>
      </c>
      <c r="Q331">
        <v>-0.30521066428306209</v>
      </c>
      <c r="R331">
        <v>-0.92242077988735627</v>
      </c>
      <c r="S331">
        <v>0.27839998862417836</v>
      </c>
      <c r="T331">
        <v>-0.27162533050215654</v>
      </c>
      <c r="U331">
        <v>12.498324643476355</v>
      </c>
      <c r="V331">
        <v>-0.37671289278000675</v>
      </c>
      <c r="W331">
        <v>0.55078846701808182</v>
      </c>
      <c r="X331">
        <v>-0.14941436000000008</v>
      </c>
      <c r="Y331">
        <v>0.12037779999999991</v>
      </c>
      <c r="Z331">
        <v>2.6945700000002848E-3</v>
      </c>
    </row>
    <row r="332" spans="1:26">
      <c r="A332" s="54" t="str">
        <f>CONCATENATE(raw[[#This Row],[redis_ls]],raw[[#This Row],[wage_eq]],raw[[#This Row],[flex]],raw[[#This Row],[expo]],raw[[#This Row],[_date_]])</f>
        <v>110145292</v>
      </c>
      <c r="B332" s="1">
        <v>45292</v>
      </c>
      <c r="C332">
        <v>1</v>
      </c>
      <c r="D332">
        <v>1</v>
      </c>
      <c r="E332">
        <v>0</v>
      </c>
      <c r="F332">
        <v>1</v>
      </c>
      <c r="G332">
        <v>1.1074163445212726E-2</v>
      </c>
      <c r="H332">
        <v>69.657190000001719</v>
      </c>
      <c r="I332">
        <v>-2.3448493164646034</v>
      </c>
      <c r="J332">
        <v>8.6019167518136541E-2</v>
      </c>
      <c r="K332">
        <v>-0.80551189966754366</v>
      </c>
      <c r="L332">
        <v>3.5619378813511737E-2</v>
      </c>
      <c r="M332">
        <v>-0.44473870213127542</v>
      </c>
      <c r="N332">
        <v>8.468521102342752E-2</v>
      </c>
      <c r="O332">
        <v>-1.1960399999996763E-3</v>
      </c>
      <c r="P332">
        <v>1.4740389785350416E-2</v>
      </c>
      <c r="Q332">
        <v>-0.27810659482893074</v>
      </c>
      <c r="R332">
        <v>-0.876360796147857</v>
      </c>
      <c r="S332">
        <v>0.288842809976253</v>
      </c>
      <c r="T332">
        <v>-0.27137692986042294</v>
      </c>
      <c r="U332">
        <v>11.914477590905669</v>
      </c>
      <c r="V332">
        <v>-0.34882784799572519</v>
      </c>
      <c r="W332">
        <v>0.53219693509567456</v>
      </c>
      <c r="X332">
        <v>-0.16585681999999996</v>
      </c>
      <c r="Y332">
        <v>0.12284755999999991</v>
      </c>
      <c r="Z332">
        <v>1.8982470000000057E-2</v>
      </c>
    </row>
    <row r="333" spans="1:26">
      <c r="A333" s="54" t="str">
        <f>CONCATENATE(raw[[#This Row],[redis_ls]],raw[[#This Row],[wage_eq]],raw[[#This Row],[flex]],raw[[#This Row],[expo]],raw[[#This Row],[_date_]])</f>
        <v>110145658</v>
      </c>
      <c r="B333" s="1">
        <v>45658</v>
      </c>
      <c r="C333">
        <v>1</v>
      </c>
      <c r="D333">
        <v>1</v>
      </c>
      <c r="E333">
        <v>0</v>
      </c>
      <c r="F333">
        <v>1</v>
      </c>
      <c r="G333">
        <v>1.8584305758762021E-2</v>
      </c>
      <c r="H333">
        <v>73.464009999999689</v>
      </c>
      <c r="I333">
        <v>-2.2998413553120045</v>
      </c>
      <c r="J333">
        <v>0.10472704887007911</v>
      </c>
      <c r="K333">
        <v>-0.78634595292220721</v>
      </c>
      <c r="L333">
        <v>2.82758694365004E-2</v>
      </c>
      <c r="M333">
        <v>-0.42395830970790582</v>
      </c>
      <c r="N333">
        <v>0.10090732961831606</v>
      </c>
      <c r="O333">
        <v>-3.4237500000006138E-3</v>
      </c>
      <c r="P333">
        <v>4.1768254214624712E-2</v>
      </c>
      <c r="Q333">
        <v>-0.24084105360546726</v>
      </c>
      <c r="R333">
        <v>-0.81987516884850509</v>
      </c>
      <c r="S333">
        <v>0.30892860888593887</v>
      </c>
      <c r="T333">
        <v>-0.26770348569206126</v>
      </c>
      <c r="U333">
        <v>11.468137569271143</v>
      </c>
      <c r="V333">
        <v>-0.30681081657356613</v>
      </c>
      <c r="W333">
        <v>0.51730567317489484</v>
      </c>
      <c r="X333">
        <v>-0.17147507000000001</v>
      </c>
      <c r="Y333">
        <v>0.12228437999999997</v>
      </c>
      <c r="Z333">
        <v>2.9523590000000294E-2</v>
      </c>
    </row>
    <row r="334" spans="1:26">
      <c r="A334" s="54" t="str">
        <f>CONCATENATE(raw[[#This Row],[redis_ls]],raw[[#This Row],[wage_eq]],raw[[#This Row],[flex]],raw[[#This Row],[expo]],raw[[#This Row],[_date_]])</f>
        <v>110146023</v>
      </c>
      <c r="B334" s="1">
        <v>46023</v>
      </c>
      <c r="C334">
        <v>1</v>
      </c>
      <c r="D334">
        <v>1</v>
      </c>
      <c r="E334">
        <v>0</v>
      </c>
      <c r="F334">
        <v>1</v>
      </c>
      <c r="G334">
        <v>1.6613428712974887E-2</v>
      </c>
      <c r="H334">
        <v>72.920920000000478</v>
      </c>
      <c r="I334">
        <v>-2.2647925936307489</v>
      </c>
      <c r="J334">
        <v>0.11749134999015087</v>
      </c>
      <c r="K334">
        <v>-0.77459740028799073</v>
      </c>
      <c r="L334">
        <v>1.9424154206415523E-3</v>
      </c>
      <c r="M334">
        <v>-0.40503243856011562</v>
      </c>
      <c r="N334">
        <v>0.11178178268842487</v>
      </c>
      <c r="O334">
        <v>-5.1158400000000936E-3</v>
      </c>
      <c r="P334">
        <v>7.5900817972529566E-2</v>
      </c>
      <c r="Q334">
        <v>-0.19615666361518791</v>
      </c>
      <c r="R334">
        <v>-0.75609340025887262</v>
      </c>
      <c r="S334">
        <v>0.33625681716131783</v>
      </c>
      <c r="T334">
        <v>-0.26201575559752222</v>
      </c>
      <c r="U334">
        <v>11.172560778843966</v>
      </c>
      <c r="V334">
        <v>-0.25439648151523997</v>
      </c>
      <c r="W334">
        <v>0.50551916631509375</v>
      </c>
      <c r="X334">
        <v>-0.16730633500000003</v>
      </c>
      <c r="Y334">
        <v>0.11892955000000013</v>
      </c>
      <c r="Z334">
        <v>3.471822999999985E-2</v>
      </c>
    </row>
    <row r="335" spans="1:26">
      <c r="A335" s="54" t="str">
        <f>CONCATENATE(raw[[#This Row],[redis_ls]],raw[[#This Row],[wage_eq]],raw[[#This Row],[flex]],raw[[#This Row],[expo]],raw[[#This Row],[_date_]])</f>
        <v>110146388</v>
      </c>
      <c r="B335" s="1">
        <v>46388</v>
      </c>
      <c r="C335">
        <v>1</v>
      </c>
      <c r="D335">
        <v>1</v>
      </c>
      <c r="E335">
        <v>0</v>
      </c>
      <c r="F335">
        <v>1</v>
      </c>
      <c r="G335">
        <v>6.515399995743465E-3</v>
      </c>
      <c r="H335">
        <v>68.607179999999062</v>
      </c>
      <c r="I335">
        <v>-2.2382638410657685</v>
      </c>
      <c r="J335">
        <v>0.12462564388988628</v>
      </c>
      <c r="K335">
        <v>-0.76909170078660605</v>
      </c>
      <c r="L335">
        <v>-4.000743642194049E-2</v>
      </c>
      <c r="M335">
        <v>-0.38811921737389454</v>
      </c>
      <c r="N335">
        <v>0.11765463890074379</v>
      </c>
      <c r="O335">
        <v>-6.2441400000001757E-3</v>
      </c>
      <c r="P335">
        <v>0.11452350771017361</v>
      </c>
      <c r="Q335">
        <v>-0.14692500290914845</v>
      </c>
      <c r="R335">
        <v>-0.68824667780613691</v>
      </c>
      <c r="S335">
        <v>0.36829823027220154</v>
      </c>
      <c r="T335">
        <v>-0.25567425407483357</v>
      </c>
      <c r="U335">
        <v>11.032051675742327</v>
      </c>
      <c r="V335">
        <v>-0.19542087840590527</v>
      </c>
      <c r="W335">
        <v>0.49624108332870787</v>
      </c>
      <c r="X335">
        <v>-0.15479664299999987</v>
      </c>
      <c r="Y335">
        <v>0.11309618</v>
      </c>
      <c r="Z335">
        <v>3.5223330000000094E-2</v>
      </c>
    </row>
    <row r="336" spans="1:26">
      <c r="A336" s="54" t="str">
        <f>CONCATENATE(raw[[#This Row],[redis_ls]],raw[[#This Row],[wage_eq]],raw[[#This Row],[flex]],raw[[#This Row],[expo]],raw[[#This Row],[_date_]])</f>
        <v>110146753</v>
      </c>
      <c r="B336" s="1">
        <v>46753</v>
      </c>
      <c r="C336">
        <v>1</v>
      </c>
      <c r="D336">
        <v>1</v>
      </c>
      <c r="E336">
        <v>0</v>
      </c>
      <c r="F336">
        <v>1</v>
      </c>
      <c r="G336">
        <v>-1.008159640791817E-2</v>
      </c>
      <c r="H336">
        <v>61.218230000002222</v>
      </c>
      <c r="I336">
        <v>-2.2185724433904319</v>
      </c>
      <c r="J336">
        <v>0.12670543370858489</v>
      </c>
      <c r="K336">
        <v>-0.76836809104829928</v>
      </c>
      <c r="L336">
        <v>-9.372221388714852E-2</v>
      </c>
      <c r="M336">
        <v>-0.37326184361412551</v>
      </c>
      <c r="N336">
        <v>0.11906917420501095</v>
      </c>
      <c r="O336">
        <v>-6.8380800000003572E-3</v>
      </c>
      <c r="P336">
        <v>0.15505611289807764</v>
      </c>
      <c r="Q336">
        <v>-9.5994872913129914E-2</v>
      </c>
      <c r="R336">
        <v>-0.61951045461774434</v>
      </c>
      <c r="S336">
        <v>0.4025358602543383</v>
      </c>
      <c r="T336">
        <v>-0.2499220609986974</v>
      </c>
      <c r="U336">
        <v>11.042752091022368</v>
      </c>
      <c r="V336">
        <v>-0.13362894919132229</v>
      </c>
      <c r="W336">
        <v>0.48891036117368891</v>
      </c>
      <c r="X336">
        <v>-0.13563178999999992</v>
      </c>
      <c r="Y336">
        <v>0.105155002</v>
      </c>
      <c r="Z336">
        <v>3.1861600000000073E-2</v>
      </c>
    </row>
    <row r="337" spans="1:26">
      <c r="A337" s="54" t="str">
        <f>CONCATENATE(raw[[#This Row],[redis_ls]],raw[[#This Row],[wage_eq]],raw[[#This Row],[flex]],raw[[#This Row],[expo]],raw[[#This Row],[_date_]])</f>
        <v>110147119</v>
      </c>
      <c r="B337" s="1">
        <v>47119</v>
      </c>
      <c r="C337">
        <v>1</v>
      </c>
      <c r="D337">
        <v>1</v>
      </c>
      <c r="E337">
        <v>0</v>
      </c>
      <c r="F337">
        <v>1</v>
      </c>
      <c r="G337">
        <v>-3.1408147011757759E-2</v>
      </c>
      <c r="H337">
        <v>51.50112000000081</v>
      </c>
      <c r="I337">
        <v>-2.203920092523981</v>
      </c>
      <c r="J337">
        <v>0.12445810630543619</v>
      </c>
      <c r="K337">
        <v>-0.77081472759739089</v>
      </c>
      <c r="L337">
        <v>-0.15511574939608419</v>
      </c>
      <c r="M337">
        <v>-0.36042767119625063</v>
      </c>
      <c r="N337">
        <v>0.11667558835817271</v>
      </c>
      <c r="O337">
        <v>-6.9675300000002216E-3</v>
      </c>
      <c r="P337">
        <v>0.19507096060114026</v>
      </c>
      <c r="Q337">
        <v>-4.6052842963906215E-2</v>
      </c>
      <c r="R337">
        <v>-0.55285682383002799</v>
      </c>
      <c r="S337">
        <v>0.43658794022445324</v>
      </c>
      <c r="T337">
        <v>-0.24582678745418418</v>
      </c>
      <c r="U337">
        <v>11.193630206213378</v>
      </c>
      <c r="V337">
        <v>-7.2514991800110007E-2</v>
      </c>
      <c r="W337">
        <v>0.48301220291206981</v>
      </c>
      <c r="X337">
        <v>-0.11159727000000022</v>
      </c>
      <c r="Y337">
        <v>9.5524940000000017E-2</v>
      </c>
      <c r="Z337">
        <v>2.5534480000000137E-2</v>
      </c>
    </row>
    <row r="338" spans="1:26">
      <c r="A338" s="54" t="str">
        <f>CONCATENATE(raw[[#This Row],[redis_ls]],raw[[#This Row],[wage_eq]],raw[[#This Row],[flex]],raw[[#This Row],[expo]],raw[[#This Row],[_date_]])</f>
        <v>110147484</v>
      </c>
      <c r="B338" s="1">
        <v>47484</v>
      </c>
      <c r="C338">
        <v>1</v>
      </c>
      <c r="D338">
        <v>1</v>
      </c>
      <c r="E338">
        <v>0</v>
      </c>
      <c r="F338">
        <v>1</v>
      </c>
      <c r="G338">
        <v>-5.566756032038267E-2</v>
      </c>
      <c r="H338">
        <v>40.206770000000688</v>
      </c>
      <c r="I338">
        <v>-2.1925010431912861</v>
      </c>
      <c r="J338">
        <v>0.11867292354745818</v>
      </c>
      <c r="K338">
        <v>-0.77479060323004667</v>
      </c>
      <c r="L338">
        <v>-0.22009454020931463</v>
      </c>
      <c r="M338">
        <v>-0.3495363349066416</v>
      </c>
      <c r="N338">
        <v>0.11116138677329523</v>
      </c>
      <c r="O338">
        <v>-6.7237400000003111E-3</v>
      </c>
      <c r="P338">
        <v>0.23239353513155869</v>
      </c>
      <c r="Q338">
        <v>4.9576508365234417E-4</v>
      </c>
      <c r="R338">
        <v>-0.4909244995213724</v>
      </c>
      <c r="S338">
        <v>0.46831173649148905</v>
      </c>
      <c r="T338">
        <v>-0.24423567327035434</v>
      </c>
      <c r="U338">
        <v>11.467610079342494</v>
      </c>
      <c r="V338">
        <v>-1.5194107702476423E-2</v>
      </c>
      <c r="W338">
        <v>0.47807742522107954</v>
      </c>
      <c r="X338">
        <v>-8.4471419999999908E-2</v>
      </c>
      <c r="Y338">
        <v>8.4665135999999891E-2</v>
      </c>
      <c r="Z338">
        <v>1.7148889999999903E-2</v>
      </c>
    </row>
    <row r="339" spans="1:26">
      <c r="A339" s="54" t="str">
        <f>CONCATENATE(raw[[#This Row],[redis_ls]],raw[[#This Row],[wage_eq]],raw[[#This Row],[flex]],raw[[#This Row],[expo]],raw[[#This Row],[_date_]])</f>
        <v>110147849</v>
      </c>
      <c r="B339" s="1">
        <v>47849</v>
      </c>
      <c r="C339">
        <v>1</v>
      </c>
      <c r="D339">
        <v>1</v>
      </c>
      <c r="E339">
        <v>0</v>
      </c>
      <c r="F339">
        <v>1</v>
      </c>
      <c r="G339">
        <v>-8.1126969846667674E-2</v>
      </c>
      <c r="H339">
        <v>28.057820000001811</v>
      </c>
      <c r="I339">
        <v>-2.1825878362283113</v>
      </c>
      <c r="J339">
        <v>0.11013839596398789</v>
      </c>
      <c r="K339">
        <v>-0.77872681297083135</v>
      </c>
      <c r="L339">
        <v>-0.28476145139324505</v>
      </c>
      <c r="M339">
        <v>-0.34047418551732545</v>
      </c>
      <c r="N339">
        <v>0.10320916973112215</v>
      </c>
      <c r="O339">
        <v>-6.2017900000002624E-3</v>
      </c>
      <c r="P339">
        <v>0.26518166841658086</v>
      </c>
      <c r="Q339">
        <v>4.1626374746073225E-2</v>
      </c>
      <c r="R339">
        <v>-0.43590918548772617</v>
      </c>
      <c r="S339">
        <v>0.49588608862694006</v>
      </c>
      <c r="T339">
        <v>-0.24574506797994111</v>
      </c>
      <c r="U339">
        <v>11.842809502860652</v>
      </c>
      <c r="V339">
        <v>3.5698721287169555E-2</v>
      </c>
      <c r="W339">
        <v>0.4736727151528175</v>
      </c>
      <c r="X339">
        <v>-5.5949919999999723E-2</v>
      </c>
      <c r="Y339">
        <v>7.3065156999999908E-2</v>
      </c>
      <c r="Z339">
        <v>7.5634700000000443E-3</v>
      </c>
    </row>
    <row r="340" spans="1:26">
      <c r="A340" s="54" t="str">
        <f>CONCATENATE(raw[[#This Row],[redis_ls]],raw[[#This Row],[wage_eq]],raw[[#This Row],[flex]],raw[[#This Row],[expo]],raw[[#This Row],[_date_]])</f>
        <v>110148214</v>
      </c>
      <c r="B340" s="1">
        <v>48214</v>
      </c>
      <c r="C340">
        <v>1</v>
      </c>
      <c r="D340">
        <v>1</v>
      </c>
      <c r="E340">
        <v>0</v>
      </c>
      <c r="F340">
        <v>1</v>
      </c>
      <c r="G340">
        <v>-0.10618662055541517</v>
      </c>
      <c r="H340">
        <v>15.728570000002946</v>
      </c>
      <c r="I340">
        <v>-2.1725959150295848</v>
      </c>
      <c r="J340">
        <v>9.9608635156145375E-2</v>
      </c>
      <c r="K340">
        <v>-0.78120420556333503</v>
      </c>
      <c r="L340">
        <v>-0.34559104355988968</v>
      </c>
      <c r="M340">
        <v>-0.33309620920954908</v>
      </c>
      <c r="N340">
        <v>9.3477259098606602E-2</v>
      </c>
      <c r="O340">
        <v>-5.4874199999999096E-3</v>
      </c>
      <c r="P340">
        <v>0.291985158407293</v>
      </c>
      <c r="Q340">
        <v>7.5768265723863415E-2</v>
      </c>
      <c r="R340">
        <v>-0.38948037272319436</v>
      </c>
      <c r="S340">
        <v>0.51787223859336429</v>
      </c>
      <c r="T340">
        <v>-0.25068712235096768</v>
      </c>
      <c r="U340">
        <v>12.293864605620918</v>
      </c>
      <c r="V340">
        <v>7.8083517246585465E-2</v>
      </c>
      <c r="W340">
        <v>0.46939211248209212</v>
      </c>
      <c r="X340">
        <v>-2.7595219999999865E-2</v>
      </c>
      <c r="Y340">
        <v>6.1230946000000001E-2</v>
      </c>
      <c r="Z340">
        <v>-2.444780000000063E-3</v>
      </c>
    </row>
    <row r="341" spans="1:26">
      <c r="A341" s="54" t="str">
        <f>CONCATENATE(raw[[#This Row],[redis_ls]],raw[[#This Row],[wage_eq]],raw[[#This Row],[flex]],raw[[#This Row],[expo]],raw[[#This Row],[_date_]])</f>
        <v>110148580</v>
      </c>
      <c r="B341" s="1">
        <v>48580</v>
      </c>
      <c r="C341">
        <v>1</v>
      </c>
      <c r="D341">
        <v>1</v>
      </c>
      <c r="E341">
        <v>0</v>
      </c>
      <c r="F341">
        <v>1</v>
      </c>
      <c r="G341">
        <v>-0.12943022867241138</v>
      </c>
      <c r="H341">
        <v>3.8328199999996286</v>
      </c>
      <c r="I341">
        <v>-2.1611303559798123</v>
      </c>
      <c r="J341">
        <v>8.7792010887932648E-2</v>
      </c>
      <c r="K341">
        <v>-0.78100773620632946</v>
      </c>
      <c r="L341">
        <v>-0.39957191514610191</v>
      </c>
      <c r="M341">
        <v>-0.32722022572003739</v>
      </c>
      <c r="N341">
        <v>8.259692199423796E-2</v>
      </c>
      <c r="O341">
        <v>-4.6494699999996558E-3</v>
      </c>
      <c r="P341">
        <v>0.31178536610043661</v>
      </c>
      <c r="Q341">
        <v>0.10185177462604944</v>
      </c>
      <c r="R341">
        <v>-0.35272787153339813</v>
      </c>
      <c r="S341">
        <v>0.53325314744314678</v>
      </c>
      <c r="T341">
        <v>-0.25913159097525895</v>
      </c>
      <c r="U341">
        <v>12.793323474298578</v>
      </c>
      <c r="V341">
        <v>0.11048598156475631</v>
      </c>
      <c r="W341">
        <v>0.46485346440332531</v>
      </c>
      <c r="X341">
        <v>-8.031600000003164E-4</v>
      </c>
      <c r="Y341">
        <v>4.9665412000000041E-2</v>
      </c>
      <c r="Z341">
        <v>-1.2196769999999954E-2</v>
      </c>
    </row>
    <row r="342" spans="1:26">
      <c r="A342" s="54" t="str">
        <f>CONCATENATE(raw[[#This Row],[redis_ls]],raw[[#This Row],[wage_eq]],raw[[#This Row],[flex]],raw[[#This Row],[expo]],raw[[#This Row],[_date_]])</f>
        <v>110148945</v>
      </c>
      <c r="B342" s="1">
        <v>48945</v>
      </c>
      <c r="C342">
        <v>1</v>
      </c>
      <c r="D342">
        <v>1</v>
      </c>
      <c r="E342">
        <v>0</v>
      </c>
      <c r="F342">
        <v>1</v>
      </c>
      <c r="G342">
        <v>-0.14966118319273969</v>
      </c>
      <c r="H342">
        <v>-7.0844599999982165</v>
      </c>
      <c r="I342">
        <v>-2.1470200805748019</v>
      </c>
      <c r="J342">
        <v>7.5354196698684817E-2</v>
      </c>
      <c r="K342">
        <v>-0.77716064962312092</v>
      </c>
      <c r="L342">
        <v>-0.44431393341943792</v>
      </c>
      <c r="M342">
        <v>-0.3226190341952706</v>
      </c>
      <c r="N342">
        <v>7.1177562172741737E-2</v>
      </c>
      <c r="O342">
        <v>-3.7381200000005665E-3</v>
      </c>
      <c r="P342">
        <v>0.32401335666922826</v>
      </c>
      <c r="Q342">
        <v>0.11932681900510556</v>
      </c>
      <c r="R342">
        <v>-0.32614159763098005</v>
      </c>
      <c r="S342">
        <v>0.54145144132888845</v>
      </c>
      <c r="T342">
        <v>-0.27090398274722816</v>
      </c>
      <c r="U342">
        <v>13.313079308568888</v>
      </c>
      <c r="V342">
        <v>0.13206320734475696</v>
      </c>
      <c r="W342">
        <v>0.45970407581987782</v>
      </c>
      <c r="X342">
        <v>2.322069000000003E-2</v>
      </c>
      <c r="Y342">
        <v>3.8844190000000139E-2</v>
      </c>
      <c r="Z342">
        <v>-2.1116229999999792E-2</v>
      </c>
    </row>
    <row r="343" spans="1:26">
      <c r="A343" s="54" t="str">
        <f>CONCATENATE(raw[[#This Row],[redis_ls]],raw[[#This Row],[wage_eq]],raw[[#This Row],[flex]],raw[[#This Row],[expo]],raw[[#This Row],[_date_]])</f>
        <v>110149310</v>
      </c>
      <c r="B343" s="1">
        <v>49310</v>
      </c>
      <c r="C343">
        <v>1</v>
      </c>
      <c r="D343">
        <v>1</v>
      </c>
      <c r="E343">
        <v>0</v>
      </c>
      <c r="F343">
        <v>1</v>
      </c>
      <c r="G343">
        <v>-0.16592875871042079</v>
      </c>
      <c r="H343">
        <v>-16.55511000000115</v>
      </c>
      <c r="I343">
        <v>-2.129342904986431</v>
      </c>
      <c r="J343">
        <v>6.2924844793132984E-2</v>
      </c>
      <c r="K343">
        <v>-0.76894267635626568</v>
      </c>
      <c r="L343">
        <v>-0.47811996487223674</v>
      </c>
      <c r="M343">
        <v>-0.31901643718886818</v>
      </c>
      <c r="N343">
        <v>5.9810287466555145E-2</v>
      </c>
      <c r="O343">
        <v>-2.7877900000000677E-3</v>
      </c>
      <c r="P343">
        <v>0.32854775333810426</v>
      </c>
      <c r="Q343">
        <v>0.12815435172337519</v>
      </c>
      <c r="R343">
        <v>-0.30962501603066794</v>
      </c>
      <c r="S343">
        <v>0.54232571717214295</v>
      </c>
      <c r="T343">
        <v>-0.28561626100109816</v>
      </c>
      <c r="U343">
        <v>13.825801097127766</v>
      </c>
      <c r="V343">
        <v>0.14260419437885918</v>
      </c>
      <c r="W343">
        <v>0.45363369902762241</v>
      </c>
      <c r="X343">
        <v>4.3481149999999996E-2</v>
      </c>
      <c r="Y343">
        <v>2.9188550000000014E-2</v>
      </c>
      <c r="Z343">
        <v>-2.872935000000007E-2</v>
      </c>
    </row>
    <row r="344" spans="1:26">
      <c r="A344" s="54" t="str">
        <f>CONCATENATE(raw[[#This Row],[redis_ls]],raw[[#This Row],[wage_eq]],raw[[#This Row],[flex]],raw[[#This Row],[expo]],raw[[#This Row],[_date_]])</f>
        <v>110149675</v>
      </c>
      <c r="B344" s="1">
        <v>49675</v>
      </c>
      <c r="C344">
        <v>1</v>
      </c>
      <c r="D344">
        <v>1</v>
      </c>
      <c r="E344">
        <v>0</v>
      </c>
      <c r="F344">
        <v>1</v>
      </c>
      <c r="G344">
        <v>-0.17754683678935512</v>
      </c>
      <c r="H344">
        <v>-24.196860000000015</v>
      </c>
      <c r="I344">
        <v>-2.1074444333056164</v>
      </c>
      <c r="J344">
        <v>5.1100261101466593E-2</v>
      </c>
      <c r="K344">
        <v>-0.75589644136713208</v>
      </c>
      <c r="L344">
        <v>-0.50001827940715504</v>
      </c>
      <c r="M344">
        <v>-0.31609114339749</v>
      </c>
      <c r="N344">
        <v>4.9063756005929271E-2</v>
      </c>
      <c r="O344">
        <v>-1.8230399999999425E-3</v>
      </c>
      <c r="P344">
        <v>0.32569139288749493</v>
      </c>
      <c r="Q344">
        <v>0.12877019680559432</v>
      </c>
      <c r="R344">
        <v>-0.30254136423181199</v>
      </c>
      <c r="S344">
        <v>0.53614650176880829</v>
      </c>
      <c r="T344">
        <v>-0.30270764752595714</v>
      </c>
      <c r="U344">
        <v>14.306301507236174</v>
      </c>
      <c r="V344">
        <v>0.14250233384862643</v>
      </c>
      <c r="W344">
        <v>0.446394295865149</v>
      </c>
      <c r="X344">
        <v>5.92131420000001E-2</v>
      </c>
      <c r="Y344">
        <v>2.1038699999999938E-2</v>
      </c>
      <c r="Z344">
        <v>-3.4664259999999877E-2</v>
      </c>
    </row>
    <row r="345" spans="1:26">
      <c r="A345" s="54" t="str">
        <f>CONCATENATE(raw[[#This Row],[redis_ls]],raw[[#This Row],[wage_eq]],raw[[#This Row],[flex]],raw[[#This Row],[expo]],raw[[#This Row],[_date_]])</f>
        <v>110150041</v>
      </c>
      <c r="B345" s="1">
        <v>50041</v>
      </c>
      <c r="C345">
        <v>1</v>
      </c>
      <c r="D345">
        <v>1</v>
      </c>
      <c r="E345">
        <v>0</v>
      </c>
      <c r="F345">
        <v>1</v>
      </c>
      <c r="G345">
        <v>-0.18410656464467046</v>
      </c>
      <c r="H345">
        <v>-29.724500000000262</v>
      </c>
      <c r="I345">
        <v>-2.0809494160033415</v>
      </c>
      <c r="J345">
        <v>4.0435903800339901E-2</v>
      </c>
      <c r="K345">
        <v>-0.73782554249313126</v>
      </c>
      <c r="L345">
        <v>-0.50975943546200941</v>
      </c>
      <c r="M345">
        <v>-0.3134898341143888</v>
      </c>
      <c r="N345">
        <v>3.9469459104690685E-2</v>
      </c>
      <c r="O345">
        <v>-8.6520999999922799E-4</v>
      </c>
      <c r="P345">
        <v>0.31612799640925449</v>
      </c>
      <c r="Q345">
        <v>0.12202598964612399</v>
      </c>
      <c r="R345">
        <v>-0.30378902913452688</v>
      </c>
      <c r="S345">
        <v>0.52355280511868774</v>
      </c>
      <c r="T345">
        <v>-0.32149254295402718</v>
      </c>
      <c r="U345">
        <v>14.732768808407638</v>
      </c>
      <c r="V345">
        <v>0.13270198055244098</v>
      </c>
      <c r="W345">
        <v>0.43782112847323695</v>
      </c>
      <c r="X345">
        <v>6.9901359000000024E-2</v>
      </c>
      <c r="Y345">
        <v>1.4631350000000008E-2</v>
      </c>
      <c r="Z345">
        <v>-3.8652779999999443E-2</v>
      </c>
    </row>
    <row r="346" spans="1:26">
      <c r="A346" s="54" t="str">
        <f>CONCATENATE(raw[[#This Row],[redis_ls]],raw[[#This Row],[wage_eq]],raw[[#This Row],[flex]],raw[[#This Row],[expo]],raw[[#This Row],[_date_]])</f>
        <v>110150406</v>
      </c>
      <c r="B346" s="1">
        <v>50406</v>
      </c>
      <c r="C346">
        <v>1</v>
      </c>
      <c r="D346">
        <v>1</v>
      </c>
      <c r="E346">
        <v>0</v>
      </c>
      <c r="F346">
        <v>1</v>
      </c>
      <c r="G346">
        <v>-0.18548106298305056</v>
      </c>
      <c r="H346">
        <v>-32.961599999998725</v>
      </c>
      <c r="I346">
        <v>-2.0497673897271751</v>
      </c>
      <c r="J346">
        <v>3.1427817451468165E-2</v>
      </c>
      <c r="K346">
        <v>-0.71478572834376974</v>
      </c>
      <c r="L346">
        <v>-0.50777588249851791</v>
      </c>
      <c r="M346">
        <v>-0.3108491000413327</v>
      </c>
      <c r="N346">
        <v>3.1496969104405359E-2</v>
      </c>
      <c r="O346">
        <v>6.1910000000164889E-5</v>
      </c>
      <c r="P346">
        <v>0.30086023419551022</v>
      </c>
      <c r="Q346">
        <v>0.10910992074812942</v>
      </c>
      <c r="R346">
        <v>-0.31189977358588861</v>
      </c>
      <c r="S346">
        <v>0.50549193978832729</v>
      </c>
      <c r="T346">
        <v>-0.34121158603018786</v>
      </c>
      <c r="U346">
        <v>15.087783873957793</v>
      </c>
      <c r="V346">
        <v>0.11461646899353362</v>
      </c>
      <c r="W346">
        <v>0.42785068848554264</v>
      </c>
      <c r="X346">
        <v>7.5297655000000019E-2</v>
      </c>
      <c r="Y346">
        <v>1.0084750000000087E-2</v>
      </c>
      <c r="Z346">
        <v>-4.0534849999999956E-2</v>
      </c>
    </row>
    <row r="347" spans="1:26">
      <c r="A347" s="54" t="str">
        <f>CONCATENATE(raw[[#This Row],[redis_ls]],raw[[#This Row],[wage_eq]],raw[[#This Row],[flex]],raw[[#This Row],[expo]],raw[[#This Row],[_date_]])</f>
        <v>110150771</v>
      </c>
      <c r="B347" s="1">
        <v>50771</v>
      </c>
      <c r="C347">
        <v>1</v>
      </c>
      <c r="D347">
        <v>1</v>
      </c>
      <c r="E347">
        <v>0</v>
      </c>
      <c r="F347">
        <v>1</v>
      </c>
      <c r="G347">
        <v>-0.18182040209983041</v>
      </c>
      <c r="H347">
        <v>-33.850819999999658</v>
      </c>
      <c r="I347">
        <v>-2.0140852011479415</v>
      </c>
      <c r="J347">
        <v>2.4485755888048466E-2</v>
      </c>
      <c r="K347">
        <v>-0.68706952999731952</v>
      </c>
      <c r="L347">
        <v>-0.49510969152908313</v>
      </c>
      <c r="M347">
        <v>-0.30782118288321669</v>
      </c>
      <c r="N347">
        <v>2.5523176531794256E-2</v>
      </c>
      <c r="O347">
        <v>9.2908000000058166E-4</v>
      </c>
      <c r="P347">
        <v>0.28113341665043645</v>
      </c>
      <c r="Q347">
        <v>9.1453802461782807E-2</v>
      </c>
      <c r="R347">
        <v>-0.32515262920209675</v>
      </c>
      <c r="S347">
        <v>0.48314501556276923</v>
      </c>
      <c r="T347">
        <v>-0.3610833076786335</v>
      </c>
      <c r="U347">
        <v>15.359050694677734</v>
      </c>
      <c r="V347">
        <v>9.0023633835967232E-2</v>
      </c>
      <c r="W347">
        <v>0.41653059346167254</v>
      </c>
      <c r="X347">
        <v>7.5431531915999994E-2</v>
      </c>
      <c r="Y347">
        <v>7.3941300000001514E-3</v>
      </c>
      <c r="Z347">
        <v>-4.0263449999999867E-2</v>
      </c>
    </row>
    <row r="348" spans="1:26">
      <c r="A348" s="54" t="str">
        <f>CONCATENATE(raw[[#This Row],[redis_ls]],raw[[#This Row],[wage_eq]],raw[[#This Row],[flex]],raw[[#This Row],[expo]],raw[[#This Row],[_date_]])</f>
        <v>110151136</v>
      </c>
      <c r="B348" s="1">
        <v>51136</v>
      </c>
      <c r="C348">
        <v>1</v>
      </c>
      <c r="D348">
        <v>1</v>
      </c>
      <c r="E348">
        <v>0</v>
      </c>
      <c r="F348">
        <v>1</v>
      </c>
      <c r="G348">
        <v>-0.17353448673552707</v>
      </c>
      <c r="H348">
        <v>-32.459859999999026</v>
      </c>
      <c r="I348">
        <v>-1.9743480186404483</v>
      </c>
      <c r="J348">
        <v>1.9902407101124453E-2</v>
      </c>
      <c r="K348">
        <v>-0.6551836644004827</v>
      </c>
      <c r="L348">
        <v>-0.47331053066996809</v>
      </c>
      <c r="M348">
        <v>-0.30410278806869417</v>
      </c>
      <c r="N348">
        <v>2.1802053064323701E-2</v>
      </c>
      <c r="O348">
        <v>1.7015099999989625E-3</v>
      </c>
      <c r="P348">
        <v>0.25834849615167244</v>
      </c>
      <c r="Q348">
        <v>7.0632855737384759E-2</v>
      </c>
      <c r="R348">
        <v>-0.34169452443321147</v>
      </c>
      <c r="S348">
        <v>0.45784418941265947</v>
      </c>
      <c r="T348">
        <v>-0.38035171701378268</v>
      </c>
      <c r="U348">
        <v>15.539787281216455</v>
      </c>
      <c r="V348">
        <v>6.0943645001421132E-2</v>
      </c>
      <c r="W348">
        <v>0.40401864624899364</v>
      </c>
      <c r="X348">
        <v>7.0608745999999972E-2</v>
      </c>
      <c r="Y348">
        <v>6.4379300000000361E-3</v>
      </c>
      <c r="Z348">
        <v>-3.7907400000000008E-2</v>
      </c>
    </row>
    <row r="349" spans="1:26">
      <c r="A349" s="54" t="str">
        <f>CONCATENATE(raw[[#This Row],[redis_ls]],raw[[#This Row],[wage_eq]],raw[[#This Row],[flex]],raw[[#This Row],[expo]],raw[[#This Row],[_date_]])</f>
        <v>110151502</v>
      </c>
      <c r="B349" s="1">
        <v>51502</v>
      </c>
      <c r="C349">
        <v>1</v>
      </c>
      <c r="D349">
        <v>1</v>
      </c>
      <c r="E349">
        <v>0</v>
      </c>
      <c r="F349">
        <v>1</v>
      </c>
      <c r="G349">
        <v>-0.16126222019197112</v>
      </c>
      <c r="H349">
        <v>-28.980169999995269</v>
      </c>
      <c r="I349">
        <v>-1.9312250954286014</v>
      </c>
      <c r="J349">
        <v>1.7826733469639144E-2</v>
      </c>
      <c r="K349">
        <v>-0.6198182249297024</v>
      </c>
      <c r="L349">
        <v>-0.44431305631333906</v>
      </c>
      <c r="M349">
        <v>-0.29945787199097129</v>
      </c>
      <c r="N349">
        <v>2.0440912895924868E-2</v>
      </c>
      <c r="O349">
        <v>2.341769999998633E-3</v>
      </c>
      <c r="P349">
        <v>0.23397060882490717</v>
      </c>
      <c r="Q349">
        <v>4.8264212619364422E-2</v>
      </c>
      <c r="R349">
        <v>-0.3596584150145854</v>
      </c>
      <c r="S349">
        <v>0.43098577758844403</v>
      </c>
      <c r="T349">
        <v>-0.39832895346444408</v>
      </c>
      <c r="U349">
        <v>15.628751214484126</v>
      </c>
      <c r="V349">
        <v>2.9506186513295063E-2</v>
      </c>
      <c r="W349">
        <v>0.39056925755782679</v>
      </c>
      <c r="X349">
        <v>6.1393719000000027E-2</v>
      </c>
      <c r="Y349">
        <v>6.9942900000001529E-3</v>
      </c>
      <c r="Z349">
        <v>-3.3649130000000527E-2</v>
      </c>
    </row>
    <row r="350" spans="1:26">
      <c r="A350" s="54" t="str">
        <f>CONCATENATE(raw[[#This Row],[redis_ls]],raw[[#This Row],[wage_eq]],raw[[#This Row],[flex]],raw[[#This Row],[expo]],raw[[#This Row],[_date_]])</f>
        <v>110151867</v>
      </c>
      <c r="B350" s="1">
        <v>51867</v>
      </c>
      <c r="C350">
        <v>1</v>
      </c>
      <c r="D350">
        <v>1</v>
      </c>
      <c r="E350">
        <v>0</v>
      </c>
      <c r="F350">
        <v>1</v>
      </c>
      <c r="G350">
        <v>-0.14582733376015122</v>
      </c>
      <c r="H350">
        <v>-23.716639999998733</v>
      </c>
      <c r="I350">
        <v>-1.8855630027454828</v>
      </c>
      <c r="J350">
        <v>1.8247022709960703E-2</v>
      </c>
      <c r="K350">
        <v>-0.58180742076703318</v>
      </c>
      <c r="L350">
        <v>-0.41029946720027022</v>
      </c>
      <c r="M350">
        <v>-0.29373637182059653</v>
      </c>
      <c r="N350">
        <v>2.1388564418511891E-2</v>
      </c>
      <c r="O350">
        <v>2.8146000000006666E-3</v>
      </c>
      <c r="P350">
        <v>0.20943967416293674</v>
      </c>
      <c r="Q350">
        <v>2.5911486340746137E-2</v>
      </c>
      <c r="R350">
        <v>-0.37727221264187705</v>
      </c>
      <c r="S350">
        <v>0.40394526329341485</v>
      </c>
      <c r="T350">
        <v>-0.41442921810411759</v>
      </c>
      <c r="U350">
        <v>15.62991051111764</v>
      </c>
      <c r="V350">
        <v>-2.1832476410077462E-3</v>
      </c>
      <c r="W350">
        <v>0.37650943020042238</v>
      </c>
      <c r="X350">
        <v>4.8573583999999941E-2</v>
      </c>
      <c r="Y350">
        <v>8.7654300000000046E-3</v>
      </c>
      <c r="Z350">
        <v>-2.7775270000000157E-2</v>
      </c>
    </row>
    <row r="351" spans="1:26">
      <c r="A351" s="54" t="str">
        <f>CONCATENATE(raw[[#This Row],[redis_ls]],raw[[#This Row],[wage_eq]],raw[[#This Row],[flex]],raw[[#This Row],[expo]],raw[[#This Row],[_date_]])</f>
        <v>110152232</v>
      </c>
      <c r="B351" s="1">
        <v>52232</v>
      </c>
      <c r="C351">
        <v>1</v>
      </c>
      <c r="D351">
        <v>1</v>
      </c>
      <c r="E351">
        <v>0</v>
      </c>
      <c r="F351">
        <v>1</v>
      </c>
      <c r="G351">
        <v>-0.12818290213769679</v>
      </c>
      <c r="H351">
        <v>-17.067699999999604</v>
      </c>
      <c r="I351">
        <v>-1.8383267552534055</v>
      </c>
      <c r="J351">
        <v>2.0987577286013526E-2</v>
      </c>
      <c r="K351">
        <v>-0.5420828673160738</v>
      </c>
      <c r="L351">
        <v>-0.37355727506879211</v>
      </c>
      <c r="M351">
        <v>-0.28688115358583843</v>
      </c>
      <c r="N351">
        <v>2.4439027766254284E-2</v>
      </c>
      <c r="O351">
        <v>3.0925000000001091E-3</v>
      </c>
      <c r="P351">
        <v>0.1860881422766969</v>
      </c>
      <c r="Q351">
        <v>5.0003932789977057E-3</v>
      </c>
      <c r="R351">
        <v>-0.39295080494310408</v>
      </c>
      <c r="S351">
        <v>0.37799940672818</v>
      </c>
      <c r="T351">
        <v>-0.42819419825015359</v>
      </c>
      <c r="U351">
        <v>15.551799378456899</v>
      </c>
      <c r="V351">
        <v>-3.2166853491233383E-2</v>
      </c>
      <c r="W351">
        <v>0.36220729135720831</v>
      </c>
      <c r="X351">
        <v>3.3104714999999951E-2</v>
      </c>
      <c r="Y351">
        <v>1.1406289999999972E-2</v>
      </c>
      <c r="Z351">
        <v>-2.0659569999999933E-2</v>
      </c>
    </row>
    <row r="352" spans="1:26">
      <c r="A352" s="54" t="str">
        <f>CONCATENATE(raw[[#This Row],[redis_ls]],raw[[#This Row],[wage_eq]],raw[[#This Row],[flex]],raw[[#This Row],[expo]],raw[[#This Row],[_date_]])</f>
        <v>110152597</v>
      </c>
      <c r="B352" s="1">
        <v>52597</v>
      </c>
      <c r="C352">
        <v>1</v>
      </c>
      <c r="D352">
        <v>1</v>
      </c>
      <c r="E352">
        <v>0</v>
      </c>
      <c r="F352">
        <v>1</v>
      </c>
      <c r="G352">
        <v>-0.10934836584789442</v>
      </c>
      <c r="H352">
        <v>-9.4969399999972666</v>
      </c>
      <c r="I352">
        <v>-1.790535221308498</v>
      </c>
      <c r="J352">
        <v>2.5722695982621779E-2</v>
      </c>
      <c r="K352">
        <v>-0.50162137032054854</v>
      </c>
      <c r="L352">
        <v>-0.33634136925613234</v>
      </c>
      <c r="M352">
        <v>-0.2789280162367791</v>
      </c>
      <c r="N352">
        <v>2.9250000563663114E-2</v>
      </c>
      <c r="O352">
        <v>3.1606800000000268E-3</v>
      </c>
      <c r="P352">
        <v>0.16507228135560492</v>
      </c>
      <c r="Q352">
        <v>-1.3249844493512519E-2</v>
      </c>
      <c r="R352">
        <v>-0.40536869737042291</v>
      </c>
      <c r="S352">
        <v>0.35426092912362872</v>
      </c>
      <c r="T352">
        <v>-0.43930822057723917</v>
      </c>
      <c r="U352">
        <v>15.406631267372628</v>
      </c>
      <c r="V352">
        <v>-5.8741566321895977E-2</v>
      </c>
      <c r="W352">
        <v>0.34803799067737451</v>
      </c>
      <c r="X352">
        <v>1.6045586000000035E-2</v>
      </c>
      <c r="Y352">
        <v>1.4553980000000036E-2</v>
      </c>
      <c r="Z352">
        <v>-1.2738370000000415E-2</v>
      </c>
    </row>
    <row r="353" spans="1:26">
      <c r="A353" s="54" t="str">
        <f>CONCATENATE(raw[[#This Row],[redis_ls]],raw[[#This Row],[wage_eq]],raw[[#This Row],[flex]],raw[[#This Row],[expo]],raw[[#This Row],[_date_]])</f>
        <v>110152963</v>
      </c>
      <c r="B353" s="1">
        <v>52963</v>
      </c>
      <c r="C353">
        <v>1</v>
      </c>
      <c r="D353">
        <v>1</v>
      </c>
      <c r="E353">
        <v>0</v>
      </c>
      <c r="F353">
        <v>1</v>
      </c>
      <c r="G353">
        <v>-9.0344138526654572E-2</v>
      </c>
      <c r="H353">
        <v>-1.4991399999998976</v>
      </c>
      <c r="I353">
        <v>-1.743195129661379</v>
      </c>
      <c r="J353">
        <v>3.2004579984690196E-2</v>
      </c>
      <c r="K353">
        <v>-0.46139061965690953</v>
      </c>
      <c r="L353">
        <v>-0.30074750434403441</v>
      </c>
      <c r="M353">
        <v>-0.26999487192330696</v>
      </c>
      <c r="N353">
        <v>3.5375071867527197E-2</v>
      </c>
      <c r="O353">
        <v>3.0203100000000815E-3</v>
      </c>
      <c r="P353">
        <v>0.14731960965705948</v>
      </c>
      <c r="Q353">
        <v>-2.7877101739526289E-2</v>
      </c>
      <c r="R353">
        <v>-0.41350903818526685</v>
      </c>
      <c r="S353">
        <v>0.33362757620709615</v>
      </c>
      <c r="T353">
        <v>-0.44760455492340867</v>
      </c>
      <c r="U353">
        <v>15.209252936043093</v>
      </c>
      <c r="V353">
        <v>-8.0540495629732867E-2</v>
      </c>
      <c r="W353">
        <v>0.334351080280193</v>
      </c>
      <c r="X353">
        <v>-1.5176260000001121E-3</v>
      </c>
      <c r="Y353">
        <v>1.7854990000000168E-2</v>
      </c>
      <c r="Z353">
        <v>-4.4809600000000893E-3</v>
      </c>
    </row>
    <row r="354" spans="1:26">
      <c r="A354" s="54" t="str">
        <f>CONCATENATE(raw[[#This Row],[redis_ls]],raw[[#This Row],[wage_eq]],raw[[#This Row],[flex]],raw[[#This Row],[expo]],raw[[#This Row],[_date_]])</f>
        <v>110153328</v>
      </c>
      <c r="B354" s="1">
        <v>53328</v>
      </c>
      <c r="C354">
        <v>1</v>
      </c>
      <c r="D354">
        <v>1</v>
      </c>
      <c r="E354">
        <v>0</v>
      </c>
      <c r="F354">
        <v>1</v>
      </c>
      <c r="G354">
        <v>-7.2128992281295101E-2</v>
      </c>
      <c r="H354">
        <v>6.4356999999945401</v>
      </c>
      <c r="I354">
        <v>-1.6972396388099331</v>
      </c>
      <c r="J354">
        <v>3.9303720953465238E-2</v>
      </c>
      <c r="K354">
        <v>-0.42229659611651149</v>
      </c>
      <c r="L354">
        <v>-0.26860637133085952</v>
      </c>
      <c r="M354">
        <v>-0.26026515107174797</v>
      </c>
      <c r="N354">
        <v>4.230489144119165E-2</v>
      </c>
      <c r="O354">
        <v>2.6893799999996859E-3</v>
      </c>
      <c r="P354">
        <v>0.13349479493551808</v>
      </c>
      <c r="Q354">
        <v>-3.8207245153620839E-2</v>
      </c>
      <c r="R354">
        <v>-0.41669110961622957</v>
      </c>
      <c r="S354">
        <v>0.3167493057129267</v>
      </c>
      <c r="T354">
        <v>-0.45306224034143971</v>
      </c>
      <c r="U354">
        <v>14.976034171510101</v>
      </c>
      <c r="V354">
        <v>-9.6586202088710937E-2</v>
      </c>
      <c r="W354">
        <v>0.32144435378007596</v>
      </c>
      <c r="X354">
        <v>-1.8545113000000002E-2</v>
      </c>
      <c r="Y354">
        <v>2.0987360000000038E-2</v>
      </c>
      <c r="Z354">
        <v>3.6426600000000198E-3</v>
      </c>
    </row>
    <row r="355" spans="1:26">
      <c r="A355" s="54" t="str">
        <f>CONCATENATE(raw[[#This Row],[redis_ls]],raw[[#This Row],[wage_eq]],raw[[#This Row],[flex]],raw[[#This Row],[expo]],raw[[#This Row],[_date_]])</f>
        <v>110153693</v>
      </c>
      <c r="B355" s="1">
        <v>53693</v>
      </c>
      <c r="C355">
        <v>1</v>
      </c>
      <c r="D355">
        <v>1</v>
      </c>
      <c r="E355">
        <v>0</v>
      </c>
      <c r="F355">
        <v>1</v>
      </c>
      <c r="G355">
        <v>-5.5545392479272593E-2</v>
      </c>
      <c r="H355">
        <v>13.856260000000475</v>
      </c>
      <c r="I355">
        <v>-1.6534758486383416</v>
      </c>
      <c r="J355">
        <v>4.7054620863673513E-2</v>
      </c>
      <c r="K355">
        <v>-0.3851366801504108</v>
      </c>
      <c r="L355">
        <v>-0.24140080892485205</v>
      </c>
      <c r="M355">
        <v>-0.24996735159583672</v>
      </c>
      <c r="N355">
        <v>4.9510863873103439E-2</v>
      </c>
      <c r="O355">
        <v>2.2010600000010871E-3</v>
      </c>
      <c r="P355">
        <v>0.12398537709870094</v>
      </c>
      <c r="Q355">
        <v>-4.3865668745557418E-2</v>
      </c>
      <c r="R355">
        <v>-0.41457563896875049</v>
      </c>
      <c r="S355">
        <v>0.30401288599077869</v>
      </c>
      <c r="T355">
        <v>-0.45579567958045075</v>
      </c>
      <c r="U355">
        <v>14.723777901339318</v>
      </c>
      <c r="V355">
        <v>-0.10631320741298911</v>
      </c>
      <c r="W355">
        <v>0.30954573717982825</v>
      </c>
      <c r="X355">
        <v>-3.4109733999999892E-2</v>
      </c>
      <c r="Y355">
        <v>2.3677079999999753E-2</v>
      </c>
      <c r="Z355">
        <v>1.1193569999999597E-2</v>
      </c>
    </row>
    <row r="356" spans="1:26">
      <c r="A356" s="54" t="str">
        <f>CONCATENATE(raw[[#This Row],[redis_ls]],raw[[#This Row],[wage_eq]],raw[[#This Row],[flex]],raw[[#This Row],[expo]],raw[[#This Row],[_date_]])</f>
        <v>110154058</v>
      </c>
      <c r="B356" s="1">
        <v>54058</v>
      </c>
      <c r="C356">
        <v>1</v>
      </c>
      <c r="D356">
        <v>1</v>
      </c>
      <c r="E356">
        <v>0</v>
      </c>
      <c r="F356">
        <v>1</v>
      </c>
      <c r="G356">
        <v>-4.1276638559450962E-2</v>
      </c>
      <c r="H356">
        <v>20.378189999995811</v>
      </c>
      <c r="I356">
        <v>-1.6125445903561464</v>
      </c>
      <c r="J356">
        <v>5.4702149912544407E-2</v>
      </c>
      <c r="K356">
        <v>-0.35056206959930281</v>
      </c>
      <c r="L356">
        <v>-0.22021238810366883</v>
      </c>
      <c r="M356">
        <v>-0.23935262586829431</v>
      </c>
      <c r="N356">
        <v>5.6487655412129634E-2</v>
      </c>
      <c r="O356">
        <v>1.5999100000010924E-3</v>
      </c>
      <c r="P356">
        <v>0.11890464192851891</v>
      </c>
      <c r="Q356">
        <v>-4.4771242385643895E-2</v>
      </c>
      <c r="R356">
        <v>-0.40715195653561187</v>
      </c>
      <c r="S356">
        <v>0.29554325624132627</v>
      </c>
      <c r="T356">
        <v>-0.45603824344585542</v>
      </c>
      <c r="U356">
        <v>14.468723480658996</v>
      </c>
      <c r="V356">
        <v>-0.10956350248578772</v>
      </c>
      <c r="W356">
        <v>0.2988050295586131</v>
      </c>
      <c r="X356">
        <v>-4.7449471999999951E-2</v>
      </c>
      <c r="Y356">
        <v>2.5708229999999929E-2</v>
      </c>
      <c r="Z356">
        <v>1.7791989999999674E-2</v>
      </c>
    </row>
    <row r="357" spans="1:26">
      <c r="A357" s="54" t="str">
        <f>CONCATENATE(raw[[#This Row],[redis_ls]],raw[[#This Row],[wage_eq]],raw[[#This Row],[flex]],raw[[#This Row],[expo]],raw[[#This Row],[_date_]])</f>
        <v>110154424</v>
      </c>
      <c r="B357" s="1">
        <v>54424</v>
      </c>
      <c r="C357">
        <v>1</v>
      </c>
      <c r="D357">
        <v>1</v>
      </c>
      <c r="E357">
        <v>0</v>
      </c>
      <c r="F357">
        <v>1</v>
      </c>
      <c r="G357">
        <v>-2.981826467729487E-2</v>
      </c>
      <c r="H357">
        <v>25.704400000002352</v>
      </c>
      <c r="I357">
        <v>-1.5748958369031785</v>
      </c>
      <c r="J357">
        <v>6.1742817879228973E-2</v>
      </c>
      <c r="K357">
        <v>-0.3190513673594797</v>
      </c>
      <c r="L357">
        <v>-0.2056942304304088</v>
      </c>
      <c r="M357">
        <v>-0.22867414739100589</v>
      </c>
      <c r="N357">
        <v>6.2788345328246287E-2</v>
      </c>
      <c r="O357">
        <v>9.3683000000066574E-4</v>
      </c>
      <c r="P357">
        <v>0.11811087000184184</v>
      </c>
      <c r="Q357">
        <v>-4.1114745931059016E-2</v>
      </c>
      <c r="R357">
        <v>-0.39470857957687455</v>
      </c>
      <c r="S357">
        <v>0.29122007427262453</v>
      </c>
      <c r="T357">
        <v>-0.45412065252902201</v>
      </c>
      <c r="U357">
        <v>14.225697167180652</v>
      </c>
      <c r="V357">
        <v>-0.10655658540017487</v>
      </c>
      <c r="W357">
        <v>0.28929384194105179</v>
      </c>
      <c r="X357">
        <v>-5.8002316000000005E-2</v>
      </c>
      <c r="Y357">
        <v>2.6927390000000204E-2</v>
      </c>
      <c r="Z357">
        <v>2.3139190000000254E-2</v>
      </c>
    </row>
    <row r="358" spans="1:26">
      <c r="A358" s="54" t="str">
        <f>CONCATENATE(raw[[#This Row],[redis_ls]],raw[[#This Row],[wage_eq]],raw[[#This Row],[flex]],raw[[#This Row],[expo]],raw[[#This Row],[_date_]])</f>
        <v>110154789</v>
      </c>
      <c r="B358" s="1">
        <v>54789</v>
      </c>
      <c r="C358">
        <v>1</v>
      </c>
      <c r="D358">
        <v>1</v>
      </c>
      <c r="E358">
        <v>0</v>
      </c>
      <c r="F358">
        <v>1</v>
      </c>
      <c r="G358">
        <v>-2.1464766985923589E-2</v>
      </c>
      <c r="H358">
        <v>29.636199999993551</v>
      </c>
      <c r="I358">
        <v>-1.5407784647333944</v>
      </c>
      <c r="J358">
        <v>6.7756667259555314E-2</v>
      </c>
      <c r="K358">
        <v>-0.29089821423067264</v>
      </c>
      <c r="L358">
        <v>-0.19807239332465532</v>
      </c>
      <c r="M358">
        <v>-0.21816975813169215</v>
      </c>
      <c r="N358">
        <v>6.8050732315261264E-2</v>
      </c>
      <c r="O358">
        <v>2.6347000000037646E-4</v>
      </c>
      <c r="P358">
        <v>0.12123842200284507</v>
      </c>
      <c r="Q358">
        <v>-3.3324612357488181E-2</v>
      </c>
      <c r="R358">
        <v>-0.37779184727444459</v>
      </c>
      <c r="S358">
        <v>0.29070679963101309</v>
      </c>
      <c r="T358">
        <v>-0.45044669289350248</v>
      </c>
      <c r="U358">
        <v>14.00744162699208</v>
      </c>
      <c r="V358">
        <v>-9.784064378378643E-2</v>
      </c>
      <c r="W358">
        <v>0.28101280806618334</v>
      </c>
      <c r="X358">
        <v>-6.5422355000000015E-2</v>
      </c>
      <c r="Y358">
        <v>2.724362000000001E-2</v>
      </c>
      <c r="Z358">
        <v>2.7031599999999961E-2</v>
      </c>
    </row>
    <row r="359" spans="1:26">
      <c r="A359" s="54" t="str">
        <f>CONCATENATE(raw[[#This Row],[redis_ls]],raw[[#This Row],[wage_eq]],raw[[#This Row],[flex]],raw[[#This Row],[expo]],raw[[#This Row],[_date_]])</f>
        <v>110036526</v>
      </c>
      <c r="B359" s="1">
        <v>36526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3.5354701563461433E-3</v>
      </c>
      <c r="U359">
        <v>0.22054535214603987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s="54" t="str">
        <f>CONCATENATE(raw[[#This Row],[redis_ls]],raw[[#This Row],[wage_eq]],raw[[#This Row],[flex]],raw[[#This Row],[expo]],raw[[#This Row],[_date_]])</f>
        <v>110036892</v>
      </c>
      <c r="B360" s="1">
        <v>36892</v>
      </c>
      <c r="C360">
        <v>1</v>
      </c>
      <c r="D360">
        <v>1</v>
      </c>
      <c r="E360">
        <v>0</v>
      </c>
      <c r="F360">
        <v>0</v>
      </c>
      <c r="G360">
        <v>3.2690832961668193E-2</v>
      </c>
      <c r="H360">
        <v>22.870599999998376</v>
      </c>
      <c r="I360">
        <v>-1.1961777909335725</v>
      </c>
      <c r="J360">
        <v>5.7977397315012169E-2</v>
      </c>
      <c r="K360">
        <v>-0.16013590529858623</v>
      </c>
      <c r="L360">
        <v>-3.8987968597781197E-2</v>
      </c>
      <c r="M360">
        <v>-0.14912783179780176</v>
      </c>
      <c r="N360">
        <v>8.1328981449413362E-2</v>
      </c>
      <c r="O360">
        <v>2.0941099999999269E-2</v>
      </c>
      <c r="P360">
        <v>0.45849888223847834</v>
      </c>
      <c r="Q360">
        <v>7.207755080789191E-2</v>
      </c>
      <c r="R360">
        <v>-0.71550700998793682</v>
      </c>
      <c r="S360">
        <v>0.85259539978115306</v>
      </c>
      <c r="T360">
        <v>0.21400545545031679</v>
      </c>
      <c r="U360">
        <v>0.77130674326573168</v>
      </c>
      <c r="V360">
        <v>2.0070783590209196E-2</v>
      </c>
      <c r="W360">
        <v>0.74087884205249477</v>
      </c>
      <c r="X360">
        <v>-6.8332100000000062E-2</v>
      </c>
      <c r="Y360">
        <v>8.9771170000000136E-2</v>
      </c>
      <c r="Z360">
        <v>-1.5839729999999989E-2</v>
      </c>
    </row>
    <row r="361" spans="1:26">
      <c r="A361" s="54" t="str">
        <f>CONCATENATE(raw[[#This Row],[redis_ls]],raw[[#This Row],[wage_eq]],raw[[#This Row],[flex]],raw[[#This Row],[expo]],raw[[#This Row],[_date_]])</f>
        <v>110037257</v>
      </c>
      <c r="B361" s="1">
        <v>37257</v>
      </c>
      <c r="C361">
        <v>1</v>
      </c>
      <c r="D361">
        <v>1</v>
      </c>
      <c r="E361">
        <v>0</v>
      </c>
      <c r="F361">
        <v>0</v>
      </c>
      <c r="G361">
        <v>6.7747563984710268E-2</v>
      </c>
      <c r="H361">
        <v>47.846359999999549</v>
      </c>
      <c r="I361">
        <v>-1.9460355310856547</v>
      </c>
      <c r="J361">
        <v>0.14689315502407485</v>
      </c>
      <c r="K361">
        <v>-0.29345598626167035</v>
      </c>
      <c r="L361">
        <v>-9.3651264168148618E-2</v>
      </c>
      <c r="M361">
        <v>-0.23436040109332534</v>
      </c>
      <c r="N361">
        <v>0.1793331924668351</v>
      </c>
      <c r="O361">
        <v>2.9066960000000142E-2</v>
      </c>
      <c r="P361">
        <v>0.52432623155489466</v>
      </c>
      <c r="Q361">
        <v>0.15548908037663622</v>
      </c>
      <c r="R361">
        <v>-0.6138605610850556</v>
      </c>
      <c r="S361">
        <v>0.91695466013976823</v>
      </c>
      <c r="T361">
        <v>0.33764132509823686</v>
      </c>
      <c r="U361">
        <v>1.6947780787111899</v>
      </c>
      <c r="V361">
        <v>0.1892254153912587</v>
      </c>
      <c r="W361">
        <v>0.80804625372157268</v>
      </c>
      <c r="X361">
        <v>-0.13697461999999938</v>
      </c>
      <c r="Y361">
        <v>0.13980508999999997</v>
      </c>
      <c r="Z361">
        <v>4.0385289999999956E-2</v>
      </c>
    </row>
    <row r="362" spans="1:26">
      <c r="A362" s="54" t="str">
        <f>CONCATENATE(raw[[#This Row],[redis_ls]],raw[[#This Row],[wage_eq]],raw[[#This Row],[flex]],raw[[#This Row],[expo]],raw[[#This Row],[_date_]])</f>
        <v>110037622</v>
      </c>
      <c r="B362" s="1">
        <v>37622</v>
      </c>
      <c r="C362">
        <v>1</v>
      </c>
      <c r="D362">
        <v>1</v>
      </c>
      <c r="E362">
        <v>0</v>
      </c>
      <c r="F362">
        <v>0</v>
      </c>
      <c r="G362">
        <v>9.2372110739602498E-2</v>
      </c>
      <c r="H362">
        <v>67.440520000000106</v>
      </c>
      <c r="I362">
        <v>-2.3767796964146881</v>
      </c>
      <c r="J362">
        <v>0.2369094613738687</v>
      </c>
      <c r="K362">
        <v>-0.39350667326606414</v>
      </c>
      <c r="L362">
        <v>-0.15585258714648775</v>
      </c>
      <c r="M362">
        <v>-0.26209499779047407</v>
      </c>
      <c r="N362">
        <v>0.26223686233082244</v>
      </c>
      <c r="O362">
        <v>2.2674840000000418E-2</v>
      </c>
      <c r="P362">
        <v>0.6152396918860159</v>
      </c>
      <c r="Q362">
        <v>0.26519391404389303</v>
      </c>
      <c r="R362">
        <v>-0.4803094082257986</v>
      </c>
      <c r="S362">
        <v>1.0012117847805202</v>
      </c>
      <c r="T362">
        <v>0.41318818470783558</v>
      </c>
      <c r="U362">
        <v>2.9977464162033396</v>
      </c>
      <c r="V362">
        <v>0.38776331221761495</v>
      </c>
      <c r="W362">
        <v>0.87226226778480687</v>
      </c>
      <c r="X362">
        <v>-0.18640245999999999</v>
      </c>
      <c r="Y362">
        <v>0.17044316000000004</v>
      </c>
      <c r="Z362">
        <v>7.2737979999999869E-2</v>
      </c>
    </row>
    <row r="363" spans="1:26">
      <c r="A363" s="54" t="str">
        <f>CONCATENATE(raw[[#This Row],[redis_ls]],raw[[#This Row],[wage_eq]],raw[[#This Row],[flex]],raw[[#This Row],[expo]],raw[[#This Row],[_date_]])</f>
        <v>110037987</v>
      </c>
      <c r="B363" s="1">
        <v>37987</v>
      </c>
      <c r="C363">
        <v>1</v>
      </c>
      <c r="D363">
        <v>1</v>
      </c>
      <c r="E363">
        <v>0</v>
      </c>
      <c r="F363">
        <v>0</v>
      </c>
      <c r="G363">
        <v>0.10175137415742164</v>
      </c>
      <c r="H363">
        <v>79.405070000000705</v>
      </c>
      <c r="I363">
        <v>-2.6173318111449295</v>
      </c>
      <c r="J363">
        <v>0.30893087374248562</v>
      </c>
      <c r="K363">
        <v>-0.46897990781952226</v>
      </c>
      <c r="L363">
        <v>-0.22242952930640048</v>
      </c>
      <c r="M363">
        <v>-0.26036154820147095</v>
      </c>
      <c r="N363">
        <v>0.31971351361672617</v>
      </c>
      <c r="O363">
        <v>9.6476900000003196E-3</v>
      </c>
      <c r="P363">
        <v>0.72335875997153742</v>
      </c>
      <c r="Q363">
        <v>0.3945354977543003</v>
      </c>
      <c r="R363">
        <v>-0.32324344127900861</v>
      </c>
      <c r="S363">
        <v>1.1006518543387633</v>
      </c>
      <c r="T363">
        <v>0.4538522466303041</v>
      </c>
      <c r="U363">
        <v>4.6697809894290732</v>
      </c>
      <c r="V363">
        <v>0.58701677107553252</v>
      </c>
      <c r="W363">
        <v>0.91321211143036152</v>
      </c>
      <c r="X363">
        <v>-0.21305399000000058</v>
      </c>
      <c r="Y363">
        <v>0.19281844000000015</v>
      </c>
      <c r="Z363">
        <v>8.4826570000000157E-2</v>
      </c>
    </row>
    <row r="364" spans="1:26">
      <c r="A364" s="54" t="str">
        <f>CONCATENATE(raw[[#This Row],[redis_ls]],raw[[#This Row],[wage_eq]],raw[[#This Row],[flex]],raw[[#This Row],[expo]],raw[[#This Row],[_date_]])</f>
        <v>110038353</v>
      </c>
      <c r="B364" s="1">
        <v>38353</v>
      </c>
      <c r="C364">
        <v>1</v>
      </c>
      <c r="D364">
        <v>1</v>
      </c>
      <c r="E364">
        <v>0</v>
      </c>
      <c r="F364">
        <v>0</v>
      </c>
      <c r="G364">
        <v>9.8181937211494485E-2</v>
      </c>
      <c r="H364">
        <v>84.057360000002518</v>
      </c>
      <c r="I364">
        <v>-2.7472576306653007</v>
      </c>
      <c r="J364">
        <v>0.36150813103836832</v>
      </c>
      <c r="K364">
        <v>-0.52837182295192298</v>
      </c>
      <c r="L364">
        <v>-0.29158309685014538</v>
      </c>
      <c r="M364">
        <v>-0.24587955401189632</v>
      </c>
      <c r="N364">
        <v>0.36061765633506049</v>
      </c>
      <c r="O364">
        <v>-7.9652000000013379E-4</v>
      </c>
      <c r="P364">
        <v>0.83952441021948321</v>
      </c>
      <c r="Q364">
        <v>0.5335481063933889</v>
      </c>
      <c r="R364">
        <v>-0.15480870197002172</v>
      </c>
      <c r="S364">
        <v>1.2077112471102769</v>
      </c>
      <c r="T364">
        <v>0.46444997247270248</v>
      </c>
      <c r="U364">
        <v>6.6925896060987311</v>
      </c>
      <c r="V364">
        <v>0.7812915004224541</v>
      </c>
      <c r="W364">
        <v>0.93755162964810346</v>
      </c>
      <c r="X364">
        <v>-0.2198177699999998</v>
      </c>
      <c r="Y364">
        <v>0.21208387999999967</v>
      </c>
      <c r="Z364">
        <v>8.6078820000000042E-2</v>
      </c>
    </row>
    <row r="365" spans="1:26">
      <c r="A365" s="54" t="str">
        <f>CONCATENATE(raw[[#This Row],[redis_ls]],raw[[#This Row],[wage_eq]],raw[[#This Row],[flex]],raw[[#This Row],[expo]],raw[[#This Row],[_date_]])</f>
        <v>110038718</v>
      </c>
      <c r="B365" s="1">
        <v>38718</v>
      </c>
      <c r="C365">
        <v>1</v>
      </c>
      <c r="D365">
        <v>1</v>
      </c>
      <c r="E365">
        <v>0</v>
      </c>
      <c r="F365">
        <v>0</v>
      </c>
      <c r="G365">
        <v>8.6697433432747495E-2</v>
      </c>
      <c r="H365">
        <v>82.943999999999505</v>
      </c>
      <c r="I365">
        <v>-2.8112208159629115</v>
      </c>
      <c r="J365">
        <v>0.40115586669258185</v>
      </c>
      <c r="K365">
        <v>-0.57619977532588074</v>
      </c>
      <c r="L365">
        <v>-0.36181444069538493</v>
      </c>
      <c r="M365">
        <v>-0.2255063348807651</v>
      </c>
      <c r="N365">
        <v>0.39456121820282686</v>
      </c>
      <c r="O365">
        <v>-5.8966600000001645E-3</v>
      </c>
      <c r="P365">
        <v>0.95675789203835127</v>
      </c>
      <c r="Q365">
        <v>0.67403934371632612</v>
      </c>
      <c r="R365">
        <v>1.5111487259367173E-2</v>
      </c>
      <c r="S365">
        <v>1.3160766222003017</v>
      </c>
      <c r="T365">
        <v>0.44761422936578921</v>
      </c>
      <c r="U365">
        <v>9.0440493498595398</v>
      </c>
      <c r="V365">
        <v>0.9689362886718289</v>
      </c>
      <c r="W365">
        <v>0.95368068125782912</v>
      </c>
      <c r="X365">
        <v>-0.21207817000000045</v>
      </c>
      <c r="Y365">
        <v>0.22992042000000018</v>
      </c>
      <c r="Z365">
        <v>8.4639580000000006E-2</v>
      </c>
    </row>
    <row r="366" spans="1:26">
      <c r="A366" s="54" t="str">
        <f>CONCATENATE(raw[[#This Row],[redis_ls]],raw[[#This Row],[wage_eq]],raw[[#This Row],[flex]],raw[[#This Row],[expo]],raw[[#This Row],[_date_]])</f>
        <v>110039083</v>
      </c>
      <c r="B366" s="1">
        <v>39083</v>
      </c>
      <c r="C366">
        <v>1</v>
      </c>
      <c r="D366">
        <v>1</v>
      </c>
      <c r="E366">
        <v>0</v>
      </c>
      <c r="F366">
        <v>0</v>
      </c>
      <c r="G366">
        <v>7.2166917218141613E-2</v>
      </c>
      <c r="H366">
        <v>77.982540000000881</v>
      </c>
      <c r="I366">
        <v>-2.8340396886694319</v>
      </c>
      <c r="J366">
        <v>0.43540289870365179</v>
      </c>
      <c r="K366">
        <v>-0.61394894579797077</v>
      </c>
      <c r="L366">
        <v>-0.4317209287563295</v>
      </c>
      <c r="M366">
        <v>-0.20123013045718618</v>
      </c>
      <c r="N366">
        <v>0.42805317128304932</v>
      </c>
      <c r="O366">
        <v>-6.5702899999992015E-3</v>
      </c>
      <c r="P366">
        <v>1.0703419712322804</v>
      </c>
      <c r="Q366">
        <v>0.8102775258636008</v>
      </c>
      <c r="R366">
        <v>0.17971043635935935</v>
      </c>
      <c r="S366">
        <v>1.4212333999997107</v>
      </c>
      <c r="T366">
        <v>0.40563814387097885</v>
      </c>
      <c r="U366">
        <v>11.699540151653288</v>
      </c>
      <c r="V366">
        <v>1.1483466978709611</v>
      </c>
      <c r="W366">
        <v>0.96689863308052626</v>
      </c>
      <c r="X366">
        <v>-0.19550496000000084</v>
      </c>
      <c r="Y366">
        <v>0.24651851999999974</v>
      </c>
      <c r="Z366">
        <v>8.5911270000000109E-2</v>
      </c>
    </row>
    <row r="367" spans="1:26">
      <c r="A367" s="54" t="str">
        <f>CONCATENATE(raw[[#This Row],[redis_ls]],raw[[#This Row],[wage_eq]],raw[[#This Row],[flex]],raw[[#This Row],[expo]],raw[[#This Row],[_date_]])</f>
        <v>110039448</v>
      </c>
      <c r="B367" s="1">
        <v>39448</v>
      </c>
      <c r="C367">
        <v>1</v>
      </c>
      <c r="D367">
        <v>1</v>
      </c>
      <c r="E367">
        <v>0</v>
      </c>
      <c r="F367">
        <v>0</v>
      </c>
      <c r="G367">
        <v>5.8100714349151872E-2</v>
      </c>
      <c r="H367">
        <v>70.940450000001874</v>
      </c>
      <c r="I367">
        <v>-2.8300433288909854</v>
      </c>
      <c r="J367">
        <v>0.46981390316231941</v>
      </c>
      <c r="K367">
        <v>-0.64178775549688094</v>
      </c>
      <c r="L367">
        <v>-0.50001588779241546</v>
      </c>
      <c r="M367">
        <v>-0.17345757040884147</v>
      </c>
      <c r="N367">
        <v>0.46447256427344374</v>
      </c>
      <c r="O367">
        <v>-4.7732699999997186E-3</v>
      </c>
      <c r="P367">
        <v>1.1771953229905874</v>
      </c>
      <c r="Q367">
        <v>0.93850088228748518</v>
      </c>
      <c r="R367">
        <v>0.33463350498597055</v>
      </c>
      <c r="S367">
        <v>1.5201116892241906</v>
      </c>
      <c r="T367">
        <v>0.34084242750351823</v>
      </c>
      <c r="U367">
        <v>14.632112745672465</v>
      </c>
      <c r="V367">
        <v>1.3177544966283428</v>
      </c>
      <c r="W367">
        <v>0.97984210680992501</v>
      </c>
      <c r="X367">
        <v>-0.17486550999999961</v>
      </c>
      <c r="Y367">
        <v>0.26161613999999972</v>
      </c>
      <c r="Z367">
        <v>9.2699629999999991E-2</v>
      </c>
    </row>
    <row r="368" spans="1:26">
      <c r="A368" s="54" t="str">
        <f>CONCATENATE(raw[[#This Row],[redis_ls]],raw[[#This Row],[wage_eq]],raw[[#This Row],[flex]],raw[[#This Row],[expo]],raw[[#This Row],[_date_]])</f>
        <v>110039814</v>
      </c>
      <c r="B368" s="1">
        <v>39814</v>
      </c>
      <c r="C368">
        <v>1</v>
      </c>
      <c r="D368">
        <v>1</v>
      </c>
      <c r="E368">
        <v>0</v>
      </c>
      <c r="F368">
        <v>0</v>
      </c>
      <c r="G368">
        <v>4.6465464353806496E-2</v>
      </c>
      <c r="H368">
        <v>63.184009999997215</v>
      </c>
      <c r="I368">
        <v>-2.8081409551752978</v>
      </c>
      <c r="J368">
        <v>0.50733044241901837</v>
      </c>
      <c r="K368">
        <v>-0.65975475634111325</v>
      </c>
      <c r="L368">
        <v>-0.56557002423219815</v>
      </c>
      <c r="M368">
        <v>-0.1425525120704263</v>
      </c>
      <c r="N368">
        <v>0.50482292383602356</v>
      </c>
      <c r="O368">
        <v>-2.2398399999998264E-3</v>
      </c>
      <c r="P368">
        <v>1.2753093995634845</v>
      </c>
      <c r="Q368">
        <v>1.0563096484377033</v>
      </c>
      <c r="R368">
        <v>0.47720106351207825</v>
      </c>
      <c r="S368">
        <v>1.6106547437069407</v>
      </c>
      <c r="T368">
        <v>0.25557459005933758</v>
      </c>
      <c r="U368">
        <v>17.812282538267809</v>
      </c>
      <c r="V368">
        <v>1.4755624897069719</v>
      </c>
      <c r="W368">
        <v>0.99361986914476841</v>
      </c>
      <c r="X368">
        <v>-0.15356710000000023</v>
      </c>
      <c r="Y368">
        <v>0.27494014999999983</v>
      </c>
      <c r="Z368">
        <v>0.10577184999999989</v>
      </c>
    </row>
    <row r="369" spans="1:26">
      <c r="A369" s="54" t="str">
        <f>CONCATENATE(raw[[#This Row],[redis_ls]],raw[[#This Row],[wage_eq]],raw[[#This Row],[flex]],raw[[#This Row],[expo]],raw[[#This Row],[_date_]])</f>
        <v>110040179</v>
      </c>
      <c r="B369" s="1">
        <v>40179</v>
      </c>
      <c r="C369">
        <v>1</v>
      </c>
      <c r="D369">
        <v>1</v>
      </c>
      <c r="E369">
        <v>0</v>
      </c>
      <c r="F369">
        <v>0</v>
      </c>
      <c r="G369">
        <v>3.7947500351531716E-2</v>
      </c>
      <c r="H369">
        <v>55.61598000000231</v>
      </c>
      <c r="I369">
        <v>-2.7743723084300065</v>
      </c>
      <c r="J369">
        <v>0.5486277952867713</v>
      </c>
      <c r="K369">
        <v>-0.66829493102672499</v>
      </c>
      <c r="L369">
        <v>-0.62743147605710536</v>
      </c>
      <c r="M369">
        <v>-0.10931983377028276</v>
      </c>
      <c r="N369">
        <v>0.54850893242630594</v>
      </c>
      <c r="O369">
        <v>-1.0613000000075923E-4</v>
      </c>
      <c r="P369">
        <v>1.3633829835135947</v>
      </c>
      <c r="Q369">
        <v>1.1622124265690204</v>
      </c>
      <c r="R369">
        <v>0.60581841663820413</v>
      </c>
      <c r="S369">
        <v>1.6915088977924375</v>
      </c>
      <c r="T369">
        <v>0.1521865190047933</v>
      </c>
      <c r="U369">
        <v>21.207826385203422</v>
      </c>
      <c r="V369">
        <v>1.6205211292011024</v>
      </c>
      <c r="W369">
        <v>1.0085924522024614</v>
      </c>
      <c r="X369">
        <v>-0.13366345000000029</v>
      </c>
      <c r="Y369">
        <v>0.28634843000000032</v>
      </c>
      <c r="Z369">
        <v>0.12447958999999981</v>
      </c>
    </row>
    <row r="370" spans="1:26">
      <c r="A370" s="54" t="str">
        <f>CONCATENATE(raw[[#This Row],[redis_ls]],raw[[#This Row],[wage_eq]],raw[[#This Row],[flex]],raw[[#This Row],[expo]],raw[[#This Row],[_date_]])</f>
        <v>110040544</v>
      </c>
      <c r="B370" s="1">
        <v>40544</v>
      </c>
      <c r="C370">
        <v>1</v>
      </c>
      <c r="D370">
        <v>1</v>
      </c>
      <c r="E370">
        <v>0</v>
      </c>
      <c r="F370">
        <v>0</v>
      </c>
      <c r="G370">
        <v>3.2353039482990731E-2</v>
      </c>
      <c r="H370">
        <v>48.72414999999819</v>
      </c>
      <c r="I370">
        <v>-2.7331211568882852</v>
      </c>
      <c r="J370">
        <v>0.5927943538303726</v>
      </c>
      <c r="K370">
        <v>-0.66835439645133166</v>
      </c>
      <c r="L370">
        <v>-0.68482655942443404</v>
      </c>
      <c r="M370">
        <v>-7.4979586029888523E-2</v>
      </c>
      <c r="N370">
        <v>0.59399681961020967</v>
      </c>
      <c r="O370">
        <v>1.0729299999998054E-3</v>
      </c>
      <c r="P370">
        <v>1.440611580095208</v>
      </c>
      <c r="Q370">
        <v>1.2553369071188536</v>
      </c>
      <c r="R370">
        <v>0.71959706501796283</v>
      </c>
      <c r="S370">
        <v>1.7618293402869023</v>
      </c>
      <c r="T370">
        <v>3.3047460952739804E-2</v>
      </c>
      <c r="U370">
        <v>24.783745195793028</v>
      </c>
      <c r="V370">
        <v>1.7517332876043179</v>
      </c>
      <c r="W370">
        <v>1.0247620829951565</v>
      </c>
      <c r="X370">
        <v>-0.11610192000000019</v>
      </c>
      <c r="Y370">
        <v>0.29584082999999994</v>
      </c>
      <c r="Z370">
        <v>0.14733316999999968</v>
      </c>
    </row>
    <row r="371" spans="1:26">
      <c r="A371" s="54" t="str">
        <f>CONCATENATE(raw[[#This Row],[redis_ls]],raw[[#This Row],[wage_eq]],raw[[#This Row],[flex]],raw[[#This Row],[expo]],raw[[#This Row],[_date_]])</f>
        <v>110040909</v>
      </c>
      <c r="B371" s="1">
        <v>40909</v>
      </c>
      <c r="C371">
        <v>1</v>
      </c>
      <c r="D371">
        <v>1</v>
      </c>
      <c r="E371">
        <v>0</v>
      </c>
      <c r="F371">
        <v>0</v>
      </c>
      <c r="G371">
        <v>2.8995810581178283E-2</v>
      </c>
      <c r="H371">
        <v>42.681009999996604</v>
      </c>
      <c r="I371">
        <v>-2.6876707358267304</v>
      </c>
      <c r="J371">
        <v>0.63802061444628855</v>
      </c>
      <c r="K371">
        <v>-0.66125380787819266</v>
      </c>
      <c r="L371">
        <v>-0.73715171774867416</v>
      </c>
      <c r="M371">
        <v>-4.0952434581065233E-2</v>
      </c>
      <c r="N371">
        <v>0.63934095048079342</v>
      </c>
      <c r="O371">
        <v>1.1773600000000717E-3</v>
      </c>
      <c r="P371">
        <v>1.5065681301287714</v>
      </c>
      <c r="Q371">
        <v>1.3352592031092181</v>
      </c>
      <c r="R371">
        <v>0.81813235981360588</v>
      </c>
      <c r="S371">
        <v>1.8211646279141513</v>
      </c>
      <c r="T371">
        <v>-9.9428846829718864E-2</v>
      </c>
      <c r="U371">
        <v>28.502455285067253</v>
      </c>
      <c r="V371">
        <v>1.8685895327287927</v>
      </c>
      <c r="W371">
        <v>1.0419327789607413</v>
      </c>
      <c r="X371">
        <v>-0.10105416999999922</v>
      </c>
      <c r="Y371">
        <v>0.30352203999999966</v>
      </c>
      <c r="Z371">
        <v>0.17247930000000022</v>
      </c>
    </row>
    <row r="372" spans="1:26">
      <c r="A372" s="54" t="str">
        <f>CONCATENATE(raw[[#This Row],[redis_ls]],raw[[#This Row],[wage_eq]],raw[[#This Row],[flex]],raw[[#This Row],[expo]],raw[[#This Row],[_date_]])</f>
        <v>110041275</v>
      </c>
      <c r="B372" s="1">
        <v>41275</v>
      </c>
      <c r="C372">
        <v>1</v>
      </c>
      <c r="D372">
        <v>1</v>
      </c>
      <c r="E372">
        <v>0</v>
      </c>
      <c r="F372">
        <v>0</v>
      </c>
      <c r="G372">
        <v>2.7010086949519341E-2</v>
      </c>
      <c r="H372">
        <v>37.454359999999724</v>
      </c>
      <c r="I372">
        <v>-2.6404625430213047</v>
      </c>
      <c r="J372">
        <v>0.68217380081407875</v>
      </c>
      <c r="K372">
        <v>-0.64849160900595226</v>
      </c>
      <c r="L372">
        <v>-0.7839630867449765</v>
      </c>
      <c r="M372">
        <v>-8.6236417066287707E-3</v>
      </c>
      <c r="N372">
        <v>0.68257775425277778</v>
      </c>
      <c r="O372">
        <v>3.5998999999981018E-4</v>
      </c>
      <c r="P372">
        <v>1.5611321554223734</v>
      </c>
      <c r="Q372">
        <v>1.401904835865464</v>
      </c>
      <c r="R372">
        <v>0.90138066628138169</v>
      </c>
      <c r="S372">
        <v>1.8693841783840925</v>
      </c>
      <c r="T372">
        <v>-0.2427671512106877</v>
      </c>
      <c r="U372">
        <v>32.324222500550825</v>
      </c>
      <c r="V372">
        <v>1.9707046245762916</v>
      </c>
      <c r="W372">
        <v>1.0597713501441453</v>
      </c>
      <c r="X372">
        <v>-8.8235870000000216E-2</v>
      </c>
      <c r="Y372">
        <v>0.3095543999999999</v>
      </c>
      <c r="Z372">
        <v>0.19806128999999978</v>
      </c>
    </row>
    <row r="373" spans="1:26">
      <c r="A373" s="54" t="str">
        <f>CONCATENATE(raw[[#This Row],[redis_ls]],raw[[#This Row],[wage_eq]],raw[[#This Row],[flex]],raw[[#This Row],[expo]],raw[[#This Row],[_date_]])</f>
        <v>110041640</v>
      </c>
      <c r="B373" s="1">
        <v>41640</v>
      </c>
      <c r="C373">
        <v>1</v>
      </c>
      <c r="D373">
        <v>1</v>
      </c>
      <c r="E373">
        <v>0</v>
      </c>
      <c r="F373">
        <v>0</v>
      </c>
      <c r="G373">
        <v>2.5569813792358786E-2</v>
      </c>
      <c r="H373">
        <v>32.905790000000707</v>
      </c>
      <c r="I373">
        <v>-2.593239208159559</v>
      </c>
      <c r="J373">
        <v>0.72321769384642298</v>
      </c>
      <c r="K373">
        <v>-0.63156029539673808</v>
      </c>
      <c r="L373">
        <v>-0.82496669150886603</v>
      </c>
      <c r="M373">
        <v>2.0839473852696244E-2</v>
      </c>
      <c r="N373">
        <v>0.72199267968353631</v>
      </c>
      <c r="O373">
        <v>-1.0908500000003651E-3</v>
      </c>
      <c r="P373">
        <v>1.6044424842898364</v>
      </c>
      <c r="Q373">
        <v>1.4554896254132643</v>
      </c>
      <c r="R373">
        <v>0.96959489508763319</v>
      </c>
      <c r="S373">
        <v>1.9066283546607554</v>
      </c>
      <c r="T373">
        <v>-0.39443828056349162</v>
      </c>
      <c r="U373">
        <v>36.207825541741776</v>
      </c>
      <c r="V373">
        <v>2.0578838241816388</v>
      </c>
      <c r="W373">
        <v>1.077838256771213</v>
      </c>
      <c r="X373">
        <v>-7.7166639999999564E-2</v>
      </c>
      <c r="Y373">
        <v>0.31411770999999966</v>
      </c>
      <c r="Z373">
        <v>0.22245851999999969</v>
      </c>
    </row>
    <row r="374" spans="1:26">
      <c r="A374" s="54" t="str">
        <f>CONCATENATE(raw[[#This Row],[redis_ls]],raw[[#This Row],[wage_eq]],raw[[#This Row],[flex]],raw[[#This Row],[expo]],raw[[#This Row],[_date_]])</f>
        <v>110042005</v>
      </c>
      <c r="B374" s="1">
        <v>42005</v>
      </c>
      <c r="C374">
        <v>1</v>
      </c>
      <c r="D374">
        <v>1</v>
      </c>
      <c r="E374">
        <v>0</v>
      </c>
      <c r="F374">
        <v>0</v>
      </c>
      <c r="G374">
        <v>2.401726029535034E-2</v>
      </c>
      <c r="H374">
        <v>28.866060000000289</v>
      </c>
      <c r="I374">
        <v>-2.5471536486364244</v>
      </c>
      <c r="J374">
        <v>0.7594774478205446</v>
      </c>
      <c r="K374">
        <v>-0.61181309660154337</v>
      </c>
      <c r="L374">
        <v>-0.86000952639685435</v>
      </c>
      <c r="M374">
        <v>4.6593160644947673E-2</v>
      </c>
      <c r="N374">
        <v>0.75627200979910825</v>
      </c>
      <c r="O374">
        <v>-2.8525000000001466E-3</v>
      </c>
      <c r="P374">
        <v>1.636860791209882</v>
      </c>
      <c r="Q374">
        <v>1.4964806446870593</v>
      </c>
      <c r="R374">
        <v>1.0232905400036074</v>
      </c>
      <c r="S374">
        <v>1.9332690779801265</v>
      </c>
      <c r="T374">
        <v>-0.55189172603127279</v>
      </c>
      <c r="U374">
        <v>40.111407631838802</v>
      </c>
      <c r="V374">
        <v>2.1301188709783592</v>
      </c>
      <c r="W374">
        <v>1.0956169747341482</v>
      </c>
      <c r="X374">
        <v>-6.7353609999999675E-2</v>
      </c>
      <c r="Y374">
        <v>0.31738221999999955</v>
      </c>
      <c r="Z374">
        <v>0.24441706000000035</v>
      </c>
    </row>
    <row r="375" spans="1:26">
      <c r="A375" s="54" t="str">
        <f>CONCATENATE(raw[[#This Row],[redis_ls]],raw[[#This Row],[wage_eq]],raw[[#This Row],[flex]],raw[[#This Row],[expo]],raw[[#This Row],[_date_]])</f>
        <v>110042370</v>
      </c>
      <c r="B375" s="1">
        <v>42370</v>
      </c>
      <c r="C375">
        <v>1</v>
      </c>
      <c r="D375">
        <v>1</v>
      </c>
      <c r="E375">
        <v>0</v>
      </c>
      <c r="F375">
        <v>0</v>
      </c>
      <c r="G375">
        <v>2.1916427609314226E-2</v>
      </c>
      <c r="H375">
        <v>25.184549999998126</v>
      </c>
      <c r="I375">
        <v>-2.5028750051441451</v>
      </c>
      <c r="J375">
        <v>0.78977085604057251</v>
      </c>
      <c r="K375">
        <v>-0.59038778856598251</v>
      </c>
      <c r="L375">
        <v>-0.8890710103615751</v>
      </c>
      <c r="M375">
        <v>6.8150306792613691E-2</v>
      </c>
      <c r="N375">
        <v>0.78456069903587444</v>
      </c>
      <c r="O375">
        <v>-4.6336600000002059E-3</v>
      </c>
      <c r="P375">
        <v>1.6589404222181692</v>
      </c>
      <c r="Q375">
        <v>1.5255649629917656</v>
      </c>
      <c r="R375">
        <v>1.0632240993065256</v>
      </c>
      <c r="S375">
        <v>1.9498749595212805</v>
      </c>
      <c r="T375">
        <v>-0.71260788771971839</v>
      </c>
      <c r="U375">
        <v>43.993465057898248</v>
      </c>
      <c r="V375">
        <v>2.1876017484750321</v>
      </c>
      <c r="W375">
        <v>1.1125487482352314</v>
      </c>
      <c r="X375">
        <v>-5.8400280000001081E-2</v>
      </c>
      <c r="Y375">
        <v>0.31949540000000065</v>
      </c>
      <c r="Z375">
        <v>0.26309259999999918</v>
      </c>
    </row>
    <row r="376" spans="1:26">
      <c r="A376" s="54" t="str">
        <f>CONCATENATE(raw[[#This Row],[redis_ls]],raw[[#This Row],[wage_eq]],raw[[#This Row],[flex]],raw[[#This Row],[expo]],raw[[#This Row],[_date_]])</f>
        <v>110042736</v>
      </c>
      <c r="B376" s="1">
        <v>42736</v>
      </c>
      <c r="C376">
        <v>1</v>
      </c>
      <c r="D376">
        <v>1</v>
      </c>
      <c r="E376">
        <v>0</v>
      </c>
      <c r="F376">
        <v>0</v>
      </c>
      <c r="G376">
        <v>1.9052178716272294E-2</v>
      </c>
      <c r="H376">
        <v>21.755379999998695</v>
      </c>
      <c r="I376">
        <v>-2.4606963228184564</v>
      </c>
      <c r="J376">
        <v>0.81343576604904211</v>
      </c>
      <c r="K376">
        <v>-0.56818091171096929</v>
      </c>
      <c r="L376">
        <v>-0.91225346909401539</v>
      </c>
      <c r="M376">
        <v>8.535821634123586E-2</v>
      </c>
      <c r="N376">
        <v>0.80644972288499428</v>
      </c>
      <c r="O376">
        <v>-6.2095000000012002E-3</v>
      </c>
      <c r="P376">
        <v>1.6713970021397406</v>
      </c>
      <c r="Q376">
        <v>1.5436190463598232</v>
      </c>
      <c r="R376">
        <v>1.0903725444648238</v>
      </c>
      <c r="S376">
        <v>1.9571774335320979</v>
      </c>
      <c r="T376">
        <v>-0.87416137470085475</v>
      </c>
      <c r="U376">
        <v>47.81390069093603</v>
      </c>
      <c r="V376">
        <v>2.2307433142687794</v>
      </c>
      <c r="W376">
        <v>1.1280705749791009</v>
      </c>
      <c r="X376">
        <v>-5.0053460000000494E-2</v>
      </c>
      <c r="Y376">
        <v>0.32058017000000039</v>
      </c>
      <c r="Z376">
        <v>0.27803063000000072</v>
      </c>
    </row>
    <row r="377" spans="1:26">
      <c r="A377" s="54" t="str">
        <f>CONCATENATE(raw[[#This Row],[redis_ls]],raw[[#This Row],[wage_eq]],raw[[#This Row],[flex]],raw[[#This Row],[expo]],raw[[#This Row],[_date_]])</f>
        <v>110043101</v>
      </c>
      <c r="B377" s="1">
        <v>43101</v>
      </c>
      <c r="C377">
        <v>1</v>
      </c>
      <c r="D377">
        <v>1</v>
      </c>
      <c r="E377">
        <v>0</v>
      </c>
      <c r="F377">
        <v>0</v>
      </c>
      <c r="G377">
        <v>1.5395303800036508E-2</v>
      </c>
      <c r="H377">
        <v>18.525099999998929</v>
      </c>
      <c r="I377">
        <v>-2.4206395143280934</v>
      </c>
      <c r="J377">
        <v>0.83028635302297982</v>
      </c>
      <c r="K377">
        <v>-0.54585736532053453</v>
      </c>
      <c r="L377">
        <v>-0.9297711875066339</v>
      </c>
      <c r="M377">
        <v>9.8341832986448274E-2</v>
      </c>
      <c r="N377">
        <v>0.8219191006204829</v>
      </c>
      <c r="O377">
        <v>-7.4337000000007647E-3</v>
      </c>
      <c r="P377">
        <v>1.6750789376475117</v>
      </c>
      <c r="Q377">
        <v>1.5516749914215699</v>
      </c>
      <c r="R377">
        <v>1.1059066620493052</v>
      </c>
      <c r="S377">
        <v>1.9560365090438347</v>
      </c>
      <c r="T377">
        <v>-1.0342866866869693</v>
      </c>
      <c r="U377">
        <v>51.535069822727777</v>
      </c>
      <c r="V377">
        <v>2.2601851419322916</v>
      </c>
      <c r="W377">
        <v>1.1416528442392382</v>
      </c>
      <c r="X377">
        <v>-4.2205330000000263E-2</v>
      </c>
      <c r="Y377">
        <v>0.32074054000000018</v>
      </c>
      <c r="Z377">
        <v>0.28910810999999981</v>
      </c>
    </row>
    <row r="378" spans="1:26">
      <c r="A378" s="54" t="str">
        <f>CONCATENATE(raw[[#This Row],[redis_ls]],raw[[#This Row],[wage_eq]],raw[[#This Row],[flex]],raw[[#This Row],[expo]],raw[[#This Row],[_date_]])</f>
        <v>110043466</v>
      </c>
      <c r="B378" s="1">
        <v>43466</v>
      </c>
      <c r="C378">
        <v>1</v>
      </c>
      <c r="D378">
        <v>1</v>
      </c>
      <c r="E378">
        <v>0</v>
      </c>
      <c r="F378">
        <v>0</v>
      </c>
      <c r="G378">
        <v>1.1052009915735184E-2</v>
      </c>
      <c r="H378">
        <v>15.487529999998515</v>
      </c>
      <c r="I378">
        <v>-2.3825496522198897</v>
      </c>
      <c r="J378">
        <v>0.84052894111363852</v>
      </c>
      <c r="K378">
        <v>-0.5238815229742011</v>
      </c>
      <c r="L378">
        <v>-0.94193718249828695</v>
      </c>
      <c r="M378">
        <v>0.10743159234951616</v>
      </c>
      <c r="N378">
        <v>0.83125664243204334</v>
      </c>
      <c r="O378">
        <v>-8.2346299999994099E-3</v>
      </c>
      <c r="P378">
        <v>1.6709368100948474</v>
      </c>
      <c r="Q378">
        <v>1.5508826626660088</v>
      </c>
      <c r="R378">
        <v>1.1111556521036237</v>
      </c>
      <c r="S378">
        <v>1.9474056323759426</v>
      </c>
      <c r="T378">
        <v>-1.1909383068322899</v>
      </c>
      <c r="U378">
        <v>55.122743416089072</v>
      </c>
      <c r="V378">
        <v>2.2767984881105763</v>
      </c>
      <c r="W378">
        <v>1.1528330897783379</v>
      </c>
      <c r="X378">
        <v>-3.4867200000000126E-2</v>
      </c>
      <c r="Y378">
        <v>0.32007053000000019</v>
      </c>
      <c r="Z378">
        <v>0.29645679000000064</v>
      </c>
    </row>
    <row r="379" spans="1:26">
      <c r="A379" s="54" t="str">
        <f>CONCATENATE(raw[[#This Row],[redis_ls]],raw[[#This Row],[wage_eq]],raw[[#This Row],[flex]],raw[[#This Row],[expo]],raw[[#This Row],[_date_]])</f>
        <v>110043831</v>
      </c>
      <c r="B379" s="1">
        <v>43831</v>
      </c>
      <c r="C379">
        <v>1</v>
      </c>
      <c r="D379">
        <v>1</v>
      </c>
      <c r="E379">
        <v>0</v>
      </c>
      <c r="F379">
        <v>0</v>
      </c>
      <c r="G379">
        <v>6.2099985958852244E-3</v>
      </c>
      <c r="H379">
        <v>12.67160000000149</v>
      </c>
      <c r="I379">
        <v>-2.3461738013352607</v>
      </c>
      <c r="J379">
        <v>0.84466021989377804</v>
      </c>
      <c r="K379">
        <v>-0.50255693796406042</v>
      </c>
      <c r="L379">
        <v>-0.94914782320275615</v>
      </c>
      <c r="M379">
        <v>0.11309029632555756</v>
      </c>
      <c r="N379">
        <v>0.83497087687443017</v>
      </c>
      <c r="O379">
        <v>-8.602480000000079E-3</v>
      </c>
      <c r="P379">
        <v>1.6599915437597756</v>
      </c>
      <c r="Q379">
        <v>1.5424685858157483</v>
      </c>
      <c r="R379">
        <v>1.1075630529222114</v>
      </c>
      <c r="S379">
        <v>1.9322964423833966</v>
      </c>
      <c r="T379">
        <v>-1.3423391841500543</v>
      </c>
      <c r="U379">
        <v>58.546926674568908</v>
      </c>
      <c r="V379">
        <v>2.2816675907344708</v>
      </c>
      <c r="W379">
        <v>1.1612430316554789</v>
      </c>
      <c r="X379">
        <v>-2.8129780000000354E-2</v>
      </c>
      <c r="Y379">
        <v>0.31866291999999991</v>
      </c>
      <c r="Z379">
        <v>0.30038346999999993</v>
      </c>
    </row>
    <row r="380" spans="1:26">
      <c r="A380" s="54" t="str">
        <f>CONCATENATE(raw[[#This Row],[redis_ls]],raw[[#This Row],[wage_eq]],raw[[#This Row],[flex]],raw[[#This Row],[expo]],raw[[#This Row],[_date_]])</f>
        <v>110044197</v>
      </c>
      <c r="B380" s="1">
        <v>44197</v>
      </c>
      <c r="C380">
        <v>1</v>
      </c>
      <c r="D380">
        <v>1</v>
      </c>
      <c r="E380">
        <v>0</v>
      </c>
      <c r="F380">
        <v>0</v>
      </c>
      <c r="G380">
        <v>1.0910623167159628E-3</v>
      </c>
      <c r="H380">
        <v>10.126019999999698</v>
      </c>
      <c r="I380">
        <v>-2.3112212827378742</v>
      </c>
      <c r="J380">
        <v>0.84336565680036557</v>
      </c>
      <c r="K380">
        <v>-0.48206629816324176</v>
      </c>
      <c r="L380">
        <v>-0.95186569745518979</v>
      </c>
      <c r="M380">
        <v>0.11584833170674713</v>
      </c>
      <c r="N380">
        <v>0.83370813769549912</v>
      </c>
      <c r="O380">
        <v>-8.5725800000005514E-3</v>
      </c>
      <c r="P380">
        <v>1.6433020014839705</v>
      </c>
      <c r="Q380">
        <v>1.5276935090902111</v>
      </c>
      <c r="R380">
        <v>1.0966367711474412</v>
      </c>
      <c r="S380">
        <v>1.9117445224149376</v>
      </c>
      <c r="T380">
        <v>-1.4870137181623666</v>
      </c>
      <c r="U380">
        <v>61.782483649217809</v>
      </c>
      <c r="V380">
        <v>2.2760576992174375</v>
      </c>
      <c r="W380">
        <v>1.1666272559345714</v>
      </c>
      <c r="X380">
        <v>-2.2120910000000132E-2</v>
      </c>
      <c r="Y380">
        <v>0.31661543999999958</v>
      </c>
      <c r="Z380">
        <v>0.30129727000000051</v>
      </c>
    </row>
    <row r="381" spans="1:26">
      <c r="A381" s="54" t="str">
        <f>CONCATENATE(raw[[#This Row],[redis_ls]],raw[[#This Row],[wage_eq]],raw[[#This Row],[flex]],raw[[#This Row],[expo]],raw[[#This Row],[_date_]])</f>
        <v>110044562</v>
      </c>
      <c r="B381" s="1">
        <v>44562</v>
      </c>
      <c r="C381">
        <v>1</v>
      </c>
      <c r="D381">
        <v>1</v>
      </c>
      <c r="E381">
        <v>0</v>
      </c>
      <c r="F381">
        <v>0</v>
      </c>
      <c r="G381">
        <v>-4.0860463537017999E-3</v>
      </c>
      <c r="H381">
        <v>7.9046799999996438</v>
      </c>
      <c r="I381">
        <v>-2.2774054774710839</v>
      </c>
      <c r="J381">
        <v>0.83743058310525864</v>
      </c>
      <c r="K381">
        <v>-0.46250643944814041</v>
      </c>
      <c r="L381">
        <v>-0.95060107622318979</v>
      </c>
      <c r="M381">
        <v>0.11625199895379801</v>
      </c>
      <c r="N381">
        <v>0.82818205324843852</v>
      </c>
      <c r="O381">
        <v>-8.2085600000003645E-3</v>
      </c>
      <c r="P381">
        <v>1.6219332254052921</v>
      </c>
      <c r="Q381">
        <v>1.5078113693517414</v>
      </c>
      <c r="R381">
        <v>1.079896628203536</v>
      </c>
      <c r="S381">
        <v>1.8867774836437423</v>
      </c>
      <c r="T381">
        <v>-1.6238037011839235</v>
      </c>
      <c r="U381">
        <v>64.809539132357401</v>
      </c>
      <c r="V381">
        <v>2.2613712853312595</v>
      </c>
      <c r="W381">
        <v>1.1688522802460577</v>
      </c>
      <c r="X381">
        <v>-1.6967940000000431E-2</v>
      </c>
      <c r="Y381">
        <v>0.31403340999999962</v>
      </c>
      <c r="Z381">
        <v>0.29964992000000024</v>
      </c>
    </row>
    <row r="382" spans="1:26">
      <c r="A382" s="54" t="str">
        <f>CONCATENATE(raw[[#This Row],[redis_ls]],raw[[#This Row],[wage_eq]],raw[[#This Row],[flex]],raw[[#This Row],[expo]],raw[[#This Row],[_date_]])</f>
        <v>110044927</v>
      </c>
      <c r="B382" s="1">
        <v>44927</v>
      </c>
      <c r="C382">
        <v>1</v>
      </c>
      <c r="D382">
        <v>1</v>
      </c>
      <c r="E382">
        <v>0</v>
      </c>
      <c r="F382">
        <v>0</v>
      </c>
      <c r="G382">
        <v>-9.1308411715340654E-3</v>
      </c>
      <c r="H382">
        <v>6.0541599999996834</v>
      </c>
      <c r="I382">
        <v>-2.2444695468747833</v>
      </c>
      <c r="J382">
        <v>0.82766757116146117</v>
      </c>
      <c r="K382">
        <v>-0.44391609027406576</v>
      </c>
      <c r="L382">
        <v>-0.94589329038166081</v>
      </c>
      <c r="M382">
        <v>0.11482648716847343</v>
      </c>
      <c r="N382">
        <v>0.81911843195492384</v>
      </c>
      <c r="O382">
        <v>-7.5875799999999827E-3</v>
      </c>
      <c r="P382">
        <v>1.5969265437784097</v>
      </c>
      <c r="Q382">
        <v>1.4840321608787788</v>
      </c>
      <c r="R382">
        <v>1.0588240245708258</v>
      </c>
      <c r="S382">
        <v>1.8583868324586028</v>
      </c>
      <c r="T382">
        <v>-1.7518675266488981</v>
      </c>
      <c r="U382">
        <v>67.613650414569165</v>
      </c>
      <c r="V382">
        <v>2.2390964788728152</v>
      </c>
      <c r="W382">
        <v>1.1679063458426731</v>
      </c>
      <c r="X382">
        <v>-1.2769359999999924E-2</v>
      </c>
      <c r="Y382">
        <v>0.31102880000000027</v>
      </c>
      <c r="Z382">
        <v>0.29589166999999944</v>
      </c>
    </row>
    <row r="383" spans="1:26">
      <c r="A383" s="54" t="str">
        <f>CONCATENATE(raw[[#This Row],[redis_ls]],raw[[#This Row],[wage_eq]],raw[[#This Row],[flex]],raw[[#This Row],[expo]],raw[[#This Row],[_date_]])</f>
        <v>110045292</v>
      </c>
      <c r="B383" s="1">
        <v>45292</v>
      </c>
      <c r="C383">
        <v>1</v>
      </c>
      <c r="D383">
        <v>1</v>
      </c>
      <c r="E383">
        <v>0</v>
      </c>
      <c r="F383">
        <v>0</v>
      </c>
      <c r="G383">
        <v>-1.3894852190488027E-2</v>
      </c>
      <c r="H383">
        <v>4.6051599999991595</v>
      </c>
      <c r="I383">
        <v>-2.212198743306093</v>
      </c>
      <c r="J383">
        <v>0.81486424027321647</v>
      </c>
      <c r="K383">
        <v>-0.42629566897454119</v>
      </c>
      <c r="L383">
        <v>-0.93829247053743847</v>
      </c>
      <c r="M383">
        <v>0.11205218926682026</v>
      </c>
      <c r="N383">
        <v>0.80721564856391925</v>
      </c>
      <c r="O383">
        <v>-6.7886000000003111E-3</v>
      </c>
      <c r="P383">
        <v>1.5692730769003571</v>
      </c>
      <c r="Q383">
        <v>1.4574904703235747</v>
      </c>
      <c r="R383">
        <v>1.0348171806803474</v>
      </c>
      <c r="S383">
        <v>1.8275044740317492</v>
      </c>
      <c r="T383">
        <v>-1.8706651498823779</v>
      </c>
      <c r="U383">
        <v>70.185758854365503</v>
      </c>
      <c r="V383">
        <v>2.2107520004165382</v>
      </c>
      <c r="W383">
        <v>1.1638906923043146</v>
      </c>
      <c r="X383">
        <v>-9.576730000000061E-3</v>
      </c>
      <c r="Y383">
        <v>0.30771641000000016</v>
      </c>
      <c r="Z383">
        <v>0.29044277000000035</v>
      </c>
    </row>
    <row r="384" spans="1:26">
      <c r="A384" s="54" t="str">
        <f>CONCATENATE(raw[[#This Row],[redis_ls]],raw[[#This Row],[wage_eq]],raw[[#This Row],[flex]],raw[[#This Row],[expo]],raw[[#This Row],[_date_]])</f>
        <v>110045658</v>
      </c>
      <c r="B384" s="1">
        <v>45658</v>
      </c>
      <c r="C384">
        <v>1</v>
      </c>
      <c r="D384">
        <v>1</v>
      </c>
      <c r="E384">
        <v>0</v>
      </c>
      <c r="F384">
        <v>0</v>
      </c>
      <c r="G384">
        <v>-1.8276039049214265E-2</v>
      </c>
      <c r="H384">
        <v>3.567589999998745</v>
      </c>
      <c r="I384">
        <v>-2.1804229758648153</v>
      </c>
      <c r="J384">
        <v>0.79975006158174988</v>
      </c>
      <c r="K384">
        <v>-0.40962058223125153</v>
      </c>
      <c r="L384">
        <v>-0.9283428147518813</v>
      </c>
      <c r="M384">
        <v>0.10835257750574367</v>
      </c>
      <c r="N384">
        <v>0.79312114513134802</v>
      </c>
      <c r="O384">
        <v>-5.8841299999987107E-3</v>
      </c>
      <c r="P384">
        <v>1.5398916969505905</v>
      </c>
      <c r="Q384">
        <v>1.4292212453988595</v>
      </c>
      <c r="R384">
        <v>1.0091548995514454</v>
      </c>
      <c r="S384">
        <v>1.794984713591341</v>
      </c>
      <c r="T384">
        <v>-1.9799318342220706</v>
      </c>
      <c r="U384">
        <v>72.521946767281079</v>
      </c>
      <c r="V384">
        <v>2.1778341978864857</v>
      </c>
      <c r="W384">
        <v>1.1570033152232373</v>
      </c>
      <c r="X384">
        <v>-7.3872199999998334E-3</v>
      </c>
      <c r="Y384">
        <v>0.30420840999999949</v>
      </c>
      <c r="Z384">
        <v>0.28367907000000081</v>
      </c>
    </row>
    <row r="385" spans="1:26">
      <c r="A385" s="54" t="str">
        <f>CONCATENATE(raw[[#This Row],[redis_ls]],raw[[#This Row],[wage_eq]],raw[[#This Row],[flex]],raw[[#This Row],[expo]],raw[[#This Row],[_date_]])</f>
        <v>110046023</v>
      </c>
      <c r="B385" s="1">
        <v>46023</v>
      </c>
      <c r="C385">
        <v>1</v>
      </c>
      <c r="D385">
        <v>1</v>
      </c>
      <c r="E385">
        <v>0</v>
      </c>
      <c r="F385">
        <v>0</v>
      </c>
      <c r="G385">
        <v>-2.2215906031142207E-2</v>
      </c>
      <c r="H385">
        <v>2.9294599999993807</v>
      </c>
      <c r="I385">
        <v>-2.1490127417761462</v>
      </c>
      <c r="J385">
        <v>0.78297844553540941</v>
      </c>
      <c r="K385">
        <v>-0.39384889303630821</v>
      </c>
      <c r="L385">
        <v>-0.91656803488751049</v>
      </c>
      <c r="M385">
        <v>0.10409079200413007</v>
      </c>
      <c r="N385">
        <v>0.77741947137452971</v>
      </c>
      <c r="O385">
        <v>-4.9351700000005438E-3</v>
      </c>
      <c r="P385">
        <v>1.5096120766155963</v>
      </c>
      <c r="Q385">
        <v>1.4001430675382842</v>
      </c>
      <c r="R385">
        <v>0.98297014290176232</v>
      </c>
      <c r="S385">
        <v>1.7615914754425255</v>
      </c>
      <c r="T385">
        <v>-2.0796446918536327</v>
      </c>
      <c r="U385">
        <v>74.6230359832945</v>
      </c>
      <c r="V385">
        <v>2.1417685283025456</v>
      </c>
      <c r="W385">
        <v>1.147518612797982</v>
      </c>
      <c r="X385">
        <v>-6.1448800000002413E-3</v>
      </c>
      <c r="Y385">
        <v>0.30060841999999949</v>
      </c>
      <c r="Z385">
        <v>0.27592850000000002</v>
      </c>
    </row>
    <row r="386" spans="1:26">
      <c r="A386" s="54" t="str">
        <f>CONCATENATE(raw[[#This Row],[redis_ls]],raw[[#This Row],[wage_eq]],raw[[#This Row],[flex]],raw[[#This Row],[expo]],raw[[#This Row],[_date_]])</f>
        <v>110046388</v>
      </c>
      <c r="B386" s="1">
        <v>46388</v>
      </c>
      <c r="C386">
        <v>1</v>
      </c>
      <c r="D386">
        <v>1</v>
      </c>
      <c r="E386">
        <v>0</v>
      </c>
      <c r="F386">
        <v>0</v>
      </c>
      <c r="G386">
        <v>-2.5692179760905542E-2</v>
      </c>
      <c r="H386">
        <v>2.6586700000007113</v>
      </c>
      <c r="I386">
        <v>-2.1178717678620895</v>
      </c>
      <c r="J386">
        <v>0.76512218088455874</v>
      </c>
      <c r="K386">
        <v>-0.37892537629179435</v>
      </c>
      <c r="L386">
        <v>-0.9034593496495158</v>
      </c>
      <c r="M386">
        <v>9.9572040664330785E-2</v>
      </c>
      <c r="N386">
        <v>0.76062965332892585</v>
      </c>
      <c r="O386">
        <v>-3.9891300000011176E-3</v>
      </c>
      <c r="P386">
        <v>1.4791632128628551</v>
      </c>
      <c r="Q386">
        <v>1.3710485795316529</v>
      </c>
      <c r="R386">
        <v>0.95723411777266509</v>
      </c>
      <c r="S386">
        <v>1.7279910327124837</v>
      </c>
      <c r="T386">
        <v>-2.1699855132149892</v>
      </c>
      <c r="U386">
        <v>76.494069547597903</v>
      </c>
      <c r="V386">
        <v>2.103869999118535</v>
      </c>
      <c r="W386">
        <v>1.135763954133906</v>
      </c>
      <c r="X386">
        <v>-5.7485700000001888E-3</v>
      </c>
      <c r="Y386">
        <v>0.29700615999999969</v>
      </c>
      <c r="Z386">
        <v>0.26747511999999918</v>
      </c>
    </row>
    <row r="387" spans="1:26">
      <c r="A387" s="54" t="str">
        <f>CONCATENATE(raw[[#This Row],[redis_ls]],raw[[#This Row],[wage_eq]],raw[[#This Row],[flex]],raw[[#This Row],[expo]],raw[[#This Row],[_date_]])</f>
        <v>110046753</v>
      </c>
      <c r="B387" s="1">
        <v>46753</v>
      </c>
      <c r="C387">
        <v>1</v>
      </c>
      <c r="D387">
        <v>1</v>
      </c>
      <c r="E387">
        <v>0</v>
      </c>
      <c r="F387">
        <v>0</v>
      </c>
      <c r="G387">
        <v>-2.8709350460676131E-2</v>
      </c>
      <c r="H387">
        <v>2.7070700000003853</v>
      </c>
      <c r="I387">
        <v>-2.086928142629263</v>
      </c>
      <c r="J387">
        <v>0.74667648928574692</v>
      </c>
      <c r="K387">
        <v>-0.36478322733223267</v>
      </c>
      <c r="L387">
        <v>-0.88946622422884092</v>
      </c>
      <c r="M387">
        <v>9.504950314265237E-2</v>
      </c>
      <c r="N387">
        <v>0.74320872744624289</v>
      </c>
      <c r="O387">
        <v>-3.0798999999998022E-3</v>
      </c>
      <c r="P387">
        <v>1.4491672820687418</v>
      </c>
      <c r="Q387">
        <v>1.3426015979654649</v>
      </c>
      <c r="R387">
        <v>0.932749958424961</v>
      </c>
      <c r="S387">
        <v>1.6947491669565995</v>
      </c>
      <c r="T387">
        <v>-2.2513032384423592</v>
      </c>
      <c r="U387">
        <v>78.14371721239101</v>
      </c>
      <c r="V387">
        <v>2.0653128273782739</v>
      </c>
      <c r="W387">
        <v>1.1220965104921765</v>
      </c>
      <c r="X387">
        <v>-6.0640699999999631E-3</v>
      </c>
      <c r="Y387">
        <v>0.29347347999999984</v>
      </c>
      <c r="Z387">
        <v>0.25856697999999956</v>
      </c>
    </row>
    <row r="388" spans="1:26">
      <c r="A388" s="54" t="str">
        <f>CONCATENATE(raw[[#This Row],[redis_ls]],raw[[#This Row],[wage_eq]],raw[[#This Row],[flex]],raw[[#This Row],[expo]],raw[[#This Row],[_date_]])</f>
        <v>110047119</v>
      </c>
      <c r="B388" s="1">
        <v>47119</v>
      </c>
      <c r="C388">
        <v>1</v>
      </c>
      <c r="D388">
        <v>1</v>
      </c>
      <c r="E388">
        <v>0</v>
      </c>
      <c r="F388">
        <v>0</v>
      </c>
      <c r="G388">
        <v>-3.1288981601118593E-2</v>
      </c>
      <c r="H388">
        <v>3.0156199999983073</v>
      </c>
      <c r="I388">
        <v>-2.0561262974565619</v>
      </c>
      <c r="J388">
        <v>0.72806638925866363</v>
      </c>
      <c r="K388">
        <v>-0.35134481309776477</v>
      </c>
      <c r="L388">
        <v>-0.87499022119064129</v>
      </c>
      <c r="M388">
        <v>9.0731361217089024E-2</v>
      </c>
      <c r="N388">
        <v>0.7255567222514081</v>
      </c>
      <c r="O388">
        <v>-2.2295199999994297E-3</v>
      </c>
      <c r="P388">
        <v>1.4201381886668418</v>
      </c>
      <c r="Q388">
        <v>1.3153394917593486</v>
      </c>
      <c r="R388">
        <v>0.91015471726623165</v>
      </c>
      <c r="S388">
        <v>1.6623324125290884</v>
      </c>
      <c r="T388">
        <v>-2.3240780715529041</v>
      </c>
      <c r="U388">
        <v>79.583644703594757</v>
      </c>
      <c r="V388">
        <v>2.0271109508466667</v>
      </c>
      <c r="W388">
        <v>1.1068819082160175</v>
      </c>
      <c r="X388">
        <v>-6.937870000000082E-3</v>
      </c>
      <c r="Y388">
        <v>0.29006217000000012</v>
      </c>
      <c r="Z388">
        <v>0.2494247000000005</v>
      </c>
    </row>
    <row r="389" spans="1:26">
      <c r="A389" s="54" t="str">
        <f>CONCATENATE(raw[[#This Row],[redis_ls]],raw[[#This Row],[wage_eq]],raw[[#This Row],[flex]],raw[[#This Row],[expo]],raw[[#This Row],[_date_]])</f>
        <v>110047484</v>
      </c>
      <c r="B389" s="1">
        <v>47484</v>
      </c>
      <c r="C389">
        <v>1</v>
      </c>
      <c r="D389">
        <v>1</v>
      </c>
      <c r="E389">
        <v>0</v>
      </c>
      <c r="F389">
        <v>0</v>
      </c>
      <c r="G389">
        <v>-3.3461358890962689E-2</v>
      </c>
      <c r="H389">
        <v>3.5199199999988195</v>
      </c>
      <c r="I389">
        <v>-2.025420552306878</v>
      </c>
      <c r="J389">
        <v>0.70965521474013471</v>
      </c>
      <c r="K389">
        <v>-0.3385225752572607</v>
      </c>
      <c r="L389">
        <v>-0.86038114122735099</v>
      </c>
      <c r="M389">
        <v>8.6787830017742706E-2</v>
      </c>
      <c r="N389">
        <v>0.70802269202752122</v>
      </c>
      <c r="O389">
        <v>-1.450740000000228E-3</v>
      </c>
      <c r="P389">
        <v>1.3924842114680702</v>
      </c>
      <c r="Q389">
        <v>1.2896797658808579</v>
      </c>
      <c r="R389">
        <v>0.88992763362838456</v>
      </c>
      <c r="S389">
        <v>1.6311123258801352</v>
      </c>
      <c r="T389">
        <v>-2.3888889732450735</v>
      </c>
      <c r="U389">
        <v>80.827877067854772</v>
      </c>
      <c r="V389">
        <v>1.9901083154050481</v>
      </c>
      <c r="W389">
        <v>1.0904762536285917</v>
      </c>
      <c r="X389">
        <v>-8.2107300000001937E-3</v>
      </c>
      <c r="Y389">
        <v>0.28680371000000049</v>
      </c>
      <c r="Z389">
        <v>0.24024829000000025</v>
      </c>
    </row>
    <row r="390" spans="1:26">
      <c r="A390" s="54" t="str">
        <f>CONCATENATE(raw[[#This Row],[redis_ls]],raw[[#This Row],[wage_eq]],raw[[#This Row],[flex]],raw[[#This Row],[expo]],raw[[#This Row],[_date_]])</f>
        <v>110047849</v>
      </c>
      <c r="B390" s="1">
        <v>47849</v>
      </c>
      <c r="C390">
        <v>1</v>
      </c>
      <c r="D390">
        <v>1</v>
      </c>
      <c r="E390">
        <v>0</v>
      </c>
      <c r="F390">
        <v>0</v>
      </c>
      <c r="G390">
        <v>-3.5259006905352663E-2</v>
      </c>
      <c r="H390">
        <v>4.1552599999995437</v>
      </c>
      <c r="I390">
        <v>-1.9947709354163123</v>
      </c>
      <c r="J390">
        <v>0.69175195830211145</v>
      </c>
      <c r="K390">
        <v>-0.32622052851706274</v>
      </c>
      <c r="L390">
        <v>-0.84593579463370094</v>
      </c>
      <c r="M390">
        <v>8.3356727516803453E-2</v>
      </c>
      <c r="N390">
        <v>0.69090836640766096</v>
      </c>
      <c r="O390">
        <v>-7.4987000000109605E-4</v>
      </c>
      <c r="P390">
        <v>1.3665137439308861</v>
      </c>
      <c r="Q390">
        <v>1.2659293833790386</v>
      </c>
      <c r="R390">
        <v>0.87240325433841637</v>
      </c>
      <c r="S390">
        <v>1.6013716966733371</v>
      </c>
      <c r="T390">
        <v>-2.4463851529368807</v>
      </c>
      <c r="U390">
        <v>81.892182946902508</v>
      </c>
      <c r="V390">
        <v>1.9549782807320337</v>
      </c>
      <c r="W390">
        <v>1.0732122953593271</v>
      </c>
      <c r="X390">
        <v>-9.7291600000000422E-3</v>
      </c>
      <c r="Y390">
        <v>0.28371073000000024</v>
      </c>
      <c r="Z390">
        <v>0.23122102999999922</v>
      </c>
    </row>
    <row r="391" spans="1:26">
      <c r="A391" s="54" t="str">
        <f>CONCATENATE(raw[[#This Row],[redis_ls]],raw[[#This Row],[wage_eq]],raw[[#This Row],[flex]],raw[[#This Row],[expo]],raw[[#This Row],[_date_]])</f>
        <v>110048214</v>
      </c>
      <c r="B391" s="1">
        <v>48214</v>
      </c>
      <c r="C391">
        <v>1</v>
      </c>
      <c r="D391">
        <v>1</v>
      </c>
      <c r="E391">
        <v>0</v>
      </c>
      <c r="F391">
        <v>0</v>
      </c>
      <c r="G391">
        <v>-3.6712813851746962E-2</v>
      </c>
      <c r="H391">
        <v>4.8608500000009371</v>
      </c>
      <c r="I391">
        <v>-1.9641415198570433</v>
      </c>
      <c r="J391">
        <v>0.67461575799923068</v>
      </c>
      <c r="K391">
        <v>-0.3143366860373531</v>
      </c>
      <c r="L391">
        <v>-0.83189887801230489</v>
      </c>
      <c r="M391">
        <v>8.0547663557806182E-2</v>
      </c>
      <c r="N391">
        <v>0.67447026712081914</v>
      </c>
      <c r="O391">
        <v>-1.2932000000021038E-4</v>
      </c>
      <c r="P391">
        <v>1.342443318777109</v>
      </c>
      <c r="Q391">
        <v>1.2442959085956051</v>
      </c>
      <c r="R391">
        <v>0.85778689843138967</v>
      </c>
      <c r="S391">
        <v>1.5733127706312633</v>
      </c>
      <c r="T391">
        <v>-2.4972612847140807</v>
      </c>
      <c r="U391">
        <v>82.793498418285921</v>
      </c>
      <c r="V391">
        <v>1.9222299577562385</v>
      </c>
      <c r="W391">
        <v>1.0553900522228821</v>
      </c>
      <c r="X391">
        <v>-1.1354189999999986E-2</v>
      </c>
      <c r="Y391">
        <v>0.28077992000000024</v>
      </c>
      <c r="Z391">
        <v>0.2225099800000005</v>
      </c>
    </row>
    <row r="392" spans="1:26">
      <c r="A392" s="54" t="str">
        <f>CONCATENATE(raw[[#This Row],[redis_ls]],raw[[#This Row],[wage_eq]],raw[[#This Row],[flex]],raw[[#This Row],[expo]],raw[[#This Row],[_date_]])</f>
        <v>110048580</v>
      </c>
      <c r="B392" s="1">
        <v>48580</v>
      </c>
      <c r="C392">
        <v>1</v>
      </c>
      <c r="D392">
        <v>1</v>
      </c>
      <c r="E392">
        <v>0</v>
      </c>
      <c r="F392">
        <v>0</v>
      </c>
      <c r="G392">
        <v>-3.7850406501804823E-2</v>
      </c>
      <c r="H392">
        <v>5.5827400000016496</v>
      </c>
      <c r="I392">
        <v>-1.9335004950308043</v>
      </c>
      <c r="J392">
        <v>0.65845816395972978</v>
      </c>
      <c r="K392">
        <v>-0.30276648201237322</v>
      </c>
      <c r="L392">
        <v>-0.81846470431847784</v>
      </c>
      <c r="M392">
        <v>7.8444324289561607E-2</v>
      </c>
      <c r="N392">
        <v>0.65891943508522566</v>
      </c>
      <c r="O392">
        <v>4.1030000000052969E-4</v>
      </c>
      <c r="P392">
        <v>1.320406959353515</v>
      </c>
      <c r="Q392">
        <v>1.2248992829940297</v>
      </c>
      <c r="R392">
        <v>0.84617164620035545</v>
      </c>
      <c r="S392">
        <v>1.5470656725736553</v>
      </c>
      <c r="T392">
        <v>-2.5422362813857124</v>
      </c>
      <c r="U392">
        <v>83.549401994273566</v>
      </c>
      <c r="V392">
        <v>1.8922200712568005</v>
      </c>
      <c r="W392">
        <v>1.0372713297080338</v>
      </c>
      <c r="X392">
        <v>-1.2966870000000186E-2</v>
      </c>
      <c r="Y392">
        <v>0.27799557999999974</v>
      </c>
      <c r="Z392">
        <v>0.21426360000000033</v>
      </c>
    </row>
    <row r="393" spans="1:26">
      <c r="A393" s="54" t="str">
        <f>CONCATENATE(raw[[#This Row],[redis_ls]],raw[[#This Row],[wage_eq]],raw[[#This Row],[flex]],raw[[#This Row],[expo]],raw[[#This Row],[_date_]])</f>
        <v>110048945</v>
      </c>
      <c r="B393" s="1">
        <v>48945</v>
      </c>
      <c r="C393">
        <v>1</v>
      </c>
      <c r="D393">
        <v>1</v>
      </c>
      <c r="E393">
        <v>0</v>
      </c>
      <c r="F393">
        <v>0</v>
      </c>
      <c r="G393">
        <v>-3.8696318997122336E-2</v>
      </c>
      <c r="H393">
        <v>6.2754500000010012</v>
      </c>
      <c r="I393">
        <v>-1.9028217789694657</v>
      </c>
      <c r="J393">
        <v>0.64344351495486674</v>
      </c>
      <c r="K393">
        <v>-0.29140678368007045</v>
      </c>
      <c r="L393">
        <v>-0.80578082705348164</v>
      </c>
      <c r="M393">
        <v>7.7105707797886502E-2</v>
      </c>
      <c r="N393">
        <v>0.64442044560406586</v>
      </c>
      <c r="O393">
        <v>8.6901999999944302E-4</v>
      </c>
      <c r="P393">
        <v>1.3004662563137925</v>
      </c>
      <c r="Q393">
        <v>1.2077837174660155</v>
      </c>
      <c r="R393">
        <v>0.8375551451098584</v>
      </c>
      <c r="S393">
        <v>1.5226970396009953</v>
      </c>
      <c r="T393">
        <v>-2.5820358957668099</v>
      </c>
      <c r="U393">
        <v>84.17764598712121</v>
      </c>
      <c r="V393">
        <v>1.8651682872429687</v>
      </c>
      <c r="W393">
        <v>1.0190778070850559</v>
      </c>
      <c r="X393">
        <v>-1.447073000000014E-2</v>
      </c>
      <c r="Y393">
        <v>0.27533381999999967</v>
      </c>
      <c r="Z393">
        <v>0.2066076</v>
      </c>
    </row>
    <row r="394" spans="1:26">
      <c r="A394" s="54" t="str">
        <f>CONCATENATE(raw[[#This Row],[redis_ls]],raw[[#This Row],[wage_eq]],raw[[#This Row],[flex]],raw[[#This Row],[expo]],raw[[#This Row],[_date_]])</f>
        <v>110049310</v>
      </c>
      <c r="B394" s="1">
        <v>49310</v>
      </c>
      <c r="C394">
        <v>1</v>
      </c>
      <c r="D394">
        <v>1</v>
      </c>
      <c r="E394">
        <v>0</v>
      </c>
      <c r="F394">
        <v>0</v>
      </c>
      <c r="G394">
        <v>-3.9273224237401649E-2</v>
      </c>
      <c r="H394">
        <v>6.9026300000004994</v>
      </c>
      <c r="I394">
        <v>-1.8720872828026924</v>
      </c>
      <c r="J394">
        <v>0.62968839646426744</v>
      </c>
      <c r="K394">
        <v>-0.2801599976216318</v>
      </c>
      <c r="L394">
        <v>-0.79395177503078784</v>
      </c>
      <c r="M394">
        <v>7.6566520634613333E-2</v>
      </c>
      <c r="N394">
        <v>0.63108958416715488</v>
      </c>
      <c r="O394">
        <v>1.2469299999998129E-3</v>
      </c>
      <c r="P394">
        <v>1.2826207258894717</v>
      </c>
      <c r="Q394">
        <v>1.1929290101393653</v>
      </c>
      <c r="R394">
        <v>0.83185569482964183</v>
      </c>
      <c r="S394">
        <v>1.500218856233726</v>
      </c>
      <c r="T394">
        <v>-2.6173764110412723</v>
      </c>
      <c r="U394">
        <v>84.695750437318111</v>
      </c>
      <c r="V394">
        <v>1.8411741910651314</v>
      </c>
      <c r="W394">
        <v>1.0009916842987687</v>
      </c>
      <c r="X394">
        <v>-1.5791689999999914E-2</v>
      </c>
      <c r="Y394">
        <v>0.27276638999999964</v>
      </c>
      <c r="Z394">
        <v>0.19964036000000018</v>
      </c>
    </row>
    <row r="395" spans="1:26">
      <c r="A395" s="54" t="str">
        <f>CONCATENATE(raw[[#This Row],[redis_ls]],raw[[#This Row],[wage_eq]],raw[[#This Row],[flex]],raw[[#This Row],[expo]],raw[[#This Row],[_date_]])</f>
        <v>110049675</v>
      </c>
      <c r="B395" s="1">
        <v>49675</v>
      </c>
      <c r="C395">
        <v>1</v>
      </c>
      <c r="D395">
        <v>1</v>
      </c>
      <c r="E395">
        <v>0</v>
      </c>
      <c r="F395">
        <v>0</v>
      </c>
      <c r="G395">
        <v>-3.9603873518379018E-2</v>
      </c>
      <c r="H395">
        <v>7.4366100000006554</v>
      </c>
      <c r="I395">
        <v>-1.8412891345949811</v>
      </c>
      <c r="J395">
        <v>0.6172603788361819</v>
      </c>
      <c r="K395">
        <v>-0.26893812326823641</v>
      </c>
      <c r="L395">
        <v>-0.78304353637435042</v>
      </c>
      <c r="M395">
        <v>7.6837474071123069E-2</v>
      </c>
      <c r="N395">
        <v>0.61899522327000245</v>
      </c>
      <c r="O395">
        <v>1.544259999999853E-3</v>
      </c>
      <c r="P395">
        <v>1.2668168793405599</v>
      </c>
      <c r="Q395">
        <v>1.1802610987387219</v>
      </c>
      <c r="R395">
        <v>0.82892707398405374</v>
      </c>
      <c r="S395">
        <v>1.4795965714995196</v>
      </c>
      <c r="T395">
        <v>-2.6489522672153099</v>
      </c>
      <c r="U395">
        <v>85.120655874419683</v>
      </c>
      <c r="V395">
        <v>1.820234816823274</v>
      </c>
      <c r="W395">
        <v>0.98315808753133282</v>
      </c>
      <c r="X395">
        <v>-1.6876159999999925E-2</v>
      </c>
      <c r="Y395">
        <v>0.27026404000000048</v>
      </c>
      <c r="Z395">
        <v>0.1934291099999999</v>
      </c>
    </row>
    <row r="396" spans="1:26">
      <c r="A396" s="54" t="str">
        <f>CONCATENATE(raw[[#This Row],[redis_ls]],raw[[#This Row],[wage_eq]],raw[[#This Row],[flex]],raw[[#This Row],[expo]],raw[[#This Row],[_date_]])</f>
        <v>110050041</v>
      </c>
      <c r="B396" s="1">
        <v>50041</v>
      </c>
      <c r="C396">
        <v>1</v>
      </c>
      <c r="D396">
        <v>1</v>
      </c>
      <c r="E396">
        <v>0</v>
      </c>
      <c r="F396">
        <v>0</v>
      </c>
      <c r="G396">
        <v>-3.9712639611988454E-2</v>
      </c>
      <c r="H396">
        <v>7.8575200000013865</v>
      </c>
      <c r="I396">
        <v>-1.8104313152858986</v>
      </c>
      <c r="J396">
        <v>0.60617954421742226</v>
      </c>
      <c r="K396">
        <v>-0.25766595536327319</v>
      </c>
      <c r="L396">
        <v>-0.77308765961484616</v>
      </c>
      <c r="M396">
        <v>7.7905886838403049E-2</v>
      </c>
      <c r="N396">
        <v>0.60815824326307943</v>
      </c>
      <c r="O396">
        <v>1.7617899999988751E-3</v>
      </c>
      <c r="P396">
        <v>1.2529582628267422</v>
      </c>
      <c r="Q396">
        <v>1.1696618093735234</v>
      </c>
      <c r="R396">
        <v>0.82857172733774576</v>
      </c>
      <c r="S396">
        <v>1.4607565547136048</v>
      </c>
      <c r="T396">
        <v>-2.6774238631304459</v>
      </c>
      <c r="U396">
        <v>85.468436231316375</v>
      </c>
      <c r="V396">
        <v>1.802261770414626</v>
      </c>
      <c r="W396">
        <v>0.96568863203729816</v>
      </c>
      <c r="X396">
        <v>-1.7688119999999946E-2</v>
      </c>
      <c r="Y396">
        <v>0.26779916999999998</v>
      </c>
      <c r="Z396">
        <v>0.18800787999999902</v>
      </c>
    </row>
    <row r="397" spans="1:26">
      <c r="A397" s="54" t="str">
        <f>CONCATENATE(raw[[#This Row],[redis_ls]],raw[[#This Row],[wage_eq]],raw[[#This Row],[flex]],raw[[#This Row],[expo]],raw[[#This Row],[_date_]])</f>
        <v>110050406</v>
      </c>
      <c r="B397" s="1">
        <v>50406</v>
      </c>
      <c r="C397">
        <v>1</v>
      </c>
      <c r="D397">
        <v>1</v>
      </c>
      <c r="E397">
        <v>0</v>
      </c>
      <c r="F397">
        <v>0</v>
      </c>
      <c r="G397">
        <v>-3.9626684263993628E-2</v>
      </c>
      <c r="H397">
        <v>8.1521300000022165</v>
      </c>
      <c r="I397">
        <v>-1.7795304276540191</v>
      </c>
      <c r="J397">
        <v>0.59642023054911064</v>
      </c>
      <c r="K397">
        <v>-0.24628335786344158</v>
      </c>
      <c r="L397">
        <v>-0.76408611211712385</v>
      </c>
      <c r="M397">
        <v>7.9737054946504848E-2</v>
      </c>
      <c r="N397">
        <v>0.59855528366845601</v>
      </c>
      <c r="O397">
        <v>1.9014499999997492E-3</v>
      </c>
      <c r="P397">
        <v>1.2409135201762345</v>
      </c>
      <c r="Q397">
        <v>1.1609774639327997</v>
      </c>
      <c r="R397">
        <v>0.83055261266393732</v>
      </c>
      <c r="S397">
        <v>1.4435935034769809</v>
      </c>
      <c r="T397">
        <v>-2.7034079218683504</v>
      </c>
      <c r="U397">
        <v>85.754067073303219</v>
      </c>
      <c r="V397">
        <v>1.7870971236041866</v>
      </c>
      <c r="W397">
        <v>0.94866535698339138</v>
      </c>
      <c r="X397">
        <v>-1.8205779999999963E-2</v>
      </c>
      <c r="Y397">
        <v>0.26534746999999981</v>
      </c>
      <c r="Z397">
        <v>0.18337760000000092</v>
      </c>
    </row>
    <row r="398" spans="1:26">
      <c r="A398" s="54" t="str">
        <f>CONCATENATE(raw[[#This Row],[redis_ls]],raw[[#This Row],[wage_eq]],raw[[#This Row],[flex]],raw[[#This Row],[expo]],raw[[#This Row],[_date_]])</f>
        <v>110050771</v>
      </c>
      <c r="B398" s="1">
        <v>50771</v>
      </c>
      <c r="C398">
        <v>1</v>
      </c>
      <c r="D398">
        <v>1</v>
      </c>
      <c r="E398">
        <v>0</v>
      </c>
      <c r="F398">
        <v>0</v>
      </c>
      <c r="G398">
        <v>-3.9376352194686604E-2</v>
      </c>
      <c r="H398">
        <v>8.3125099999997474</v>
      </c>
      <c r="I398">
        <v>-1.7486152295834723</v>
      </c>
      <c r="J398">
        <v>0.58791587704429826</v>
      </c>
      <c r="K398">
        <v>-0.23474649712411644</v>
      </c>
      <c r="L398">
        <v>-0.75601548808864605</v>
      </c>
      <c r="M398">
        <v>8.2276441806738987E-2</v>
      </c>
      <c r="N398">
        <v>0.590124061107411</v>
      </c>
      <c r="O398">
        <v>1.9668400000005803E-3</v>
      </c>
      <c r="P398">
        <v>1.2305241411167067</v>
      </c>
      <c r="Q398">
        <v>1.1540269034343575</v>
      </c>
      <c r="R398">
        <v>0.83460350418465001</v>
      </c>
      <c r="S398">
        <v>1.4279766724595966</v>
      </c>
      <c r="T398">
        <v>-2.727469189679621</v>
      </c>
      <c r="U398">
        <v>85.991247170181111</v>
      </c>
      <c r="V398">
        <v>1.7745279291154326</v>
      </c>
      <c r="W398">
        <v>0.93214472087412847</v>
      </c>
      <c r="X398">
        <v>-1.8418519999999911E-2</v>
      </c>
      <c r="Y398">
        <v>0.26288887999999999</v>
      </c>
      <c r="Z398">
        <v>0.17950846000000034</v>
      </c>
    </row>
    <row r="399" spans="1:26">
      <c r="A399" s="54" t="str">
        <f>CONCATENATE(raw[[#This Row],[redis_ls]],raw[[#This Row],[wage_eq]],raw[[#This Row],[flex]],raw[[#This Row],[expo]],raw[[#This Row],[_date_]])</f>
        <v>110051136</v>
      </c>
      <c r="B399" s="1">
        <v>51136</v>
      </c>
      <c r="C399">
        <v>1</v>
      </c>
      <c r="D399">
        <v>1</v>
      </c>
      <c r="E399">
        <v>0</v>
      </c>
      <c r="F399">
        <v>0</v>
      </c>
      <c r="G399">
        <v>-3.899482594542647E-2</v>
      </c>
      <c r="H399">
        <v>8.3349099999977625</v>
      </c>
      <c r="I399">
        <v>-1.7177253926096814</v>
      </c>
      <c r="J399">
        <v>0.58056534094155232</v>
      </c>
      <c r="K399">
        <v>-0.22302781712977282</v>
      </c>
      <c r="L399">
        <v>-0.74883083663803696</v>
      </c>
      <c r="M399">
        <v>8.5452751317571796E-2</v>
      </c>
      <c r="N399">
        <v>0.58276927964515668</v>
      </c>
      <c r="O399">
        <v>1.9634099999998877E-3</v>
      </c>
      <c r="P399">
        <v>1.2216117950216043</v>
      </c>
      <c r="Q399">
        <v>1.1486085501960952</v>
      </c>
      <c r="R399">
        <v>0.84043804637958797</v>
      </c>
      <c r="S399">
        <v>1.4137556918673022</v>
      </c>
      <c r="T399">
        <v>-2.7501138790235635</v>
      </c>
      <c r="U399">
        <v>86.192269002938076</v>
      </c>
      <c r="V399">
        <v>1.7642993368060633</v>
      </c>
      <c r="W399">
        <v>0.9161615154792635</v>
      </c>
      <c r="X399">
        <v>-1.8324180000000093E-2</v>
      </c>
      <c r="Y399">
        <v>0.26040763000000011</v>
      </c>
      <c r="Z399">
        <v>0.17634424000000024</v>
      </c>
    </row>
    <row r="400" spans="1:26">
      <c r="A400" s="54" t="str">
        <f>CONCATENATE(raw[[#This Row],[redis_ls]],raw[[#This Row],[wage_eq]],raw[[#This Row],[flex]],raw[[#This Row],[expo]],raw[[#This Row],[_date_]])</f>
        <v>110051502</v>
      </c>
      <c r="B400" s="1">
        <v>51502</v>
      </c>
      <c r="C400">
        <v>1</v>
      </c>
      <c r="D400">
        <v>1</v>
      </c>
      <c r="E400">
        <v>0</v>
      </c>
      <c r="F400">
        <v>0</v>
      </c>
      <c r="G400">
        <v>-3.8516897346818624E-2</v>
      </c>
      <c r="H400">
        <v>8.2190000000009604</v>
      </c>
      <c r="I400">
        <v>-1.6869092118003248</v>
      </c>
      <c r="J400">
        <v>0.57424037562570085</v>
      </c>
      <c r="K400">
        <v>-0.2111152309703157</v>
      </c>
      <c r="L400">
        <v>-0.74246965618547378</v>
      </c>
      <c r="M400">
        <v>8.9181538102134361E-2</v>
      </c>
      <c r="N400">
        <v>0.57637113478872237</v>
      </c>
      <c r="O400">
        <v>1.8985400000004482E-3</v>
      </c>
      <c r="P400">
        <v>1.2139840297398452</v>
      </c>
      <c r="Q400">
        <v>1.1445066292603334</v>
      </c>
      <c r="R400">
        <v>0.84775788966575671</v>
      </c>
      <c r="S400">
        <v>1.4007662461184456</v>
      </c>
      <c r="T400">
        <v>-2.7717851242305414</v>
      </c>
      <c r="U400">
        <v>86.367933890327393</v>
      </c>
      <c r="V400">
        <v>1.7561261053675725</v>
      </c>
      <c r="W400">
        <v>0.90073218632027441</v>
      </c>
      <c r="X400">
        <v>-1.7927159999999928E-2</v>
      </c>
      <c r="Y400">
        <v>0.25789192000000016</v>
      </c>
      <c r="Z400">
        <v>0.17380789000000021</v>
      </c>
    </row>
    <row r="401" spans="1:26">
      <c r="A401" s="54" t="str">
        <f>CONCATENATE(raw[[#This Row],[redis_ls]],raw[[#This Row],[wage_eq]],raw[[#This Row],[flex]],raw[[#This Row],[expo]],raw[[#This Row],[_date_]])</f>
        <v>110051867</v>
      </c>
      <c r="B401" s="1">
        <v>51867</v>
      </c>
      <c r="C401">
        <v>1</v>
      </c>
      <c r="D401">
        <v>1</v>
      </c>
      <c r="E401">
        <v>0</v>
      </c>
      <c r="F401">
        <v>0</v>
      </c>
      <c r="G401">
        <v>-3.7977614969020301E-2</v>
      </c>
      <c r="H401">
        <v>7.9670299999997951</v>
      </c>
      <c r="I401">
        <v>-1.6562208183458993</v>
      </c>
      <c r="J401">
        <v>0.56879372507865344</v>
      </c>
      <c r="K401">
        <v>-0.19901034246376792</v>
      </c>
      <c r="L401">
        <v>-0.73685592579738612</v>
      </c>
      <c r="M401">
        <v>9.3369299932177796E-2</v>
      </c>
      <c r="N401">
        <v>0.57079246812634654</v>
      </c>
      <c r="O401">
        <v>1.7812399999997397E-3</v>
      </c>
      <c r="P401">
        <v>1.2074404341777978</v>
      </c>
      <c r="Q401">
        <v>1.1414978125156017</v>
      </c>
      <c r="R401">
        <v>0.85625973808638456</v>
      </c>
      <c r="S401">
        <v>1.3888348618425139</v>
      </c>
      <c r="T401">
        <v>-2.7928594207816015</v>
      </c>
      <c r="U401">
        <v>86.5275110135413</v>
      </c>
      <c r="V401">
        <v>1.7497030433165639</v>
      </c>
      <c r="W401">
        <v>0.88585806087038144</v>
      </c>
      <c r="X401">
        <v>-1.7237080000000009E-2</v>
      </c>
      <c r="Y401">
        <v>0.25533312999999958</v>
      </c>
      <c r="Z401">
        <v>0.17180790000000043</v>
      </c>
    </row>
    <row r="402" spans="1:26">
      <c r="A402" s="54" t="str">
        <f>CONCATENATE(raw[[#This Row],[redis_ls]],raw[[#This Row],[wage_eq]],raw[[#This Row],[flex]],raw[[#This Row],[expo]],raw[[#This Row],[_date_]])</f>
        <v>110052232</v>
      </c>
      <c r="B402" s="1">
        <v>52232</v>
      </c>
      <c r="C402">
        <v>1</v>
      </c>
      <c r="D402">
        <v>1</v>
      </c>
      <c r="E402">
        <v>0</v>
      </c>
      <c r="F402">
        <v>0</v>
      </c>
      <c r="G402">
        <v>-3.741061655793132E-2</v>
      </c>
      <c r="H402">
        <v>7.5835100000003877</v>
      </c>
      <c r="I402">
        <v>-1.6257176533795548</v>
      </c>
      <c r="J402">
        <v>0.56406771768464647</v>
      </c>
      <c r="K402">
        <v>-0.18672644841655206</v>
      </c>
      <c r="L402">
        <v>-0.73190276982356695</v>
      </c>
      <c r="M402">
        <v>9.7917596242358407E-2</v>
      </c>
      <c r="N402">
        <v>0.56588727928048588</v>
      </c>
      <c r="O402">
        <v>1.6216600000007464E-3</v>
      </c>
      <c r="P402">
        <v>1.2017773076839156</v>
      </c>
      <c r="Q402">
        <v>1.1393553779470933</v>
      </c>
      <c r="R402">
        <v>0.86564179177264222</v>
      </c>
      <c r="S402">
        <v>1.3777839720684026</v>
      </c>
      <c r="T402">
        <v>-2.8136456727768655</v>
      </c>
      <c r="U402">
        <v>86.678731989723602</v>
      </c>
      <c r="V402">
        <v>1.7447140073802103</v>
      </c>
      <c r="W402">
        <v>0.87152791014242226</v>
      </c>
      <c r="X402">
        <v>-1.6267829999999997E-2</v>
      </c>
      <c r="Y402">
        <v>0.25272502999999991</v>
      </c>
      <c r="Z402">
        <v>0.17024456000000049</v>
      </c>
    </row>
    <row r="403" spans="1:26">
      <c r="A403" s="54" t="str">
        <f>CONCATENATE(raw[[#This Row],[redis_ls]],raw[[#This Row],[wage_eq]],raw[[#This Row],[flex]],raw[[#This Row],[expo]],raw[[#This Row],[_date_]])</f>
        <v>110052597</v>
      </c>
      <c r="B403" s="1">
        <v>52597</v>
      </c>
      <c r="C403">
        <v>1</v>
      </c>
      <c r="D403">
        <v>1</v>
      </c>
      <c r="E403">
        <v>0</v>
      </c>
      <c r="F403">
        <v>0</v>
      </c>
      <c r="G403">
        <v>-3.6846470281159949E-2</v>
      </c>
      <c r="H403">
        <v>7.0749400000022433</v>
      </c>
      <c r="I403">
        <v>-1.595457178031634</v>
      </c>
      <c r="J403">
        <v>0.55990178708884564</v>
      </c>
      <c r="K403">
        <v>-0.17428612534411414</v>
      </c>
      <c r="L403">
        <v>-0.72751617902685473</v>
      </c>
      <c r="M403">
        <v>0.10272683103165203</v>
      </c>
      <c r="N403">
        <v>0.5615067522468431</v>
      </c>
      <c r="O403">
        <v>1.4305300000003185E-3</v>
      </c>
      <c r="P403">
        <v>1.1967929178624326</v>
      </c>
      <c r="Q403">
        <v>1.1378555982855643</v>
      </c>
      <c r="R403">
        <v>0.87560937652033655</v>
      </c>
      <c r="S403">
        <v>1.3674354946445977</v>
      </c>
      <c r="T403">
        <v>-2.8343853896358184</v>
      </c>
      <c r="U403">
        <v>86.827819405473392</v>
      </c>
      <c r="V403">
        <v>1.7408401216856939</v>
      </c>
      <c r="W403">
        <v>0.85772046875196573</v>
      </c>
      <c r="X403">
        <v>-1.5037199999999931E-2</v>
      </c>
      <c r="Y403">
        <v>0.25006291999999997</v>
      </c>
      <c r="Z403">
        <v>0.16901586999999996</v>
      </c>
    </row>
    <row r="404" spans="1:26">
      <c r="A404" s="54" t="str">
        <f>CONCATENATE(raw[[#This Row],[redis_ls]],raw[[#This Row],[wage_eq]],raw[[#This Row],[flex]],raw[[#This Row],[expo]],raw[[#This Row],[_date_]])</f>
        <v>110052963</v>
      </c>
      <c r="B404" s="1">
        <v>52963</v>
      </c>
      <c r="C404">
        <v>1</v>
      </c>
      <c r="D404">
        <v>1</v>
      </c>
      <c r="E404">
        <v>0</v>
      </c>
      <c r="F404">
        <v>0</v>
      </c>
      <c r="G404">
        <v>-3.6311465091931616E-2</v>
      </c>
      <c r="H404">
        <v>6.4495900000001711</v>
      </c>
      <c r="I404">
        <v>-1.5654947459034951</v>
      </c>
      <c r="J404">
        <v>0.55613906447802286</v>
      </c>
      <c r="K404">
        <v>-0.16171907044344458</v>
      </c>
      <c r="L404">
        <v>-0.72359769116917549</v>
      </c>
      <c r="M404">
        <v>0.10769973533744093</v>
      </c>
      <c r="N404">
        <v>0.55750614870802018</v>
      </c>
      <c r="O404">
        <v>1.2185600000005903E-3</v>
      </c>
      <c r="P404">
        <v>1.1922908349875527</v>
      </c>
      <c r="Q404">
        <v>1.1367807414513598</v>
      </c>
      <c r="R404">
        <v>0.88588001727418764</v>
      </c>
      <c r="S404">
        <v>1.3576152629286353</v>
      </c>
      <c r="T404">
        <v>-2.8552549805321403</v>
      </c>
      <c r="U404">
        <v>86.979544618062093</v>
      </c>
      <c r="V404">
        <v>1.7377669316175126</v>
      </c>
      <c r="W404">
        <v>0.84440650213915003</v>
      </c>
      <c r="X404">
        <v>-1.3566480000000089E-2</v>
      </c>
      <c r="Y404">
        <v>0.24734295000000059</v>
      </c>
      <c r="Z404">
        <v>0.16802241999999967</v>
      </c>
    </row>
    <row r="405" spans="1:26">
      <c r="A405" s="54" t="str">
        <f>CONCATENATE(raw[[#This Row],[redis_ls]],raw[[#This Row],[wage_eq]],raw[[#This Row],[flex]],raw[[#This Row],[expo]],raw[[#This Row],[_date_]])</f>
        <v>110053328</v>
      </c>
      <c r="B405" s="1">
        <v>53328</v>
      </c>
      <c r="C405">
        <v>1</v>
      </c>
      <c r="D405">
        <v>1</v>
      </c>
      <c r="E405">
        <v>0</v>
      </c>
      <c r="F405">
        <v>0</v>
      </c>
      <c r="G405">
        <v>-3.5826616855039184E-2</v>
      </c>
      <c r="H405">
        <v>5.7173900000016147</v>
      </c>
      <c r="I405">
        <v>-1.5358815411157356</v>
      </c>
      <c r="J405">
        <v>0.5526319220771736</v>
      </c>
      <c r="K405">
        <v>-0.14905985725682802</v>
      </c>
      <c r="L405">
        <v>-0.72004725354887222</v>
      </c>
      <c r="M405">
        <v>0.11274417536948356</v>
      </c>
      <c r="N405">
        <v>0.55374891401183124</v>
      </c>
      <c r="O405">
        <v>9.9580999999987485E-4</v>
      </c>
      <c r="P405">
        <v>1.1880840002591819</v>
      </c>
      <c r="Q405">
        <v>1.1359243346791281</v>
      </c>
      <c r="R405">
        <v>0.89618774566582182</v>
      </c>
      <c r="S405">
        <v>1.3481560953671812</v>
      </c>
      <c r="T405">
        <v>-2.8763688336733706</v>
      </c>
      <c r="U405">
        <v>87.137310521021931</v>
      </c>
      <c r="V405">
        <v>1.7351907123746457</v>
      </c>
      <c r="W405">
        <v>0.83155070150118249</v>
      </c>
      <c r="X405">
        <v>-1.1880180000000025E-2</v>
      </c>
      <c r="Y405">
        <v>0.24456170000000041</v>
      </c>
      <c r="Z405">
        <v>0.16717137999999951</v>
      </c>
    </row>
    <row r="406" spans="1:26">
      <c r="A406" s="54" t="str">
        <f>CONCATENATE(raw[[#This Row],[redis_ls]],raw[[#This Row],[wage_eq]],raw[[#This Row],[flex]],raw[[#This Row],[expo]],raw[[#This Row],[_date_]])</f>
        <v>110053693</v>
      </c>
      <c r="B406" s="1">
        <v>53693</v>
      </c>
      <c r="C406">
        <v>1</v>
      </c>
      <c r="D406">
        <v>1</v>
      </c>
      <c r="E406">
        <v>0</v>
      </c>
      <c r="F406">
        <v>0</v>
      </c>
      <c r="G406">
        <v>-3.5407263904951858E-2</v>
      </c>
      <c r="H406">
        <v>4.8897299999989627</v>
      </c>
      <c r="I406">
        <v>-1.5066631573208866</v>
      </c>
      <c r="J406">
        <v>0.54924556804543112</v>
      </c>
      <c r="K406">
        <v>-0.13634630410908066</v>
      </c>
      <c r="L406">
        <v>-0.71676560452100802</v>
      </c>
      <c r="M406">
        <v>0.1177754426088029</v>
      </c>
      <c r="N406">
        <v>0.55011080749280961</v>
      </c>
      <c r="O406">
        <v>7.7136999999949385E-4</v>
      </c>
      <c r="P406">
        <v>1.1839971876099087</v>
      </c>
      <c r="Q406">
        <v>1.1350930928527347</v>
      </c>
      <c r="R406">
        <v>0.90628690267080536</v>
      </c>
      <c r="S406">
        <v>1.3389008636744304</v>
      </c>
      <c r="T406">
        <v>-2.8977837537081608</v>
      </c>
      <c r="U406">
        <v>87.303254693460588</v>
      </c>
      <c r="V406">
        <v>1.7328238839955157</v>
      </c>
      <c r="W406">
        <v>0.81911345088983012</v>
      </c>
      <c r="X406">
        <v>-1.0005679999999968E-2</v>
      </c>
      <c r="Y406">
        <v>0.2417158399999994</v>
      </c>
      <c r="Z406">
        <v>0.16637919999999973</v>
      </c>
    </row>
    <row r="407" spans="1:26">
      <c r="A407" s="54" t="str">
        <f>CONCATENATE(raw[[#This Row],[redis_ls]],raw[[#This Row],[wage_eq]],raw[[#This Row],[flex]],raw[[#This Row],[expo]],raw[[#This Row],[_date_]])</f>
        <v>110054058</v>
      </c>
      <c r="B407" s="1">
        <v>54058</v>
      </c>
      <c r="C407">
        <v>1</v>
      </c>
      <c r="D407">
        <v>1</v>
      </c>
      <c r="E407">
        <v>0</v>
      </c>
      <c r="F407">
        <v>0</v>
      </c>
      <c r="G407">
        <v>-3.5062772334681913E-2</v>
      </c>
      <c r="H407">
        <v>3.9793100000024424</v>
      </c>
      <c r="I407">
        <v>-1.4778785049060938</v>
      </c>
      <c r="J407">
        <v>0.54586139112160481</v>
      </c>
      <c r="K407">
        <v>-0.12361798331376184</v>
      </c>
      <c r="L407">
        <v>-0.71365643493082054</v>
      </c>
      <c r="M407">
        <v>0.1227176457114787</v>
      </c>
      <c r="N407">
        <v>0.54648160916273003</v>
      </c>
      <c r="O407">
        <v>5.5298000000009173E-4</v>
      </c>
      <c r="P407">
        <v>1.1798701503894282</v>
      </c>
      <c r="Q407">
        <v>1.1341110416112077</v>
      </c>
      <c r="R407">
        <v>0.91595511156465914</v>
      </c>
      <c r="S407">
        <v>1.3297051292039619</v>
      </c>
      <c r="T407">
        <v>-2.9195047416301079</v>
      </c>
      <c r="U407">
        <v>87.478367925651341</v>
      </c>
      <c r="V407">
        <v>1.7303996483445383</v>
      </c>
      <c r="W407">
        <v>0.80705231438422675</v>
      </c>
      <c r="X407">
        <v>-7.9727209999999951E-3</v>
      </c>
      <c r="Y407">
        <v>0.23880220000000035</v>
      </c>
      <c r="Z407">
        <v>0.16557342000000017</v>
      </c>
    </row>
    <row r="408" spans="1:26">
      <c r="A408" s="54" t="str">
        <f>CONCATENATE(raw[[#This Row],[redis_ls]],raw[[#This Row],[wage_eq]],raw[[#This Row],[flex]],raw[[#This Row],[expo]],raw[[#This Row],[_date_]])</f>
        <v>110054424</v>
      </c>
      <c r="B408" s="1">
        <v>54424</v>
      </c>
      <c r="C408">
        <v>1</v>
      </c>
      <c r="D408">
        <v>1</v>
      </c>
      <c r="E408">
        <v>0</v>
      </c>
      <c r="F408">
        <v>0</v>
      </c>
      <c r="G408">
        <v>-3.4797155178423189E-2</v>
      </c>
      <c r="H408">
        <v>2.9998300000006566</v>
      </c>
      <c r="I408">
        <v>-1.4495596636583397</v>
      </c>
      <c r="J408">
        <v>0.54237771037843885</v>
      </c>
      <c r="K408">
        <v>-0.11091508995506594</v>
      </c>
      <c r="L408">
        <v>-0.7106282258803609</v>
      </c>
      <c r="M408">
        <v>0.12750450468750341</v>
      </c>
      <c r="N408">
        <v>0.5427667422548188</v>
      </c>
      <c r="O408">
        <v>3.4688999999976655E-4</v>
      </c>
      <c r="P408">
        <v>1.1755590576592478</v>
      </c>
      <c r="Q408">
        <v>1.1328211816456157</v>
      </c>
      <c r="R408">
        <v>0.9249957132160036</v>
      </c>
      <c r="S408">
        <v>1.32043884169879</v>
      </c>
      <c r="T408">
        <v>-2.9414912712324881</v>
      </c>
      <c r="U408">
        <v>87.662625894538166</v>
      </c>
      <c r="V408">
        <v>1.7276757226867945</v>
      </c>
      <c r="W408">
        <v>0.79532328619389414</v>
      </c>
      <c r="X408">
        <v>-5.8127910000000532E-3</v>
      </c>
      <c r="Y408">
        <v>0.2358177600000004</v>
      </c>
      <c r="Z408">
        <v>0.16469344000000011</v>
      </c>
    </row>
    <row r="409" spans="1:26">
      <c r="A409" s="54" t="str">
        <f>CONCATENATE(raw[[#This Row],[redis_ls]],raw[[#This Row],[wage_eq]],raw[[#This Row],[flex]],raw[[#This Row],[expo]],raw[[#This Row],[_date_]])</f>
        <v>110054789</v>
      </c>
      <c r="B409" s="1">
        <v>54789</v>
      </c>
      <c r="C409">
        <v>1</v>
      </c>
      <c r="D409">
        <v>1</v>
      </c>
      <c r="E409">
        <v>0</v>
      </c>
      <c r="F409">
        <v>0</v>
      </c>
      <c r="G409">
        <v>-3.460935028188894E-2</v>
      </c>
      <c r="H409">
        <v>1.9657299999962561</v>
      </c>
      <c r="I409">
        <v>-1.4217316392993284</v>
      </c>
      <c r="J409">
        <v>0.53871065961530462</v>
      </c>
      <c r="K409">
        <v>-9.8277711348071506E-2</v>
      </c>
      <c r="L409">
        <v>-0.70759610621924374</v>
      </c>
      <c r="M409">
        <v>0.13208012865859597</v>
      </c>
      <c r="N409">
        <v>0.53888770649008766</v>
      </c>
      <c r="O409">
        <v>1.5785000000018146E-4</v>
      </c>
      <c r="P409">
        <v>1.1709383491371739</v>
      </c>
      <c r="Q409">
        <v>1.1310867254478385</v>
      </c>
      <c r="R409">
        <v>0.93323921263759324</v>
      </c>
      <c r="S409">
        <v>1.310987900525884</v>
      </c>
      <c r="T409">
        <v>-2.963663644931569</v>
      </c>
      <c r="U409">
        <v>87.855127290543635</v>
      </c>
      <c r="V409">
        <v>1.7244371510164669</v>
      </c>
      <c r="W409">
        <v>0.78388239182067831</v>
      </c>
      <c r="X409">
        <v>-3.5584269999999751E-3</v>
      </c>
      <c r="Y409">
        <v>0.2327599700000002</v>
      </c>
      <c r="Z409">
        <v>0.16369061000000018</v>
      </c>
    </row>
    <row r="410" spans="1:26">
      <c r="A410" s="54" t="str">
        <f>CONCATENATE(raw[[#This Row],[redis_ls]],raw[[#This Row],[wage_eq]],raw[[#This Row],[flex]],raw[[#This Row],[expo]],raw[[#This Row],[_date_]])</f>
        <v>101136526</v>
      </c>
      <c r="B410" s="1">
        <v>36526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 s="54" t="str">
        <f>CONCATENATE(raw[[#This Row],[redis_ls]],raw[[#This Row],[wage_eq]],raw[[#This Row],[flex]],raw[[#This Row],[expo]],raw[[#This Row],[_date_]])</f>
        <v>101136892</v>
      </c>
      <c r="B411" s="1">
        <v>36892</v>
      </c>
      <c r="C411">
        <v>1</v>
      </c>
      <c r="D411">
        <v>0</v>
      </c>
      <c r="E411">
        <v>1</v>
      </c>
      <c r="F411">
        <v>1</v>
      </c>
      <c r="G411">
        <v>0.21895395848681165</v>
      </c>
      <c r="H411">
        <v>42.312669999999343</v>
      </c>
      <c r="I411">
        <v>-5.3968471436278804</v>
      </c>
      <c r="J411">
        <v>9.8600193180953255E-2</v>
      </c>
      <c r="K411">
        <v>0.60769221210210667</v>
      </c>
      <c r="L411">
        <v>-0.15827212891311726</v>
      </c>
      <c r="M411">
        <v>-0.31530465169872235</v>
      </c>
      <c r="N411">
        <v>0.14342786435244115</v>
      </c>
      <c r="O411">
        <v>4.0118059999999511E-2</v>
      </c>
      <c r="P411">
        <v>0.46644617601327987</v>
      </c>
      <c r="Q411">
        <v>0.12481117634821626</v>
      </c>
      <c r="R411">
        <v>-0.60071176411696792</v>
      </c>
      <c r="S411">
        <v>0.84889558740302018</v>
      </c>
      <c r="T411">
        <v>0.26448941150540861</v>
      </c>
      <c r="U411">
        <v>-9.8039221185786118E-8</v>
      </c>
      <c r="V411">
        <v>2.7108493591887495E-2</v>
      </c>
      <c r="W411">
        <v>0.63161442664871892</v>
      </c>
      <c r="X411">
        <v>-0.12636718999999991</v>
      </c>
      <c r="Y411">
        <v>0.12035251999999996</v>
      </c>
      <c r="Z411">
        <v>5.663438999999916E-3</v>
      </c>
    </row>
    <row r="412" spans="1:26">
      <c r="A412" s="54" t="str">
        <f>CONCATENATE(raw[[#This Row],[redis_ls]],raw[[#This Row],[wage_eq]],raw[[#This Row],[flex]],raw[[#This Row],[expo]],raw[[#This Row],[_date_]])</f>
        <v>101137257</v>
      </c>
      <c r="B412" s="1">
        <v>37257</v>
      </c>
      <c r="C412">
        <v>1</v>
      </c>
      <c r="D412">
        <v>0</v>
      </c>
      <c r="E412">
        <v>1</v>
      </c>
      <c r="F412">
        <v>1</v>
      </c>
      <c r="G412">
        <v>0.38987568109816184</v>
      </c>
      <c r="H412">
        <v>88.656740000002173</v>
      </c>
      <c r="I412">
        <v>-8.6351518080518659</v>
      </c>
      <c r="J412">
        <v>0.25631986358900516</v>
      </c>
      <c r="K412">
        <v>1.1449466343024239</v>
      </c>
      <c r="L412">
        <v>-0.42047885221181414</v>
      </c>
      <c r="M412">
        <v>-0.45948256539062315</v>
      </c>
      <c r="N412">
        <v>0.31223645740905415</v>
      </c>
      <c r="O412">
        <v>4.9957829999999759E-2</v>
      </c>
      <c r="P412">
        <v>0.60798981102652139</v>
      </c>
      <c r="Q412">
        <v>0.31951595509465136</v>
      </c>
      <c r="R412">
        <v>-0.32862216423624746</v>
      </c>
      <c r="S412">
        <v>0.96936034124435189</v>
      </c>
      <c r="T412">
        <v>0.51910630476825759</v>
      </c>
      <c r="U412">
        <v>-9.6116881120877906E-8</v>
      </c>
      <c r="V412">
        <v>0.20298215631513461</v>
      </c>
      <c r="W412">
        <v>0.53335704264827477</v>
      </c>
      <c r="X412">
        <v>-0.2535895199999999</v>
      </c>
      <c r="Y412">
        <v>0.16410829000000002</v>
      </c>
      <c r="Z412">
        <v>0.12468260100000003</v>
      </c>
    </row>
    <row r="413" spans="1:26">
      <c r="A413" s="54" t="str">
        <f>CONCATENATE(raw[[#This Row],[redis_ls]],raw[[#This Row],[wage_eq]],raw[[#This Row],[flex]],raw[[#This Row],[expo]],raw[[#This Row],[_date_]])</f>
        <v>101137622</v>
      </c>
      <c r="B413" s="1">
        <v>37622</v>
      </c>
      <c r="C413">
        <v>1</v>
      </c>
      <c r="D413">
        <v>0</v>
      </c>
      <c r="E413">
        <v>1</v>
      </c>
      <c r="F413">
        <v>1</v>
      </c>
      <c r="G413">
        <v>0.48419045591279186</v>
      </c>
      <c r="H413">
        <v>121.98456000000078</v>
      </c>
      <c r="I413">
        <v>-10.517960072177212</v>
      </c>
      <c r="J413">
        <v>0.4126919055444489</v>
      </c>
      <c r="K413">
        <v>1.5506066755965886</v>
      </c>
      <c r="L413">
        <v>-0.75968961205676866</v>
      </c>
      <c r="M413">
        <v>-0.47925260859462693</v>
      </c>
      <c r="N413">
        <v>0.45581132768128807</v>
      </c>
      <c r="O413">
        <v>3.8469339999999685E-2</v>
      </c>
      <c r="P413">
        <v>0.80763865254724898</v>
      </c>
      <c r="Q413">
        <v>0.57095234756812108</v>
      </c>
      <c r="R413">
        <v>-3.1662030380852357E-4</v>
      </c>
      <c r="S413">
        <v>1.1456115095762387</v>
      </c>
      <c r="T413">
        <v>0.78266390680934439</v>
      </c>
      <c r="U413">
        <v>-9.4232244229885964E-8</v>
      </c>
      <c r="V413">
        <v>0.41806224136149428</v>
      </c>
      <c r="W413">
        <v>0.41838020406335108</v>
      </c>
      <c r="X413">
        <v>-0.3360811800000002</v>
      </c>
      <c r="Y413">
        <v>0.15915027000000004</v>
      </c>
      <c r="Z413">
        <v>0.22753800299999993</v>
      </c>
    </row>
    <row r="414" spans="1:26">
      <c r="A414" s="54" t="str">
        <f>CONCATENATE(raw[[#This Row],[redis_ls]],raw[[#This Row],[wage_eq]],raw[[#This Row],[flex]],raw[[#This Row],[expo]],raw[[#This Row],[_date_]])</f>
        <v>101137987</v>
      </c>
      <c r="B414" s="1">
        <v>37987</v>
      </c>
      <c r="C414">
        <v>1</v>
      </c>
      <c r="D414">
        <v>0</v>
      </c>
      <c r="E414">
        <v>1</v>
      </c>
      <c r="F414">
        <v>1</v>
      </c>
      <c r="G414">
        <v>0.51029402066147256</v>
      </c>
      <c r="H414">
        <v>136.73128999999972</v>
      </c>
      <c r="I414">
        <v>-11.618399651576095</v>
      </c>
      <c r="J414">
        <v>0.53915112684870259</v>
      </c>
      <c r="K414">
        <v>1.8358523339204735</v>
      </c>
      <c r="L414">
        <v>-1.1487216287995095</v>
      </c>
      <c r="M414">
        <v>-0.43813487494347436</v>
      </c>
      <c r="N414">
        <v>0.55879402096226105</v>
      </c>
      <c r="O414">
        <v>1.7506519999999082E-2</v>
      </c>
      <c r="P414">
        <v>1.0295253957910422</v>
      </c>
      <c r="Q414">
        <v>0.84322642290446392</v>
      </c>
      <c r="R414">
        <v>0.34454510199177779</v>
      </c>
      <c r="S414">
        <v>1.3460389030827802</v>
      </c>
      <c r="T414">
        <v>1.0413251190886097</v>
      </c>
      <c r="U414">
        <v>-1.8476907781561636E-7</v>
      </c>
      <c r="V414">
        <v>0.64675163233840482</v>
      </c>
      <c r="W414">
        <v>0.30116886634297124</v>
      </c>
      <c r="X414">
        <v>-0.36407000999999911</v>
      </c>
      <c r="Y414">
        <v>0.12446190000000024</v>
      </c>
      <c r="Z414">
        <v>0.30086242700000004</v>
      </c>
    </row>
    <row r="415" spans="1:26">
      <c r="A415" s="54" t="str">
        <f>CONCATENATE(raw[[#This Row],[redis_ls]],raw[[#This Row],[wage_eq]],raw[[#This Row],[flex]],raw[[#This Row],[expo]],raw[[#This Row],[_date_]])</f>
        <v>101138353</v>
      </c>
      <c r="B415" s="1">
        <v>38353</v>
      </c>
      <c r="C415">
        <v>1</v>
      </c>
      <c r="D415">
        <v>0</v>
      </c>
      <c r="E415">
        <v>1</v>
      </c>
      <c r="F415">
        <v>1</v>
      </c>
      <c r="G415">
        <v>0.4868675674533085</v>
      </c>
      <c r="H415">
        <v>133.7014199999976</v>
      </c>
      <c r="I415">
        <v>-12.267591860876593</v>
      </c>
      <c r="J415">
        <v>0.62885045522740324</v>
      </c>
      <c r="K415">
        <v>2.0332388196359741</v>
      </c>
      <c r="L415">
        <v>-1.5585772027822409</v>
      </c>
      <c r="M415">
        <v>-0.37298276294684962</v>
      </c>
      <c r="N415">
        <v>0.62690806775667074</v>
      </c>
      <c r="O415">
        <v>-1.7298700000001332E-3</v>
      </c>
      <c r="P415">
        <v>1.2462773501437763</v>
      </c>
      <c r="Q415">
        <v>1.1062945695298865</v>
      </c>
      <c r="R415">
        <v>0.67299032458680852</v>
      </c>
      <c r="S415">
        <v>1.5439260353774742</v>
      </c>
      <c r="T415">
        <v>1.2779890689250895</v>
      </c>
      <c r="U415">
        <v>-1.8114615363273856E-7</v>
      </c>
      <c r="V415">
        <v>0.87844359005193606</v>
      </c>
      <c r="W415">
        <v>0.20407982036947381</v>
      </c>
      <c r="X415">
        <v>-0.34439484000000076</v>
      </c>
      <c r="Y415">
        <v>7.2106920000000047E-2</v>
      </c>
      <c r="Z415">
        <v>0.34531661799999991</v>
      </c>
    </row>
    <row r="416" spans="1:26">
      <c r="A416" s="54" t="str">
        <f>CONCATENATE(raw[[#This Row],[redis_ls]],raw[[#This Row],[wage_eq]],raw[[#This Row],[flex]],raw[[#This Row],[expo]],raw[[#This Row],[_date_]])</f>
        <v>101138718</v>
      </c>
      <c r="B416" s="1">
        <v>38718</v>
      </c>
      <c r="C416">
        <v>1</v>
      </c>
      <c r="D416">
        <v>0</v>
      </c>
      <c r="E416">
        <v>1</v>
      </c>
      <c r="F416">
        <v>1</v>
      </c>
      <c r="G416">
        <v>0.43298585155870928</v>
      </c>
      <c r="H416">
        <v>116.7873299999992</v>
      </c>
      <c r="I416">
        <v>-12.650947015259039</v>
      </c>
      <c r="J416">
        <v>0.68454605186176742</v>
      </c>
      <c r="K416">
        <v>2.1759760896489899</v>
      </c>
      <c r="L416">
        <v>-1.9627104847949384</v>
      </c>
      <c r="M416">
        <v>-0.30233193967107441</v>
      </c>
      <c r="N416">
        <v>0.6673949229458076</v>
      </c>
      <c r="O416">
        <v>-1.5269359999998955E-2</v>
      </c>
      <c r="P416">
        <v>1.4414035385030832</v>
      </c>
      <c r="Q416">
        <v>1.3416499880334332</v>
      </c>
      <c r="R416">
        <v>0.96502163258558316</v>
      </c>
      <c r="S416">
        <v>1.7225112133958387</v>
      </c>
      <c r="T416">
        <v>1.4813989238223746</v>
      </c>
      <c r="U416">
        <v>-2.6639142003404004E-7</v>
      </c>
      <c r="V416">
        <v>1.1029259220712628</v>
      </c>
      <c r="W416">
        <v>0.13658618349272622</v>
      </c>
      <c r="X416">
        <v>-0.29036639000000058</v>
      </c>
      <c r="Y416">
        <v>1.0490059999999912E-2</v>
      </c>
      <c r="Z416">
        <v>0.36529369700000003</v>
      </c>
    </row>
    <row r="417" spans="1:26">
      <c r="A417" s="54" t="str">
        <f>CONCATENATE(raw[[#This Row],[redis_ls]],raw[[#This Row],[wage_eq]],raw[[#This Row],[flex]],raw[[#This Row],[expo]],raw[[#This Row],[_date_]])</f>
        <v>101139083</v>
      </c>
      <c r="B417" s="1">
        <v>39083</v>
      </c>
      <c r="C417">
        <v>1</v>
      </c>
      <c r="D417">
        <v>0</v>
      </c>
      <c r="E417">
        <v>1</v>
      </c>
      <c r="F417">
        <v>1</v>
      </c>
      <c r="G417">
        <v>0.36420726218653332</v>
      </c>
      <c r="H417">
        <v>90.843280000000959</v>
      </c>
      <c r="I417">
        <v>-12.87194415314783</v>
      </c>
      <c r="J417">
        <v>0.71196269862121575</v>
      </c>
      <c r="K417">
        <v>2.2903434067805595</v>
      </c>
      <c r="L417">
        <v>-2.3403061525401281</v>
      </c>
      <c r="M417">
        <v>-0.23484571678769051</v>
      </c>
      <c r="N417">
        <v>0.6860400961124169</v>
      </c>
      <c r="O417">
        <v>-2.3074099999999265E-2</v>
      </c>
      <c r="P417">
        <v>1.6069201942773281</v>
      </c>
      <c r="Q417">
        <v>1.5405386736124793</v>
      </c>
      <c r="R417">
        <v>1.2116194491991861</v>
      </c>
      <c r="S417">
        <v>1.8734593424500456</v>
      </c>
      <c r="T417">
        <v>1.6469590849862215</v>
      </c>
      <c r="U417">
        <v>-1.7411204700223948E-7</v>
      </c>
      <c r="V417">
        <v>1.3102441162345935</v>
      </c>
      <c r="W417">
        <v>9.7444006322588983E-2</v>
      </c>
      <c r="X417">
        <v>-0.21615904999999908</v>
      </c>
      <c r="Y417">
        <v>-5.4158389999999987E-2</v>
      </c>
      <c r="Z417">
        <v>0.36605425199999997</v>
      </c>
    </row>
    <row r="418" spans="1:26">
      <c r="A418" s="54" t="str">
        <f>CONCATENATE(raw[[#This Row],[redis_ls]],raw[[#This Row],[wage_eq]],raw[[#This Row],[flex]],raw[[#This Row],[expo]],raw[[#This Row],[_date_]])</f>
        <v>101139448</v>
      </c>
      <c r="B418" s="1">
        <v>39448</v>
      </c>
      <c r="C418">
        <v>1</v>
      </c>
      <c r="D418">
        <v>0</v>
      </c>
      <c r="E418">
        <v>1</v>
      </c>
      <c r="F418">
        <v>1</v>
      </c>
      <c r="G418">
        <v>0.29178900833077837</v>
      </c>
      <c r="H418">
        <v>60.459759999997914</v>
      </c>
      <c r="I418">
        <v>-12.988695054501632</v>
      </c>
      <c r="J418">
        <v>0.71722772540050439</v>
      </c>
      <c r="K418">
        <v>2.3941944407080751</v>
      </c>
      <c r="L418">
        <v>-2.677352225330365</v>
      </c>
      <c r="M418">
        <v>-0.17413835620663232</v>
      </c>
      <c r="N418">
        <v>0.68763776185025716</v>
      </c>
      <c r="O418">
        <v>-2.633808999999987E-2</v>
      </c>
      <c r="P418">
        <v>1.7403821689529586</v>
      </c>
      <c r="Q418">
        <v>1.7007054500747243</v>
      </c>
      <c r="R418">
        <v>1.4110366213641479</v>
      </c>
      <c r="S418">
        <v>1.994093105816841</v>
      </c>
      <c r="T418">
        <v>1.7749302642038112</v>
      </c>
      <c r="U418">
        <v>-2.5604711684223957E-7</v>
      </c>
      <c r="V418">
        <v>1.4926091051585821</v>
      </c>
      <c r="W418">
        <v>8.043748422501551E-2</v>
      </c>
      <c r="X418">
        <v>-0.13404194999999952</v>
      </c>
      <c r="Y418">
        <v>-0.11731271000000008</v>
      </c>
      <c r="Z418">
        <v>0.35283385399999995</v>
      </c>
    </row>
    <row r="419" spans="1:26">
      <c r="A419" s="54" t="str">
        <f>CONCATENATE(raw[[#This Row],[redis_ls]],raw[[#This Row],[wage_eq]],raw[[#This Row],[flex]],raw[[#This Row],[expo]],raw[[#This Row],[_date_]])</f>
        <v>101139814</v>
      </c>
      <c r="B419" s="1">
        <v>39814</v>
      </c>
      <c r="C419">
        <v>1</v>
      </c>
      <c r="D419">
        <v>0</v>
      </c>
      <c r="E419">
        <v>1</v>
      </c>
      <c r="F419">
        <v>1</v>
      </c>
      <c r="G419">
        <v>0.22321560582194699</v>
      </c>
      <c r="H419">
        <v>29.388870000002498</v>
      </c>
      <c r="I419">
        <v>-13.034274212083075</v>
      </c>
      <c r="J419">
        <v>0.70609871706643901</v>
      </c>
      <c r="K419">
        <v>2.4980606723090881</v>
      </c>
      <c r="L419">
        <v>-2.966113022048622</v>
      </c>
      <c r="M419">
        <v>-0.12124683833072414</v>
      </c>
      <c r="N419">
        <v>0.67649948330672505</v>
      </c>
      <c r="O419">
        <v>-2.6349180000000139E-2</v>
      </c>
      <c r="P419">
        <v>1.8425756744161026</v>
      </c>
      <c r="Q419">
        <v>1.8236529546432401</v>
      </c>
      <c r="R419">
        <v>1.5656698420466242</v>
      </c>
      <c r="S419">
        <v>2.0850696092227672</v>
      </c>
      <c r="T419">
        <v>1.8683797842803163</v>
      </c>
      <c r="U419">
        <v>-1.6735104413356794E-7</v>
      </c>
      <c r="V419">
        <v>1.6453729970441477</v>
      </c>
      <c r="W419">
        <v>7.8474505235326397E-2</v>
      </c>
      <c r="X419">
        <v>-5.337130000000051E-2</v>
      </c>
      <c r="Y419">
        <v>-0.1759307200000001</v>
      </c>
      <c r="Z419">
        <v>0.33041655999999986</v>
      </c>
    </row>
    <row r="420" spans="1:26">
      <c r="A420" s="54" t="str">
        <f>CONCATENATE(raw[[#This Row],[redis_ls]],raw[[#This Row],[wage_eq]],raw[[#This Row],[flex]],raw[[#This Row],[expo]],raw[[#This Row],[_date_]])</f>
        <v>101140179</v>
      </c>
      <c r="B420" s="1">
        <v>40179</v>
      </c>
      <c r="C420">
        <v>1</v>
      </c>
      <c r="D420">
        <v>0</v>
      </c>
      <c r="E420">
        <v>1</v>
      </c>
      <c r="F420">
        <v>1</v>
      </c>
      <c r="G420">
        <v>0.16304985983131015</v>
      </c>
      <c r="H420">
        <v>0.3784300000006624</v>
      </c>
      <c r="I420">
        <v>-13.027904579585137</v>
      </c>
      <c r="J420">
        <v>0.68372475035369806</v>
      </c>
      <c r="K420">
        <v>2.6070308082048577</v>
      </c>
      <c r="L420">
        <v>-3.2038557042119886</v>
      </c>
      <c r="M420">
        <v>-7.5898115856520842E-2</v>
      </c>
      <c r="N420">
        <v>0.65655006091871471</v>
      </c>
      <c r="O420">
        <v>-2.4195800000000045E-2</v>
      </c>
      <c r="P420">
        <v>1.9160061407434315</v>
      </c>
      <c r="Q420">
        <v>1.9127991531426192</v>
      </c>
      <c r="R420">
        <v>1.6799609249074088</v>
      </c>
      <c r="S420">
        <v>2.1488066315788146</v>
      </c>
      <c r="T420">
        <v>1.9316455067981853</v>
      </c>
      <c r="U420">
        <v>-2.4610449234074849E-7</v>
      </c>
      <c r="V420">
        <v>1.7669580697226017</v>
      </c>
      <c r="W420">
        <v>8.5559768561593863E-2</v>
      </c>
      <c r="X420">
        <v>1.9452060000001159E-2</v>
      </c>
      <c r="Y420">
        <v>-0.22821581999999985</v>
      </c>
      <c r="Z420">
        <v>0.30286199700000005</v>
      </c>
    </row>
    <row r="421" spans="1:26">
      <c r="A421" s="54" t="str">
        <f>CONCATENATE(raw[[#This Row],[redis_ls]],raw[[#This Row],[wage_eq]],raw[[#This Row],[flex]],raw[[#This Row],[expo]],raw[[#This Row],[_date_]])</f>
        <v>101140544</v>
      </c>
      <c r="B421" s="1">
        <v>40544</v>
      </c>
      <c r="C421">
        <v>1</v>
      </c>
      <c r="D421">
        <v>0</v>
      </c>
      <c r="E421">
        <v>1</v>
      </c>
      <c r="F421">
        <v>1</v>
      </c>
      <c r="G421">
        <v>0.11371069345817997</v>
      </c>
      <c r="H421">
        <v>-24.775040000000445</v>
      </c>
      <c r="I421">
        <v>-12.981120212653574</v>
      </c>
      <c r="J421">
        <v>0.65450621467075809</v>
      </c>
      <c r="K421">
        <v>2.722552131870204</v>
      </c>
      <c r="L421">
        <v>-3.391433617160311</v>
      </c>
      <c r="M421">
        <v>-3.7200848319995927E-2</v>
      </c>
      <c r="N421">
        <v>0.63120182929992108</v>
      </c>
      <c r="O421">
        <v>-2.0754870000000425E-2</v>
      </c>
      <c r="P421">
        <v>1.963990069921917</v>
      </c>
      <c r="Q421">
        <v>1.9723704891853933</v>
      </c>
      <c r="R421">
        <v>1.7591501425846312</v>
      </c>
      <c r="S421">
        <v>2.1885276026102574</v>
      </c>
      <c r="T421">
        <v>1.9693898919550756</v>
      </c>
      <c r="U421">
        <v>-2.4127890796421525E-7</v>
      </c>
      <c r="V421">
        <v>1.8582197935101297</v>
      </c>
      <c r="W421">
        <v>9.7356997322917138E-2</v>
      </c>
      <c r="X421">
        <v>8.0586920000000339E-2</v>
      </c>
      <c r="Y421">
        <v>-0.27333730999999983</v>
      </c>
      <c r="Z421">
        <v>0.27335744500000009</v>
      </c>
    </row>
    <row r="422" spans="1:26">
      <c r="A422" s="54" t="str">
        <f>CONCATENATE(raw[[#This Row],[redis_ls]],raw[[#This Row],[wage_eq]],raw[[#This Row],[flex]],raw[[#This Row],[expo]],raw[[#This Row],[_date_]])</f>
        <v>101140909</v>
      </c>
      <c r="B422" s="1">
        <v>40909</v>
      </c>
      <c r="C422">
        <v>1</v>
      </c>
      <c r="D422">
        <v>0</v>
      </c>
      <c r="E422">
        <v>1</v>
      </c>
      <c r="F422">
        <v>1</v>
      </c>
      <c r="G422">
        <v>7.6084136353116172E-2</v>
      </c>
      <c r="H422">
        <v>-45.0772799999977</v>
      </c>
      <c r="I422">
        <v>-12.901200098538856</v>
      </c>
      <c r="J422">
        <v>0.62198850123158511</v>
      </c>
      <c r="K422">
        <v>2.8438517649749251</v>
      </c>
      <c r="L422">
        <v>-3.5320358981861588</v>
      </c>
      <c r="M422">
        <v>-4.0495618503388897E-3</v>
      </c>
      <c r="N422">
        <v>0.60321682514177244</v>
      </c>
      <c r="O422">
        <v>-1.6722819999999416E-2</v>
      </c>
      <c r="P422">
        <v>1.9901260973895107</v>
      </c>
      <c r="Q422">
        <v>2.0067823848839872</v>
      </c>
      <c r="R422">
        <v>1.808590366449514</v>
      </c>
      <c r="S422">
        <v>2.2077125232865091</v>
      </c>
      <c r="T422">
        <v>1.9860937433004988</v>
      </c>
      <c r="U422">
        <v>-2.3654795899830106E-7</v>
      </c>
      <c r="V422">
        <v>1.9216552727952863</v>
      </c>
      <c r="W422">
        <v>0.11105633512200619</v>
      </c>
      <c r="X422">
        <v>0.12821823999999982</v>
      </c>
      <c r="Y422">
        <v>-0.31115120000000002</v>
      </c>
      <c r="Z422">
        <v>0.24419295800000002</v>
      </c>
    </row>
    <row r="423" spans="1:26">
      <c r="A423" s="54" t="str">
        <f>CONCATENATE(raw[[#This Row],[redis_ls]],raw[[#This Row],[wage_eq]],raw[[#This Row],[flex]],raw[[#This Row],[expo]],raw[[#This Row],[_date_]])</f>
        <v>101141275</v>
      </c>
      <c r="B423" s="1">
        <v>41275</v>
      </c>
      <c r="C423">
        <v>1</v>
      </c>
      <c r="D423">
        <v>0</v>
      </c>
      <c r="E423">
        <v>1</v>
      </c>
      <c r="F423">
        <v>1</v>
      </c>
      <c r="G423">
        <v>4.9986528204915004E-2</v>
      </c>
      <c r="H423">
        <v>-60.160740000002988</v>
      </c>
      <c r="I423">
        <v>-12.793111486311325</v>
      </c>
      <c r="J423">
        <v>0.58882147477805624</v>
      </c>
      <c r="K423">
        <v>2.9689474563450391</v>
      </c>
      <c r="L423">
        <v>-3.630207596003987</v>
      </c>
      <c r="M423">
        <v>2.4636481464113125E-2</v>
      </c>
      <c r="N423">
        <v>0.57464593651384011</v>
      </c>
      <c r="O423">
        <v>-1.263185E-2</v>
      </c>
      <c r="P423">
        <v>1.99799044939033</v>
      </c>
      <c r="Q423">
        <v>2.0203017140680402</v>
      </c>
      <c r="R423">
        <v>1.8333839946638841</v>
      </c>
      <c r="S423">
        <v>2.2097911583605745</v>
      </c>
      <c r="T423">
        <v>1.9858243104726059</v>
      </c>
      <c r="U423">
        <v>-2.3190975806386405E-7</v>
      </c>
      <c r="V423">
        <v>1.9606849274895755</v>
      </c>
      <c r="W423">
        <v>0.1250090339464105</v>
      </c>
      <c r="X423">
        <v>0.16203156000000052</v>
      </c>
      <c r="Y423">
        <v>-0.34195902999999972</v>
      </c>
      <c r="Z423">
        <v>0.21683630800000001</v>
      </c>
    </row>
    <row r="424" spans="1:26">
      <c r="A424" s="54" t="str">
        <f>CONCATENATE(raw[[#This Row],[redis_ls]],raw[[#This Row],[wage_eq]],raw[[#This Row],[flex]],raw[[#This Row],[expo]],raw[[#This Row],[_date_]])</f>
        <v>101141640</v>
      </c>
      <c r="B424" s="1">
        <v>41640</v>
      </c>
      <c r="C424">
        <v>1</v>
      </c>
      <c r="D424">
        <v>0</v>
      </c>
      <c r="E424">
        <v>1</v>
      </c>
      <c r="F424">
        <v>1</v>
      </c>
      <c r="G424">
        <v>3.4519675803235117E-2</v>
      </c>
      <c r="H424">
        <v>-70.116310000001249</v>
      </c>
      <c r="I424">
        <v>-12.660618820730662</v>
      </c>
      <c r="J424">
        <v>0.55680060219254202</v>
      </c>
      <c r="K424">
        <v>3.0953215125263167</v>
      </c>
      <c r="L424">
        <v>-3.6911374153720922</v>
      </c>
      <c r="M424">
        <v>4.9784221857795963E-2</v>
      </c>
      <c r="N424">
        <v>0.54686359175579735</v>
      </c>
      <c r="O424">
        <v>-8.8572999999994573E-3</v>
      </c>
      <c r="P424">
        <v>1.9909559499497131</v>
      </c>
      <c r="Q424">
        <v>2.0168679228166564</v>
      </c>
      <c r="R424">
        <v>1.8381976737030792</v>
      </c>
      <c r="S424">
        <v>2.1979709524177382</v>
      </c>
      <c r="T424">
        <v>1.9721504180689298</v>
      </c>
      <c r="U424">
        <v>-2.2736250659960433E-7</v>
      </c>
      <c r="V424">
        <v>1.9790953056841198</v>
      </c>
      <c r="W424">
        <v>0.13835440371388064</v>
      </c>
      <c r="X424">
        <v>0.18275360000000046</v>
      </c>
      <c r="Y424">
        <v>-0.36632108000000002</v>
      </c>
      <c r="Z424">
        <v>0.19207099799999999</v>
      </c>
    </row>
    <row r="425" spans="1:26">
      <c r="A425" s="54" t="str">
        <f>CONCATENATE(raw[[#This Row],[redis_ls]],raw[[#This Row],[wage_eq]],raw[[#This Row],[flex]],raw[[#This Row],[expo]],raw[[#This Row],[_date_]])</f>
        <v>101142005</v>
      </c>
      <c r="B425" s="1">
        <v>42005</v>
      </c>
      <c r="C425">
        <v>1</v>
      </c>
      <c r="D425">
        <v>0</v>
      </c>
      <c r="E425">
        <v>1</v>
      </c>
      <c r="F425">
        <v>1</v>
      </c>
      <c r="G425">
        <v>2.8347956432894783E-2</v>
      </c>
      <c r="H425">
        <v>-75.346540000002278</v>
      </c>
      <c r="I425">
        <v>-12.506906816448693</v>
      </c>
      <c r="J425">
        <v>0.52697895323150501</v>
      </c>
      <c r="K425">
        <v>3.2203490418968306</v>
      </c>
      <c r="L425">
        <v>-3.720167366613869</v>
      </c>
      <c r="M425">
        <v>7.2114230511832744E-2</v>
      </c>
      <c r="N425">
        <v>0.52066584952805695</v>
      </c>
      <c r="O425">
        <v>-5.6287500000001822E-3</v>
      </c>
      <c r="P425">
        <v>1.972088292125096</v>
      </c>
      <c r="Q425">
        <v>2.0000007549029641</v>
      </c>
      <c r="R425">
        <v>1.8271729272704818</v>
      </c>
      <c r="S425">
        <v>2.1751449312083837</v>
      </c>
      <c r="T425">
        <v>1.9481319384122342</v>
      </c>
      <c r="U425">
        <v>-2.2290441714645226E-7</v>
      </c>
      <c r="V425">
        <v>1.9806511941614424</v>
      </c>
      <c r="W425">
        <v>0.15072426154998375</v>
      </c>
      <c r="X425">
        <v>0.19177437999999963</v>
      </c>
      <c r="Y425">
        <v>-0.38492387000000006</v>
      </c>
      <c r="Z425">
        <v>0.17016048899999997</v>
      </c>
    </row>
    <row r="426" spans="1:26">
      <c r="A426" s="54" t="str">
        <f>CONCATENATE(raw[[#This Row],[redis_ls]],raw[[#This Row],[wage_eq]],raw[[#This Row],[flex]],raw[[#This Row],[expo]],raw[[#This Row],[_date_]])</f>
        <v>101142370</v>
      </c>
      <c r="B426" s="1">
        <v>42370</v>
      </c>
      <c r="C426">
        <v>1</v>
      </c>
      <c r="D426">
        <v>0</v>
      </c>
      <c r="E426">
        <v>1</v>
      </c>
      <c r="F426">
        <v>1</v>
      </c>
      <c r="G426">
        <v>2.9914967846766949E-2</v>
      </c>
      <c r="H426">
        <v>-76.44455999999991</v>
      </c>
      <c r="I426">
        <v>-12.334910965902857</v>
      </c>
      <c r="J426">
        <v>0.4998216384128229</v>
      </c>
      <c r="K426">
        <v>3.3415583699962559</v>
      </c>
      <c r="L426">
        <v>-3.7224708229164238</v>
      </c>
      <c r="M426">
        <v>9.2139102699029252E-2</v>
      </c>
      <c r="N426">
        <v>0.49640096557572733</v>
      </c>
      <c r="O426">
        <v>-3.0505900000005193E-3</v>
      </c>
      <c r="P426">
        <v>1.944090533902898</v>
      </c>
      <c r="Q426">
        <v>1.9727609941196045</v>
      </c>
      <c r="R426">
        <v>1.8038937045753434</v>
      </c>
      <c r="S426">
        <v>2.1438453815837644</v>
      </c>
      <c r="T426">
        <v>1.9163425031811121</v>
      </c>
      <c r="U426">
        <v>-2.1853374665425918E-7</v>
      </c>
      <c r="V426">
        <v>1.968852035297286</v>
      </c>
      <c r="W426">
        <v>0.16203537695489434</v>
      </c>
      <c r="X426">
        <v>0.19084946000000047</v>
      </c>
      <c r="Y426">
        <v>-0.39849252999999973</v>
      </c>
      <c r="Z426">
        <v>0.15101017999999999</v>
      </c>
    </row>
    <row r="427" spans="1:26">
      <c r="A427" s="54" t="str">
        <f>CONCATENATE(raw[[#This Row],[redis_ls]],raw[[#This Row],[wage_eq]],raw[[#This Row],[flex]],raw[[#This Row],[expo]],raw[[#This Row],[_date_]])</f>
        <v>101142736</v>
      </c>
      <c r="B427" s="1">
        <v>42736</v>
      </c>
      <c r="C427">
        <v>1</v>
      </c>
      <c r="D427">
        <v>0</v>
      </c>
      <c r="E427">
        <v>1</v>
      </c>
      <c r="F427">
        <v>1</v>
      </c>
      <c r="G427">
        <v>3.7608217022833124E-2</v>
      </c>
      <c r="H427">
        <v>-74.098750000001019</v>
      </c>
      <c r="I427">
        <v>-12.147467965035519</v>
      </c>
      <c r="J427">
        <v>0.47537101893071476</v>
      </c>
      <c r="K427">
        <v>3.4567783132197549</v>
      </c>
      <c r="L427">
        <v>-3.7028533572246558</v>
      </c>
      <c r="M427">
        <v>0.11019132750256233</v>
      </c>
      <c r="N427">
        <v>0.47410416651345599</v>
      </c>
      <c r="O427">
        <v>-1.1299899999997476E-3</v>
      </c>
      <c r="P427">
        <v>1.9092812553576977</v>
      </c>
      <c r="Q427">
        <v>1.9377454883364065</v>
      </c>
      <c r="R427">
        <v>1.7713897457157346</v>
      </c>
      <c r="S427">
        <v>2.1062320066117968</v>
      </c>
      <c r="T427">
        <v>1.8789077788044617</v>
      </c>
      <c r="U427">
        <v>-2.1424875207287641E-7</v>
      </c>
      <c r="V427">
        <v>1.9467983752999629</v>
      </c>
      <c r="W427">
        <v>0.17235553815801996</v>
      </c>
      <c r="X427">
        <v>0.18187388999999915</v>
      </c>
      <c r="Y427">
        <v>-0.4077366699999998</v>
      </c>
      <c r="Z427">
        <v>0.13430907499999994</v>
      </c>
    </row>
    <row r="428" spans="1:26">
      <c r="A428" s="54" t="str">
        <f>CONCATENATE(raw[[#This Row],[redis_ls]],raw[[#This Row],[wage_eq]],raw[[#This Row],[flex]],raw[[#This Row],[expo]],raw[[#This Row],[_date_]])</f>
        <v>101143101</v>
      </c>
      <c r="B428" s="1">
        <v>43101</v>
      </c>
      <c r="C428">
        <v>1</v>
      </c>
      <c r="D428">
        <v>0</v>
      </c>
      <c r="E428">
        <v>1</v>
      </c>
      <c r="F428">
        <v>1</v>
      </c>
      <c r="G428">
        <v>4.9878801403857587E-2</v>
      </c>
      <c r="H428">
        <v>-69.020850000000792</v>
      </c>
      <c r="I428">
        <v>-11.947358237671535</v>
      </c>
      <c r="J428">
        <v>0.45340067868149259</v>
      </c>
      <c r="K428">
        <v>3.5642106290860065</v>
      </c>
      <c r="L428">
        <v>-3.6656408598181534</v>
      </c>
      <c r="M428">
        <v>0.12646462568410843</v>
      </c>
      <c r="N428">
        <v>0.45361635590086546</v>
      </c>
      <c r="O428">
        <v>1.9242000000030401E-4</v>
      </c>
      <c r="P428">
        <v>1.8695988861377355</v>
      </c>
      <c r="Q428">
        <v>1.8971058373882688</v>
      </c>
      <c r="R428">
        <v>1.7321644615104992</v>
      </c>
      <c r="S428">
        <v>2.0641004994313095</v>
      </c>
      <c r="T428">
        <v>1.8375514013514449</v>
      </c>
      <c r="U428">
        <v>-2.1004781247668802E-7</v>
      </c>
      <c r="V428">
        <v>1.9171360344496513</v>
      </c>
      <c r="W428">
        <v>0.18182208669836886</v>
      </c>
      <c r="X428">
        <v>0.1667188</v>
      </c>
      <c r="Y428">
        <v>-0.41331945999999975</v>
      </c>
      <c r="Z428">
        <v>0.11964244900000004</v>
      </c>
    </row>
    <row r="429" spans="1:26">
      <c r="A429" s="54" t="str">
        <f>CONCATENATE(raw[[#This Row],[redis_ls]],raw[[#This Row],[wage_eq]],raw[[#This Row],[flex]],raw[[#This Row],[expo]],raw[[#This Row],[_date_]])</f>
        <v>101143466</v>
      </c>
      <c r="B429" s="1">
        <v>43466</v>
      </c>
      <c r="C429">
        <v>1</v>
      </c>
      <c r="D429">
        <v>0</v>
      </c>
      <c r="E429">
        <v>1</v>
      </c>
      <c r="F429">
        <v>1</v>
      </c>
      <c r="G429">
        <v>6.5320810721813949E-2</v>
      </c>
      <c r="H429">
        <v>-61.894840000000841</v>
      </c>
      <c r="I429">
        <v>-11.737288098217558</v>
      </c>
      <c r="J429">
        <v>0.43354245294007221</v>
      </c>
      <c r="K429">
        <v>3.662451713147008</v>
      </c>
      <c r="L429">
        <v>-3.6146284514599114</v>
      </c>
      <c r="M429">
        <v>0.14105686965244502</v>
      </c>
      <c r="N429">
        <v>0.43467887859947041</v>
      </c>
      <c r="O429">
        <v>1.0140699999994229E-3</v>
      </c>
      <c r="P429">
        <v>1.826623891852952</v>
      </c>
      <c r="Q429">
        <v>1.8525831917062474</v>
      </c>
      <c r="R429">
        <v>1.688240273571151</v>
      </c>
      <c r="S429">
        <v>2.0189080427537753</v>
      </c>
      <c r="T429">
        <v>1.793643296432279</v>
      </c>
      <c r="U429">
        <v>-2.0592922922446633E-7</v>
      </c>
      <c r="V429">
        <v>1.8820522282753993</v>
      </c>
      <c r="W429">
        <v>0.19059422327296627</v>
      </c>
      <c r="X429">
        <v>0.14712087999999984</v>
      </c>
      <c r="Y429">
        <v>-0.41584174999999973</v>
      </c>
      <c r="Z429">
        <v>0.10657369799999998</v>
      </c>
    </row>
    <row r="430" spans="1:26">
      <c r="A430" s="54" t="str">
        <f>CONCATENATE(raw[[#This Row],[redis_ls]],raw[[#This Row],[wage_eq]],raw[[#This Row],[flex]],raw[[#This Row],[expo]],raw[[#This Row],[_date_]])</f>
        <v>101143831</v>
      </c>
      <c r="B430" s="1">
        <v>43831</v>
      </c>
      <c r="C430">
        <v>1</v>
      </c>
      <c r="D430">
        <v>0</v>
      </c>
      <c r="E430">
        <v>1</v>
      </c>
      <c r="F430">
        <v>1</v>
      </c>
      <c r="G430">
        <v>8.2717217954542122E-2</v>
      </c>
      <c r="H430">
        <v>-53.343319999999949</v>
      </c>
      <c r="I430">
        <v>-11.519843882198799</v>
      </c>
      <c r="J430">
        <v>0.4153823428041381</v>
      </c>
      <c r="K430">
        <v>3.750481284483409</v>
      </c>
      <c r="L430">
        <v>-3.5530718856297883</v>
      </c>
      <c r="M430">
        <v>0.15400817893991281</v>
      </c>
      <c r="N430">
        <v>0.41700354704521381</v>
      </c>
      <c r="O430">
        <v>1.4469599999997196E-3</v>
      </c>
      <c r="P430">
        <v>1.7816117863806102</v>
      </c>
      <c r="Q430">
        <v>1.8055537497491558</v>
      </c>
      <c r="R430">
        <v>1.6412138803559184</v>
      </c>
      <c r="S430">
        <v>1.9718074825338938</v>
      </c>
      <c r="T430">
        <v>1.7482488961239495</v>
      </c>
      <c r="U430">
        <v>-2.0189140359505586E-7</v>
      </c>
      <c r="V430">
        <v>1.8433036705427286</v>
      </c>
      <c r="W430">
        <v>0.19882660709185096</v>
      </c>
      <c r="X430">
        <v>0.12461505000000012</v>
      </c>
      <c r="Y430">
        <v>-0.41583578999999993</v>
      </c>
      <c r="Z430">
        <v>9.4697901999999959E-2</v>
      </c>
    </row>
    <row r="431" spans="1:26">
      <c r="A431" s="54" t="str">
        <f>CONCATENATE(raw[[#This Row],[redis_ls]],raw[[#This Row],[wage_eq]],raw[[#This Row],[flex]],raw[[#This Row],[expo]],raw[[#This Row],[_date_]])</f>
        <v>101144197</v>
      </c>
      <c r="B431" s="1">
        <v>44197</v>
      </c>
      <c r="C431">
        <v>1</v>
      </c>
      <c r="D431">
        <v>0</v>
      </c>
      <c r="E431">
        <v>1</v>
      </c>
      <c r="F431">
        <v>1</v>
      </c>
      <c r="G431">
        <v>0.1010587535127172</v>
      </c>
      <c r="H431">
        <v>-43.908260000000155</v>
      </c>
      <c r="I431">
        <v>-11.297439324444202</v>
      </c>
      <c r="J431">
        <v>0.39852432027209783</v>
      </c>
      <c r="K431">
        <v>3.8276295091788093</v>
      </c>
      <c r="L431">
        <v>-3.4837074775726506</v>
      </c>
      <c r="M431">
        <v>0.16533061004224692</v>
      </c>
      <c r="N431">
        <v>0.40031759050982441</v>
      </c>
      <c r="O431">
        <v>1.600760000000645E-3</v>
      </c>
      <c r="P431">
        <v>1.7355335527549309</v>
      </c>
      <c r="Q431">
        <v>1.7570776731397064</v>
      </c>
      <c r="R431">
        <v>1.5923159484225069</v>
      </c>
      <c r="S431">
        <v>1.9236874301333362</v>
      </c>
      <c r="T431">
        <v>1.7021766070788091</v>
      </c>
      <c r="U431">
        <v>-1.9793274796953142E-7</v>
      </c>
      <c r="V431">
        <v>1.802262637260954</v>
      </c>
      <c r="W431">
        <v>0.20665614393373666</v>
      </c>
      <c r="X431">
        <v>0.10050139999999985</v>
      </c>
      <c r="Y431">
        <v>-0.41376461999999975</v>
      </c>
      <c r="Z431">
        <v>8.3671921999999968E-2</v>
      </c>
    </row>
    <row r="432" spans="1:26">
      <c r="A432" s="54" t="str">
        <f>CONCATENATE(raw[[#This Row],[redis_ls]],raw[[#This Row],[wage_eq]],raw[[#This Row],[flex]],raw[[#This Row],[expo]],raw[[#This Row],[_date_]])</f>
        <v>101144562</v>
      </c>
      <c r="B432" s="1">
        <v>44562</v>
      </c>
      <c r="C432">
        <v>1</v>
      </c>
      <c r="D432">
        <v>0</v>
      </c>
      <c r="E432">
        <v>1</v>
      </c>
      <c r="F432">
        <v>1</v>
      </c>
      <c r="G432">
        <v>0.11954288383073663</v>
      </c>
      <c r="H432">
        <v>-34.042850000001636</v>
      </c>
      <c r="I432">
        <v>-11.072269197936313</v>
      </c>
      <c r="J432">
        <v>0.3826282199817177</v>
      </c>
      <c r="K432">
        <v>3.8935322922974303</v>
      </c>
      <c r="L432">
        <v>-3.4087901437514723</v>
      </c>
      <c r="M432">
        <v>0.17502893250158635</v>
      </c>
      <c r="N432">
        <v>0.38438901243302848</v>
      </c>
      <c r="O432">
        <v>1.5720199999999518E-3</v>
      </c>
      <c r="P432">
        <v>1.6891177445066408</v>
      </c>
      <c r="Q432">
        <v>1.7079501384777318</v>
      </c>
      <c r="R432">
        <v>1.5424703422815211</v>
      </c>
      <c r="S432">
        <v>1.8752133347905708</v>
      </c>
      <c r="T432">
        <v>1.6560231955546456</v>
      </c>
      <c r="U432">
        <v>-1.9405170803565852E-7</v>
      </c>
      <c r="V432">
        <v>1.759970779644493</v>
      </c>
      <c r="W432">
        <v>0.21419647881295578</v>
      </c>
      <c r="X432">
        <v>7.5837850000000373E-2</v>
      </c>
      <c r="Y432">
        <v>-0.41002496999999993</v>
      </c>
      <c r="Z432">
        <v>7.3226641999999967E-2</v>
      </c>
    </row>
    <row r="433" spans="1:26">
      <c r="A433" s="54" t="str">
        <f>CONCATENATE(raw[[#This Row],[redis_ls]],raw[[#This Row],[wage_eq]],raw[[#This Row],[flex]],raw[[#This Row],[expo]],raw[[#This Row],[_date_]])</f>
        <v>101144927</v>
      </c>
      <c r="B433" s="1">
        <v>44927</v>
      </c>
      <c r="C433">
        <v>1</v>
      </c>
      <c r="D433">
        <v>0</v>
      </c>
      <c r="E433">
        <v>1</v>
      </c>
      <c r="F433">
        <v>1</v>
      </c>
      <c r="G433">
        <v>0.13755891138096388</v>
      </c>
      <c r="H433">
        <v>-24.111499999999069</v>
      </c>
      <c r="I433">
        <v>-10.846275564515107</v>
      </c>
      <c r="J433">
        <v>0.36742570456735901</v>
      </c>
      <c r="K433">
        <v>3.948081201563447</v>
      </c>
      <c r="L433">
        <v>-3.3301421126442299</v>
      </c>
      <c r="M433">
        <v>0.18311342565204836</v>
      </c>
      <c r="N433">
        <v>0.36903715712239826</v>
      </c>
      <c r="O433">
        <v>1.4388800000000868E-3</v>
      </c>
      <c r="P433">
        <v>1.6428922586068317</v>
      </c>
      <c r="Q433">
        <v>1.6587489457451143</v>
      </c>
      <c r="R433">
        <v>1.4923504920465458</v>
      </c>
      <c r="S433">
        <v>1.8268668509522135</v>
      </c>
      <c r="T433">
        <v>1.6102135700909015</v>
      </c>
      <c r="U433">
        <v>-2.5366236888757498E-7</v>
      </c>
      <c r="V433">
        <v>1.7171942400779461</v>
      </c>
      <c r="W433">
        <v>0.22153764516734675</v>
      </c>
      <c r="X433">
        <v>5.1450800000001073E-2</v>
      </c>
      <c r="Y433">
        <v>-0.40495194000000001</v>
      </c>
      <c r="Z433">
        <v>6.3166775999999938E-2</v>
      </c>
    </row>
    <row r="434" spans="1:26">
      <c r="A434" s="54" t="str">
        <f>CONCATENATE(raw[[#This Row],[redis_ls]],raw[[#This Row],[wage_eq]],raw[[#This Row],[flex]],raw[[#This Row],[expo]],raw[[#This Row],[_date_]])</f>
        <v>101145292</v>
      </c>
      <c r="B434" s="1">
        <v>45292</v>
      </c>
      <c r="C434">
        <v>1</v>
      </c>
      <c r="D434">
        <v>0</v>
      </c>
      <c r="E434">
        <v>1</v>
      </c>
      <c r="F434">
        <v>1</v>
      </c>
      <c r="G434">
        <v>0.15466510875266071</v>
      </c>
      <c r="H434">
        <v>-14.395619999999326</v>
      </c>
      <c r="I434">
        <v>-10.621129492925608</v>
      </c>
      <c r="J434">
        <v>0.35272240776993424</v>
      </c>
      <c r="K434">
        <v>3.991373164151879</v>
      </c>
      <c r="L434">
        <v>-3.2492064877574944</v>
      </c>
      <c r="M434">
        <v>0.1896061878482902</v>
      </c>
      <c r="N434">
        <v>0.35413285948748818</v>
      </c>
      <c r="O434">
        <v>1.2596599999997737E-3</v>
      </c>
      <c r="P434">
        <v>1.5972230779959462</v>
      </c>
      <c r="Q434">
        <v>1.609878653059349</v>
      </c>
      <c r="R434">
        <v>1.442430155598462</v>
      </c>
      <c r="S434">
        <v>1.7789827950472237</v>
      </c>
      <c r="T434">
        <v>1.5650373027016773</v>
      </c>
      <c r="U434">
        <v>-2.4868859194171478E-7</v>
      </c>
      <c r="V434">
        <v>1.6744758009830996</v>
      </c>
      <c r="W434">
        <v>0.22874604695903855</v>
      </c>
      <c r="X434">
        <v>2.7957309999999957E-2</v>
      </c>
      <c r="Y434">
        <v>-0.39882482000000025</v>
      </c>
      <c r="Z434">
        <v>5.3362971000000051E-2</v>
      </c>
    </row>
    <row r="435" spans="1:26">
      <c r="A435" s="54" t="str">
        <f>CONCATENATE(raw[[#This Row],[redis_ls]],raw[[#This Row],[wage_eq]],raw[[#This Row],[flex]],raw[[#This Row],[expo]],raw[[#This Row],[_date_]])</f>
        <v>101145658</v>
      </c>
      <c r="B435" s="1">
        <v>45658</v>
      </c>
      <c r="C435">
        <v>1</v>
      </c>
      <c r="D435">
        <v>0</v>
      </c>
      <c r="E435">
        <v>1</v>
      </c>
      <c r="F435">
        <v>1</v>
      </c>
      <c r="G435">
        <v>0.17056199674654327</v>
      </c>
      <c r="H435">
        <v>-5.102629999997589</v>
      </c>
      <c r="I435">
        <v>-10.398227316417163</v>
      </c>
      <c r="J435">
        <v>0.33838991531129903</v>
      </c>
      <c r="K435">
        <v>4.0236633368728292</v>
      </c>
      <c r="L435">
        <v>-3.1671015261745872</v>
      </c>
      <c r="M435">
        <v>0.19454281710380439</v>
      </c>
      <c r="N435">
        <v>0.3395925475444761</v>
      </c>
      <c r="O435">
        <v>1.0741800000005353E-3</v>
      </c>
      <c r="P435">
        <v>1.5523483414693562</v>
      </c>
      <c r="Q435">
        <v>1.5616080287172096</v>
      </c>
      <c r="R435">
        <v>1.3930278202078927</v>
      </c>
      <c r="S435">
        <v>1.7317806368278177</v>
      </c>
      <c r="T435">
        <v>1.5206782756136183</v>
      </c>
      <c r="U435">
        <v>-2.4381235919079813E-7</v>
      </c>
      <c r="V435">
        <v>1.6321816020619995</v>
      </c>
      <c r="W435">
        <v>0.23586811328841772</v>
      </c>
      <c r="X435">
        <v>5.7934999999995074E-3</v>
      </c>
      <c r="Y435">
        <v>-0.39187318999999998</v>
      </c>
      <c r="Z435">
        <v>4.3739949000000042E-2</v>
      </c>
    </row>
    <row r="436" spans="1:26">
      <c r="A436" s="54" t="str">
        <f>CONCATENATE(raw[[#This Row],[redis_ls]],raw[[#This Row],[wage_eq]],raw[[#This Row],[flex]],raw[[#This Row],[expo]],raw[[#This Row],[_date_]])</f>
        <v>101146023</v>
      </c>
      <c r="B436" s="1">
        <v>46023</v>
      </c>
      <c r="C436">
        <v>1</v>
      </c>
      <c r="D436">
        <v>0</v>
      </c>
      <c r="E436">
        <v>1</v>
      </c>
      <c r="F436">
        <v>1</v>
      </c>
      <c r="G436">
        <v>0.18506514059946078</v>
      </c>
      <c r="H436">
        <v>3.6232700000000477</v>
      </c>
      <c r="I436">
        <v>-10.17869929566244</v>
      </c>
      <c r="J436">
        <v>0.32435398679802052</v>
      </c>
      <c r="K436">
        <v>4.0453235432382773</v>
      </c>
      <c r="L436">
        <v>-3.0846728103302024</v>
      </c>
      <c r="M436">
        <v>0.19797142339306184</v>
      </c>
      <c r="N436">
        <v>0.32536895408263877</v>
      </c>
      <c r="O436">
        <v>9.06659999999615E-4</v>
      </c>
      <c r="P436">
        <v>1.5084086713587297</v>
      </c>
      <c r="Q436">
        <v>1.514103242478404</v>
      </c>
      <c r="R436">
        <v>1.3443436957644606</v>
      </c>
      <c r="S436">
        <v>1.6853923533293402</v>
      </c>
      <c r="T436">
        <v>1.4772410872152308</v>
      </c>
      <c r="U436">
        <v>-2.3903171664230172E-7</v>
      </c>
      <c r="V436">
        <v>1.5905418441919839</v>
      </c>
      <c r="W436">
        <v>0.24293223049005608</v>
      </c>
      <c r="X436">
        <v>-1.4754779999999468E-2</v>
      </c>
      <c r="Y436">
        <v>-0.38428318000000017</v>
      </c>
      <c r="Z436">
        <v>3.4263509000000136E-2</v>
      </c>
    </row>
    <row r="437" spans="1:26">
      <c r="A437" s="54" t="str">
        <f>CONCATENATE(raw[[#This Row],[redis_ls]],raw[[#This Row],[wage_eq]],raw[[#This Row],[flex]],raw[[#This Row],[expo]],raw[[#This Row],[_date_]])</f>
        <v>101146388</v>
      </c>
      <c r="B437" s="1">
        <v>46388</v>
      </c>
      <c r="C437">
        <v>1</v>
      </c>
      <c r="D437">
        <v>0</v>
      </c>
      <c r="E437">
        <v>1</v>
      </c>
      <c r="F437">
        <v>1</v>
      </c>
      <c r="G437">
        <v>0.1980796731437362</v>
      </c>
      <c r="H437">
        <v>11.68978000000061</v>
      </c>
      <c r="I437">
        <v>-9.9634277732164271</v>
      </c>
      <c r="J437">
        <v>0.31058054447203887</v>
      </c>
      <c r="K437">
        <v>4.0568070558653968</v>
      </c>
      <c r="L437">
        <v>-3.0025414085149027</v>
      </c>
      <c r="M437">
        <v>0.19994993870973143</v>
      </c>
      <c r="N437">
        <v>0.31144147848691794</v>
      </c>
      <c r="O437">
        <v>7.6918000000009146E-4</v>
      </c>
      <c r="P437">
        <v>1.4654719150007711</v>
      </c>
      <c r="Q437">
        <v>1.4674543541203011</v>
      </c>
      <c r="R437">
        <v>1.2964907293700145</v>
      </c>
      <c r="S437">
        <v>1.6398852713158218</v>
      </c>
      <c r="T437">
        <v>1.4347715136657557</v>
      </c>
      <c r="U437">
        <v>-2.343448102237744E-7</v>
      </c>
      <c r="V437">
        <v>1.5496841826705632</v>
      </c>
      <c r="W437">
        <v>0.24995289540259424</v>
      </c>
      <c r="X437">
        <v>-3.3522090000000226E-2</v>
      </c>
      <c r="Y437">
        <v>-0.37620346000000021</v>
      </c>
      <c r="Z437">
        <v>2.4928186000000054E-2</v>
      </c>
    </row>
    <row r="438" spans="1:26">
      <c r="A438" s="54" t="str">
        <f>CONCATENATE(raw[[#This Row],[redis_ls]],raw[[#This Row],[wage_eq]],raw[[#This Row],[flex]],raw[[#This Row],[expo]],raw[[#This Row],[_date_]])</f>
        <v>101146753</v>
      </c>
      <c r="B438" s="1">
        <v>46753</v>
      </c>
      <c r="C438">
        <v>1</v>
      </c>
      <c r="D438">
        <v>0</v>
      </c>
      <c r="E438">
        <v>1</v>
      </c>
      <c r="F438">
        <v>1</v>
      </c>
      <c r="G438">
        <v>0.20957777923571452</v>
      </c>
      <c r="H438">
        <v>19.045979999998963</v>
      </c>
      <c r="I438">
        <v>-9.7530715296017085</v>
      </c>
      <c r="J438">
        <v>0.29706251470351663</v>
      </c>
      <c r="K438">
        <v>4.0586201856433135</v>
      </c>
      <c r="L438">
        <v>-2.9211471316926696</v>
      </c>
      <c r="M438">
        <v>0.20054322048617124</v>
      </c>
      <c r="N438">
        <v>0.29780695188958983</v>
      </c>
      <c r="O438">
        <v>6.6521000000041575E-4</v>
      </c>
      <c r="P438">
        <v>1.4235537827472333</v>
      </c>
      <c r="Q438">
        <v>1.4216970587550337</v>
      </c>
      <c r="R438">
        <v>1.2495193260414039</v>
      </c>
      <c r="S438">
        <v>1.5952806308190404</v>
      </c>
      <c r="T438">
        <v>1.393273732821898</v>
      </c>
      <c r="U438">
        <v>-2.297498191694558E-7</v>
      </c>
      <c r="V438">
        <v>1.5096622117685143</v>
      </c>
      <c r="W438">
        <v>0.25693254660401621</v>
      </c>
      <c r="X438">
        <v>-5.0436019999999804E-2</v>
      </c>
      <c r="Y438">
        <v>-0.36775098000000028</v>
      </c>
      <c r="Z438">
        <v>1.5746703999999952E-2</v>
      </c>
    </row>
    <row r="439" spans="1:26">
      <c r="A439" s="54" t="str">
        <f>CONCATENATE(raw[[#This Row],[redis_ls]],raw[[#This Row],[wage_eq]],raw[[#This Row],[flex]],raw[[#This Row],[expo]],raw[[#This Row],[_date_]])</f>
        <v>101147119</v>
      </c>
      <c r="B439" s="1">
        <v>47119</v>
      </c>
      <c r="C439">
        <v>1</v>
      </c>
      <c r="D439">
        <v>0</v>
      </c>
      <c r="E439">
        <v>1</v>
      </c>
      <c r="F439">
        <v>1</v>
      </c>
      <c r="G439">
        <v>0.21957991570442648</v>
      </c>
      <c r="H439">
        <v>25.672679999999673</v>
      </c>
      <c r="I439">
        <v>-9.5480935621866099</v>
      </c>
      <c r="J439">
        <v>0.28380921932908976</v>
      </c>
      <c r="K439">
        <v>4.0513001795078107</v>
      </c>
      <c r="L439">
        <v>-2.8407862749299406</v>
      </c>
      <c r="M439">
        <v>0.19982026927987118</v>
      </c>
      <c r="N439">
        <v>0.28447247522043195</v>
      </c>
      <c r="O439">
        <v>5.9270000000027911E-4</v>
      </c>
      <c r="P439">
        <v>1.3826340821994076</v>
      </c>
      <c r="Q439">
        <v>1.3768298021128444</v>
      </c>
      <c r="R439">
        <v>1.203437105065408</v>
      </c>
      <c r="S439">
        <v>1.5515678864023608</v>
      </c>
      <c r="T439">
        <v>1.352723302191694</v>
      </c>
      <c r="U439">
        <v>-2.8155615616753948E-7</v>
      </c>
      <c r="V439">
        <v>1.4704767521345419</v>
      </c>
      <c r="W439">
        <v>0.26386423687458915</v>
      </c>
      <c r="X439">
        <v>-6.5493410000000418E-2</v>
      </c>
      <c r="Y439">
        <v>-0.35901620000000012</v>
      </c>
      <c r="Z439">
        <v>6.741676000000113E-3</v>
      </c>
    </row>
    <row r="440" spans="1:26">
      <c r="A440" s="54" t="str">
        <f>CONCATENATE(raw[[#This Row],[redis_ls]],raw[[#This Row],[wage_eq]],raw[[#This Row],[flex]],raw[[#This Row],[expo]],raw[[#This Row],[_date_]])</f>
        <v>101147484</v>
      </c>
      <c r="B440" s="1">
        <v>47484</v>
      </c>
      <c r="C440">
        <v>1</v>
      </c>
      <c r="D440">
        <v>0</v>
      </c>
      <c r="E440">
        <v>1</v>
      </c>
      <c r="F440">
        <v>1</v>
      </c>
      <c r="G440">
        <v>0.22813947080400077</v>
      </c>
      <c r="H440">
        <v>31.574150000000373</v>
      </c>
      <c r="I440">
        <v>-9.3487900472613248</v>
      </c>
      <c r="J440">
        <v>0.27083767760147648</v>
      </c>
      <c r="K440">
        <v>4.0353987205643094</v>
      </c>
      <c r="L440">
        <v>-2.761644139045949</v>
      </c>
      <c r="M440">
        <v>0.19785209476519405</v>
      </c>
      <c r="N440">
        <v>0.27144930549858337</v>
      </c>
      <c r="O440">
        <v>5.4664000000009816E-4</v>
      </c>
      <c r="P440">
        <v>1.342670019486647</v>
      </c>
      <c r="Q440">
        <v>1.3328274788761529</v>
      </c>
      <c r="R440">
        <v>1.1582241290652551</v>
      </c>
      <c r="S440">
        <v>1.5087169332200778</v>
      </c>
      <c r="T440">
        <v>1.3130780269146491</v>
      </c>
      <c r="U440">
        <v>-2.2082835560155445E-7</v>
      </c>
      <c r="V440">
        <v>1.4320937634784148</v>
      </c>
      <c r="W440">
        <v>0.27073389538467829</v>
      </c>
      <c r="X440">
        <v>-7.8740570000000731E-2</v>
      </c>
      <c r="Y440">
        <v>-0.35006794999999991</v>
      </c>
      <c r="Z440">
        <v>-2.06037799999996E-3</v>
      </c>
    </row>
    <row r="441" spans="1:26">
      <c r="A441" s="54" t="str">
        <f>CONCATENATE(raw[[#This Row],[redis_ls]],raw[[#This Row],[wage_eq]],raw[[#This Row],[flex]],raw[[#This Row],[expo]],raw[[#This Row],[_date_]])</f>
        <v>101147849</v>
      </c>
      <c r="B441" s="1">
        <v>47849</v>
      </c>
      <c r="C441">
        <v>1</v>
      </c>
      <c r="D441">
        <v>0</v>
      </c>
      <c r="E441">
        <v>1</v>
      </c>
      <c r="F441">
        <v>1</v>
      </c>
      <c r="G441">
        <v>0.23533121471546181</v>
      </c>
      <c r="H441">
        <v>36.771369999998569</v>
      </c>
      <c r="I441">
        <v>-9.1553183904660944</v>
      </c>
      <c r="J441">
        <v>0.25816700329597264</v>
      </c>
      <c r="K441">
        <v>4.0114704486288844</v>
      </c>
      <c r="L441">
        <v>-2.6838222657616484</v>
      </c>
      <c r="M441">
        <v>0.19471035192195618</v>
      </c>
      <c r="N441">
        <v>0.25874964906789089</v>
      </c>
      <c r="O441">
        <v>5.2086999999950701E-4</v>
      </c>
      <c r="P441">
        <v>1.3036057449189453</v>
      </c>
      <c r="Q441">
        <v>1.2896513406648324</v>
      </c>
      <c r="R441">
        <v>1.1138445283362941</v>
      </c>
      <c r="S441">
        <v>1.4666862402858749</v>
      </c>
      <c r="T441">
        <v>1.2742855306950851</v>
      </c>
      <c r="U441">
        <v>-2.1649838588544412E-7</v>
      </c>
      <c r="V441">
        <v>1.3944574634623619</v>
      </c>
      <c r="W441">
        <v>0.27752175556174929</v>
      </c>
      <c r="X441">
        <v>-9.025740999999976E-2</v>
      </c>
      <c r="Y441">
        <v>-0.34095768000000015</v>
      </c>
      <c r="Z441">
        <v>-1.0632922000000135E-2</v>
      </c>
    </row>
    <row r="442" spans="1:26">
      <c r="A442" s="54" t="str">
        <f>CONCATENATE(raw[[#This Row],[redis_ls]],raw[[#This Row],[wage_eq]],raw[[#This Row],[flex]],raw[[#This Row],[expo]],raw[[#This Row],[_date_]])</f>
        <v>101148214</v>
      </c>
      <c r="B442" s="1">
        <v>48214</v>
      </c>
      <c r="C442">
        <v>1</v>
      </c>
      <c r="D442">
        <v>0</v>
      </c>
      <c r="E442">
        <v>1</v>
      </c>
      <c r="F442">
        <v>1</v>
      </c>
      <c r="G442">
        <v>0.24124251125212659</v>
      </c>
      <c r="H442">
        <v>41.296579999998357</v>
      </c>
      <c r="I442">
        <v>-8.9677235111543236</v>
      </c>
      <c r="J442">
        <v>0.24581461337194188</v>
      </c>
      <c r="K442">
        <v>3.9800647657119548</v>
      </c>
      <c r="L442">
        <v>-2.6073610637161848</v>
      </c>
      <c r="M442">
        <v>0.19046662666308833</v>
      </c>
      <c r="N442">
        <v>0.24638441141329182</v>
      </c>
      <c r="O442">
        <v>5.0941000000054304E-4</v>
      </c>
      <c r="P442">
        <v>1.2653799572140523</v>
      </c>
      <c r="Q442">
        <v>1.24725686594096</v>
      </c>
      <c r="R442">
        <v>1.070255265962583</v>
      </c>
      <c r="S442">
        <v>1.4254298391216835</v>
      </c>
      <c r="T442">
        <v>1.2362898967041902</v>
      </c>
      <c r="U442">
        <v>-2.6531664643059116E-7</v>
      </c>
      <c r="V442">
        <v>1.3575006696687764</v>
      </c>
      <c r="W442">
        <v>0.28420376012434634</v>
      </c>
      <c r="X442">
        <v>-0.10014510999999948</v>
      </c>
      <c r="Y442">
        <v>-0.33172328000000001</v>
      </c>
      <c r="Z442">
        <v>-1.8951600000000068E-2</v>
      </c>
    </row>
    <row r="443" spans="1:26">
      <c r="A443" s="54" t="str">
        <f>CONCATENATE(raw[[#This Row],[redis_ls]],raw[[#This Row],[wage_eq]],raw[[#This Row],[flex]],raw[[#This Row],[expo]],raw[[#This Row],[_date_]])</f>
        <v>101148580</v>
      </c>
      <c r="B443" s="1">
        <v>48580</v>
      </c>
      <c r="C443">
        <v>1</v>
      </c>
      <c r="D443">
        <v>0</v>
      </c>
      <c r="E443">
        <v>1</v>
      </c>
      <c r="F443">
        <v>1</v>
      </c>
      <c r="G443">
        <v>0.24596694430314425</v>
      </c>
      <c r="H443">
        <v>45.189159999998083</v>
      </c>
      <c r="I443">
        <v>-8.7859612885541338</v>
      </c>
      <c r="J443">
        <v>0.23379485982992776</v>
      </c>
      <c r="K443">
        <v>3.9417209636987138</v>
      </c>
      <c r="L443">
        <v>-2.532258379094765</v>
      </c>
      <c r="M443">
        <v>0.1851922309532128</v>
      </c>
      <c r="N443">
        <v>0.23436211073983859</v>
      </c>
      <c r="O443">
        <v>5.0718000000060659E-4</v>
      </c>
      <c r="P443">
        <v>1.2279316574209664</v>
      </c>
      <c r="Q443">
        <v>1.2055992779766322</v>
      </c>
      <c r="R443">
        <v>1.0274127707509351</v>
      </c>
      <c r="S443">
        <v>1.3849019361227288</v>
      </c>
      <c r="T443">
        <v>1.1990357088166759</v>
      </c>
      <c r="U443">
        <v>-2.601143633818026E-7</v>
      </c>
      <c r="V443">
        <v>1.3211528530734817</v>
      </c>
      <c r="W443">
        <v>0.29075283122921292</v>
      </c>
      <c r="X443">
        <v>-0.10851697999999937</v>
      </c>
      <c r="Y443">
        <v>-0.32239239999999997</v>
      </c>
      <c r="Z443">
        <v>-2.6995131000000054E-2</v>
      </c>
    </row>
    <row r="444" spans="1:26">
      <c r="A444" s="54" t="str">
        <f>CONCATENATE(raw[[#This Row],[redis_ls]],raw[[#This Row],[wage_eq]],raw[[#This Row],[flex]],raw[[#This Row],[expo]],raw[[#This Row],[_date_]])</f>
        <v>101148945</v>
      </c>
      <c r="B444" s="1">
        <v>48945</v>
      </c>
      <c r="C444">
        <v>1</v>
      </c>
      <c r="D444">
        <v>0</v>
      </c>
      <c r="E444">
        <v>1</v>
      </c>
      <c r="F444">
        <v>1</v>
      </c>
      <c r="G444">
        <v>0.24960014459063373</v>
      </c>
      <c r="H444">
        <v>48.492490000000544</v>
      </c>
      <c r="I444">
        <v>-8.6099191516744717</v>
      </c>
      <c r="J444">
        <v>0.22211862776881919</v>
      </c>
      <c r="K444">
        <v>3.8969650658847055</v>
      </c>
      <c r="L444">
        <v>-2.4584842952009023</v>
      </c>
      <c r="M444">
        <v>0.17895858312055868</v>
      </c>
      <c r="N444">
        <v>0.222689254384556</v>
      </c>
      <c r="O444">
        <v>5.1026000000009564E-4</v>
      </c>
      <c r="P444">
        <v>1.1912036236101597</v>
      </c>
      <c r="Q444">
        <v>1.1646376330121777</v>
      </c>
      <c r="R444">
        <v>0.98527715011260675</v>
      </c>
      <c r="S444">
        <v>1.3450603517525472</v>
      </c>
      <c r="T444">
        <v>1.1624716459978757</v>
      </c>
      <c r="U444">
        <v>-2.5501407652228636E-7</v>
      </c>
      <c r="V444">
        <v>1.2853448693093572</v>
      </c>
      <c r="W444">
        <v>0.29714010315162742</v>
      </c>
      <c r="X444">
        <v>-0.1154916899999997</v>
      </c>
      <c r="Y444">
        <v>-0.31298521999999984</v>
      </c>
      <c r="Z444">
        <v>-3.4745366999999923E-2</v>
      </c>
    </row>
    <row r="445" spans="1:26">
      <c r="A445" s="54" t="str">
        <f>CONCATENATE(raw[[#This Row],[redis_ls]],raw[[#This Row],[wage_eq]],raw[[#This Row],[flex]],raw[[#This Row],[expo]],raw[[#This Row],[_date_]])</f>
        <v>101149310</v>
      </c>
      <c r="B445" s="1">
        <v>49310</v>
      </c>
      <c r="C445">
        <v>1</v>
      </c>
      <c r="D445">
        <v>0</v>
      </c>
      <c r="E445">
        <v>1</v>
      </c>
      <c r="F445">
        <v>1</v>
      </c>
      <c r="G445">
        <v>0.25223685028614717</v>
      </c>
      <c r="H445">
        <v>51.251629999998841</v>
      </c>
      <c r="I445">
        <v>-8.4394335054581155</v>
      </c>
      <c r="J445">
        <v>0.21079369031011819</v>
      </c>
      <c r="K445">
        <v>3.8463083267843645</v>
      </c>
      <c r="L445">
        <v>-2.3859928995974666</v>
      </c>
      <c r="M445">
        <v>0.17183719396549613</v>
      </c>
      <c r="N445">
        <v>0.21137069219949733</v>
      </c>
      <c r="O445">
        <v>5.1602000000067205E-4</v>
      </c>
      <c r="P445">
        <v>1.1551453382807164</v>
      </c>
      <c r="Q445">
        <v>1.1243373364698828</v>
      </c>
      <c r="R445">
        <v>0.94381556749565387</v>
      </c>
      <c r="S445">
        <v>1.3058689113871536</v>
      </c>
      <c r="T445">
        <v>1.1265525593588954</v>
      </c>
      <c r="U445">
        <v>-2.5001380965505859E-7</v>
      </c>
      <c r="V445">
        <v>1.2500141600241044</v>
      </c>
      <c r="W445">
        <v>0.30333562548363613</v>
      </c>
      <c r="X445">
        <v>-0.12118864999999951</v>
      </c>
      <c r="Y445">
        <v>-0.30351680999999991</v>
      </c>
      <c r="Z445">
        <v>-4.218684899999995E-2</v>
      </c>
    </row>
    <row r="446" spans="1:26">
      <c r="A446" s="54" t="str">
        <f>CONCATENATE(raw[[#This Row],[redis_ls]],raw[[#This Row],[wage_eq]],raw[[#This Row],[flex]],raw[[#This Row],[expo]],raw[[#This Row],[_date_]])</f>
        <v>101149675</v>
      </c>
      <c r="B446" s="1">
        <v>49675</v>
      </c>
      <c r="C446">
        <v>1</v>
      </c>
      <c r="D446">
        <v>0</v>
      </c>
      <c r="E446">
        <v>1</v>
      </c>
      <c r="F446">
        <v>1</v>
      </c>
      <c r="G446">
        <v>0.25396891360225382</v>
      </c>
      <c r="H446">
        <v>53.511859999998705</v>
      </c>
      <c r="I446">
        <v>-8.2743041850705019</v>
      </c>
      <c r="J446">
        <v>0.19982585197089175</v>
      </c>
      <c r="K446">
        <v>3.7902462781154389</v>
      </c>
      <c r="L446">
        <v>-2.3147313891980104</v>
      </c>
      <c r="M446">
        <v>0.16390069187874889</v>
      </c>
      <c r="N446">
        <v>0.20041044384717654</v>
      </c>
      <c r="O446">
        <v>5.228900000001091E-4</v>
      </c>
      <c r="P446">
        <v>1.1197145279222109</v>
      </c>
      <c r="Q446">
        <v>1.0846720530915732</v>
      </c>
      <c r="R446">
        <v>0.90300422672702219</v>
      </c>
      <c r="S446">
        <v>1.2672986580691825</v>
      </c>
      <c r="T446">
        <v>1.0912409947986923</v>
      </c>
      <c r="U446">
        <v>-2.4511157548090523E-7</v>
      </c>
      <c r="V446">
        <v>1.2151062327053541</v>
      </c>
      <c r="W446">
        <v>0.30930897055132522</v>
      </c>
      <c r="X446">
        <v>-0.12572483999999939</v>
      </c>
      <c r="Y446">
        <v>-0.29399903999999982</v>
      </c>
      <c r="Z446">
        <v>-4.9306156999999982E-2</v>
      </c>
    </row>
    <row r="447" spans="1:26">
      <c r="A447" s="54" t="str">
        <f>CONCATENATE(raw[[#This Row],[redis_ls]],raw[[#This Row],[wage_eq]],raw[[#This Row],[flex]],raw[[#This Row],[expo]],raw[[#This Row],[_date_]])</f>
        <v>101150041</v>
      </c>
      <c r="B447" s="1">
        <v>50041</v>
      </c>
      <c r="C447">
        <v>1</v>
      </c>
      <c r="D447">
        <v>0</v>
      </c>
      <c r="E447">
        <v>1</v>
      </c>
      <c r="F447">
        <v>1</v>
      </c>
      <c r="G447">
        <v>0.25488429424607162</v>
      </c>
      <c r="H447">
        <v>55.317459999998391</v>
      </c>
      <c r="I447">
        <v>-8.114306593807207</v>
      </c>
      <c r="J447">
        <v>0.18921980439248198</v>
      </c>
      <c r="K447">
        <v>3.7292586701069386</v>
      </c>
      <c r="L447">
        <v>-2.2446469559962767</v>
      </c>
      <c r="M447">
        <v>0.15522272082579835</v>
      </c>
      <c r="N447">
        <v>0.18981246340108449</v>
      </c>
      <c r="O447">
        <v>5.3014000000045636E-4</v>
      </c>
      <c r="P447">
        <v>1.0848779108090456</v>
      </c>
      <c r="Q447">
        <v>1.0456243970492496</v>
      </c>
      <c r="R447">
        <v>0.86282912379469501</v>
      </c>
      <c r="S447">
        <v>1.229328697993437</v>
      </c>
      <c r="T447">
        <v>1.0565079281944501</v>
      </c>
      <c r="U447">
        <v>-2.4030546441622391E-7</v>
      </c>
      <c r="V447">
        <v>1.1805777197026801</v>
      </c>
      <c r="W447">
        <v>0.31503040933784643</v>
      </c>
      <c r="X447">
        <v>-0.1292126700000007</v>
      </c>
      <c r="Y447">
        <v>-0.28444209999999998</v>
      </c>
      <c r="Z447">
        <v>-5.6091265000000022E-2</v>
      </c>
    </row>
    <row r="448" spans="1:26">
      <c r="A448" s="54" t="str">
        <f>CONCATENATE(raw[[#This Row],[redis_ls]],raw[[#This Row],[wage_eq]],raw[[#This Row],[flex]],raw[[#This Row],[expo]],raw[[#This Row],[_date_]])</f>
        <v>101150406</v>
      </c>
      <c r="B448" s="1">
        <v>50406</v>
      </c>
      <c r="C448">
        <v>1</v>
      </c>
      <c r="D448">
        <v>0</v>
      </c>
      <c r="E448">
        <v>1</v>
      </c>
      <c r="F448">
        <v>1</v>
      </c>
      <c r="G448">
        <v>0.25506631933700508</v>
      </c>
      <c r="H448">
        <v>56.711049999998068</v>
      </c>
      <c r="I448">
        <v>-7.9592010810531573</v>
      </c>
      <c r="J448">
        <v>0.17898013861445961</v>
      </c>
      <c r="K448">
        <v>3.6638092543232359</v>
      </c>
      <c r="L448">
        <v>-2.1756916909920099</v>
      </c>
      <c r="M448">
        <v>0.14587819635862864</v>
      </c>
      <c r="N448">
        <v>0.17958111329490212</v>
      </c>
      <c r="O448">
        <v>5.37620000000405E-4</v>
      </c>
      <c r="P448">
        <v>1.0506117244664992</v>
      </c>
      <c r="Q448">
        <v>1.0071862176085356</v>
      </c>
      <c r="R448">
        <v>0.82328675867884282</v>
      </c>
      <c r="S448">
        <v>1.1919463001081043</v>
      </c>
      <c r="T448">
        <v>1.022333095624739</v>
      </c>
      <c r="U448">
        <v>-2.8271230911869338E-7</v>
      </c>
      <c r="V448">
        <v>1.1463961716539961</v>
      </c>
      <c r="W448">
        <v>0.32047102348284895</v>
      </c>
      <c r="X448">
        <v>-0.1317587300000006</v>
      </c>
      <c r="Y448">
        <v>-0.27485566999999983</v>
      </c>
      <c r="Z448">
        <v>-6.2531021999999964E-2</v>
      </c>
    </row>
    <row r="449" spans="1:26">
      <c r="A449" s="54" t="str">
        <f>CONCATENATE(raw[[#This Row],[redis_ls]],raw[[#This Row],[wage_eq]],raw[[#This Row],[flex]],raw[[#This Row],[expo]],raw[[#This Row],[_date_]])</f>
        <v>101150771</v>
      </c>
      <c r="B449" s="1">
        <v>50771</v>
      </c>
      <c r="C449">
        <v>1</v>
      </c>
      <c r="D449">
        <v>0</v>
      </c>
      <c r="E449">
        <v>1</v>
      </c>
      <c r="F449">
        <v>1</v>
      </c>
      <c r="G449">
        <v>0.25459320597889246</v>
      </c>
      <c r="H449">
        <v>57.733109999997396</v>
      </c>
      <c r="I449">
        <v>-7.8087405959023855</v>
      </c>
      <c r="J449">
        <v>0.1691119208280023</v>
      </c>
      <c r="K449">
        <v>3.5943459807758149</v>
      </c>
      <c r="L449">
        <v>-2.1078261868621051</v>
      </c>
      <c r="M449">
        <v>0.13594332610620263</v>
      </c>
      <c r="N449">
        <v>0.16972160553385685</v>
      </c>
      <c r="O449">
        <v>5.4549000000070347E-4</v>
      </c>
      <c r="P449">
        <v>1.0169012654237308</v>
      </c>
      <c r="Q449">
        <v>0.96935847783718998</v>
      </c>
      <c r="R449">
        <v>0.78438355358341205</v>
      </c>
      <c r="S449">
        <v>1.1551467544968164</v>
      </c>
      <c r="T449">
        <v>0.98870468505403153</v>
      </c>
      <c r="U449">
        <v>-2.7716893225004924E-7</v>
      </c>
      <c r="V449">
        <v>1.1125410814068371</v>
      </c>
      <c r="W449">
        <v>0.32560354268056368</v>
      </c>
      <c r="X449">
        <v>-0.13346303999999948</v>
      </c>
      <c r="Y449">
        <v>-0.26524975000000001</v>
      </c>
      <c r="Z449">
        <v>-6.8614821000000104E-2</v>
      </c>
    </row>
    <row r="450" spans="1:26">
      <c r="A450" s="54" t="str">
        <f>CONCATENATE(raw[[#This Row],[redis_ls]],raw[[#This Row],[wage_eq]],raw[[#This Row],[flex]],raw[[#This Row],[expo]],raw[[#This Row],[_date_]])</f>
        <v>101151136</v>
      </c>
      <c r="B450" s="1">
        <v>51136</v>
      </c>
      <c r="C450">
        <v>1</v>
      </c>
      <c r="D450">
        <v>0</v>
      </c>
      <c r="E450">
        <v>1</v>
      </c>
      <c r="F450">
        <v>1</v>
      </c>
      <c r="G450">
        <v>0.25353800137373206</v>
      </c>
      <c r="H450">
        <v>58.421689999999217</v>
      </c>
      <c r="I450">
        <v>-7.6626768598147095</v>
      </c>
      <c r="J450">
        <v>0.15962108209655046</v>
      </c>
      <c r="K450">
        <v>3.5213009387128569</v>
      </c>
      <c r="L450">
        <v>-2.0410212965126906</v>
      </c>
      <c r="M450">
        <v>0.12549525779417259</v>
      </c>
      <c r="N450">
        <v>0.16024027467240742</v>
      </c>
      <c r="O450">
        <v>5.5401000000065981E-4</v>
      </c>
      <c r="P450">
        <v>0.9837403872367867</v>
      </c>
      <c r="Q450">
        <v>0.9321504622549881</v>
      </c>
      <c r="R450">
        <v>0.74613537106773542</v>
      </c>
      <c r="S450">
        <v>1.1189327952608963</v>
      </c>
      <c r="T450">
        <v>0.95561910805708195</v>
      </c>
      <c r="U450">
        <v>-2.7173423511328565E-7</v>
      </c>
      <c r="V450">
        <v>1.0790032138684458</v>
      </c>
      <c r="W450">
        <v>0.33040262796608655</v>
      </c>
      <c r="X450">
        <v>-0.13441861999999999</v>
      </c>
      <c r="Y450">
        <v>-0.25563520999999989</v>
      </c>
      <c r="Z450">
        <v>-7.4332480000000034E-2</v>
      </c>
    </row>
    <row r="451" spans="1:26">
      <c r="A451" s="54" t="str">
        <f>CONCATENATE(raw[[#This Row],[redis_ls]],raw[[#This Row],[wage_eq]],raw[[#This Row],[flex]],raw[[#This Row],[expo]],raw[[#This Row],[_date_]])</f>
        <v>101151502</v>
      </c>
      <c r="B451" s="1">
        <v>51502</v>
      </c>
      <c r="C451">
        <v>1</v>
      </c>
      <c r="D451">
        <v>0</v>
      </c>
      <c r="E451">
        <v>1</v>
      </c>
      <c r="F451">
        <v>1</v>
      </c>
      <c r="G451">
        <v>0.25196829919742481</v>
      </c>
      <c r="H451">
        <v>58.81224999999904</v>
      </c>
      <c r="I451">
        <v>-7.5207645253189899</v>
      </c>
      <c r="J451">
        <v>0.15051456489054704</v>
      </c>
      <c r="K451">
        <v>3.4450903846380276</v>
      </c>
      <c r="L451">
        <v>-1.9752599824384376</v>
      </c>
      <c r="M451">
        <v>0.11461183837240263</v>
      </c>
      <c r="N451">
        <v>0.15114416946169218</v>
      </c>
      <c r="O451">
        <v>5.634200000007028E-4</v>
      </c>
      <c r="P451">
        <v>0.95113083190943026</v>
      </c>
      <c r="Q451">
        <v>0.89557907133084314</v>
      </c>
      <c r="R451">
        <v>0.70856645493651005</v>
      </c>
      <c r="S451">
        <v>1.0833138701827894</v>
      </c>
      <c r="T451">
        <v>0.92307986529349684</v>
      </c>
      <c r="U451">
        <v>-2.6640613048911632E-7</v>
      </c>
      <c r="V451">
        <v>1.0457843689771984</v>
      </c>
      <c r="W451">
        <v>0.33484531803935624</v>
      </c>
      <c r="X451">
        <v>-0.13471135999999911</v>
      </c>
      <c r="Y451">
        <v>-0.24602419</v>
      </c>
      <c r="Z451">
        <v>-7.9674288000000121E-2</v>
      </c>
    </row>
    <row r="452" spans="1:26">
      <c r="A452" s="54" t="str">
        <f>CONCATENATE(raw[[#This Row],[redis_ls]],raw[[#This Row],[wage_eq]],raw[[#This Row],[flex]],raw[[#This Row],[expo]],raw[[#This Row],[_date_]])</f>
        <v>101151867</v>
      </c>
      <c r="B452" s="1">
        <v>51867</v>
      </c>
      <c r="C452">
        <v>1</v>
      </c>
      <c r="D452">
        <v>0</v>
      </c>
      <c r="E452">
        <v>1</v>
      </c>
      <c r="F452">
        <v>1</v>
      </c>
      <c r="G452">
        <v>0.24994634246087166</v>
      </c>
      <c r="H452">
        <v>58.937630000000354</v>
      </c>
      <c r="I452">
        <v>-7.3827653113046843</v>
      </c>
      <c r="J452">
        <v>0.14179999089714013</v>
      </c>
      <c r="K452">
        <v>3.3661146968335665</v>
      </c>
      <c r="L452">
        <v>-1.9105363939663667</v>
      </c>
      <c r="M452">
        <v>0.10337087524032729</v>
      </c>
      <c r="N452">
        <v>0.14244116576351828</v>
      </c>
      <c r="O452">
        <v>5.7378999999968539E-4</v>
      </c>
      <c r="P452">
        <v>0.91908097932769106</v>
      </c>
      <c r="Q452">
        <v>0.85966749396997333</v>
      </c>
      <c r="R452">
        <v>0.67170804709411058</v>
      </c>
      <c r="S452">
        <v>1.0483051888262374</v>
      </c>
      <c r="T452">
        <v>0.89109697507196994</v>
      </c>
      <c r="U452">
        <v>-2.6118247564710373E-7</v>
      </c>
      <c r="V452">
        <v>1.0128958932871246</v>
      </c>
      <c r="W452">
        <v>0.33891132242562794</v>
      </c>
      <c r="X452">
        <v>-0.13442001999999925</v>
      </c>
      <c r="Y452">
        <v>-0.23643015999999967</v>
      </c>
      <c r="Z452">
        <v>-8.4631205999999987E-2</v>
      </c>
    </row>
    <row r="453" spans="1:26">
      <c r="A453" s="54" t="str">
        <f>CONCATENATE(raw[[#This Row],[redis_ls]],raw[[#This Row],[wage_eq]],raw[[#This Row],[flex]],raw[[#This Row],[expo]],raw[[#This Row],[_date_]])</f>
        <v>101152232</v>
      </c>
      <c r="B453" s="1">
        <v>52232</v>
      </c>
      <c r="C453">
        <v>1</v>
      </c>
      <c r="D453">
        <v>0</v>
      </c>
      <c r="E453">
        <v>1</v>
      </c>
      <c r="F453">
        <v>1</v>
      </c>
      <c r="G453">
        <v>0.24752896108510836</v>
      </c>
      <c r="H453">
        <v>58.827949999998964</v>
      </c>
      <c r="I453">
        <v>-7.2484495572666896</v>
      </c>
      <c r="J453">
        <v>0.13348543522562206</v>
      </c>
      <c r="K453">
        <v>3.2847582820631605</v>
      </c>
      <c r="L453">
        <v>-1.8468566594273428</v>
      </c>
      <c r="M453">
        <v>9.1849470389360199E-2</v>
      </c>
      <c r="N453">
        <v>0.13413908553940868</v>
      </c>
      <c r="O453">
        <v>5.8504000000070278E-4</v>
      </c>
      <c r="P453">
        <v>0.88760513073720126</v>
      </c>
      <c r="Q453">
        <v>0.82444433663981798</v>
      </c>
      <c r="R453">
        <v>0.63559724290571662</v>
      </c>
      <c r="S453">
        <v>1.013926462167003</v>
      </c>
      <c r="T453">
        <v>0.85968566291230175</v>
      </c>
      <c r="U453">
        <v>-2.987381342300921E-7</v>
      </c>
      <c r="V453">
        <v>0.98035776483715864</v>
      </c>
      <c r="W453">
        <v>0.34258307072028149</v>
      </c>
      <c r="X453">
        <v>-0.13361643999999923</v>
      </c>
      <c r="Y453">
        <v>-0.22686797999999994</v>
      </c>
      <c r="Z453">
        <v>-8.9195148000000002E-2</v>
      </c>
    </row>
    <row r="454" spans="1:26">
      <c r="A454" s="54" t="str">
        <f>CONCATENATE(raw[[#This Row],[redis_ls]],raw[[#This Row],[wage_eq]],raw[[#This Row],[flex]],raw[[#This Row],[expo]],raw[[#This Row],[_date_]])</f>
        <v>101152597</v>
      </c>
      <c r="B454" s="1">
        <v>52597</v>
      </c>
      <c r="C454">
        <v>1</v>
      </c>
      <c r="D454">
        <v>0</v>
      </c>
      <c r="E454">
        <v>1</v>
      </c>
      <c r="F454">
        <v>1</v>
      </c>
      <c r="G454">
        <v>0.24476777413640072</v>
      </c>
      <c r="H454">
        <v>58.510770000000775</v>
      </c>
      <c r="I454">
        <v>-7.1175990371957205</v>
      </c>
      <c r="J454">
        <v>0.12557882029748946</v>
      </c>
      <c r="K454">
        <v>3.2013894723964986</v>
      </c>
      <c r="L454">
        <v>-1.7842371856330641</v>
      </c>
      <c r="M454">
        <v>8.0123422412614609E-2</v>
      </c>
      <c r="N454">
        <v>0.12624567960533017</v>
      </c>
      <c r="O454">
        <v>5.968999999994562E-4</v>
      </c>
      <c r="P454">
        <v>0.85672195233681414</v>
      </c>
      <c r="Q454">
        <v>0.7899419304587596</v>
      </c>
      <c r="R454">
        <v>0.60027535320688052</v>
      </c>
      <c r="S454">
        <v>0.98020142396424426</v>
      </c>
      <c r="T454">
        <v>0.82886554252104006</v>
      </c>
      <c r="U454">
        <v>-2.928805087343278E-7</v>
      </c>
      <c r="V454">
        <v>0.94819735105018399</v>
      </c>
      <c r="W454">
        <v>0.34584599603604271</v>
      </c>
      <c r="X454">
        <v>-0.13236566000000005</v>
      </c>
      <c r="Y454">
        <v>-0.21735375999999973</v>
      </c>
      <c r="Z454">
        <v>-9.3359296000000008E-2</v>
      </c>
    </row>
    <row r="455" spans="1:26">
      <c r="A455" s="54" t="str">
        <f>CONCATENATE(raw[[#This Row],[redis_ls]],raw[[#This Row],[wage_eq]],raw[[#This Row],[flex]],raw[[#This Row],[expo]],raw[[#This Row],[_date_]])</f>
        <v>101152963</v>
      </c>
      <c r="B455" s="1">
        <v>52963</v>
      </c>
      <c r="C455">
        <v>1</v>
      </c>
      <c r="D455">
        <v>0</v>
      </c>
      <c r="E455">
        <v>1</v>
      </c>
      <c r="F455">
        <v>1</v>
      </c>
      <c r="G455">
        <v>0.24170930690130543</v>
      </c>
      <c r="H455">
        <v>58.011060000000725</v>
      </c>
      <c r="I455">
        <v>-6.990007351036609</v>
      </c>
      <c r="J455">
        <v>0.11808759106191058</v>
      </c>
      <c r="K455">
        <v>3.1163604551797341</v>
      </c>
      <c r="L455">
        <v>-1.722703596024644</v>
      </c>
      <c r="M455">
        <v>6.8266692087770586E-2</v>
      </c>
      <c r="N455">
        <v>0.1187678656309199</v>
      </c>
      <c r="O455">
        <v>6.0895999999949213E-4</v>
      </c>
      <c r="P455">
        <v>0.82645368623053272</v>
      </c>
      <c r="Q455">
        <v>0.75619554664640987</v>
      </c>
      <c r="R455">
        <v>0.56578658047439223</v>
      </c>
      <c r="S455">
        <v>0.94715614602141063</v>
      </c>
      <c r="T455">
        <v>0.79865928422466759</v>
      </c>
      <c r="U455">
        <v>-2.8713776911715172E-7</v>
      </c>
      <c r="V455">
        <v>0.91644768767986662</v>
      </c>
      <c r="W455">
        <v>0.34868829116636579</v>
      </c>
      <c r="X455">
        <v>-0.13072631999999917</v>
      </c>
      <c r="Y455">
        <v>-0.20790467999999979</v>
      </c>
      <c r="Z455">
        <v>-9.7118422999999982E-2</v>
      </c>
    </row>
    <row r="456" spans="1:26">
      <c r="A456" s="54" t="str">
        <f>CONCATENATE(raw[[#This Row],[redis_ls]],raw[[#This Row],[wage_eq]],raw[[#This Row],[flex]],raw[[#This Row],[expo]],raw[[#This Row],[_date_]])</f>
        <v>101153328</v>
      </c>
      <c r="B456" s="1">
        <v>53328</v>
      </c>
      <c r="C456">
        <v>1</v>
      </c>
      <c r="D456">
        <v>0</v>
      </c>
      <c r="E456">
        <v>1</v>
      </c>
      <c r="F456">
        <v>1</v>
      </c>
      <c r="G456">
        <v>0.23839519910175966</v>
      </c>
      <c r="H456">
        <v>57.351399999999558</v>
      </c>
      <c r="I456">
        <v>-6.8654809798993632</v>
      </c>
      <c r="J456">
        <v>0.11101804187607645</v>
      </c>
      <c r="K456">
        <v>3.0300071538492901</v>
      </c>
      <c r="L456">
        <v>-1.6622892109722121</v>
      </c>
      <c r="M456">
        <v>5.635006241320184E-2</v>
      </c>
      <c r="N456">
        <v>0.11171139976839939</v>
      </c>
      <c r="O456">
        <v>6.2071000000024634E-4</v>
      </c>
      <c r="P456">
        <v>0.79682482034504343</v>
      </c>
      <c r="Q456">
        <v>0.72324182772212087</v>
      </c>
      <c r="R456">
        <v>0.53217642017473477</v>
      </c>
      <c r="S456">
        <v>0.91481829216510935</v>
      </c>
      <c r="T456">
        <v>0.76909165590426376</v>
      </c>
      <c r="U456">
        <v>-3.2172299269106475E-7</v>
      </c>
      <c r="V456">
        <v>0.88514629280040946</v>
      </c>
      <c r="W456">
        <v>0.35110136978688811</v>
      </c>
      <c r="X456">
        <v>-0.12875096999999947</v>
      </c>
      <c r="Y456">
        <v>-0.19853867000000011</v>
      </c>
      <c r="Z456">
        <v>-0.10046916099999986</v>
      </c>
    </row>
    <row r="457" spans="1:26">
      <c r="A457" s="54" t="str">
        <f>CONCATENATE(raw[[#This Row],[redis_ls]],raw[[#This Row],[wage_eq]],raw[[#This Row],[flex]],raw[[#This Row],[expo]],raw[[#This Row],[_date_]])</f>
        <v>101153693</v>
      </c>
      <c r="B457" s="1">
        <v>53693</v>
      </c>
      <c r="C457">
        <v>1</v>
      </c>
      <c r="D457">
        <v>0</v>
      </c>
      <c r="E457">
        <v>1</v>
      </c>
      <c r="F457">
        <v>1</v>
      </c>
      <c r="G457">
        <v>0.23486249104263113</v>
      </c>
      <c r="H457">
        <v>56.552050000002055</v>
      </c>
      <c r="I457">
        <v>-6.7438391189580731</v>
      </c>
      <c r="J457">
        <v>0.10437492911168356</v>
      </c>
      <c r="K457">
        <v>2.9426492321431352</v>
      </c>
      <c r="L457">
        <v>-1.6030337264297256</v>
      </c>
      <c r="M457">
        <v>4.4441652803905995E-2</v>
      </c>
      <c r="N457">
        <v>0.10508036330718618</v>
      </c>
      <c r="O457">
        <v>6.3156999999952612E-4</v>
      </c>
      <c r="P457">
        <v>0.76786124684578017</v>
      </c>
      <c r="Q457">
        <v>0.69111785663620307</v>
      </c>
      <c r="R457">
        <v>0.49949073814852252</v>
      </c>
      <c r="S457">
        <v>0.88321624404819055</v>
      </c>
      <c r="T457">
        <v>0.74018861521540913</v>
      </c>
      <c r="U457">
        <v>-3.1541469436291436E-7</v>
      </c>
      <c r="V457">
        <v>0.85433348463015424</v>
      </c>
      <c r="W457">
        <v>0.35307914399946849</v>
      </c>
      <c r="X457">
        <v>-0.1264865300000001</v>
      </c>
      <c r="Y457">
        <v>-0.18927424000000012</v>
      </c>
      <c r="Z457">
        <v>-0.10341021899999986</v>
      </c>
    </row>
    <row r="458" spans="1:26">
      <c r="A458" s="54" t="str">
        <f>CONCATENATE(raw[[#This Row],[redis_ls]],raw[[#This Row],[wage_eq]],raw[[#This Row],[flex]],raw[[#This Row],[expo]],raw[[#This Row],[_date_]])</f>
        <v>101154058</v>
      </c>
      <c r="B458" s="1">
        <v>54058</v>
      </c>
      <c r="C458">
        <v>1</v>
      </c>
      <c r="D458">
        <v>0</v>
      </c>
      <c r="E458">
        <v>1</v>
      </c>
      <c r="F458">
        <v>1</v>
      </c>
      <c r="G458">
        <v>0.23114397739507631</v>
      </c>
      <c r="H458">
        <v>55.631129999997938</v>
      </c>
      <c r="I458">
        <v>-6.6249140794667483</v>
      </c>
      <c r="J458">
        <v>9.8161168005628241E-2</v>
      </c>
      <c r="K458">
        <v>2.8545902045881366</v>
      </c>
      <c r="L458">
        <v>-1.5449809288662131</v>
      </c>
      <c r="M458">
        <v>3.2605338645153026E-2</v>
      </c>
      <c r="N458">
        <v>9.8877063356184181E-2</v>
      </c>
      <c r="O458">
        <v>6.4097999999956912E-4</v>
      </c>
      <c r="P458">
        <v>0.73958911407170369</v>
      </c>
      <c r="Q458">
        <v>0.65985989530832345</v>
      </c>
      <c r="R458">
        <v>0.46777412855525391</v>
      </c>
      <c r="S458">
        <v>0.85237812081444542</v>
      </c>
      <c r="T458">
        <v>0.71197618162375242</v>
      </c>
      <c r="U458">
        <v>-3.0923007487970722E-7</v>
      </c>
      <c r="V458">
        <v>0.82405136933723089</v>
      </c>
      <c r="W458">
        <v>0.35461842483979211</v>
      </c>
      <c r="X458">
        <v>-0.12397466999999884</v>
      </c>
      <c r="Y458">
        <v>-0.18013005999999998</v>
      </c>
      <c r="Z458">
        <v>-0.10594252000000001</v>
      </c>
    </row>
    <row r="459" spans="1:26">
      <c r="A459" s="54" t="str">
        <f>CONCATENATE(raw[[#This Row],[redis_ls]],raw[[#This Row],[wage_eq]],raw[[#This Row],[flex]],raw[[#This Row],[expo]],raw[[#This Row],[_date_]])</f>
        <v>101154424</v>
      </c>
      <c r="B459" s="1">
        <v>54424</v>
      </c>
      <c r="C459">
        <v>1</v>
      </c>
      <c r="D459">
        <v>0</v>
      </c>
      <c r="E459">
        <v>1</v>
      </c>
      <c r="F459">
        <v>1</v>
      </c>
      <c r="G459">
        <v>0.22726848175937953</v>
      </c>
      <c r="H459">
        <v>54.604849999999715</v>
      </c>
      <c r="I459">
        <v>-6.5085507514738854</v>
      </c>
      <c r="J459">
        <v>9.2377538703170003E-2</v>
      </c>
      <c r="K459">
        <v>2.766117157469572</v>
      </c>
      <c r="L459">
        <v>-1.4881775204181213</v>
      </c>
      <c r="M459">
        <v>2.090106729371044E-2</v>
      </c>
      <c r="N459">
        <v>9.3101684667074025E-2</v>
      </c>
      <c r="O459">
        <v>6.4842000000037148E-4</v>
      </c>
      <c r="P459">
        <v>0.71203410538331902</v>
      </c>
      <c r="Q459">
        <v>0.62950286871974459</v>
      </c>
      <c r="R459">
        <v>0.43706909974203789</v>
      </c>
      <c r="S459">
        <v>0.82233086845286962</v>
      </c>
      <c r="T459">
        <v>0.68447977203811572</v>
      </c>
      <c r="U459">
        <v>-3.0316675836417062E-7</v>
      </c>
      <c r="V459">
        <v>0.79434242809319766</v>
      </c>
      <c r="W459">
        <v>0.35571857671359286</v>
      </c>
      <c r="X459">
        <v>-0.12125236999999955</v>
      </c>
      <c r="Y459">
        <v>-0.17112476000000001</v>
      </c>
      <c r="Z459">
        <v>-0.10806925999999988</v>
      </c>
    </row>
    <row r="460" spans="1:26">
      <c r="A460" s="54" t="str">
        <f>CONCATENATE(raw[[#This Row],[redis_ls]],raw[[#This Row],[wage_eq]],raw[[#This Row],[flex]],raw[[#This Row],[expo]],raw[[#This Row],[_date_]])</f>
        <v>101154789</v>
      </c>
      <c r="B460" s="1">
        <v>54789</v>
      </c>
      <c r="C460">
        <v>1</v>
      </c>
      <c r="D460">
        <v>0</v>
      </c>
      <c r="E460">
        <v>1</v>
      </c>
      <c r="F460">
        <v>1</v>
      </c>
      <c r="G460">
        <v>0.22326130832472924</v>
      </c>
      <c r="H460">
        <v>53.487569999997504</v>
      </c>
      <c r="I460">
        <v>-6.3946057563759702</v>
      </c>
      <c r="J460">
        <v>8.7022403841041651E-2</v>
      </c>
      <c r="K460">
        <v>2.6775015835636573</v>
      </c>
      <c r="L460">
        <v>-1.4326713348172482</v>
      </c>
      <c r="M460">
        <v>9.384351287700099E-3</v>
      </c>
      <c r="N460">
        <v>8.7752131589247107E-2</v>
      </c>
      <c r="O460">
        <v>6.5342000000051526E-4</v>
      </c>
      <c r="P460">
        <v>0.68522079703390304</v>
      </c>
      <c r="Q460">
        <v>0.60007916389763771</v>
      </c>
      <c r="R460">
        <v>0.40741531887344973</v>
      </c>
      <c r="S460">
        <v>0.79309989889067012</v>
      </c>
      <c r="T460">
        <v>0.65772364703076125</v>
      </c>
      <c r="U460">
        <v>-2.9722229122342014E-7</v>
      </c>
      <c r="V460">
        <v>0.76524837259743794</v>
      </c>
      <c r="W460">
        <v>0.35638107729987212</v>
      </c>
      <c r="X460">
        <v>-0.11835231999999946</v>
      </c>
      <c r="Y460">
        <v>-0.1622766000000001</v>
      </c>
      <c r="Z460">
        <v>-0.10979589399999992</v>
      </c>
    </row>
    <row r="461" spans="1:26">
      <c r="A461" s="54" t="str">
        <f>CONCATENATE(raw[[#This Row],[redis_ls]],raw[[#This Row],[wage_eq]],raw[[#This Row],[flex]],raw[[#This Row],[expo]],raw[[#This Row],[_date_]])</f>
        <v>101036526</v>
      </c>
      <c r="B461" s="1">
        <v>36526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s="54" t="str">
        <f>CONCATENATE(raw[[#This Row],[redis_ls]],raw[[#This Row],[wage_eq]],raw[[#This Row],[flex]],raw[[#This Row],[expo]],raw[[#This Row],[_date_]])</f>
        <v>101036892</v>
      </c>
      <c r="B462" s="1">
        <v>36892</v>
      </c>
      <c r="C462">
        <v>1</v>
      </c>
      <c r="D462">
        <v>0</v>
      </c>
      <c r="E462">
        <v>1</v>
      </c>
      <c r="F462">
        <v>0</v>
      </c>
      <c r="G462">
        <v>0.25683058627175015</v>
      </c>
      <c r="H462">
        <v>48.050240000000485</v>
      </c>
      <c r="I462">
        <v>-5.3351140785127704</v>
      </c>
      <c r="J462">
        <v>0.10919259756094757</v>
      </c>
      <c r="K462">
        <v>0.63472872433905092</v>
      </c>
      <c r="L462">
        <v>-4.8912349945173794E-2</v>
      </c>
      <c r="M462">
        <v>-0.31790084542836494</v>
      </c>
      <c r="N462">
        <v>0.15900984378107719</v>
      </c>
      <c r="O462">
        <v>4.4576450000000101E-2</v>
      </c>
      <c r="P462">
        <v>0.47164009757680869</v>
      </c>
      <c r="Q462">
        <v>0.13118892143999528</v>
      </c>
      <c r="R462">
        <v>-0.59338254843788185</v>
      </c>
      <c r="S462">
        <v>0.8542487246526953</v>
      </c>
      <c r="T462">
        <v>0.27247294090932961</v>
      </c>
      <c r="U462">
        <v>-9.8039221185786118E-8</v>
      </c>
      <c r="V462">
        <v>3.1111809291473058E-2</v>
      </c>
      <c r="W462">
        <v>0.6282221109030095</v>
      </c>
      <c r="X462">
        <v>-0.14349812999999989</v>
      </c>
      <c r="Y462">
        <v>0.14967872999999998</v>
      </c>
      <c r="Z462">
        <v>2.0577254999999857E-2</v>
      </c>
    </row>
    <row r="463" spans="1:26">
      <c r="A463" s="54" t="str">
        <f>CONCATENATE(raw[[#This Row],[redis_ls]],raw[[#This Row],[wage_eq]],raw[[#This Row],[flex]],raw[[#This Row],[expo]],raw[[#This Row],[_date_]])</f>
        <v>101037257</v>
      </c>
      <c r="B463" s="1">
        <v>37257</v>
      </c>
      <c r="C463">
        <v>1</v>
      </c>
      <c r="D463">
        <v>0</v>
      </c>
      <c r="E463">
        <v>1</v>
      </c>
      <c r="F463">
        <v>0</v>
      </c>
      <c r="G463">
        <v>0.49704620745554262</v>
      </c>
      <c r="H463">
        <v>108.62834000000294</v>
      </c>
      <c r="I463">
        <v>-8.4612548895093393</v>
      </c>
      <c r="J463">
        <v>0.29715014337092782</v>
      </c>
      <c r="K463">
        <v>1.2325123718547104</v>
      </c>
      <c r="L463">
        <v>-0.13262517291322551</v>
      </c>
      <c r="M463">
        <v>-0.45385053285776911</v>
      </c>
      <c r="N463">
        <v>0.36601250151389042</v>
      </c>
      <c r="O463">
        <v>6.1491120000001231E-2</v>
      </c>
      <c r="P463">
        <v>0.62901806936848104</v>
      </c>
      <c r="Q463">
        <v>0.34530872708062876</v>
      </c>
      <c r="R463">
        <v>-0.29871760803782399</v>
      </c>
      <c r="S463">
        <v>0.99079651961668791</v>
      </c>
      <c r="T463">
        <v>0.54921962653859957</v>
      </c>
      <c r="U463">
        <v>-9.6116881120877906E-8</v>
      </c>
      <c r="V463">
        <v>0.2207919106180567</v>
      </c>
      <c r="W463">
        <v>0.5210660371890663</v>
      </c>
      <c r="X463">
        <v>-0.3116046800000008</v>
      </c>
      <c r="Y463">
        <v>0.24037789000000004</v>
      </c>
      <c r="Z463">
        <v>0.17417377000000009</v>
      </c>
    </row>
    <row r="464" spans="1:26">
      <c r="A464" s="54" t="str">
        <f>CONCATENATE(raw[[#This Row],[redis_ls]],raw[[#This Row],[wage_eq]],raw[[#This Row],[flex]],raw[[#This Row],[expo]],raw[[#This Row],[_date_]])</f>
        <v>101037622</v>
      </c>
      <c r="B464" s="1">
        <v>37622</v>
      </c>
      <c r="C464">
        <v>1</v>
      </c>
      <c r="D464">
        <v>0</v>
      </c>
      <c r="E464">
        <v>1</v>
      </c>
      <c r="F464">
        <v>0</v>
      </c>
      <c r="G464">
        <v>0.68876679038254451</v>
      </c>
      <c r="H464">
        <v>165.44350000000122</v>
      </c>
      <c r="I464">
        <v>-10.187797487968231</v>
      </c>
      <c r="J464">
        <v>0.50861600239773264</v>
      </c>
      <c r="K464">
        <v>1.7304624456676576</v>
      </c>
      <c r="L464">
        <v>-0.24530483993902008</v>
      </c>
      <c r="M464">
        <v>-0.45056871775435159</v>
      </c>
      <c r="N464">
        <v>0.57298605782889478</v>
      </c>
      <c r="O464">
        <v>5.7361339999999206E-2</v>
      </c>
      <c r="P464">
        <v>0.8596357154117884</v>
      </c>
      <c r="Q464">
        <v>0.63454252015713308</v>
      </c>
      <c r="R464">
        <v>7.3724660813478948E-2</v>
      </c>
      <c r="S464">
        <v>1.1982700823998993</v>
      </c>
      <c r="T464">
        <v>0.85287219686833726</v>
      </c>
      <c r="U464">
        <v>-1.8846447735754168E-7</v>
      </c>
      <c r="V464">
        <v>0.46558537866268068</v>
      </c>
      <c r="W464">
        <v>0.39157203182349498</v>
      </c>
      <c r="X464">
        <v>-0.45946778999999965</v>
      </c>
      <c r="Y464">
        <v>0.29485645000000005</v>
      </c>
      <c r="Z464">
        <v>0.33208010999999993</v>
      </c>
    </row>
    <row r="465" spans="1:26">
      <c r="A465" s="54" t="str">
        <f>CONCATENATE(raw[[#This Row],[redis_ls]],raw[[#This Row],[wage_eq]],raw[[#This Row],[flex]],raw[[#This Row],[expo]],raw[[#This Row],[_date_]])</f>
        <v>101037987</v>
      </c>
      <c r="B465" s="1">
        <v>37987</v>
      </c>
      <c r="C465">
        <v>1</v>
      </c>
      <c r="D465">
        <v>0</v>
      </c>
      <c r="E465">
        <v>1</v>
      </c>
      <c r="F465">
        <v>0</v>
      </c>
      <c r="G465">
        <v>0.83425832162591362</v>
      </c>
      <c r="H465">
        <v>212.11103000000003</v>
      </c>
      <c r="I465">
        <v>-11.093352932271195</v>
      </c>
      <c r="J465">
        <v>0.71598941513806302</v>
      </c>
      <c r="K465">
        <v>2.133560962827552</v>
      </c>
      <c r="L465">
        <v>-0.3807218884473218</v>
      </c>
      <c r="M465">
        <v>-0.36942933548288481</v>
      </c>
      <c r="N465">
        <v>0.76341287185932583</v>
      </c>
      <c r="O465">
        <v>4.2180069999998848E-2</v>
      </c>
      <c r="P465">
        <v>1.1306289141840953</v>
      </c>
      <c r="Q465">
        <v>0.96651257765703047</v>
      </c>
      <c r="R465">
        <v>0.48841166963735638</v>
      </c>
      <c r="S465">
        <v>1.4479909734980589</v>
      </c>
      <c r="T465">
        <v>1.1717591591666077</v>
      </c>
      <c r="U465">
        <v>-1.8476907781561636E-7</v>
      </c>
      <c r="V465">
        <v>0.74505635450781149</v>
      </c>
      <c r="W465">
        <v>0.25539728159813535</v>
      </c>
      <c r="X465">
        <v>-0.57395536999999974</v>
      </c>
      <c r="Y465">
        <v>0.32710211999999983</v>
      </c>
      <c r="Z465">
        <v>0.47873619699999992</v>
      </c>
    </row>
    <row r="466" spans="1:26">
      <c r="A466" s="54" t="str">
        <f>CONCATENATE(raw[[#This Row],[redis_ls]],raw[[#This Row],[wage_eq]],raw[[#This Row],[flex]],raw[[#This Row],[expo]],raw[[#This Row],[_date_]])</f>
        <v>101038353</v>
      </c>
      <c r="B466" s="1">
        <v>38353</v>
      </c>
      <c r="C466">
        <v>1</v>
      </c>
      <c r="D466">
        <v>0</v>
      </c>
      <c r="E466">
        <v>1</v>
      </c>
      <c r="F466">
        <v>0</v>
      </c>
      <c r="G466">
        <v>0.94370454584680186</v>
      </c>
      <c r="H466">
        <v>247.41310000000158</v>
      </c>
      <c r="I466">
        <v>-11.516958010076539</v>
      </c>
      <c r="J466">
        <v>0.90951868865176699</v>
      </c>
      <c r="K466">
        <v>2.4654903355076252</v>
      </c>
      <c r="L466">
        <v>-0.53150872736172916</v>
      </c>
      <c r="M466">
        <v>-0.24732111790813915</v>
      </c>
      <c r="N466">
        <v>0.93874893534251491</v>
      </c>
      <c r="O466">
        <v>2.5953189999999848E-2</v>
      </c>
      <c r="P466">
        <v>1.415808962084264</v>
      </c>
      <c r="Q466">
        <v>1.3124907996996615</v>
      </c>
      <c r="R466">
        <v>0.91391028048184442</v>
      </c>
      <c r="S466">
        <v>1.7143534148170048</v>
      </c>
      <c r="T466">
        <v>1.4891474347394906</v>
      </c>
      <c r="U466">
        <v>-2.7171924710245321E-7</v>
      </c>
      <c r="V466">
        <v>1.0519195669185022</v>
      </c>
      <c r="W466">
        <v>0.13675942505986249</v>
      </c>
      <c r="X466">
        <v>-0.65569067999999975</v>
      </c>
      <c r="Y466">
        <v>0.34411568000000009</v>
      </c>
      <c r="Z466">
        <v>0.61028006899999998</v>
      </c>
    </row>
    <row r="467" spans="1:26">
      <c r="A467" s="54" t="str">
        <f>CONCATENATE(raw[[#This Row],[redis_ls]],raw[[#This Row],[wage_eq]],raw[[#This Row],[flex]],raw[[#This Row],[expo]],raw[[#This Row],[_date_]])</f>
        <v>101038718</v>
      </c>
      <c r="B467" s="1">
        <v>38718</v>
      </c>
      <c r="C467">
        <v>1</v>
      </c>
      <c r="D467">
        <v>0</v>
      </c>
      <c r="E467">
        <v>1</v>
      </c>
      <c r="F467">
        <v>0</v>
      </c>
      <c r="G467">
        <v>1.026989153354374</v>
      </c>
      <c r="H467">
        <v>272.50822999999946</v>
      </c>
      <c r="I467">
        <v>-11.654312008092216</v>
      </c>
      <c r="J467">
        <v>1.0861412689572969</v>
      </c>
      <c r="K467">
        <v>2.7497071354549041</v>
      </c>
      <c r="L467">
        <v>-0.69027281678573083</v>
      </c>
      <c r="M467">
        <v>-0.10510408105566249</v>
      </c>
      <c r="N467">
        <v>1.099879876694243</v>
      </c>
      <c r="O467">
        <v>1.2178890000000275E-2</v>
      </c>
      <c r="P467">
        <v>1.698031174405501</v>
      </c>
      <c r="Q467">
        <v>1.6530599511932031</v>
      </c>
      <c r="R467">
        <v>1.3291522324847094</v>
      </c>
      <c r="S467">
        <v>1.9798613916101715</v>
      </c>
      <c r="T467">
        <v>1.7923304494704695</v>
      </c>
      <c r="U467">
        <v>-2.6639142003404004E-7</v>
      </c>
      <c r="V467">
        <v>1.3769791998245795</v>
      </c>
      <c r="W467">
        <v>4.7199593472324608E-2</v>
      </c>
      <c r="X467">
        <v>-0.71031386999999979</v>
      </c>
      <c r="Y467">
        <v>0.34992202</v>
      </c>
      <c r="Z467">
        <v>0.72520664080000008</v>
      </c>
    </row>
    <row r="468" spans="1:26">
      <c r="A468" s="54" t="str">
        <f>CONCATENATE(raw[[#This Row],[redis_ls]],raw[[#This Row],[wage_eq]],raw[[#This Row],[flex]],raw[[#This Row],[expo]],raw[[#This Row],[_date_]])</f>
        <v>101039083</v>
      </c>
      <c r="B468" s="1">
        <v>39083</v>
      </c>
      <c r="C468">
        <v>1</v>
      </c>
      <c r="D468">
        <v>0</v>
      </c>
      <c r="E468">
        <v>1</v>
      </c>
      <c r="F468">
        <v>0</v>
      </c>
      <c r="G468">
        <v>1.0912237862891194</v>
      </c>
      <c r="H468">
        <v>289.32410000000164</v>
      </c>
      <c r="I468">
        <v>-11.620280187718269</v>
      </c>
      <c r="J468">
        <v>1.2441186686562355</v>
      </c>
      <c r="K468">
        <v>3.0034496373509523</v>
      </c>
      <c r="L468">
        <v>-0.85054903231246426</v>
      </c>
      <c r="M468">
        <v>4.4560605971111222E-2</v>
      </c>
      <c r="N468">
        <v>1.2453409526562265</v>
      </c>
      <c r="O468">
        <v>1.0820400000000063E-3</v>
      </c>
      <c r="P468">
        <v>1.9670731141208764</v>
      </c>
      <c r="Q468">
        <v>1.976643963919833</v>
      </c>
      <c r="R468">
        <v>1.7218008792226014</v>
      </c>
      <c r="S468">
        <v>2.2338612422719173</v>
      </c>
      <c r="T468">
        <v>2.0737230037232823</v>
      </c>
      <c r="U468">
        <v>-2.6116805385001385E-7</v>
      </c>
      <c r="V468">
        <v>1.708956295664632</v>
      </c>
      <c r="W468">
        <v>-1.2627151078459242E-2</v>
      </c>
      <c r="X468">
        <v>-0.74424532999999982</v>
      </c>
      <c r="Y468">
        <v>0.34751766999999989</v>
      </c>
      <c r="Z468">
        <v>0.82253964267999991</v>
      </c>
    </row>
    <row r="469" spans="1:26">
      <c r="A469" s="54" t="str">
        <f>CONCATENATE(raw[[#This Row],[redis_ls]],raw[[#This Row],[wage_eq]],raw[[#This Row],[flex]],raw[[#This Row],[expo]],raw[[#This Row],[_date_]])</f>
        <v>101039448</v>
      </c>
      <c r="B469" s="1">
        <v>39448</v>
      </c>
      <c r="C469">
        <v>1</v>
      </c>
      <c r="D469">
        <v>0</v>
      </c>
      <c r="E469">
        <v>1</v>
      </c>
      <c r="F469">
        <v>0</v>
      </c>
      <c r="G469">
        <v>1.1408390349331388</v>
      </c>
      <c r="H469">
        <v>299.76156999999876</v>
      </c>
      <c r="I469">
        <v>-11.484108132688553</v>
      </c>
      <c r="J469">
        <v>1.3817506595201312</v>
      </c>
      <c r="K469">
        <v>3.2372859239832685</v>
      </c>
      <c r="L469">
        <v>-1.0072062110549673</v>
      </c>
      <c r="M469">
        <v>0.19327264025224</v>
      </c>
      <c r="N469">
        <v>1.3728598533641723</v>
      </c>
      <c r="O469">
        <v>-7.8602900000002141E-3</v>
      </c>
      <c r="P469">
        <v>2.2170802651830357</v>
      </c>
      <c r="Q469">
        <v>2.2767666370232975</v>
      </c>
      <c r="R469">
        <v>2.0851475515768936</v>
      </c>
      <c r="S469">
        <v>2.4702025495233704</v>
      </c>
      <c r="T469">
        <v>2.3295250607325624</v>
      </c>
      <c r="U469">
        <v>-3.4139615578965277E-7</v>
      </c>
      <c r="V469">
        <v>2.0367073495919374</v>
      </c>
      <c r="W469">
        <v>-4.7450788125091847E-2</v>
      </c>
      <c r="X469">
        <v>-0.76297421999999981</v>
      </c>
      <c r="Y469">
        <v>0.33940336999999998</v>
      </c>
      <c r="Z469">
        <v>0.90181366000000007</v>
      </c>
    </row>
    <row r="470" spans="1:26">
      <c r="A470" s="54" t="str">
        <f>CONCATENATE(raw[[#This Row],[redis_ls]],raw[[#This Row],[wage_eq]],raw[[#This Row],[flex]],raw[[#This Row],[expo]],raw[[#This Row],[_date_]])</f>
        <v>101039814</v>
      </c>
      <c r="B470" s="1">
        <v>39814</v>
      </c>
      <c r="C470">
        <v>1</v>
      </c>
      <c r="D470">
        <v>0</v>
      </c>
      <c r="E470">
        <v>1</v>
      </c>
      <c r="F470">
        <v>0</v>
      </c>
      <c r="G470">
        <v>1.1784758110349625</v>
      </c>
      <c r="H470">
        <v>305.40169999999853</v>
      </c>
      <c r="I470">
        <v>-11.288731736695489</v>
      </c>
      <c r="J470">
        <v>1.4976504324140549</v>
      </c>
      <c r="K470">
        <v>3.456651140357403</v>
      </c>
      <c r="L470">
        <v>-1.1564431895039418</v>
      </c>
      <c r="M470">
        <v>0.33522383934645461</v>
      </c>
      <c r="N470">
        <v>1.4806536536953629</v>
      </c>
      <c r="O470">
        <v>-1.5010680000000776E-2</v>
      </c>
      <c r="P470">
        <v>2.4447178955064874</v>
      </c>
      <c r="Q470">
        <v>2.5498833866906656</v>
      </c>
      <c r="R470">
        <v>2.4156561280749722</v>
      </c>
      <c r="S470">
        <v>2.6853853605196987</v>
      </c>
      <c r="T470">
        <v>2.5581781437445272</v>
      </c>
      <c r="U470">
        <v>-3.3470209936936612E-7</v>
      </c>
      <c r="V470">
        <v>2.3507281292331372</v>
      </c>
      <c r="W470">
        <v>-6.339656215487155E-2</v>
      </c>
      <c r="X470">
        <v>-0.77067534000000015</v>
      </c>
      <c r="Y470">
        <v>0.32762325999999981</v>
      </c>
      <c r="Z470">
        <v>0.96322661399999998</v>
      </c>
    </row>
    <row r="471" spans="1:26">
      <c r="A471" s="54" t="str">
        <f>CONCATENATE(raw[[#This Row],[redis_ls]],raw[[#This Row],[wage_eq]],raw[[#This Row],[flex]],raw[[#This Row],[expo]],raw[[#This Row],[_date_]])</f>
        <v>101040179</v>
      </c>
      <c r="B471" s="1">
        <v>40179</v>
      </c>
      <c r="C471">
        <v>1</v>
      </c>
      <c r="D471">
        <v>0</v>
      </c>
      <c r="E471">
        <v>1</v>
      </c>
      <c r="F471">
        <v>0</v>
      </c>
      <c r="G471">
        <v>1.205831698776394</v>
      </c>
      <c r="H471">
        <v>307.47118000000046</v>
      </c>
      <c r="I471">
        <v>-11.061342663207929</v>
      </c>
      <c r="J471">
        <v>1.5911945179650777</v>
      </c>
      <c r="K471">
        <v>3.6636891490241297</v>
      </c>
      <c r="L471">
        <v>-1.295587483236571</v>
      </c>
      <c r="M471">
        <v>0.46649765308544033</v>
      </c>
      <c r="N471">
        <v>1.5679664844427066</v>
      </c>
      <c r="O471">
        <v>-2.0496120000000617E-2</v>
      </c>
      <c r="P471">
        <v>2.6480871745152568</v>
      </c>
      <c r="Q471">
        <v>2.7940662649051928</v>
      </c>
      <c r="R471">
        <v>2.7114873780399007</v>
      </c>
      <c r="S471">
        <v>2.8774220217433921</v>
      </c>
      <c r="T471">
        <v>2.7592807102126748</v>
      </c>
      <c r="U471">
        <v>-3.2813930461728091E-7</v>
      </c>
      <c r="V471">
        <v>2.643695243970523</v>
      </c>
      <c r="W471">
        <v>-6.6002485977445513E-2</v>
      </c>
      <c r="X471">
        <v>-0.77039007000000015</v>
      </c>
      <c r="Y471">
        <v>0.31373498999999994</v>
      </c>
      <c r="Z471">
        <v>1.0076326309999999</v>
      </c>
    </row>
    <row r="472" spans="1:26">
      <c r="A472" s="54" t="str">
        <f>CONCATENATE(raw[[#This Row],[redis_ls]],raw[[#This Row],[wage_eq]],raw[[#This Row],[flex]],raw[[#This Row],[expo]],raw[[#This Row],[_date_]])</f>
        <v>101040544</v>
      </c>
      <c r="B472" s="1">
        <v>40544</v>
      </c>
      <c r="C472">
        <v>1</v>
      </c>
      <c r="D472">
        <v>0</v>
      </c>
      <c r="E472">
        <v>1</v>
      </c>
      <c r="F472">
        <v>0</v>
      </c>
      <c r="G472">
        <v>1.2242078725165362</v>
      </c>
      <c r="H472">
        <v>306.9066899999998</v>
      </c>
      <c r="I472">
        <v>-10.819279793339909</v>
      </c>
      <c r="J472">
        <v>1.6627017677801392</v>
      </c>
      <c r="K472">
        <v>3.8587331641977141</v>
      </c>
      <c r="L472">
        <v>-1.4228469289454426</v>
      </c>
      <c r="M472">
        <v>0.5846859871938781</v>
      </c>
      <c r="N472">
        <v>1.6350780466896531</v>
      </c>
      <c r="O472">
        <v>-2.4358700000000344E-2</v>
      </c>
      <c r="P472">
        <v>2.8261721054229527</v>
      </c>
      <c r="Q472">
        <v>3.0083313270053536</v>
      </c>
      <c r="R472">
        <v>2.9717644601657822</v>
      </c>
      <c r="S472">
        <v>3.0452364669367293</v>
      </c>
      <c r="T472">
        <v>2.9329940001744381</v>
      </c>
      <c r="U472">
        <v>-4.021315169744355E-7</v>
      </c>
      <c r="V472">
        <v>2.9104184814581879</v>
      </c>
      <c r="W472">
        <v>-5.9575536913292204E-2</v>
      </c>
      <c r="X472">
        <v>-0.76434690000000005</v>
      </c>
      <c r="Y472">
        <v>0.29883329999999991</v>
      </c>
      <c r="Z472">
        <v>1.036402064</v>
      </c>
    </row>
    <row r="473" spans="1:26">
      <c r="A473" s="54" t="str">
        <f>CONCATENATE(raw[[#This Row],[redis_ls]],raw[[#This Row],[wage_eq]],raw[[#This Row],[flex]],raw[[#This Row],[expo]],raw[[#This Row],[_date_]])</f>
        <v>101040909</v>
      </c>
      <c r="B473" s="1">
        <v>40909</v>
      </c>
      <c r="C473">
        <v>1</v>
      </c>
      <c r="D473">
        <v>0</v>
      </c>
      <c r="E473">
        <v>1</v>
      </c>
      <c r="F473">
        <v>0</v>
      </c>
      <c r="G473">
        <v>1.234775409457467</v>
      </c>
      <c r="H473">
        <v>304.43422999999893</v>
      </c>
      <c r="I473">
        <v>-10.57346099659463</v>
      </c>
      <c r="J473">
        <v>1.7133409890227158</v>
      </c>
      <c r="K473">
        <v>4.0412845514738782</v>
      </c>
      <c r="L473">
        <v>-1.5370897528411698</v>
      </c>
      <c r="M473">
        <v>0.68857873205163678</v>
      </c>
      <c r="N473">
        <v>1.6830727631859999</v>
      </c>
      <c r="O473">
        <v>-2.6678139999999906E-2</v>
      </c>
      <c r="P473">
        <v>2.9785797944839931</v>
      </c>
      <c r="Q473">
        <v>3.1923392659094274</v>
      </c>
      <c r="R473">
        <v>3.1962635939041695</v>
      </c>
      <c r="S473">
        <v>3.1883796159284383</v>
      </c>
      <c r="T473">
        <v>3.0797835263589368</v>
      </c>
      <c r="U473">
        <v>-3.1539726386142775E-7</v>
      </c>
      <c r="V473">
        <v>3.1475455335848501</v>
      </c>
      <c r="W473">
        <v>-4.720913254475656E-2</v>
      </c>
      <c r="X473">
        <v>-0.75423604000000033</v>
      </c>
      <c r="Y473">
        <v>0.28362671999999989</v>
      </c>
      <c r="Z473">
        <v>1.0512307250000001</v>
      </c>
    </row>
    <row r="474" spans="1:26">
      <c r="A474" s="54" t="str">
        <f>CONCATENATE(raw[[#This Row],[redis_ls]],raw[[#This Row],[wage_eq]],raw[[#This Row],[flex]],raw[[#This Row],[expo]],raw[[#This Row],[_date_]])</f>
        <v>101041275</v>
      </c>
      <c r="B474" s="1">
        <v>41275</v>
      </c>
      <c r="C474">
        <v>1</v>
      </c>
      <c r="D474">
        <v>0</v>
      </c>
      <c r="E474">
        <v>1</v>
      </c>
      <c r="F474">
        <v>0</v>
      </c>
      <c r="G474">
        <v>1.2386596690290519</v>
      </c>
      <c r="H474">
        <v>300.63081999999849</v>
      </c>
      <c r="I474">
        <v>-10.330511474018211</v>
      </c>
      <c r="J474">
        <v>1.7448932452545973</v>
      </c>
      <c r="K474">
        <v>4.2105702730277139</v>
      </c>
      <c r="L474">
        <v>-1.6376764737279226</v>
      </c>
      <c r="M474">
        <v>0.77786898768514856</v>
      </c>
      <c r="N474">
        <v>1.7135519575666169</v>
      </c>
      <c r="O474">
        <v>-2.7615599999999962E-2</v>
      </c>
      <c r="P474">
        <v>3.1054174338666529</v>
      </c>
      <c r="Q474">
        <v>3.3462693188083925</v>
      </c>
      <c r="R474">
        <v>3.3853000373982312</v>
      </c>
      <c r="S474">
        <v>3.3068952964152798</v>
      </c>
      <c r="T474">
        <v>3.2003378653045145</v>
      </c>
      <c r="U474">
        <v>-4.6381951612772809E-7</v>
      </c>
      <c r="V474">
        <v>3.3532147337465679</v>
      </c>
      <c r="W474">
        <v>-3.1034687242148529E-2</v>
      </c>
      <c r="X474">
        <v>-0.74138967999999994</v>
      </c>
      <c r="Y474">
        <v>0.26853633999999982</v>
      </c>
      <c r="Z474">
        <v>1.0539573499999999</v>
      </c>
    </row>
    <row r="475" spans="1:26">
      <c r="A475" s="54" t="str">
        <f>CONCATENATE(raw[[#This Row],[redis_ls]],raw[[#This Row],[wage_eq]],raw[[#This Row],[flex]],raw[[#This Row],[expo]],raw[[#This Row],[_date_]])</f>
        <v>101041640</v>
      </c>
      <c r="B475" s="1">
        <v>41640</v>
      </c>
      <c r="C475">
        <v>1</v>
      </c>
      <c r="D475">
        <v>0</v>
      </c>
      <c r="E475">
        <v>1</v>
      </c>
      <c r="F475">
        <v>0</v>
      </c>
      <c r="G475">
        <v>1.236934179292537</v>
      </c>
      <c r="H475">
        <v>295.96282000000065</v>
      </c>
      <c r="I475">
        <v>-10.094173479090829</v>
      </c>
      <c r="J475">
        <v>1.7594835936140418</v>
      </c>
      <c r="K475">
        <v>4.3658156009385829</v>
      </c>
      <c r="L475">
        <v>-1.7243408031396013</v>
      </c>
      <c r="M475">
        <v>0.85288169730699526</v>
      </c>
      <c r="N475">
        <v>1.7283807807146667</v>
      </c>
      <c r="O475">
        <v>-2.7401540000000779E-2</v>
      </c>
      <c r="P475">
        <v>3.2072171977478581</v>
      </c>
      <c r="Q475">
        <v>3.4707550467068193</v>
      </c>
      <c r="R475">
        <v>3.5396762741853882</v>
      </c>
      <c r="S475">
        <v>3.4012460896225782</v>
      </c>
      <c r="T475">
        <v>3.2955581442141169</v>
      </c>
      <c r="U475">
        <v>-3.7893750359785372E-7</v>
      </c>
      <c r="V475">
        <v>3.5267382354541077</v>
      </c>
      <c r="W475">
        <v>-1.249573459978226E-2</v>
      </c>
      <c r="X475">
        <v>-0.7268805700000005</v>
      </c>
      <c r="Y475">
        <v>0.25379028999999997</v>
      </c>
      <c r="Z475">
        <v>1.0464177299999999</v>
      </c>
    </row>
    <row r="476" spans="1:26">
      <c r="A476" s="54" t="str">
        <f>CONCATENATE(raw[[#This Row],[redis_ls]],raw[[#This Row],[wage_eq]],raw[[#This Row],[flex]],raw[[#This Row],[expo]],raw[[#This Row],[_date_]])</f>
        <v>101042005</v>
      </c>
      <c r="B476" s="1">
        <v>42005</v>
      </c>
      <c r="C476">
        <v>1</v>
      </c>
      <c r="D476">
        <v>0</v>
      </c>
      <c r="E476">
        <v>1</v>
      </c>
      <c r="F476">
        <v>0</v>
      </c>
      <c r="G476">
        <v>1.2305855497056761</v>
      </c>
      <c r="H476">
        <v>290.80653000000166</v>
      </c>
      <c r="I476">
        <v>-9.8662867645511234</v>
      </c>
      <c r="J476">
        <v>1.7593497710681527</v>
      </c>
      <c r="K476">
        <v>4.5063526887369143</v>
      </c>
      <c r="L476">
        <v>-1.7971068321105621</v>
      </c>
      <c r="M476">
        <v>0.91434330017656773</v>
      </c>
      <c r="N476">
        <v>1.7294960960212657</v>
      </c>
      <c r="O476">
        <v>-2.6300700000000954E-2</v>
      </c>
      <c r="P476">
        <v>3.2848735314336075</v>
      </c>
      <c r="Q476">
        <v>3.5668302310802869</v>
      </c>
      <c r="R476">
        <v>3.660635020239944</v>
      </c>
      <c r="S476">
        <v>3.4722520377520771</v>
      </c>
      <c r="T476">
        <v>3.3665576727466284</v>
      </c>
      <c r="U476">
        <v>-4.4580884539513477E-7</v>
      </c>
      <c r="V476">
        <v>3.6683373955074705</v>
      </c>
      <c r="W476">
        <v>7.4303778129669595E-3</v>
      </c>
      <c r="X476">
        <v>-0.71156860999999905</v>
      </c>
      <c r="Y476">
        <v>0.23950010999999988</v>
      </c>
      <c r="Z476">
        <v>1.0303429200000001</v>
      </c>
    </row>
    <row r="477" spans="1:26">
      <c r="A477" s="54" t="str">
        <f>CONCATENATE(raw[[#This Row],[redis_ls]],raw[[#This Row],[wage_eq]],raw[[#This Row],[flex]],raw[[#This Row],[expo]],raw[[#This Row],[_date_]])</f>
        <v>101042370</v>
      </c>
      <c r="B477" s="1">
        <v>42370</v>
      </c>
      <c r="C477">
        <v>1</v>
      </c>
      <c r="D477">
        <v>0</v>
      </c>
      <c r="E477">
        <v>1</v>
      </c>
      <c r="F477">
        <v>0</v>
      </c>
      <c r="G477">
        <v>1.2204805695521515</v>
      </c>
      <c r="H477">
        <v>285.45868999999948</v>
      </c>
      <c r="I477">
        <v>-9.6474858811146369</v>
      </c>
      <c r="J477">
        <v>1.7466720658438462</v>
      </c>
      <c r="K477">
        <v>4.6316484557630044</v>
      </c>
      <c r="L477">
        <v>-1.8562300139218002</v>
      </c>
      <c r="M477">
        <v>0.96320182726314929</v>
      </c>
      <c r="N477">
        <v>1.718778230469975</v>
      </c>
      <c r="O477">
        <v>-2.4576720000001051E-2</v>
      </c>
      <c r="P477">
        <v>3.3395791224111848</v>
      </c>
      <c r="Q477">
        <v>3.6358672416019422</v>
      </c>
      <c r="R477">
        <v>3.7497982760547499</v>
      </c>
      <c r="S477">
        <v>3.5210305303068568</v>
      </c>
      <c r="T477">
        <v>3.4146521648927619</v>
      </c>
      <c r="U477">
        <v>-4.3706747110405786E-7</v>
      </c>
      <c r="V477">
        <v>3.7789271818199133</v>
      </c>
      <c r="W477">
        <v>2.8076105014940289E-2</v>
      </c>
      <c r="X477">
        <v>-0.69612205999999976</v>
      </c>
      <c r="Y477">
        <v>0.22571546999999997</v>
      </c>
      <c r="Z477">
        <v>1.0072980150000002</v>
      </c>
    </row>
    <row r="478" spans="1:26">
      <c r="A478" s="54" t="str">
        <f>CONCATENATE(raw[[#This Row],[redis_ls]],raw[[#This Row],[wage_eq]],raw[[#This Row],[flex]],raw[[#This Row],[expo]],raw[[#This Row],[_date_]])</f>
        <v>101042736</v>
      </c>
      <c r="B478" s="1">
        <v>42736</v>
      </c>
      <c r="C478">
        <v>1</v>
      </c>
      <c r="D478">
        <v>0</v>
      </c>
      <c r="E478">
        <v>1</v>
      </c>
      <c r="F478">
        <v>0</v>
      </c>
      <c r="G478">
        <v>1.2073473331306372</v>
      </c>
      <c r="H478">
        <v>280.14282000000094</v>
      </c>
      <c r="I478">
        <v>-9.4376946530562833</v>
      </c>
      <c r="J478">
        <v>1.7234677032406109</v>
      </c>
      <c r="K478">
        <v>4.7413011019932672</v>
      </c>
      <c r="L478">
        <v>-1.9021521429926413</v>
      </c>
      <c r="M478">
        <v>1.0004974802029443</v>
      </c>
      <c r="N478">
        <v>1.6979745022844828</v>
      </c>
      <c r="O478">
        <v>-2.2466120000000367E-2</v>
      </c>
      <c r="P478">
        <v>3.3727593082742757</v>
      </c>
      <c r="Q478">
        <v>3.6795086221081297</v>
      </c>
      <c r="R478">
        <v>3.8090940557430786</v>
      </c>
      <c r="S478">
        <v>3.5489325706815178</v>
      </c>
      <c r="T478">
        <v>3.4413322688264358</v>
      </c>
      <c r="U478">
        <v>-4.2849752635021332E-7</v>
      </c>
      <c r="V478">
        <v>3.8599400607394196</v>
      </c>
      <c r="W478">
        <v>4.8980300990719705E-2</v>
      </c>
      <c r="X478">
        <v>-0.68103104999999997</v>
      </c>
      <c r="Y478">
        <v>0.21245927000000003</v>
      </c>
      <c r="Z478">
        <v>0.97865353799999988</v>
      </c>
    </row>
    <row r="479" spans="1:26">
      <c r="A479" s="54" t="str">
        <f>CONCATENATE(raw[[#This Row],[redis_ls]],raw[[#This Row],[wage_eq]],raw[[#This Row],[flex]],raw[[#This Row],[expo]],raw[[#This Row],[_date_]])</f>
        <v>101043101</v>
      </c>
      <c r="B479" s="1">
        <v>43101</v>
      </c>
      <c r="C479">
        <v>1</v>
      </c>
      <c r="D479">
        <v>0</v>
      </c>
      <c r="E479">
        <v>1</v>
      </c>
      <c r="F479">
        <v>0</v>
      </c>
      <c r="G479">
        <v>1.1917732165123374</v>
      </c>
      <c r="H479">
        <v>275.01522000000114</v>
      </c>
      <c r="I479">
        <v>-9.2364673058343509</v>
      </c>
      <c r="J479">
        <v>1.6915365702718121</v>
      </c>
      <c r="K479">
        <v>4.8350296126156378</v>
      </c>
      <c r="L479">
        <v>-1.9354640604949513</v>
      </c>
      <c r="M479">
        <v>1.0272773132198099</v>
      </c>
      <c r="N479">
        <v>1.6686622402108275</v>
      </c>
      <c r="O479">
        <v>-2.0164070000000534E-2</v>
      </c>
      <c r="P479">
        <v>3.3860073404400337</v>
      </c>
      <c r="Q479">
        <v>3.6995959775858234</v>
      </c>
      <c r="R479">
        <v>3.8406778781711726</v>
      </c>
      <c r="S479">
        <v>3.5574798013788378</v>
      </c>
      <c r="T479">
        <v>3.4482253926499506</v>
      </c>
      <c r="U479">
        <v>-4.2009562495337605E-7</v>
      </c>
      <c r="V479">
        <v>3.9131808415048486</v>
      </c>
      <c r="W479">
        <v>6.9821359702482155E-2</v>
      </c>
      <c r="X479">
        <v>-0.66662244999999976</v>
      </c>
      <c r="Y479">
        <v>0.19974773999999995</v>
      </c>
      <c r="Z479">
        <v>0.94558083199999998</v>
      </c>
    </row>
    <row r="480" spans="1:26">
      <c r="A480" s="54" t="str">
        <f>CONCATENATE(raw[[#This Row],[redis_ls]],raw[[#This Row],[wage_eq]],raw[[#This Row],[flex]],raw[[#This Row],[expo]],raw[[#This Row],[_date_]])</f>
        <v>101043466</v>
      </c>
      <c r="B480" s="1">
        <v>43466</v>
      </c>
      <c r="C480">
        <v>1</v>
      </c>
      <c r="D480">
        <v>0</v>
      </c>
      <c r="E480">
        <v>1</v>
      </c>
      <c r="F480">
        <v>0</v>
      </c>
      <c r="G480">
        <v>1.1742142459608695</v>
      </c>
      <c r="H480">
        <v>270.17213000000265</v>
      </c>
      <c r="I480">
        <v>-9.0432138425077255</v>
      </c>
      <c r="J480">
        <v>1.652445350191134</v>
      </c>
      <c r="K480">
        <v>4.9126661838157171</v>
      </c>
      <c r="L480">
        <v>-1.9568732826700574</v>
      </c>
      <c r="M480">
        <v>1.0445448435362437</v>
      </c>
      <c r="N480">
        <v>1.6322375971907332</v>
      </c>
      <c r="O480">
        <v>-1.7819790000001001E-2</v>
      </c>
      <c r="P480">
        <v>3.3810255378332821</v>
      </c>
      <c r="Q480">
        <v>3.6981023168699112</v>
      </c>
      <c r="R480">
        <v>3.8468554259079024</v>
      </c>
      <c r="S480">
        <v>3.5483061048092068</v>
      </c>
      <c r="T480">
        <v>3.4370518102675884</v>
      </c>
      <c r="U480">
        <v>-4.1185845844893265E-7</v>
      </c>
      <c r="V480">
        <v>3.9407065092453841</v>
      </c>
      <c r="W480">
        <v>9.0374510764834604E-2</v>
      </c>
      <c r="X480">
        <v>-0.6530791000000008</v>
      </c>
      <c r="Y480">
        <v>0.18759980000000004</v>
      </c>
      <c r="Z480">
        <v>0.90906336170000002</v>
      </c>
    </row>
    <row r="481" spans="1:26">
      <c r="A481" s="54" t="str">
        <f>CONCATENATE(raw[[#This Row],[redis_ls]],raw[[#This Row],[wage_eq]],raw[[#This Row],[flex]],raw[[#This Row],[expo]],raw[[#This Row],[_date_]])</f>
        <v>101043831</v>
      </c>
      <c r="B481" s="1">
        <v>43831</v>
      </c>
      <c r="C481">
        <v>1</v>
      </c>
      <c r="D481">
        <v>0</v>
      </c>
      <c r="E481">
        <v>1</v>
      </c>
      <c r="F481">
        <v>0</v>
      </c>
      <c r="G481">
        <v>1.1550138093799234</v>
      </c>
      <c r="H481">
        <v>265.6584299999995</v>
      </c>
      <c r="I481">
        <v>-8.8573385244494425</v>
      </c>
      <c r="J481">
        <v>1.6075361020173817</v>
      </c>
      <c r="K481">
        <v>4.9741532698714286</v>
      </c>
      <c r="L481">
        <v>-1.9671745395526297</v>
      </c>
      <c r="M481">
        <v>1.0532349939318841</v>
      </c>
      <c r="N481">
        <v>1.5899226012534351</v>
      </c>
      <c r="O481">
        <v>-1.5538650000000709E-2</v>
      </c>
      <c r="P481">
        <v>3.3595717384890644</v>
      </c>
      <c r="Q481">
        <v>3.6770703224701773</v>
      </c>
      <c r="R481">
        <v>3.830013081788719</v>
      </c>
      <c r="S481">
        <v>3.5231048507866403</v>
      </c>
      <c r="T481">
        <v>3.4095806440933352</v>
      </c>
      <c r="U481">
        <v>-4.0378280719011173E-7</v>
      </c>
      <c r="V481">
        <v>3.9447271772534043</v>
      </c>
      <c r="W481">
        <v>0.11048253986452039</v>
      </c>
      <c r="X481">
        <v>-0.64046318999999996</v>
      </c>
      <c r="Y481">
        <v>0.17603992999999998</v>
      </c>
      <c r="Z481">
        <v>0.86991742859999999</v>
      </c>
    </row>
    <row r="482" spans="1:26">
      <c r="A482" s="54" t="str">
        <f>CONCATENATE(raw[[#This Row],[redis_ls]],raw[[#This Row],[wage_eq]],raw[[#This Row],[flex]],raw[[#This Row],[expo]],raw[[#This Row],[_date_]])</f>
        <v>101044197</v>
      </c>
      <c r="B482" s="1">
        <v>44197</v>
      </c>
      <c r="C482">
        <v>1</v>
      </c>
      <c r="D482">
        <v>0</v>
      </c>
      <c r="E482">
        <v>1</v>
      </c>
      <c r="F482">
        <v>0</v>
      </c>
      <c r="G482">
        <v>1.1344238720075506</v>
      </c>
      <c r="H482">
        <v>261.47726999999941</v>
      </c>
      <c r="I482">
        <v>-8.6783154440979509</v>
      </c>
      <c r="J482">
        <v>1.5579496708169938</v>
      </c>
      <c r="K482">
        <v>5.0195436171207808</v>
      </c>
      <c r="L482">
        <v>-1.9672232222844976</v>
      </c>
      <c r="M482">
        <v>1.0542061579280837</v>
      </c>
      <c r="N482">
        <v>1.5427808591531811</v>
      </c>
      <c r="O482">
        <v>-1.3388120000000503E-2</v>
      </c>
      <c r="P482">
        <v>3.3234152072298739</v>
      </c>
      <c r="Q482">
        <v>3.6385602891578772</v>
      </c>
      <c r="R482">
        <v>3.7925569097857936</v>
      </c>
      <c r="S482">
        <v>3.4835844290641127</v>
      </c>
      <c r="T482">
        <v>3.3675891772832589</v>
      </c>
      <c r="U482">
        <v>-4.6184306379259965E-7</v>
      </c>
      <c r="V482">
        <v>3.9275256842668638</v>
      </c>
      <c r="W482">
        <v>0.13003704195724275</v>
      </c>
      <c r="X482">
        <v>-0.6287417000000004</v>
      </c>
      <c r="Y482">
        <v>0.16509721999999999</v>
      </c>
      <c r="Z482">
        <v>0.82881720650000001</v>
      </c>
    </row>
    <row r="483" spans="1:26">
      <c r="A483" s="54" t="str">
        <f>CONCATENATE(raw[[#This Row],[redis_ls]],raw[[#This Row],[wage_eq]],raw[[#This Row],[flex]],raw[[#This Row],[expo]],raw[[#This Row],[_date_]])</f>
        <v>101044562</v>
      </c>
      <c r="B483" s="1">
        <v>44562</v>
      </c>
      <c r="C483">
        <v>1</v>
      </c>
      <c r="D483">
        <v>0</v>
      </c>
      <c r="E483">
        <v>1</v>
      </c>
      <c r="F483">
        <v>0</v>
      </c>
      <c r="G483">
        <v>1.1126278454068883</v>
      </c>
      <c r="H483">
        <v>257.60006000000067</v>
      </c>
      <c r="I483">
        <v>-8.5057210523844855</v>
      </c>
      <c r="J483">
        <v>1.5046545160125602</v>
      </c>
      <c r="K483">
        <v>5.0490015317940173</v>
      </c>
      <c r="L483">
        <v>-1.9579116624380721</v>
      </c>
      <c r="M483">
        <v>1.0482425336123757</v>
      </c>
      <c r="N483">
        <v>1.4917387141574423</v>
      </c>
      <c r="O483">
        <v>-1.1405370000000525E-2</v>
      </c>
      <c r="P483">
        <v>3.2742993792445052</v>
      </c>
      <c r="Q483">
        <v>3.5846068840857059</v>
      </c>
      <c r="R483">
        <v>3.7368638611492866</v>
      </c>
      <c r="S483">
        <v>3.4314321045040286</v>
      </c>
      <c r="T483">
        <v>3.3128286696663789</v>
      </c>
      <c r="U483">
        <v>-4.5278731874986988E-7</v>
      </c>
      <c r="V483">
        <v>3.8913934406934692</v>
      </c>
      <c r="W483">
        <v>0.1489630361416916</v>
      </c>
      <c r="X483">
        <v>-0.61781221000000031</v>
      </c>
      <c r="Y483">
        <v>0.15480268999999991</v>
      </c>
      <c r="Z483">
        <v>0.78632041109999995</v>
      </c>
    </row>
    <row r="484" spans="1:26">
      <c r="A484" s="54" t="str">
        <f>CONCATENATE(raw[[#This Row],[redis_ls]],raw[[#This Row],[wage_eq]],raw[[#This Row],[flex]],raw[[#This Row],[expo]],raw[[#This Row],[_date_]])</f>
        <v>101044927</v>
      </c>
      <c r="B484" s="1">
        <v>44927</v>
      </c>
      <c r="C484">
        <v>1</v>
      </c>
      <c r="D484">
        <v>0</v>
      </c>
      <c r="E484">
        <v>1</v>
      </c>
      <c r="F484">
        <v>0</v>
      </c>
      <c r="G484">
        <v>1.0897606674091564</v>
      </c>
      <c r="H484">
        <v>253.97603999999774</v>
      </c>
      <c r="I484">
        <v>-8.3392384661454262</v>
      </c>
      <c r="J484">
        <v>1.4484771549062581</v>
      </c>
      <c r="K484">
        <v>5.0628029476497582</v>
      </c>
      <c r="L484">
        <v>-1.94014839534844</v>
      </c>
      <c r="M484">
        <v>1.0360619190731279</v>
      </c>
      <c r="N484">
        <v>1.4376058547437287</v>
      </c>
      <c r="O484">
        <v>-9.6049900000005906E-3</v>
      </c>
      <c r="P484">
        <v>3.2139139723148524</v>
      </c>
      <c r="Q484">
        <v>3.5171855900779647</v>
      </c>
      <c r="R484">
        <v>3.6652426031873464</v>
      </c>
      <c r="S484">
        <v>3.3682853417972058</v>
      </c>
      <c r="T484">
        <v>3.2469959839305451</v>
      </c>
      <c r="U484">
        <v>-4.4390915387992891E-7</v>
      </c>
      <c r="V484">
        <v>3.8385807545098682</v>
      </c>
      <c r="W484">
        <v>0.16720955096638512</v>
      </c>
      <c r="X484">
        <v>-0.60752673000000068</v>
      </c>
      <c r="Y484">
        <v>0.14518617000000011</v>
      </c>
      <c r="Z484">
        <v>0.74289218889999997</v>
      </c>
    </row>
    <row r="485" spans="1:26">
      <c r="A485" s="54" t="str">
        <f>CONCATENATE(raw[[#This Row],[redis_ls]],raw[[#This Row],[wage_eq]],raw[[#This Row],[flex]],raw[[#This Row],[expo]],raw[[#This Row],[_date_]])</f>
        <v>101045292</v>
      </c>
      <c r="B485" s="1">
        <v>45292</v>
      </c>
      <c r="C485">
        <v>1</v>
      </c>
      <c r="D485">
        <v>0</v>
      </c>
      <c r="E485">
        <v>1</v>
      </c>
      <c r="F485">
        <v>0</v>
      </c>
      <c r="G485">
        <v>1.0659265380060345</v>
      </c>
      <c r="H485">
        <v>250.54089999999997</v>
      </c>
      <c r="I485">
        <v>-8.1786452592330647</v>
      </c>
      <c r="J485">
        <v>1.3901294820431565</v>
      </c>
      <c r="K485">
        <v>5.0613333392120818</v>
      </c>
      <c r="L485">
        <v>-1.9148404252482654</v>
      </c>
      <c r="M485">
        <v>1.0183254353465676</v>
      </c>
      <c r="N485">
        <v>1.3810955899952404</v>
      </c>
      <c r="O485">
        <v>-7.9860900000006119E-3</v>
      </c>
      <c r="P485">
        <v>3.1438726490529145</v>
      </c>
      <c r="Q485">
        <v>3.4381872046886031</v>
      </c>
      <c r="R485">
        <v>3.5799037632341157</v>
      </c>
      <c r="S485">
        <v>3.2957103405370836</v>
      </c>
      <c r="T485">
        <v>3.1717117828488517</v>
      </c>
      <c r="U485">
        <v>-4.9737718388342955E-7</v>
      </c>
      <c r="V485">
        <v>3.7712595590588593</v>
      </c>
      <c r="W485">
        <v>0.18474225623070772</v>
      </c>
      <c r="X485">
        <v>-0.59771269999999987</v>
      </c>
      <c r="Y485">
        <v>0.13627343000000014</v>
      </c>
      <c r="Z485">
        <v>0.69892577300000014</v>
      </c>
    </row>
    <row r="486" spans="1:26">
      <c r="A486" s="54" t="str">
        <f>CONCATENATE(raw[[#This Row],[redis_ls]],raw[[#This Row],[wage_eq]],raw[[#This Row],[flex]],raw[[#This Row],[expo]],raw[[#This Row],[_date_]])</f>
        <v>101045658</v>
      </c>
      <c r="B486" s="1">
        <v>45658</v>
      </c>
      <c r="C486">
        <v>1</v>
      </c>
      <c r="D486">
        <v>0</v>
      </c>
      <c r="E486">
        <v>1</v>
      </c>
      <c r="F486">
        <v>0</v>
      </c>
      <c r="G486">
        <v>1.0412125299326114</v>
      </c>
      <c r="H486">
        <v>247.22411999999895</v>
      </c>
      <c r="I486">
        <v>-8.0237931814160497</v>
      </c>
      <c r="J486">
        <v>1.3302327762561461</v>
      </c>
      <c r="K486">
        <v>5.045082979421589</v>
      </c>
      <c r="L486">
        <v>-1.8828786303937139</v>
      </c>
      <c r="M486">
        <v>0.9956470908833559</v>
      </c>
      <c r="N486">
        <v>1.3228410778512556</v>
      </c>
      <c r="O486">
        <v>-6.5381500000002979E-3</v>
      </c>
      <c r="P486">
        <v>3.0656981590147847</v>
      </c>
      <c r="Q486">
        <v>3.3493995450167846</v>
      </c>
      <c r="R486">
        <v>3.4829394641890277</v>
      </c>
      <c r="S486">
        <v>3.2151871281524302</v>
      </c>
      <c r="T486">
        <v>3.0885057069296229</v>
      </c>
      <c r="U486">
        <v>-4.8762469617713577E-7</v>
      </c>
      <c r="V486">
        <v>3.6914967449048541</v>
      </c>
      <c r="W486">
        <v>0.20153780247043063</v>
      </c>
      <c r="X486">
        <v>-0.58819006000000029</v>
      </c>
      <c r="Y486">
        <v>0.12808389000000009</v>
      </c>
      <c r="Z486">
        <v>0.65475929900000007</v>
      </c>
    </row>
    <row r="487" spans="1:26">
      <c r="A487" s="54" t="str">
        <f>CONCATENATE(raw[[#This Row],[redis_ls]],raw[[#This Row],[wage_eq]],raw[[#This Row],[flex]],raw[[#This Row],[expo]],raw[[#This Row],[_date_]])</f>
        <v>101046023</v>
      </c>
      <c r="B487" s="1">
        <v>46023</v>
      </c>
      <c r="C487">
        <v>1</v>
      </c>
      <c r="D487">
        <v>0</v>
      </c>
      <c r="E487">
        <v>1</v>
      </c>
      <c r="F487">
        <v>0</v>
      </c>
      <c r="G487">
        <v>1.0156989371083114</v>
      </c>
      <c r="H487">
        <v>243.95483999999851</v>
      </c>
      <c r="I487">
        <v>-7.8745849739578428</v>
      </c>
      <c r="J487">
        <v>1.269335941825589</v>
      </c>
      <c r="K487">
        <v>5.0146392551444041</v>
      </c>
      <c r="L487">
        <v>-1.8451258833401596</v>
      </c>
      <c r="M487">
        <v>0.96860189646790218</v>
      </c>
      <c r="N487">
        <v>1.2634089777761259</v>
      </c>
      <c r="O487">
        <v>-5.2455899999998001E-3</v>
      </c>
      <c r="P487">
        <v>2.9808120483590717</v>
      </c>
      <c r="Q487">
        <v>3.2524955509878772</v>
      </c>
      <c r="R487">
        <v>3.3763088947061703</v>
      </c>
      <c r="S487">
        <v>3.1280991469984754</v>
      </c>
      <c r="T487">
        <v>2.9988051605431387</v>
      </c>
      <c r="U487">
        <v>-4.7806342218237319E-7</v>
      </c>
      <c r="V487">
        <v>3.6012354736299379</v>
      </c>
      <c r="W487">
        <v>0.21758049600326679</v>
      </c>
      <c r="X487">
        <v>-0.57878456000000078</v>
      </c>
      <c r="Y487">
        <v>0.12062918999999998</v>
      </c>
      <c r="Z487">
        <v>0.61068869999999997</v>
      </c>
    </row>
    <row r="488" spans="1:26">
      <c r="A488" s="54" t="str">
        <f>CONCATENATE(raw[[#This Row],[redis_ls]],raw[[#This Row],[wage_eq]],raw[[#This Row],[flex]],raw[[#This Row],[expo]],raw[[#This Row],[_date_]])</f>
        <v>101046388</v>
      </c>
      <c r="B488" s="1">
        <v>46388</v>
      </c>
      <c r="C488">
        <v>1</v>
      </c>
      <c r="D488">
        <v>0</v>
      </c>
      <c r="E488">
        <v>1</v>
      </c>
      <c r="F488">
        <v>0</v>
      </c>
      <c r="G488">
        <v>0.98946595465754239</v>
      </c>
      <c r="H488">
        <v>240.66623999999865</v>
      </c>
      <c r="I488">
        <v>-7.7309523505185158</v>
      </c>
      <c r="J488">
        <v>1.2079297386260457</v>
      </c>
      <c r="K488">
        <v>4.97067674285947</v>
      </c>
      <c r="L488">
        <v>-1.8024080304396395</v>
      </c>
      <c r="M488">
        <v>0.93773210252956485</v>
      </c>
      <c r="N488">
        <v>1.203309915829287</v>
      </c>
      <c r="O488">
        <v>-4.0911400000009923E-3</v>
      </c>
      <c r="P488">
        <v>2.8905284834395584</v>
      </c>
      <c r="Q488">
        <v>3.1490261034265332</v>
      </c>
      <c r="R488">
        <v>3.2618299102734394</v>
      </c>
      <c r="S488">
        <v>3.0357273014764985</v>
      </c>
      <c r="T488">
        <v>2.9039299018785769</v>
      </c>
      <c r="U488">
        <v>-4.1010342899383545E-7</v>
      </c>
      <c r="V488">
        <v>3.5022847645452382</v>
      </c>
      <c r="W488">
        <v>0.23285944371083112</v>
      </c>
      <c r="X488">
        <v>-0.56933712000000058</v>
      </c>
      <c r="Y488">
        <v>0.11391239000000004</v>
      </c>
      <c r="Z488">
        <v>0.56697702999999999</v>
      </c>
    </row>
    <row r="489" spans="1:26">
      <c r="A489" s="54" t="str">
        <f>CONCATENATE(raw[[#This Row],[redis_ls]],raw[[#This Row],[wage_eq]],raw[[#This Row],[flex]],raw[[#This Row],[expo]],raw[[#This Row],[_date_]])</f>
        <v>101046753</v>
      </c>
      <c r="B489" s="1">
        <v>46753</v>
      </c>
      <c r="C489">
        <v>1</v>
      </c>
      <c r="D489">
        <v>0</v>
      </c>
      <c r="E489">
        <v>1</v>
      </c>
      <c r="F489">
        <v>0</v>
      </c>
      <c r="G489">
        <v>0.96259764638852996</v>
      </c>
      <c r="H489">
        <v>237.29861000000164</v>
      </c>
      <c r="I489">
        <v>-7.592836889969834</v>
      </c>
      <c r="J489">
        <v>1.1464564202036343</v>
      </c>
      <c r="K489">
        <v>4.9139454949830297</v>
      </c>
      <c r="L489">
        <v>-1.7555070898692238</v>
      </c>
      <c r="M489">
        <v>0.90355154622239198</v>
      </c>
      <c r="N489">
        <v>1.1430053227120318</v>
      </c>
      <c r="O489">
        <v>-3.0580299999999339E-3</v>
      </c>
      <c r="P489">
        <v>2.7960520944253719</v>
      </c>
      <c r="Q489">
        <v>3.0404167566156381</v>
      </c>
      <c r="R489">
        <v>3.1411756060599316</v>
      </c>
      <c r="S489">
        <v>2.939247518127841</v>
      </c>
      <c r="T489">
        <v>2.8050887866629015</v>
      </c>
      <c r="U489">
        <v>-4.5949963833891161E-7</v>
      </c>
      <c r="V489">
        <v>3.3963126261597809</v>
      </c>
      <c r="W489">
        <v>0.24736674319045804</v>
      </c>
      <c r="X489">
        <v>-0.55970995000000079</v>
      </c>
      <c r="Y489">
        <v>0.10792783</v>
      </c>
      <c r="Z489">
        <v>0.52386073499999986</v>
      </c>
    </row>
    <row r="490" spans="1:26">
      <c r="A490" s="54" t="str">
        <f>CONCATENATE(raw[[#This Row],[redis_ls]],raw[[#This Row],[wage_eq]],raw[[#This Row],[flex]],raw[[#This Row],[expo]],raw[[#This Row],[_date_]])</f>
        <v>101047119</v>
      </c>
      <c r="B490" s="1">
        <v>47119</v>
      </c>
      <c r="C490">
        <v>1</v>
      </c>
      <c r="D490">
        <v>0</v>
      </c>
      <c r="E490">
        <v>1</v>
      </c>
      <c r="F490">
        <v>0</v>
      </c>
      <c r="G490">
        <v>0.93518362766915608</v>
      </c>
      <c r="H490">
        <v>233.80115999999907</v>
      </c>
      <c r="I490">
        <v>-7.4601747879475706</v>
      </c>
      <c r="J490">
        <v>1.0853163428001134</v>
      </c>
      <c r="K490">
        <v>4.8452582163030389</v>
      </c>
      <c r="L490">
        <v>-1.7051564651996975</v>
      </c>
      <c r="M490">
        <v>0.86654807171044901</v>
      </c>
      <c r="N490">
        <v>1.0829125091751379</v>
      </c>
      <c r="O490">
        <v>-2.1312699999997964E-3</v>
      </c>
      <c r="P490">
        <v>2.6984780287358179</v>
      </c>
      <c r="Q490">
        <v>2.9279675187813492</v>
      </c>
      <c r="R490">
        <v>3.0158731188421051</v>
      </c>
      <c r="S490">
        <v>2.8397307521763837</v>
      </c>
      <c r="T490">
        <v>2.7033805407684408</v>
      </c>
      <c r="U490">
        <v>-4.5048984542717108E-7</v>
      </c>
      <c r="V490">
        <v>3.2848449848247308</v>
      </c>
      <c r="W490">
        <v>0.26109746389406663</v>
      </c>
      <c r="X490">
        <v>-0.5497897700000004</v>
      </c>
      <c r="Y490">
        <v>0.10266155000000013</v>
      </c>
      <c r="Z490">
        <v>0.48155353399999995</v>
      </c>
    </row>
    <row r="491" spans="1:26">
      <c r="A491" s="54" t="str">
        <f>CONCATENATE(raw[[#This Row],[redis_ls]],raw[[#This Row],[wage_eq]],raw[[#This Row],[flex]],raw[[#This Row],[expo]],raw[[#This Row],[_date_]])</f>
        <v>101047484</v>
      </c>
      <c r="B491" s="1">
        <v>47484</v>
      </c>
      <c r="C491">
        <v>1</v>
      </c>
      <c r="D491">
        <v>0</v>
      </c>
      <c r="E491">
        <v>1</v>
      </c>
      <c r="F491">
        <v>0</v>
      </c>
      <c r="G491">
        <v>0.90731928397129735</v>
      </c>
      <c r="H491">
        <v>230.13298999999824</v>
      </c>
      <c r="I491">
        <v>-7.3328857553128124</v>
      </c>
      <c r="J491">
        <v>1.0248714089065913</v>
      </c>
      <c r="K491">
        <v>4.7654770154945902</v>
      </c>
      <c r="L491">
        <v>-1.6520380739664442</v>
      </c>
      <c r="M491">
        <v>0.82718485229182903</v>
      </c>
      <c r="N491">
        <v>1.023407945247623</v>
      </c>
      <c r="O491">
        <v>-1.2983000000008071E-3</v>
      </c>
      <c r="P491">
        <v>2.5987940347141913</v>
      </c>
      <c r="Q491">
        <v>2.8128548252746022</v>
      </c>
      <c r="R491">
        <v>2.8873066049038609</v>
      </c>
      <c r="S491">
        <v>2.7381447867202091</v>
      </c>
      <c r="T491">
        <v>2.5997949944386312</v>
      </c>
      <c r="U491">
        <v>-4.416567112031089E-7</v>
      </c>
      <c r="V491">
        <v>3.1692668872567387</v>
      </c>
      <c r="W491">
        <v>0.27404770159511482</v>
      </c>
      <c r="X491">
        <v>-0.53948888000000106</v>
      </c>
      <c r="Y491">
        <v>9.8091980000000051E-2</v>
      </c>
      <c r="Z491">
        <v>0.44024853800000013</v>
      </c>
    </row>
    <row r="492" spans="1:26">
      <c r="A492" s="54" t="str">
        <f>CONCATENATE(raw[[#This Row],[redis_ls]],raw[[#This Row],[wage_eq]],raw[[#This Row],[flex]],raw[[#This Row],[expo]],raw[[#This Row],[_date_]])</f>
        <v>101047849</v>
      </c>
      <c r="B492" s="1">
        <v>47849</v>
      </c>
      <c r="C492">
        <v>1</v>
      </c>
      <c r="D492">
        <v>0</v>
      </c>
      <c r="E492">
        <v>1</v>
      </c>
      <c r="F492">
        <v>0</v>
      </c>
      <c r="G492">
        <v>0.87910465141731731</v>
      </c>
      <c r="H492">
        <v>226.26313999999911</v>
      </c>
      <c r="I492">
        <v>-7.2108658212056138</v>
      </c>
      <c r="J492">
        <v>0.96544748551319337</v>
      </c>
      <c r="K492">
        <v>4.6755002989925964</v>
      </c>
      <c r="L492">
        <v>-1.5967806663007234</v>
      </c>
      <c r="M492">
        <v>0.7859004634358735</v>
      </c>
      <c r="N492">
        <v>0.96482888167315206</v>
      </c>
      <c r="O492">
        <v>-5.4905000000105009E-4</v>
      </c>
      <c r="P492">
        <v>2.4978842370395382</v>
      </c>
      <c r="Q492">
        <v>2.6961355957020761</v>
      </c>
      <c r="R492">
        <v>2.7567210424807698</v>
      </c>
      <c r="S492">
        <v>2.6353573569786848</v>
      </c>
      <c r="T492">
        <v>2.4952172475362522</v>
      </c>
      <c r="U492">
        <v>-4.3299677177088824E-7</v>
      </c>
      <c r="V492">
        <v>3.0508259955784434</v>
      </c>
      <c r="W492">
        <v>0.28621487541526935</v>
      </c>
      <c r="X492">
        <v>-0.52874453000000132</v>
      </c>
      <c r="Y492">
        <v>9.4190950000000093E-2</v>
      </c>
      <c r="Z492">
        <v>0.40011918799999996</v>
      </c>
    </row>
    <row r="493" spans="1:26">
      <c r="A493" s="54" t="str">
        <f>CONCATENATE(raw[[#This Row],[redis_ls]],raw[[#This Row],[wage_eq]],raw[[#This Row],[flex]],raw[[#This Row],[expo]],raw[[#This Row],[_date_]])</f>
        <v>101048214</v>
      </c>
      <c r="B493" s="1">
        <v>48214</v>
      </c>
      <c r="C493">
        <v>1</v>
      </c>
      <c r="D493">
        <v>0</v>
      </c>
      <c r="E493">
        <v>1</v>
      </c>
      <c r="F493">
        <v>0</v>
      </c>
      <c r="G493">
        <v>0.85064292523278073</v>
      </c>
      <c r="H493">
        <v>222.17033000000083</v>
      </c>
      <c r="I493">
        <v>-7.0939833821559883</v>
      </c>
      <c r="J493">
        <v>0.90733508014040343</v>
      </c>
      <c r="K493">
        <v>4.576249967218482</v>
      </c>
      <c r="L493">
        <v>-1.5399594628181412</v>
      </c>
      <c r="M493">
        <v>0.74310848457357359</v>
      </c>
      <c r="N493">
        <v>0.90747501466981184</v>
      </c>
      <c r="O493">
        <v>1.2425999999926551E-4</v>
      </c>
      <c r="P493">
        <v>2.3965336685256133</v>
      </c>
      <c r="Q493">
        <v>2.5787519753315502</v>
      </c>
      <c r="R493">
        <v>2.6252278616332836</v>
      </c>
      <c r="S493">
        <v>2.5321410414123502</v>
      </c>
      <c r="T493">
        <v>2.3904322876405759</v>
      </c>
      <c r="U493">
        <v>-4.7756997245684829E-7</v>
      </c>
      <c r="V493">
        <v>2.9306382893670602</v>
      </c>
      <c r="W493">
        <v>0.29759777797317977</v>
      </c>
      <c r="X493">
        <v>-0.51751721000000006</v>
      </c>
      <c r="Y493">
        <v>9.0924790000000005E-2</v>
      </c>
      <c r="Z493">
        <v>0.36131950299999993</v>
      </c>
    </row>
    <row r="494" spans="1:26">
      <c r="A494" s="54" t="str">
        <f>CONCATENATE(raw[[#This Row],[redis_ls]],raw[[#This Row],[wage_eq]],raw[[#This Row],[flex]],raw[[#This Row],[expo]],raw[[#This Row],[_date_]])</f>
        <v>101048580</v>
      </c>
      <c r="B494" s="1">
        <v>48580</v>
      </c>
      <c r="C494">
        <v>1</v>
      </c>
      <c r="D494">
        <v>0</v>
      </c>
      <c r="E494">
        <v>1</v>
      </c>
      <c r="F494">
        <v>0</v>
      </c>
      <c r="G494">
        <v>0.82203841389927312</v>
      </c>
      <c r="H494">
        <v>217.84210000000166</v>
      </c>
      <c r="I494">
        <v>-6.982078065609743</v>
      </c>
      <c r="J494">
        <v>0.85079018640814574</v>
      </c>
      <c r="K494">
        <v>4.468659912708639</v>
      </c>
      <c r="L494">
        <v>-1.4820967078709391</v>
      </c>
      <c r="M494">
        <v>0.69919689115143235</v>
      </c>
      <c r="N494">
        <v>0.85160880379131498</v>
      </c>
      <c r="O494">
        <v>7.2747999999983604E-4</v>
      </c>
      <c r="P494">
        <v>2.2954340825768194</v>
      </c>
      <c r="Q494">
        <v>2.4615372337986718</v>
      </c>
      <c r="R494">
        <v>2.4938115463617017</v>
      </c>
      <c r="S494">
        <v>2.4291777610232934</v>
      </c>
      <c r="T494">
        <v>2.2861301559637059</v>
      </c>
      <c r="U494">
        <v>-4.6820586296902889E-7</v>
      </c>
      <c r="V494">
        <v>2.8096938557054196</v>
      </c>
      <c r="W494">
        <v>0.30819644410360336</v>
      </c>
      <c r="X494">
        <v>-0.50578829000000047</v>
      </c>
      <c r="Y494">
        <v>8.8255430000000121E-2</v>
      </c>
      <c r="Z494">
        <v>0.32398401400000004</v>
      </c>
    </row>
    <row r="495" spans="1:26">
      <c r="A495" s="54" t="str">
        <f>CONCATENATE(raw[[#This Row],[redis_ls]],raw[[#This Row],[wage_eq]],raw[[#This Row],[flex]],raw[[#This Row],[expo]],raw[[#This Row],[_date_]])</f>
        <v>101048945</v>
      </c>
      <c r="B495" s="1">
        <v>48945</v>
      </c>
      <c r="C495">
        <v>1</v>
      </c>
      <c r="D495">
        <v>0</v>
      </c>
      <c r="E495">
        <v>1</v>
      </c>
      <c r="F495">
        <v>0</v>
      </c>
      <c r="G495">
        <v>0.79339457192202367</v>
      </c>
      <c r="H495">
        <v>213.27388000000064</v>
      </c>
      <c r="I495">
        <v>-6.8749615102379869</v>
      </c>
      <c r="J495">
        <v>0.79603433407775537</v>
      </c>
      <c r="K495">
        <v>4.3536652509028606</v>
      </c>
      <c r="L495">
        <v>-1.4236628308540444</v>
      </c>
      <c r="M495">
        <v>0.65452727118262555</v>
      </c>
      <c r="N495">
        <v>0.79745708935394788</v>
      </c>
      <c r="O495">
        <v>1.2650099999997333E-3</v>
      </c>
      <c r="P495">
        <v>2.1951892153508457</v>
      </c>
      <c r="Q495">
        <v>2.3452224126553345</v>
      </c>
      <c r="R495">
        <v>2.3633370805017373</v>
      </c>
      <c r="S495">
        <v>2.3270645963893832</v>
      </c>
      <c r="T495">
        <v>2.1829118684069337</v>
      </c>
      <c r="U495">
        <v>-4.590253399605615E-7</v>
      </c>
      <c r="V495">
        <v>2.6888645294744107</v>
      </c>
      <c r="W495">
        <v>0.31801172664747135</v>
      </c>
      <c r="X495">
        <v>-0.49355726000000072</v>
      </c>
      <c r="Y495">
        <v>8.6141519999999999E-2</v>
      </c>
      <c r="Z495">
        <v>0.28822764900000003</v>
      </c>
    </row>
    <row r="496" spans="1:26">
      <c r="A496" s="54" t="str">
        <f>CONCATENATE(raw[[#This Row],[redis_ls]],raw[[#This Row],[wage_eq]],raw[[#This Row],[flex]],raw[[#This Row],[expo]],raw[[#This Row],[_date_]])</f>
        <v>101049310</v>
      </c>
      <c r="B496" s="1">
        <v>49310</v>
      </c>
      <c r="C496">
        <v>1</v>
      </c>
      <c r="D496">
        <v>0</v>
      </c>
      <c r="E496">
        <v>1</v>
      </c>
      <c r="F496">
        <v>0</v>
      </c>
      <c r="G496">
        <v>0.76481247380340012</v>
      </c>
      <c r="H496">
        <v>208.46798000000126</v>
      </c>
      <c r="I496">
        <v>-6.7724198002035108</v>
      </c>
      <c r="J496">
        <v>0.74325527068692665</v>
      </c>
      <c r="K496">
        <v>4.2321928162864619</v>
      </c>
      <c r="L496">
        <v>-1.3650783296755953</v>
      </c>
      <c r="M496">
        <v>0.60943416708003628</v>
      </c>
      <c r="N496">
        <v>0.74521151245199313</v>
      </c>
      <c r="O496">
        <v>1.7402799999996499E-3</v>
      </c>
      <c r="P496">
        <v>2.0963214567745192</v>
      </c>
      <c r="Q496">
        <v>2.230442760588347</v>
      </c>
      <c r="R496">
        <v>2.2345573855551581</v>
      </c>
      <c r="S496">
        <v>2.2263193851301155</v>
      </c>
      <c r="T496">
        <v>2.081295727068766</v>
      </c>
      <c r="U496">
        <v>-4.5002483961553708E-7</v>
      </c>
      <c r="V496">
        <v>2.5689113762577653</v>
      </c>
      <c r="W496">
        <v>0.32704593941770277</v>
      </c>
      <c r="X496">
        <v>-0.48083894000000016</v>
      </c>
      <c r="Y496">
        <v>8.4539470000000172E-2</v>
      </c>
      <c r="Z496">
        <v>0.25414576800000005</v>
      </c>
    </row>
    <row r="497" spans="1:26">
      <c r="A497" s="54" t="str">
        <f>CONCATENATE(raw[[#This Row],[redis_ls]],raw[[#This Row],[wage_eq]],raw[[#This Row],[flex]],raw[[#This Row],[expo]],raw[[#This Row],[_date_]])</f>
        <v>101049675</v>
      </c>
      <c r="B497" s="1">
        <v>49675</v>
      </c>
      <c r="C497">
        <v>1</v>
      </c>
      <c r="D497">
        <v>0</v>
      </c>
      <c r="E497">
        <v>1</v>
      </c>
      <c r="F497">
        <v>0</v>
      </c>
      <c r="G497">
        <v>0.736389005694571</v>
      </c>
      <c r="H497">
        <v>203.43251999999848</v>
      </c>
      <c r="I497">
        <v>-6.6742168328434932</v>
      </c>
      <c r="J497">
        <v>0.6926076314005547</v>
      </c>
      <c r="K497">
        <v>4.1051530849251394</v>
      </c>
      <c r="L497">
        <v>-1.3067159323459143</v>
      </c>
      <c r="M497">
        <v>0.56422501942483549</v>
      </c>
      <c r="N497">
        <v>0.69503009657296833</v>
      </c>
      <c r="O497">
        <v>2.1560899999994998E-3</v>
      </c>
      <c r="P497">
        <v>1.999277751294537</v>
      </c>
      <c r="Q497">
        <v>2.1177447320369414</v>
      </c>
      <c r="R497">
        <v>2.1081212574033392</v>
      </c>
      <c r="S497">
        <v>2.1273865900574451</v>
      </c>
      <c r="T497">
        <v>1.9817233996057837</v>
      </c>
      <c r="U497">
        <v>-4.4120084252696756E-7</v>
      </c>
      <c r="V497">
        <v>2.4504922813947561</v>
      </c>
      <c r="W497">
        <v>0.3353024195180021</v>
      </c>
      <c r="X497">
        <v>-0.46766075000000129</v>
      </c>
      <c r="Y497">
        <v>8.3404379999999986E-2</v>
      </c>
      <c r="Z497">
        <v>0.2218144219999999</v>
      </c>
    </row>
    <row r="498" spans="1:26">
      <c r="A498" s="54" t="str">
        <f>CONCATENATE(raw[[#This Row],[redis_ls]],raw[[#This Row],[wage_eq]],raw[[#This Row],[flex]],raw[[#This Row],[expo]],raw[[#This Row],[_date_]])</f>
        <v>101050041</v>
      </c>
      <c r="B498" s="1">
        <v>50041</v>
      </c>
      <c r="C498">
        <v>1</v>
      </c>
      <c r="D498">
        <v>0</v>
      </c>
      <c r="E498">
        <v>1</v>
      </c>
      <c r="F498">
        <v>0</v>
      </c>
      <c r="G498">
        <v>0.70821585648326302</v>
      </c>
      <c r="H498">
        <v>198.18039000000135</v>
      </c>
      <c r="I498">
        <v>-6.5800978961546575</v>
      </c>
      <c r="J498">
        <v>0.64421469688276112</v>
      </c>
      <c r="K498">
        <v>3.9734331079345875</v>
      </c>
      <c r="L498">
        <v>-1.2489031186781019</v>
      </c>
      <c r="M498">
        <v>0.51917986180698428</v>
      </c>
      <c r="N498">
        <v>0.64703905470160361</v>
      </c>
      <c r="O498">
        <v>2.5149699999990616E-3</v>
      </c>
      <c r="P498">
        <v>1.9044356102206894</v>
      </c>
      <c r="Q498">
        <v>2.0075927375962976</v>
      </c>
      <c r="R498">
        <v>1.9845814208318435</v>
      </c>
      <c r="S498">
        <v>2.0306431280735282</v>
      </c>
      <c r="T498">
        <v>1.8845663863311213</v>
      </c>
      <c r="U498">
        <v>-4.3254985149232539E-7</v>
      </c>
      <c r="V498">
        <v>2.3341702539389608</v>
      </c>
      <c r="W498">
        <v>0.34278595274033208</v>
      </c>
      <c r="X498">
        <v>-0.45406019000000103</v>
      </c>
      <c r="Y498">
        <v>8.2690830000000173E-2</v>
      </c>
      <c r="Z498">
        <v>0.19129089599999993</v>
      </c>
    </row>
    <row r="499" spans="1:26">
      <c r="A499" s="54" t="str">
        <f>CONCATENATE(raw[[#This Row],[redis_ls]],raw[[#This Row],[wage_eq]],raw[[#This Row],[flex]],raw[[#This Row],[expo]],raw[[#This Row],[_date_]])</f>
        <v>101050406</v>
      </c>
      <c r="B499" s="1">
        <v>50406</v>
      </c>
      <c r="C499">
        <v>1</v>
      </c>
      <c r="D499">
        <v>0</v>
      </c>
      <c r="E499">
        <v>1</v>
      </c>
      <c r="F499">
        <v>0</v>
      </c>
      <c r="G499">
        <v>0.6803784688999448</v>
      </c>
      <c r="H499">
        <v>192.72834000000148</v>
      </c>
      <c r="I499">
        <v>-6.4897942051387769</v>
      </c>
      <c r="J499">
        <v>0.59816931926053307</v>
      </c>
      <c r="K499">
        <v>3.8378906482329445</v>
      </c>
      <c r="L499">
        <v>-1.1919248838473173</v>
      </c>
      <c r="M499">
        <v>0.47455207311424275</v>
      </c>
      <c r="N499">
        <v>0.60133412649900908</v>
      </c>
      <c r="O499">
        <v>2.8194299999992345E-3</v>
      </c>
      <c r="P499">
        <v>1.8121096777530488</v>
      </c>
      <c r="Q499">
        <v>1.9003763242001925</v>
      </c>
      <c r="R499">
        <v>1.8644021223350737</v>
      </c>
      <c r="S499">
        <v>1.9364041934750942</v>
      </c>
      <c r="T499">
        <v>1.7901320004608756</v>
      </c>
      <c r="U499">
        <v>-4.7118717816374556E-7</v>
      </c>
      <c r="V499">
        <v>2.2204209464764757</v>
      </c>
      <c r="W499">
        <v>0.34950262221624673</v>
      </c>
      <c r="X499">
        <v>-0.44008257000000134</v>
      </c>
      <c r="Y499">
        <v>8.2353610000000105E-2</v>
      </c>
      <c r="Z499">
        <v>0.1626145179999999</v>
      </c>
    </row>
    <row r="500" spans="1:26">
      <c r="A500" s="54" t="str">
        <f>CONCATENATE(raw[[#This Row],[redis_ls]],raw[[#This Row],[wage_eq]],raw[[#This Row],[flex]],raw[[#This Row],[expo]],raw[[#This Row],[_date_]])</f>
        <v>101050771</v>
      </c>
      <c r="B500" s="1">
        <v>50771</v>
      </c>
      <c r="C500">
        <v>1</v>
      </c>
      <c r="D500">
        <v>0</v>
      </c>
      <c r="E500">
        <v>1</v>
      </c>
      <c r="F500">
        <v>0</v>
      </c>
      <c r="G500">
        <v>0.65295567175791547</v>
      </c>
      <c r="H500">
        <v>187.09610999999859</v>
      </c>
      <c r="I500">
        <v>-6.4030266495361143</v>
      </c>
      <c r="J500">
        <v>0.55453630467718895</v>
      </c>
      <c r="K500">
        <v>3.6993495155536849</v>
      </c>
      <c r="L500">
        <v>-1.1360265234833022</v>
      </c>
      <c r="M500">
        <v>0.43056841845940941</v>
      </c>
      <c r="N500">
        <v>0.55798325739671029</v>
      </c>
      <c r="O500">
        <v>3.0720899999989171E-3</v>
      </c>
      <c r="P500">
        <v>1.7225570590000627</v>
      </c>
      <c r="Q500">
        <v>1.7964165263877341</v>
      </c>
      <c r="R500">
        <v>1.7479672567941584</v>
      </c>
      <c r="S500">
        <v>1.844928760465625</v>
      </c>
      <c r="T500">
        <v>1.6986693477081927</v>
      </c>
      <c r="U500">
        <v>-4.6194823521972239E-7</v>
      </c>
      <c r="V500">
        <v>2.109640215033215</v>
      </c>
      <c r="W500">
        <v>0.35545965614289798</v>
      </c>
      <c r="X500">
        <v>-0.42577904999999971</v>
      </c>
      <c r="Y500">
        <v>8.2348260000000145E-2</v>
      </c>
      <c r="Z500">
        <v>0.13580770799999997</v>
      </c>
    </row>
    <row r="501" spans="1:26">
      <c r="A501" s="54" t="str">
        <f>CONCATENATE(raw[[#This Row],[redis_ls]],raw[[#This Row],[wage_eq]],raw[[#This Row],[flex]],raw[[#This Row],[expo]],raw[[#This Row],[_date_]])</f>
        <v>101051136</v>
      </c>
      <c r="B501" s="1">
        <v>51136</v>
      </c>
      <c r="C501">
        <v>1</v>
      </c>
      <c r="D501">
        <v>0</v>
      </c>
      <c r="E501">
        <v>1</v>
      </c>
      <c r="F501">
        <v>0</v>
      </c>
      <c r="G501">
        <v>0.62601907501369514</v>
      </c>
      <c r="H501">
        <v>181.30575999999928</v>
      </c>
      <c r="I501">
        <v>-6.3195097398059952</v>
      </c>
      <c r="J501">
        <v>0.51335466724633516</v>
      </c>
      <c r="K501">
        <v>3.5585957099824927</v>
      </c>
      <c r="L501">
        <v>-1.0814164830191153</v>
      </c>
      <c r="M501">
        <v>0.38743043602316174</v>
      </c>
      <c r="N501">
        <v>0.51702862461846522</v>
      </c>
      <c r="O501">
        <v>3.2757499999994111E-3</v>
      </c>
      <c r="P501">
        <v>1.6359832400366425</v>
      </c>
      <c r="Q501">
        <v>1.6959724685671862</v>
      </c>
      <c r="R501">
        <v>1.6355875006900167</v>
      </c>
      <c r="S501">
        <v>1.7564249164845336</v>
      </c>
      <c r="T501">
        <v>1.610375276255116</v>
      </c>
      <c r="U501">
        <v>-4.5289041405993657E-7</v>
      </c>
      <c r="V501">
        <v>2.0021522975137485</v>
      </c>
      <c r="W501">
        <v>0.36066579658133868</v>
      </c>
      <c r="X501">
        <v>-0.41120491999999953</v>
      </c>
      <c r="Y501">
        <v>8.2631589999999921E-2</v>
      </c>
      <c r="Z501">
        <v>0.11087721899999993</v>
      </c>
    </row>
    <row r="502" spans="1:26">
      <c r="A502" s="54" t="str">
        <f>CONCATENATE(raw[[#This Row],[redis_ls]],raw[[#This Row],[wage_eq]],raw[[#This Row],[flex]],raw[[#This Row],[expo]],raw[[#This Row],[_date_]])</f>
        <v>101051502</v>
      </c>
      <c r="B502" s="1">
        <v>51502</v>
      </c>
      <c r="C502">
        <v>1</v>
      </c>
      <c r="D502">
        <v>0</v>
      </c>
      <c r="E502">
        <v>1</v>
      </c>
      <c r="F502">
        <v>0</v>
      </c>
      <c r="G502">
        <v>0.59963310681239168</v>
      </c>
      <c r="H502">
        <v>175.38095999999859</v>
      </c>
      <c r="I502">
        <v>-6.2389553841144192</v>
      </c>
      <c r="J502">
        <v>0.4746398764137183</v>
      </c>
      <c r="K502">
        <v>3.4163745245511024</v>
      </c>
      <c r="L502">
        <v>-1.0282694560502015</v>
      </c>
      <c r="M502">
        <v>0.3453154289801752</v>
      </c>
      <c r="N502">
        <v>0.47848923906324003</v>
      </c>
      <c r="O502">
        <v>3.4334699999999385E-3</v>
      </c>
      <c r="P502">
        <v>1.5525472308888677</v>
      </c>
      <c r="Q502">
        <v>1.5992473796082596</v>
      </c>
      <c r="R502">
        <v>1.5275075832592133</v>
      </c>
      <c r="S502">
        <v>1.6710551096466686</v>
      </c>
      <c r="T502">
        <v>1.5253998251100631</v>
      </c>
      <c r="U502">
        <v>-4.8841123367893147E-7</v>
      </c>
      <c r="V502">
        <v>1.8982161599258252</v>
      </c>
      <c r="W502">
        <v>0.36513117217540358</v>
      </c>
      <c r="X502">
        <v>-0.39641812999999942</v>
      </c>
      <c r="Y502">
        <v>8.3162040000000007E-2</v>
      </c>
      <c r="Z502">
        <v>8.7815514999999969E-2</v>
      </c>
    </row>
    <row r="503" spans="1:26">
      <c r="A503" s="54" t="str">
        <f>CONCATENATE(raw[[#This Row],[redis_ls]],raw[[#This Row],[wage_eq]],raw[[#This Row],[flex]],raw[[#This Row],[expo]],raw[[#This Row],[_date_]])</f>
        <v>101051867</v>
      </c>
      <c r="B503" s="1">
        <v>51867</v>
      </c>
      <c r="C503">
        <v>1</v>
      </c>
      <c r="D503">
        <v>0</v>
      </c>
      <c r="E503">
        <v>1</v>
      </c>
      <c r="F503">
        <v>0</v>
      </c>
      <c r="G503">
        <v>0.57385494008841409</v>
      </c>
      <c r="H503">
        <v>169.34647000000041</v>
      </c>
      <c r="I503">
        <v>-6.1610760127928099</v>
      </c>
      <c r="J503">
        <v>0.43838631670571893</v>
      </c>
      <c r="K503">
        <v>3.2733883691688392</v>
      </c>
      <c r="L503">
        <v>-0.97672929081290549</v>
      </c>
      <c r="M503">
        <v>0.30437753624057429</v>
      </c>
      <c r="N503">
        <v>0.44236320635551163</v>
      </c>
      <c r="O503">
        <v>3.5485199999990558E-3</v>
      </c>
      <c r="P503">
        <v>1.4723668873141138</v>
      </c>
      <c r="Q503">
        <v>1.5063946089011848</v>
      </c>
      <c r="R503">
        <v>1.4239131383840364</v>
      </c>
      <c r="S503">
        <v>1.5889411146900789</v>
      </c>
      <c r="T503">
        <v>1.4438513328505431</v>
      </c>
      <c r="U503">
        <v>-4.7883453868635684E-7</v>
      </c>
      <c r="V503">
        <v>1.7980326323068008</v>
      </c>
      <c r="W503">
        <v>0.36886716775959005</v>
      </c>
      <c r="X503">
        <v>-0.38147806999999923</v>
      </c>
      <c r="Y503">
        <v>8.3899940000000187E-2</v>
      </c>
      <c r="Z503">
        <v>6.660221900000006E-2</v>
      </c>
    </row>
    <row r="504" spans="1:26">
      <c r="A504" s="54" t="str">
        <f>CONCATENATE(raw[[#This Row],[redis_ls]],raw[[#This Row],[wage_eq]],raw[[#This Row],[flex]],raw[[#This Row],[expo]],raw[[#This Row],[_date_]])</f>
        <v>101052232</v>
      </c>
      <c r="B504" s="1">
        <v>52232</v>
      </c>
      <c r="C504">
        <v>1</v>
      </c>
      <c r="D504">
        <v>0</v>
      </c>
      <c r="E504">
        <v>1</v>
      </c>
      <c r="F504">
        <v>0</v>
      </c>
      <c r="G504">
        <v>0.54873478591683789</v>
      </c>
      <c r="H504">
        <v>163.22767000000022</v>
      </c>
      <c r="I504">
        <v>-6.0855874115093078</v>
      </c>
      <c r="J504">
        <v>0.40456991829678213</v>
      </c>
      <c r="K504">
        <v>3.13029530365867</v>
      </c>
      <c r="L504">
        <v>-0.92691132257962661</v>
      </c>
      <c r="M504">
        <v>0.26474937103917462</v>
      </c>
      <c r="N504">
        <v>0.40863043544259181</v>
      </c>
      <c r="O504">
        <v>3.6243199999994036E-3</v>
      </c>
      <c r="P504">
        <v>1.395523403294785</v>
      </c>
      <c r="Q504">
        <v>1.4175232885328182</v>
      </c>
      <c r="R504">
        <v>1.3249372573545637</v>
      </c>
      <c r="S504">
        <v>1.5101682987451071</v>
      </c>
      <c r="T504">
        <v>1.3658012643243511</v>
      </c>
      <c r="U504">
        <v>-5.1212251106491635E-7</v>
      </c>
      <c r="V504">
        <v>1.7017510825556581</v>
      </c>
      <c r="W504">
        <v>0.3718865834406726</v>
      </c>
      <c r="X504">
        <v>-0.36644457000000047</v>
      </c>
      <c r="Y504">
        <v>8.4807770000000157E-2</v>
      </c>
      <c r="Z504">
        <v>4.7205612000000063E-2</v>
      </c>
    </row>
    <row r="505" spans="1:26">
      <c r="A505" s="54" t="str">
        <f>CONCATENATE(raw[[#This Row],[redis_ls]],raw[[#This Row],[wage_eq]],raw[[#This Row],[flex]],raw[[#This Row],[expo]],raw[[#This Row],[_date_]])</f>
        <v>101052597</v>
      </c>
      <c r="B505" s="1">
        <v>52597</v>
      </c>
      <c r="C505">
        <v>1</v>
      </c>
      <c r="D505">
        <v>0</v>
      </c>
      <c r="E505">
        <v>1</v>
      </c>
      <c r="F505">
        <v>0</v>
      </c>
      <c r="G505">
        <v>0.52431601188924759</v>
      </c>
      <c r="H505">
        <v>157.05017999999836</v>
      </c>
      <c r="I505">
        <v>-6.0122114001473825</v>
      </c>
      <c r="J505">
        <v>0.37315055544882014</v>
      </c>
      <c r="K505">
        <v>2.9877081414300344</v>
      </c>
      <c r="L505">
        <v>-0.87890578837698241</v>
      </c>
      <c r="M505">
        <v>0.22654324470159359</v>
      </c>
      <c r="N505">
        <v>0.37725473833669643</v>
      </c>
      <c r="O505">
        <v>3.6644399999993804E-3</v>
      </c>
      <c r="P505">
        <v>1.3220660358074898</v>
      </c>
      <c r="Q505">
        <v>1.332702994772772</v>
      </c>
      <c r="R505">
        <v>1.230666560249527</v>
      </c>
      <c r="S505">
        <v>1.4347902239165045</v>
      </c>
      <c r="T505">
        <v>1.2912891476220434</v>
      </c>
      <c r="U505">
        <v>-5.0208086577185895E-7</v>
      </c>
      <c r="V505">
        <v>1.6094751444351463</v>
      </c>
      <c r="W505">
        <v>0.37420338822178323</v>
      </c>
      <c r="X505">
        <v>-0.3513769900000005</v>
      </c>
      <c r="Y505">
        <v>8.5850310000000138E-2</v>
      </c>
      <c r="Z505">
        <v>2.9584109000000032E-2</v>
      </c>
    </row>
    <row r="506" spans="1:26">
      <c r="A506" s="54" t="str">
        <f>CONCATENATE(raw[[#This Row],[redis_ls]],raw[[#This Row],[wage_eq]],raw[[#This Row],[flex]],raw[[#This Row],[expo]],raw[[#This Row],[_date_]])</f>
        <v>101052963</v>
      </c>
      <c r="B506" s="1">
        <v>52963</v>
      </c>
      <c r="C506">
        <v>1</v>
      </c>
      <c r="D506">
        <v>0</v>
      </c>
      <c r="E506">
        <v>1</v>
      </c>
      <c r="F506">
        <v>0</v>
      </c>
      <c r="G506">
        <v>0.50063550767445175</v>
      </c>
      <c r="H506">
        <v>150.83950999999797</v>
      </c>
      <c r="I506">
        <v>-5.9406780137102881</v>
      </c>
      <c r="J506">
        <v>0.34407451641693676</v>
      </c>
      <c r="K506">
        <v>2.846194107182165</v>
      </c>
      <c r="L506">
        <v>-0.83278001757316478</v>
      </c>
      <c r="M506">
        <v>0.18985290697368651</v>
      </c>
      <c r="N506">
        <v>0.3481864875731544</v>
      </c>
      <c r="O506">
        <v>3.6724699999990396E-3</v>
      </c>
      <c r="P506">
        <v>1.2520158414164761</v>
      </c>
      <c r="Q506">
        <v>1.2519691599934824</v>
      </c>
      <c r="R506">
        <v>1.1411464942217009</v>
      </c>
      <c r="S506">
        <v>1.3628323529229158</v>
      </c>
      <c r="T506">
        <v>1.2203262516823798</v>
      </c>
      <c r="U506">
        <v>-5.3325585058772162E-7</v>
      </c>
      <c r="V506">
        <v>1.5212684826636291</v>
      </c>
      <c r="W506">
        <v>0.37583318695371126</v>
      </c>
      <c r="X506">
        <v>-0.33633352999999921</v>
      </c>
      <c r="Y506">
        <v>8.6994710000000072E-2</v>
      </c>
      <c r="Z506">
        <v>1.3687700000000053E-2</v>
      </c>
    </row>
    <row r="507" spans="1:26">
      <c r="A507" s="54" t="str">
        <f>CONCATENATE(raw[[#This Row],[redis_ls]],raw[[#This Row],[wage_eq]],raw[[#This Row],[flex]],raw[[#This Row],[expo]],raw[[#This Row],[_date_]])</f>
        <v>101053328</v>
      </c>
      <c r="B507" s="1">
        <v>53328</v>
      </c>
      <c r="C507">
        <v>1</v>
      </c>
      <c r="D507">
        <v>0</v>
      </c>
      <c r="E507">
        <v>1</v>
      </c>
      <c r="F507">
        <v>0</v>
      </c>
      <c r="G507">
        <v>0.47772410025224143</v>
      </c>
      <c r="H507">
        <v>144.62073999999848</v>
      </c>
      <c r="I507">
        <v>-5.8707269484675635</v>
      </c>
      <c r="J507">
        <v>0.31727656386106862</v>
      </c>
      <c r="K507">
        <v>2.7062747844325719</v>
      </c>
      <c r="L507">
        <v>-0.78858093099248849</v>
      </c>
      <c r="M507">
        <v>0.15475454796396448</v>
      </c>
      <c r="N507">
        <v>0.3213645074091831</v>
      </c>
      <c r="O507">
        <v>3.6519899999989947E-3</v>
      </c>
      <c r="P507">
        <v>1.1853697430029619</v>
      </c>
      <c r="Q507">
        <v>1.1753271989568104</v>
      </c>
      <c r="R507">
        <v>1.0563871774431632</v>
      </c>
      <c r="S507">
        <v>1.2942960958198135</v>
      </c>
      <c r="T507">
        <v>1.152899891388004</v>
      </c>
      <c r="U507">
        <v>-5.2279984785741362E-7</v>
      </c>
      <c r="V507">
        <v>1.4371600078319391</v>
      </c>
      <c r="W507">
        <v>0.37679244092576614</v>
      </c>
      <c r="X507">
        <v>-0.32137064999999965</v>
      </c>
      <c r="Y507">
        <v>8.8210580000000136E-2</v>
      </c>
      <c r="Z507">
        <v>-5.4068399999995798E-4</v>
      </c>
    </row>
    <row r="508" spans="1:26">
      <c r="A508" s="54" t="str">
        <f>CONCATENATE(raw[[#This Row],[redis_ls]],raw[[#This Row],[wage_eq]],raw[[#This Row],[flex]],raw[[#This Row],[expo]],raw[[#This Row],[_date_]])</f>
        <v>101053693</v>
      </c>
      <c r="B508" s="1">
        <v>53693</v>
      </c>
      <c r="C508">
        <v>1</v>
      </c>
      <c r="D508">
        <v>0</v>
      </c>
      <c r="E508">
        <v>1</v>
      </c>
      <c r="F508">
        <v>0</v>
      </c>
      <c r="G508">
        <v>0.45560680905984974</v>
      </c>
      <c r="H508">
        <v>138.41832000000068</v>
      </c>
      <c r="I508">
        <v>-5.8021097626884348</v>
      </c>
      <c r="J508">
        <v>0.29268217625941784</v>
      </c>
      <c r="K508">
        <v>2.5684266740167105</v>
      </c>
      <c r="L508">
        <v>-0.74633744274650304</v>
      </c>
      <c r="M508">
        <v>0.1213089273154111</v>
      </c>
      <c r="N508">
        <v>0.29671823191401714</v>
      </c>
      <c r="O508">
        <v>3.6065099999996186E-3</v>
      </c>
      <c r="P508">
        <v>1.1221037558434066</v>
      </c>
      <c r="Q508">
        <v>1.1027566912031217</v>
      </c>
      <c r="R508">
        <v>0.97636765950808169</v>
      </c>
      <c r="S508">
        <v>1.2291616516388437</v>
      </c>
      <c r="T508">
        <v>1.0889766979546023</v>
      </c>
      <c r="U508">
        <v>-5.1254887001306315E-7</v>
      </c>
      <c r="V508">
        <v>1.3571486618419337</v>
      </c>
      <c r="W508">
        <v>0.37709912256160827</v>
      </c>
      <c r="X508">
        <v>-0.30654251999999993</v>
      </c>
      <c r="Y508">
        <v>8.9469970000000121E-2</v>
      </c>
      <c r="Z508">
        <v>-1.3163878999999934E-2</v>
      </c>
    </row>
    <row r="509" spans="1:26">
      <c r="A509" s="54" t="str">
        <f>CONCATENATE(raw[[#This Row],[redis_ls]],raw[[#This Row],[wage_eq]],raw[[#This Row],[flex]],raw[[#This Row],[expo]],raw[[#This Row],[_date_]])</f>
        <v>101054058</v>
      </c>
      <c r="B509" s="1">
        <v>54058</v>
      </c>
      <c r="C509">
        <v>1</v>
      </c>
      <c r="D509">
        <v>0</v>
      </c>
      <c r="E509">
        <v>1</v>
      </c>
      <c r="F509">
        <v>0</v>
      </c>
      <c r="G509">
        <v>0.43430337535395047</v>
      </c>
      <c r="H509">
        <v>132.25587000000087</v>
      </c>
      <c r="I509">
        <v>-5.7345903195843988</v>
      </c>
      <c r="J509">
        <v>0.27020939372686126</v>
      </c>
      <c r="K509">
        <v>2.4330818110728458</v>
      </c>
      <c r="L509">
        <v>-0.70606301636882973</v>
      </c>
      <c r="M509">
        <v>8.9561899783308085E-2</v>
      </c>
      <c r="N509">
        <v>0.27416943319253928</v>
      </c>
      <c r="O509">
        <v>3.5394099999988549E-3</v>
      </c>
      <c r="P509">
        <v>1.0621763524727434</v>
      </c>
      <c r="Q509">
        <v>1.0342149552372337</v>
      </c>
      <c r="R509">
        <v>0.90104061161027094</v>
      </c>
      <c r="S509">
        <v>1.1673914637836624</v>
      </c>
      <c r="T509">
        <v>1.0285059119490958</v>
      </c>
      <c r="U509">
        <v>-5.4115264491727544E-7</v>
      </c>
      <c r="V509">
        <v>1.2812076725298605</v>
      </c>
      <c r="W509">
        <v>0.37677222981795655</v>
      </c>
      <c r="X509">
        <v>-0.29190072000000039</v>
      </c>
      <c r="Y509">
        <v>9.0747400000000186E-2</v>
      </c>
      <c r="Z509">
        <v>-2.4249297999999996E-2</v>
      </c>
    </row>
    <row r="510" spans="1:26">
      <c r="A510" s="54" t="str">
        <f>CONCATENATE(raw[[#This Row],[redis_ls]],raw[[#This Row],[wage_eq]],raw[[#This Row],[flex]],raw[[#This Row],[expo]],raw[[#This Row],[_date_]])</f>
        <v>101054424</v>
      </c>
      <c r="B510" s="1">
        <v>54424</v>
      </c>
      <c r="C510">
        <v>1</v>
      </c>
      <c r="D510">
        <v>0</v>
      </c>
      <c r="E510">
        <v>1</v>
      </c>
      <c r="F510">
        <v>0</v>
      </c>
      <c r="G510">
        <v>0.41382842823478594</v>
      </c>
      <c r="H510">
        <v>126.1559699999998</v>
      </c>
      <c r="I510">
        <v>-5.6679464129944286</v>
      </c>
      <c r="J510">
        <v>0.24977053838965979</v>
      </c>
      <c r="K510">
        <v>2.3006289470654195</v>
      </c>
      <c r="L510">
        <v>-0.66775703700172606</v>
      </c>
      <c r="M510">
        <v>5.9546512244268435E-2</v>
      </c>
      <c r="N510">
        <v>0.25363409230911849</v>
      </c>
      <c r="O510">
        <v>3.4538899999991823E-3</v>
      </c>
      <c r="P510">
        <v>1.0055309715385041</v>
      </c>
      <c r="Q510">
        <v>0.969640650501713</v>
      </c>
      <c r="R510">
        <v>0.83033621011003866</v>
      </c>
      <c r="S510">
        <v>1.1089329266442904</v>
      </c>
      <c r="T510">
        <v>0.97142228680349163</v>
      </c>
      <c r="U510">
        <v>-5.3054182158618346E-7</v>
      </c>
      <c r="V510">
        <v>1.2092887016390996</v>
      </c>
      <c r="W510">
        <v>0.37583185828446997</v>
      </c>
      <c r="X510">
        <v>-0.27749375999999992</v>
      </c>
      <c r="Y510">
        <v>9.2019770000000001E-2</v>
      </c>
      <c r="Z510">
        <v>-3.3867857000000057E-2</v>
      </c>
    </row>
    <row r="511" spans="1:26">
      <c r="A511" s="54" t="str">
        <f>CONCATENATE(raw[[#This Row],[redis_ls]],raw[[#This Row],[wage_eq]],raw[[#This Row],[flex]],raw[[#This Row],[expo]],raw[[#This Row],[_date_]])</f>
        <v>101054789</v>
      </c>
      <c r="B511" s="1">
        <v>54789</v>
      </c>
      <c r="C511">
        <v>1</v>
      </c>
      <c r="D511">
        <v>0</v>
      </c>
      <c r="E511">
        <v>1</v>
      </c>
      <c r="F511">
        <v>0</v>
      </c>
      <c r="G511">
        <v>0.39419209249444975</v>
      </c>
      <c r="H511">
        <v>120.14002999999866</v>
      </c>
      <c r="I511">
        <v>-5.6019701896699576</v>
      </c>
      <c r="J511">
        <v>0.2312735883845729</v>
      </c>
      <c r="K511">
        <v>2.171414625092849</v>
      </c>
      <c r="L511">
        <v>-0.63140690189567028</v>
      </c>
      <c r="M511">
        <v>3.1283763423028965E-2</v>
      </c>
      <c r="N511">
        <v>0.2350236317523402</v>
      </c>
      <c r="O511">
        <v>3.3529599999998494E-3</v>
      </c>
      <c r="P511">
        <v>0.9520988940757924</v>
      </c>
      <c r="Q511">
        <v>0.90895666728636471</v>
      </c>
      <c r="R511">
        <v>0.76416571250566001</v>
      </c>
      <c r="S511">
        <v>1.0537207234874169</v>
      </c>
      <c r="T511">
        <v>0.91764863736243374</v>
      </c>
      <c r="U511">
        <v>-5.201390207432155E-7</v>
      </c>
      <c r="V511">
        <v>1.1413250888549609</v>
      </c>
      <c r="W511">
        <v>0.37429912169371082</v>
      </c>
      <c r="X511">
        <v>-0.26336697000000076</v>
      </c>
      <c r="Y511">
        <v>9.3266349999999998E-2</v>
      </c>
      <c r="Z511">
        <v>-4.2092980999999981E-2</v>
      </c>
    </row>
    <row r="512" spans="1:26">
      <c r="A512" s="54" t="str">
        <f>CONCATENATE(raw[[#This Row],[redis_ls]],raw[[#This Row],[wage_eq]],raw[[#This Row],[flex]],raw[[#This Row],[expo]],raw[[#This Row],[_date_]])</f>
        <v>100136526</v>
      </c>
      <c r="B512" s="1">
        <v>36526</v>
      </c>
      <c r="C512">
        <v>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>
      <c r="A513" s="54" t="str">
        <f>CONCATENATE(raw[[#This Row],[redis_ls]],raw[[#This Row],[wage_eq]],raw[[#This Row],[flex]],raw[[#This Row],[expo]],raw[[#This Row],[_date_]])</f>
        <v>100136892</v>
      </c>
      <c r="B513" s="1">
        <v>36892</v>
      </c>
      <c r="C513">
        <v>1</v>
      </c>
      <c r="D513">
        <v>0</v>
      </c>
      <c r="E513">
        <v>0</v>
      </c>
      <c r="F513">
        <v>1</v>
      </c>
      <c r="G513">
        <v>1.588066502922203E-3</v>
      </c>
      <c r="H513">
        <v>18.11446000000069</v>
      </c>
      <c r="I513">
        <v>-1.242762565466482</v>
      </c>
      <c r="J513">
        <v>4.6028134802189591E-2</v>
      </c>
      <c r="K513">
        <v>-0.18076763218272118</v>
      </c>
      <c r="L513">
        <v>-0.12430871885040773</v>
      </c>
      <c r="M513">
        <v>-0.14824012863362546</v>
      </c>
      <c r="N513">
        <v>6.4257651345944744E-2</v>
      </c>
      <c r="O513">
        <v>1.6327230000000303E-2</v>
      </c>
      <c r="P513">
        <v>0.4513079407340026</v>
      </c>
      <c r="Q513">
        <v>6.5161078367470537E-2</v>
      </c>
      <c r="R513">
        <v>-0.71668637184639783</v>
      </c>
      <c r="S513">
        <v>0.84238029329177788</v>
      </c>
      <c r="T513">
        <v>0.20767960763952154</v>
      </c>
      <c r="U513">
        <v>-9.8039221185786118E-8</v>
      </c>
      <c r="V513">
        <v>1.1364220542842141E-2</v>
      </c>
      <c r="W513">
        <v>0.73330608973782851</v>
      </c>
      <c r="X513">
        <v>-5.4105999999999599E-2</v>
      </c>
      <c r="Y513">
        <v>6.5309009999999987E-2</v>
      </c>
      <c r="Z513">
        <v>-2.8947909000000098E-2</v>
      </c>
    </row>
    <row r="514" spans="1:26">
      <c r="A514" s="54" t="str">
        <f>CONCATENATE(raw[[#This Row],[redis_ls]],raw[[#This Row],[wage_eq]],raw[[#This Row],[flex]],raw[[#This Row],[expo]],raw[[#This Row],[_date_]])</f>
        <v>100137257</v>
      </c>
      <c r="B514" s="1">
        <v>37257</v>
      </c>
      <c r="C514">
        <v>1</v>
      </c>
      <c r="D514">
        <v>0</v>
      </c>
      <c r="E514">
        <v>0</v>
      </c>
      <c r="F514">
        <v>1</v>
      </c>
      <c r="G514">
        <v>-9.8470344685575029E-3</v>
      </c>
      <c r="H514">
        <v>32.914160000000265</v>
      </c>
      <c r="I514">
        <v>-2.064787919465505</v>
      </c>
      <c r="J514">
        <v>0.10673269114382933</v>
      </c>
      <c r="K514">
        <v>-0.35370874126826601</v>
      </c>
      <c r="L514">
        <v>-0.2882323034930967</v>
      </c>
      <c r="M514">
        <v>-0.24368419188809387</v>
      </c>
      <c r="N514">
        <v>0.12813118657066802</v>
      </c>
      <c r="O514">
        <v>1.9153380000000442E-2</v>
      </c>
      <c r="P514">
        <v>0.49926557045436581</v>
      </c>
      <c r="Q514">
        <v>0.12794011906196445</v>
      </c>
      <c r="R514">
        <v>-0.63258669620801511</v>
      </c>
      <c r="S514">
        <v>0.88516676193273192</v>
      </c>
      <c r="T514">
        <v>0.33683141067200051</v>
      </c>
      <c r="U514">
        <v>-9.6116881120877906E-8</v>
      </c>
      <c r="V514">
        <v>0.15488386638353724</v>
      </c>
      <c r="W514">
        <v>0.79248373005134098</v>
      </c>
      <c r="X514">
        <v>-9.3591159999999174E-2</v>
      </c>
      <c r="Y514">
        <v>8.2826260000000082E-2</v>
      </c>
      <c r="Z514">
        <v>1.0197559999999481E-3</v>
      </c>
    </row>
    <row r="515" spans="1:26">
      <c r="A515" s="54" t="str">
        <f>CONCATENATE(raw[[#This Row],[redis_ls]],raw[[#This Row],[wage_eq]],raw[[#This Row],[flex]],raw[[#This Row],[expo]],raw[[#This Row],[_date_]])</f>
        <v>100137622</v>
      </c>
      <c r="B515" s="1">
        <v>37622</v>
      </c>
      <c r="C515">
        <v>1</v>
      </c>
      <c r="D515">
        <v>0</v>
      </c>
      <c r="E515">
        <v>0</v>
      </c>
      <c r="F515">
        <v>1</v>
      </c>
      <c r="G515">
        <v>-3.993783478443147E-2</v>
      </c>
      <c r="H515">
        <v>37.987740000000485</v>
      </c>
      <c r="I515">
        <v>-2.5755414599256343</v>
      </c>
      <c r="J515">
        <v>0.1520714737253348</v>
      </c>
      <c r="K515">
        <v>-0.5057813895131047</v>
      </c>
      <c r="L515">
        <v>-0.45851400364581574</v>
      </c>
      <c r="M515">
        <v>-0.2924712699253762</v>
      </c>
      <c r="N515">
        <v>0.16177756430919565</v>
      </c>
      <c r="O515">
        <v>8.6848700000002887E-3</v>
      </c>
      <c r="P515">
        <v>0.55737998530223098</v>
      </c>
      <c r="Q515">
        <v>0.1993180409508355</v>
      </c>
      <c r="R515">
        <v>-0.53601263741697158</v>
      </c>
      <c r="S515">
        <v>0.93225917922568069</v>
      </c>
      <c r="T515">
        <v>0.43033910370979811</v>
      </c>
      <c r="U515">
        <v>-9.4232244229885964E-8</v>
      </c>
      <c r="V515">
        <v>0.30617502812186892</v>
      </c>
      <c r="W515">
        <v>0.84672622144610354</v>
      </c>
      <c r="X515">
        <v>-0.10292414999999999</v>
      </c>
      <c r="Y515">
        <v>7.8157989999999913E-2</v>
      </c>
      <c r="Z515">
        <v>-2.6760439999998914E-3</v>
      </c>
    </row>
    <row r="516" spans="1:26">
      <c r="A516" s="54" t="str">
        <f>CONCATENATE(raw[[#This Row],[redis_ls]],raw[[#This Row],[wage_eq]],raw[[#This Row],[flex]],raw[[#This Row],[expo]],raw[[#This Row],[_date_]])</f>
        <v>100137987</v>
      </c>
      <c r="B516" s="1">
        <v>37987</v>
      </c>
      <c r="C516">
        <v>1</v>
      </c>
      <c r="D516">
        <v>0</v>
      </c>
      <c r="E516">
        <v>0</v>
      </c>
      <c r="F516">
        <v>1</v>
      </c>
      <c r="G516">
        <v>-8.8370302728468797E-2</v>
      </c>
      <c r="H516">
        <v>32.716019999999844</v>
      </c>
      <c r="I516">
        <v>-2.8943109704306802</v>
      </c>
      <c r="J516">
        <v>0.16561392604181879</v>
      </c>
      <c r="K516">
        <v>-0.63953646822895172</v>
      </c>
      <c r="L516">
        <v>-0.6201432414297825</v>
      </c>
      <c r="M516">
        <v>-0.32098234286349614</v>
      </c>
      <c r="N516">
        <v>0.15853159603376188</v>
      </c>
      <c r="O516">
        <v>-6.3374000000004926E-3</v>
      </c>
      <c r="P516">
        <v>0.61629737494812709</v>
      </c>
      <c r="Q516">
        <v>0.27114170319710862</v>
      </c>
      <c r="R516">
        <v>-0.43760765449464278</v>
      </c>
      <c r="S516">
        <v>0.97808254149049922</v>
      </c>
      <c r="T516">
        <v>0.50186082700673929</v>
      </c>
      <c r="U516">
        <v>-1.8476907781561636E-7</v>
      </c>
      <c r="V516">
        <v>0.43485351812870832</v>
      </c>
      <c r="W516">
        <v>0.87629589501063698</v>
      </c>
      <c r="X516">
        <v>-8.3507699999998963E-2</v>
      </c>
      <c r="Y516">
        <v>6.4708210000000155E-2</v>
      </c>
      <c r="Z516">
        <v>-3.2928928999999968E-2</v>
      </c>
    </row>
    <row r="517" spans="1:26">
      <c r="A517" s="54" t="str">
        <f>CONCATENATE(raw[[#This Row],[redis_ls]],raw[[#This Row],[wage_eq]],raw[[#This Row],[flex]],raw[[#This Row],[expo]],raw[[#This Row],[_date_]])</f>
        <v>100138353</v>
      </c>
      <c r="B517" s="1">
        <v>38353</v>
      </c>
      <c r="C517">
        <v>1</v>
      </c>
      <c r="D517">
        <v>0</v>
      </c>
      <c r="E517">
        <v>0</v>
      </c>
      <c r="F517">
        <v>1</v>
      </c>
      <c r="G517">
        <v>-0.14876528326083216</v>
      </c>
      <c r="H517">
        <v>19.088629999998375</v>
      </c>
      <c r="I517">
        <v>-3.0957171466149846</v>
      </c>
      <c r="J517">
        <v>0.14944746334408787</v>
      </c>
      <c r="K517">
        <v>-0.75874928938518549</v>
      </c>
      <c r="L517">
        <v>-0.76471571542062744</v>
      </c>
      <c r="M517">
        <v>-0.34416930451866001</v>
      </c>
      <c r="N517">
        <v>0.13061927630133585</v>
      </c>
      <c r="O517">
        <v>-1.6852190000000988E-2</v>
      </c>
      <c r="P517">
        <v>0.66742714542529225</v>
      </c>
      <c r="Q517">
        <v>0.33431656269551357</v>
      </c>
      <c r="R517">
        <v>-0.34889049597335298</v>
      </c>
      <c r="S517">
        <v>1.0160757210157412</v>
      </c>
      <c r="T517">
        <v>0.55488846217195409</v>
      </c>
      <c r="U517">
        <v>-1.8114615363273856E-7</v>
      </c>
      <c r="V517">
        <v>0.53603138886959556</v>
      </c>
      <c r="W517">
        <v>0.88802009918880209</v>
      </c>
      <c r="X517">
        <v>-4.2849770000000231E-2</v>
      </c>
      <c r="Y517">
        <v>4.9065019999999793E-2</v>
      </c>
      <c r="Z517">
        <v>-7.758048099999991E-2</v>
      </c>
    </row>
    <row r="518" spans="1:26">
      <c r="A518" s="54" t="str">
        <f>CONCATENATE(raw[[#This Row],[redis_ls]],raw[[#This Row],[wage_eq]],raw[[#This Row],[flex]],raw[[#This Row],[expo]],raw[[#This Row],[_date_]])</f>
        <v>100138718</v>
      </c>
      <c r="B518" s="1">
        <v>38718</v>
      </c>
      <c r="C518">
        <v>1</v>
      </c>
      <c r="D518">
        <v>0</v>
      </c>
      <c r="E518">
        <v>0</v>
      </c>
      <c r="F518">
        <v>1</v>
      </c>
      <c r="G518">
        <v>-0.21295867801980339</v>
      </c>
      <c r="H518">
        <v>0.13737000000037369</v>
      </c>
      <c r="I518">
        <v>-3.2219461532857818</v>
      </c>
      <c r="J518">
        <v>0.11361426943012898</v>
      </c>
      <c r="K518">
        <v>-0.86459107807106417</v>
      </c>
      <c r="L518">
        <v>-0.88707980467630509</v>
      </c>
      <c r="M518">
        <v>-0.36699857334190344</v>
      </c>
      <c r="N518">
        <v>9.0646172004649195E-2</v>
      </c>
      <c r="O518">
        <v>-2.0565979999999373E-2</v>
      </c>
      <c r="P518">
        <v>0.706004111367875</v>
      </c>
      <c r="Q518">
        <v>0.38341245593436213</v>
      </c>
      <c r="R518">
        <v>-0.27679790555399375</v>
      </c>
      <c r="S518">
        <v>1.0423930661042746</v>
      </c>
      <c r="T518">
        <v>0.59062590529237458</v>
      </c>
      <c r="U518">
        <v>-2.6639142003404004E-7</v>
      </c>
      <c r="V518">
        <v>0.61076572209826097</v>
      </c>
      <c r="W518">
        <v>0.89002720776869548</v>
      </c>
      <c r="X518">
        <v>9.8516999999992416E-3</v>
      </c>
      <c r="Y518">
        <v>3.4061659999999952E-2</v>
      </c>
      <c r="Z518">
        <v>-0.12639484499999998</v>
      </c>
    </row>
    <row r="519" spans="1:26">
      <c r="A519" s="54" t="str">
        <f>CONCATENATE(raw[[#This Row],[redis_ls]],raw[[#This Row],[wage_eq]],raw[[#This Row],[flex]],raw[[#This Row],[expo]],raw[[#This Row],[_date_]])</f>
        <v>100139083</v>
      </c>
      <c r="B519" s="1">
        <v>39083</v>
      </c>
      <c r="C519">
        <v>1</v>
      </c>
      <c r="D519">
        <v>0</v>
      </c>
      <c r="E519">
        <v>0</v>
      </c>
      <c r="F519">
        <v>1</v>
      </c>
      <c r="G519">
        <v>-0.27386337111614534</v>
      </c>
      <c r="H519">
        <v>-21.032780000001367</v>
      </c>
      <c r="I519">
        <v>-3.2966910152924189</v>
      </c>
      <c r="J519">
        <v>6.8931232450708535E-2</v>
      </c>
      <c r="K519">
        <v>-0.9563672392474909</v>
      </c>
      <c r="L519">
        <v>-0.98456294039693804</v>
      </c>
      <c r="M519">
        <v>-0.38944003061549548</v>
      </c>
      <c r="N519">
        <v>4.7891911433706191E-2</v>
      </c>
      <c r="O519">
        <v>-1.8846940000000201E-2</v>
      </c>
      <c r="P519">
        <v>0.73061466850194989</v>
      </c>
      <c r="Q519">
        <v>0.41669380239008902</v>
      </c>
      <c r="R519">
        <v>-0.22365509249919757</v>
      </c>
      <c r="S519">
        <v>1.0559382185032273</v>
      </c>
      <c r="T519">
        <v>0.61061308443064455</v>
      </c>
      <c r="U519">
        <v>-1.7411204700223948E-7</v>
      </c>
      <c r="V519">
        <v>0.66144366786633491</v>
      </c>
      <c r="W519">
        <v>0.88708277154136983</v>
      </c>
      <c r="X519">
        <v>6.6074139999999781E-2</v>
      </c>
      <c r="Y519">
        <v>2.0807609999999935E-2</v>
      </c>
      <c r="Z519">
        <v>-0.17222770300000001</v>
      </c>
    </row>
    <row r="520" spans="1:26">
      <c r="A520" s="54" t="str">
        <f>CONCATENATE(raw[[#This Row],[redis_ls]],raw[[#This Row],[wage_eq]],raw[[#This Row],[flex]],raw[[#This Row],[expo]],raw[[#This Row],[_date_]])</f>
        <v>100139448</v>
      </c>
      <c r="B520" s="1">
        <v>39448</v>
      </c>
      <c r="C520">
        <v>1</v>
      </c>
      <c r="D520">
        <v>0</v>
      </c>
      <c r="E520">
        <v>0</v>
      </c>
      <c r="F520">
        <v>1</v>
      </c>
      <c r="G520">
        <v>-0.32656275070970242</v>
      </c>
      <c r="H520">
        <v>-41.805550000000949</v>
      </c>
      <c r="I520">
        <v>-3.3339571564016901</v>
      </c>
      <c r="J520">
        <v>2.3988479160830245E-2</v>
      </c>
      <c r="K520">
        <v>-1.0330015766062517</v>
      </c>
      <c r="L520">
        <v>-1.0566790678223525</v>
      </c>
      <c r="M520">
        <v>-0.40983580012354803</v>
      </c>
      <c r="N520">
        <v>8.3592691774159178E-3</v>
      </c>
      <c r="O520">
        <v>-1.4006210000000463E-2</v>
      </c>
      <c r="P520">
        <v>0.7420188084287016</v>
      </c>
      <c r="Q520">
        <v>0.43497914748915623</v>
      </c>
      <c r="R520">
        <v>-0.18858543944493267</v>
      </c>
      <c r="S520">
        <v>1.0575015374946206</v>
      </c>
      <c r="T520">
        <v>0.61715871513048359</v>
      </c>
      <c r="U520">
        <v>-2.5604711684223957E-7</v>
      </c>
      <c r="V520">
        <v>0.69101174995838122</v>
      </c>
      <c r="W520">
        <v>0.8812591043922513</v>
      </c>
      <c r="X520">
        <v>0.11916229000000084</v>
      </c>
      <c r="Y520">
        <v>9.6738399999997393E-3</v>
      </c>
      <c r="Z520">
        <v>-0.21072182099999992</v>
      </c>
    </row>
    <row r="521" spans="1:26">
      <c r="A521" s="54" t="str">
        <f>CONCATENATE(raw[[#This Row],[redis_ls]],raw[[#This Row],[wage_eq]],raw[[#This Row],[flex]],raw[[#This Row],[expo]],raw[[#This Row],[_date_]])</f>
        <v>100139814</v>
      </c>
      <c r="B521" s="1">
        <v>39814</v>
      </c>
      <c r="C521">
        <v>1</v>
      </c>
      <c r="D521">
        <v>0</v>
      </c>
      <c r="E521">
        <v>0</v>
      </c>
      <c r="F521">
        <v>1</v>
      </c>
      <c r="G521">
        <v>-0.36836753862358185</v>
      </c>
      <c r="H521">
        <v>-60.298090000000229</v>
      </c>
      <c r="I521">
        <v>-3.3428494589568536</v>
      </c>
      <c r="J521">
        <v>-1.5527604175458176E-2</v>
      </c>
      <c r="K521">
        <v>-1.0939929940320225</v>
      </c>
      <c r="L521">
        <v>-1.1047454254666356</v>
      </c>
      <c r="M521">
        <v>-0.42655943616780601</v>
      </c>
      <c r="N521">
        <v>-2.4518483987368E-2</v>
      </c>
      <c r="O521">
        <v>-8.059860000000918E-3</v>
      </c>
      <c r="P521">
        <v>0.74213297009764201</v>
      </c>
      <c r="Q521">
        <v>0.44049717346916761</v>
      </c>
      <c r="R521">
        <v>-0.1689366201090059</v>
      </c>
      <c r="S521">
        <v>1.0489085359322248</v>
      </c>
      <c r="T521">
        <v>0.6130499989418281</v>
      </c>
      <c r="U521">
        <v>-2.5102657730258215E-7</v>
      </c>
      <c r="V521">
        <v>0.70283776656940855</v>
      </c>
      <c r="W521">
        <v>0.87324961579371418</v>
      </c>
      <c r="X521">
        <v>0.16469903999999924</v>
      </c>
      <c r="Y521">
        <v>7.0943999999975582E-4</v>
      </c>
      <c r="Z521">
        <v>-0.23972929599999984</v>
      </c>
    </row>
    <row r="522" spans="1:26">
      <c r="A522" s="54" t="str">
        <f>CONCATENATE(raw[[#This Row],[redis_ls]],raw[[#This Row],[wage_eq]],raw[[#This Row],[flex]],raw[[#This Row],[expo]],raw[[#This Row],[_date_]])</f>
        <v>100140179</v>
      </c>
      <c r="B522" s="1">
        <v>40179</v>
      </c>
      <c r="C522">
        <v>1</v>
      </c>
      <c r="D522">
        <v>0</v>
      </c>
      <c r="E522">
        <v>0</v>
      </c>
      <c r="F522">
        <v>1</v>
      </c>
      <c r="G522">
        <v>-0.39843166776846184</v>
      </c>
      <c r="H522">
        <v>-75.387419999999111</v>
      </c>
      <c r="I522">
        <v>-3.3299709957429591</v>
      </c>
      <c r="J522">
        <v>-4.654477154870662E-2</v>
      </c>
      <c r="K522">
        <v>-1.139743194542242</v>
      </c>
      <c r="L522">
        <v>-1.131378460379473</v>
      </c>
      <c r="M522">
        <v>-0.43862334482620557</v>
      </c>
      <c r="N522">
        <v>-4.9207291598862835E-2</v>
      </c>
      <c r="O522">
        <v>-2.3874000000007056E-3</v>
      </c>
      <c r="P522">
        <v>0.73333288744668046</v>
      </c>
      <c r="Q522">
        <v>0.43604719556946669</v>
      </c>
      <c r="R522">
        <v>-0.16133724332769717</v>
      </c>
      <c r="S522">
        <v>1.03239988326016</v>
      </c>
      <c r="T522">
        <v>0.60115197097991846</v>
      </c>
      <c r="U522">
        <v>-2.4610449234074849E-7</v>
      </c>
      <c r="V522">
        <v>0.70051602904945831</v>
      </c>
      <c r="W522">
        <v>0.86324601367884224</v>
      </c>
      <c r="X522">
        <v>0.20036365000000028</v>
      </c>
      <c r="Y522">
        <v>-6.1907900000001542E-3</v>
      </c>
      <c r="Z522">
        <v>-0.25874314399999992</v>
      </c>
    </row>
    <row r="523" spans="1:26">
      <c r="A523" s="54" t="str">
        <f>CONCATENATE(raw[[#This Row],[redis_ls]],raw[[#This Row],[wage_eq]],raw[[#This Row],[flex]],raw[[#This Row],[expo]],raw[[#This Row],[_date_]])</f>
        <v>100140544</v>
      </c>
      <c r="B523" s="1">
        <v>40544</v>
      </c>
      <c r="C523">
        <v>1</v>
      </c>
      <c r="D523">
        <v>0</v>
      </c>
      <c r="E523">
        <v>0</v>
      </c>
      <c r="F523">
        <v>1</v>
      </c>
      <c r="G523">
        <v>-0.41724841186308037</v>
      </c>
      <c r="H523">
        <v>-86.611899999999878</v>
      </c>
      <c r="I523">
        <v>-3.3005477985626031</v>
      </c>
      <c r="J523">
        <v>-6.8017057195657316E-2</v>
      </c>
      <c r="K523">
        <v>-1.1714807267154903</v>
      </c>
      <c r="L523">
        <v>-1.1399664744291771</v>
      </c>
      <c r="M523">
        <v>-0.4457584611825105</v>
      </c>
      <c r="N523">
        <v>-6.5525986347669818E-2</v>
      </c>
      <c r="O523">
        <v>2.2339999999995697E-3</v>
      </c>
      <c r="P523">
        <v>0.71802754117056278</v>
      </c>
      <c r="Q523">
        <v>0.42446437481169497</v>
      </c>
      <c r="R523">
        <v>-0.16237001029310028</v>
      </c>
      <c r="S523">
        <v>1.0102380979541969</v>
      </c>
      <c r="T523">
        <v>0.5841056011779644</v>
      </c>
      <c r="U523">
        <v>-3.217052180204405E-7</v>
      </c>
      <c r="V523">
        <v>0.68760202747981669</v>
      </c>
      <c r="W523">
        <v>0.85135437694543459</v>
      </c>
      <c r="X523">
        <v>0.22553307000000022</v>
      </c>
      <c r="Y523">
        <v>-1.1214439999999992E-2</v>
      </c>
      <c r="Z523">
        <v>-0.26839116299999988</v>
      </c>
    </row>
    <row r="524" spans="1:26">
      <c r="A524" s="54" t="str">
        <f>CONCATENATE(raw[[#This Row],[redis_ls]],raw[[#This Row],[wage_eq]],raw[[#This Row],[flex]],raw[[#This Row],[expo]],raw[[#This Row],[_date_]])</f>
        <v>100140909</v>
      </c>
      <c r="B524" s="1">
        <v>40909</v>
      </c>
      <c r="C524">
        <v>1</v>
      </c>
      <c r="D524">
        <v>0</v>
      </c>
      <c r="E524">
        <v>0</v>
      </c>
      <c r="F524">
        <v>1</v>
      </c>
      <c r="G524">
        <v>-0.42617004724614382</v>
      </c>
      <c r="H524">
        <v>-94.017459999999119</v>
      </c>
      <c r="I524">
        <v>-3.2589197614140808</v>
      </c>
      <c r="J524">
        <v>-8.0312701438900458E-2</v>
      </c>
      <c r="K524">
        <v>-1.1910052436972407</v>
      </c>
      <c r="L524">
        <v>-1.1342033082892167</v>
      </c>
      <c r="M524">
        <v>-0.44827247781563662</v>
      </c>
      <c r="N524">
        <v>-7.4195890581463253E-2</v>
      </c>
      <c r="O524">
        <v>5.4860800000000598E-3</v>
      </c>
      <c r="P524">
        <v>0.69842107506379314</v>
      </c>
      <c r="Q524">
        <v>0.40831716855305178</v>
      </c>
      <c r="R524">
        <v>-0.1689494070996056</v>
      </c>
      <c r="S524">
        <v>0.9844829290194923</v>
      </c>
      <c r="T524">
        <v>0.56415700943488467</v>
      </c>
      <c r="U524">
        <v>-2.3654795899830106E-7</v>
      </c>
      <c r="V524">
        <v>0.66736789159791421</v>
      </c>
      <c r="W524">
        <v>0.83773266133333468</v>
      </c>
      <c r="X524">
        <v>0.24080252999999913</v>
      </c>
      <c r="Y524">
        <v>-1.4594100000000013E-2</v>
      </c>
      <c r="Z524">
        <v>-0.27000211399999996</v>
      </c>
    </row>
    <row r="525" spans="1:26">
      <c r="A525" s="54" t="str">
        <f>CONCATENATE(raw[[#This Row],[redis_ls]],raw[[#This Row],[wage_eq]],raw[[#This Row],[flex]],raw[[#This Row],[expo]],raw[[#This Row],[_date_]])</f>
        <v>100141275</v>
      </c>
      <c r="B525" s="1">
        <v>41275</v>
      </c>
      <c r="C525">
        <v>1</v>
      </c>
      <c r="D525">
        <v>0</v>
      </c>
      <c r="E525">
        <v>0</v>
      </c>
      <c r="F525">
        <v>1</v>
      </c>
      <c r="G525">
        <v>-0.42700444102526935</v>
      </c>
      <c r="H525">
        <v>-97.994389999999839</v>
      </c>
      <c r="I525">
        <v>-3.2087375863044998</v>
      </c>
      <c r="J525">
        <v>-8.4674916623328489E-2</v>
      </c>
      <c r="K525">
        <v>-1.2003967368673818</v>
      </c>
      <c r="L525">
        <v>-1.1177257367560256</v>
      </c>
      <c r="M525">
        <v>-0.44684482540787718</v>
      </c>
      <c r="N525">
        <v>-7.6468559669662373E-2</v>
      </c>
      <c r="O525">
        <v>7.3603500000005151E-3</v>
      </c>
      <c r="P525">
        <v>0.6763931762582498</v>
      </c>
      <c r="Q525">
        <v>0.3897611427988501</v>
      </c>
      <c r="R525">
        <v>-0.17850233119744985</v>
      </c>
      <c r="S525">
        <v>0.95687790048857302</v>
      </c>
      <c r="T525">
        <v>0.5430913706956142</v>
      </c>
      <c r="U525">
        <v>-3.0921302185404898E-7</v>
      </c>
      <c r="V525">
        <v>0.64263393879724351</v>
      </c>
      <c r="W525">
        <v>0.82260465464154553</v>
      </c>
      <c r="X525">
        <v>0.24752841000000025</v>
      </c>
      <c r="Y525">
        <v>-1.6583499999999959E-2</v>
      </c>
      <c r="Z525">
        <v>-0.26525032800000009</v>
      </c>
    </row>
    <row r="526" spans="1:26">
      <c r="A526" s="54" t="str">
        <f>CONCATENATE(raw[[#This Row],[redis_ls]],raw[[#This Row],[wage_eq]],raw[[#This Row],[flex]],raw[[#This Row],[expo]],raw[[#This Row],[_date_]])</f>
        <v>100141640</v>
      </c>
      <c r="B526" s="1">
        <v>41640</v>
      </c>
      <c r="C526">
        <v>1</v>
      </c>
      <c r="D526">
        <v>0</v>
      </c>
      <c r="E526">
        <v>0</v>
      </c>
      <c r="F526">
        <v>1</v>
      </c>
      <c r="G526">
        <v>-0.421702913235944</v>
      </c>
      <c r="H526">
        <v>-99.130049999999756</v>
      </c>
      <c r="I526">
        <v>-3.1530372706958243</v>
      </c>
      <c r="J526">
        <v>-8.2786236136955793E-2</v>
      </c>
      <c r="K526">
        <v>-1.2017630738738405</v>
      </c>
      <c r="L526">
        <v>-1.0938631071601423</v>
      </c>
      <c r="M526">
        <v>-0.4423319893632649</v>
      </c>
      <c r="N526">
        <v>-7.3828117668028881E-2</v>
      </c>
      <c r="O526">
        <v>8.0344100000004359E-3</v>
      </c>
      <c r="P526">
        <v>0.65345545697095275</v>
      </c>
      <c r="Q526">
        <v>0.37049129718962348</v>
      </c>
      <c r="R526">
        <v>-0.18902138181279282</v>
      </c>
      <c r="S526">
        <v>0.92881002072904284</v>
      </c>
      <c r="T526">
        <v>0.52223750601834151</v>
      </c>
      <c r="U526">
        <v>-2.2736250659960433E-7</v>
      </c>
      <c r="V526">
        <v>0.6156876107857201</v>
      </c>
      <c r="W526">
        <v>0.8062329486514308</v>
      </c>
      <c r="X526">
        <v>0.24744438999999979</v>
      </c>
      <c r="Y526">
        <v>-1.7440759999999902E-2</v>
      </c>
      <c r="Z526">
        <v>-0.25588281299999993</v>
      </c>
    </row>
    <row r="527" spans="1:26">
      <c r="A527" s="54" t="str">
        <f>CONCATENATE(raw[[#This Row],[redis_ls]],raw[[#This Row],[wage_eq]],raw[[#This Row],[flex]],raw[[#This Row],[expo]],raw[[#This Row],[_date_]])</f>
        <v>100142005</v>
      </c>
      <c r="B527" s="1">
        <v>42005</v>
      </c>
      <c r="C527">
        <v>1</v>
      </c>
      <c r="D527">
        <v>0</v>
      </c>
      <c r="E527">
        <v>0</v>
      </c>
      <c r="F527">
        <v>1</v>
      </c>
      <c r="G527">
        <v>-0.41213734400573632</v>
      </c>
      <c r="H527">
        <v>-98.089530000001105</v>
      </c>
      <c r="I527">
        <v>-3.0942753277747537</v>
      </c>
      <c r="J527">
        <v>-7.6438898434938451E-2</v>
      </c>
      <c r="K527">
        <v>-1.1970541987505134</v>
      </c>
      <c r="L527">
        <v>-1.0654883339229926</v>
      </c>
      <c r="M527">
        <v>-0.43561338506109548</v>
      </c>
      <c r="N527">
        <v>-6.7766250580536536E-2</v>
      </c>
      <c r="O527">
        <v>7.7779099999994439E-3</v>
      </c>
      <c r="P527">
        <v>0.6307524841088874</v>
      </c>
      <c r="Q527">
        <v>0.35175506045153071</v>
      </c>
      <c r="R527">
        <v>-0.19904354047206585</v>
      </c>
      <c r="S527">
        <v>0.90131431295679132</v>
      </c>
      <c r="T527">
        <v>0.50251252585000739</v>
      </c>
      <c r="U527">
        <v>-2.9720588212711618E-7</v>
      </c>
      <c r="V527">
        <v>0.58827587335976705</v>
      </c>
      <c r="W527">
        <v>0.78888965849219783</v>
      </c>
      <c r="X527">
        <v>0.24236850000000087</v>
      </c>
      <c r="Y527">
        <v>-1.7416510000000177E-2</v>
      </c>
      <c r="Z527">
        <v>-0.24352762899999997</v>
      </c>
    </row>
    <row r="528" spans="1:26">
      <c r="A528" s="54" t="str">
        <f>CONCATENATE(raw[[#This Row],[redis_ls]],raw[[#This Row],[wage_eq]],raw[[#This Row],[flex]],raw[[#This Row],[expo]],raw[[#This Row],[_date_]])</f>
        <v>100142370</v>
      </c>
      <c r="B528" s="1">
        <v>42370</v>
      </c>
      <c r="C528">
        <v>1</v>
      </c>
      <c r="D528">
        <v>0</v>
      </c>
      <c r="E528">
        <v>0</v>
      </c>
      <c r="F528">
        <v>1</v>
      </c>
      <c r="G528">
        <v>-0.39995679826227981</v>
      </c>
      <c r="H528">
        <v>-95.527630000000499</v>
      </c>
      <c r="I528">
        <v>-3.0343621287002742</v>
      </c>
      <c r="J528">
        <v>-6.7308758750905806E-2</v>
      </c>
      <c r="K528">
        <v>-1.1879460154783139</v>
      </c>
      <c r="L528">
        <v>-1.0349511262288558</v>
      </c>
      <c r="M528">
        <v>-0.42748534300114382</v>
      </c>
      <c r="N528">
        <v>-5.9630806760335719E-2</v>
      </c>
      <c r="O528">
        <v>6.8852800000004932E-3</v>
      </c>
      <c r="P528">
        <v>0.60909324385243213</v>
      </c>
      <c r="Q528">
        <v>0.33440011575760487</v>
      </c>
      <c r="R528">
        <v>-0.20758738812921562</v>
      </c>
      <c r="S528">
        <v>0.87510657562877014</v>
      </c>
      <c r="T528">
        <v>0.48448654158044224</v>
      </c>
      <c r="U528">
        <v>-2.1853374665425918E-7</v>
      </c>
      <c r="V528">
        <v>0.56164843715820201</v>
      </c>
      <c r="W528">
        <v>0.77083599267162572</v>
      </c>
      <c r="X528">
        <v>0.23400063000000026</v>
      </c>
      <c r="Y528">
        <v>-1.6745409999999877E-2</v>
      </c>
      <c r="Z528">
        <v>-0.22957634700000001</v>
      </c>
    </row>
    <row r="529" spans="1:26">
      <c r="A529" s="54" t="str">
        <f>CONCATENATE(raw[[#This Row],[redis_ls]],raw[[#This Row],[wage_eq]],raw[[#This Row],[flex]],raw[[#This Row],[expo]],raw[[#This Row],[_date_]])</f>
        <v>100142736</v>
      </c>
      <c r="B529" s="1">
        <v>42736</v>
      </c>
      <c r="C529">
        <v>1</v>
      </c>
      <c r="D529">
        <v>0</v>
      </c>
      <c r="E529">
        <v>0</v>
      </c>
      <c r="F529">
        <v>1</v>
      </c>
      <c r="G529">
        <v>-0.38651139847549754</v>
      </c>
      <c r="H529">
        <v>-92.030780000000959</v>
      </c>
      <c r="I529">
        <v>-2.9747074753807556</v>
      </c>
      <c r="J529">
        <v>-5.6817480183124491E-2</v>
      </c>
      <c r="K529">
        <v>-1.1757853905784765</v>
      </c>
      <c r="L529">
        <v>-1.0040722714228068</v>
      </c>
      <c r="M529">
        <v>-0.41860025993633032</v>
      </c>
      <c r="N529">
        <v>-5.0537279163875848E-2</v>
      </c>
      <c r="O529">
        <v>5.6312900000007882E-3</v>
      </c>
      <c r="P529">
        <v>0.5889966447593098</v>
      </c>
      <c r="Q529">
        <v>0.31893892914778288</v>
      </c>
      <c r="R529">
        <v>-0.21406994169885785</v>
      </c>
      <c r="S529">
        <v>0.85063017083064629</v>
      </c>
      <c r="T529">
        <v>0.46845321791944006</v>
      </c>
      <c r="U529">
        <v>-2.1424875207287641E-7</v>
      </c>
      <c r="V529">
        <v>0.53662950796691256</v>
      </c>
      <c r="W529">
        <v>0.75230992382437911</v>
      </c>
      <c r="X529">
        <v>0.22379964999999918</v>
      </c>
      <c r="Y529">
        <v>-1.5640390000000101E-2</v>
      </c>
      <c r="Z529">
        <v>-0.21512848500000009</v>
      </c>
    </row>
    <row r="530" spans="1:26">
      <c r="A530" s="54" t="str">
        <f>CONCATENATE(raw[[#This Row],[redis_ls]],raw[[#This Row],[wage_eq]],raw[[#This Row],[flex]],raw[[#This Row],[expo]],raw[[#This Row],[_date_]])</f>
        <v>100143101</v>
      </c>
      <c r="B530" s="1">
        <v>43101</v>
      </c>
      <c r="C530">
        <v>1</v>
      </c>
      <c r="D530">
        <v>0</v>
      </c>
      <c r="E530">
        <v>0</v>
      </c>
      <c r="F530">
        <v>1</v>
      </c>
      <c r="G530">
        <v>-0.37282816840106259</v>
      </c>
      <c r="H530">
        <v>-88.084490000001097</v>
      </c>
      <c r="I530">
        <v>-2.9162802949353694</v>
      </c>
      <c r="J530">
        <v>-4.6069285688865591E-2</v>
      </c>
      <c r="K530">
        <v>-1.161582534691008</v>
      </c>
      <c r="L530">
        <v>-0.97417977868451411</v>
      </c>
      <c r="M530">
        <v>-0.40944272929259728</v>
      </c>
      <c r="N530">
        <v>-4.133456198845975E-2</v>
      </c>
      <c r="O530">
        <v>4.2451299999995973E-3</v>
      </c>
      <c r="P530">
        <v>0.57074618570100988</v>
      </c>
      <c r="Q530">
        <v>0.30561935617807734</v>
      </c>
      <c r="R530">
        <v>-0.21821951191089983</v>
      </c>
      <c r="S530">
        <v>0.82810950784704129</v>
      </c>
      <c r="T530">
        <v>0.45449879497005963</v>
      </c>
      <c r="U530">
        <v>-2.1004781247668802E-7</v>
      </c>
      <c r="V530">
        <v>0.51370097241323354</v>
      </c>
      <c r="W530">
        <v>0.73352116541454127</v>
      </c>
      <c r="X530">
        <v>0.21292525999999923</v>
      </c>
      <c r="Y530">
        <v>-1.4288780000000154E-2</v>
      </c>
      <c r="Z530">
        <v>-0.20098329300000001</v>
      </c>
    </row>
    <row r="531" spans="1:26">
      <c r="A531" s="54" t="str">
        <f>CONCATENATE(raw[[#This Row],[redis_ls]],raw[[#This Row],[wage_eq]],raw[[#This Row],[flex]],raw[[#This Row],[expo]],raw[[#This Row],[_date_]])</f>
        <v>100143466</v>
      </c>
      <c r="B531" s="1">
        <v>43466</v>
      </c>
      <c r="C531">
        <v>1</v>
      </c>
      <c r="D531">
        <v>0</v>
      </c>
      <c r="E531">
        <v>0</v>
      </c>
      <c r="F531">
        <v>1</v>
      </c>
      <c r="G531">
        <v>-0.35962466623766787</v>
      </c>
      <c r="H531">
        <v>-84.061259999998583</v>
      </c>
      <c r="I531">
        <v>-2.8596790571979724</v>
      </c>
      <c r="J531">
        <v>-3.5841847406337113E-2</v>
      </c>
      <c r="K531">
        <v>-1.1460372407580799</v>
      </c>
      <c r="L531">
        <v>-0.94617022277544427</v>
      </c>
      <c r="M531">
        <v>-0.40033290465332216</v>
      </c>
      <c r="N531">
        <v>-3.260813776397864E-2</v>
      </c>
      <c r="O531">
        <v>2.8990600000000644E-3</v>
      </c>
      <c r="P531">
        <v>0.55444337145860167</v>
      </c>
      <c r="Q531">
        <v>0.29449266093872772</v>
      </c>
      <c r="R531">
        <v>-0.21999261473267806</v>
      </c>
      <c r="S531">
        <v>0.80760356550146906</v>
      </c>
      <c r="T531">
        <v>0.44256401283950808</v>
      </c>
      <c r="U531">
        <v>-2.0592922922446633E-7</v>
      </c>
      <c r="V531">
        <v>0.49308470300457596</v>
      </c>
      <c r="W531">
        <v>0.71464942842871526</v>
      </c>
      <c r="X531">
        <v>0.20222815000000005</v>
      </c>
      <c r="Y531">
        <v>-1.2850069999999908E-2</v>
      </c>
      <c r="Z531">
        <v>-0.18766409200000003</v>
      </c>
    </row>
    <row r="532" spans="1:26">
      <c r="A532" s="54" t="str">
        <f>CONCATENATE(raw[[#This Row],[redis_ls]],raw[[#This Row],[wage_eq]],raw[[#This Row],[flex]],raw[[#This Row],[expo]],raw[[#This Row],[_date_]])</f>
        <v>100143831</v>
      </c>
      <c r="B532" s="1">
        <v>43831</v>
      </c>
      <c r="C532">
        <v>1</v>
      </c>
      <c r="D532">
        <v>0</v>
      </c>
      <c r="E532">
        <v>0</v>
      </c>
      <c r="F532">
        <v>1</v>
      </c>
      <c r="G532">
        <v>-0.34734662685705908</v>
      </c>
      <c r="H532">
        <v>-80.223070000000007</v>
      </c>
      <c r="I532">
        <v>-2.8052067662236002</v>
      </c>
      <c r="J532">
        <v>-2.6615452374112447E-2</v>
      </c>
      <c r="K532">
        <v>-1.1295849042857187</v>
      </c>
      <c r="L532">
        <v>-0.92058242653892952</v>
      </c>
      <c r="M532">
        <v>-0.39144738845846572</v>
      </c>
      <c r="N532">
        <v>-2.4710685169826441E-2</v>
      </c>
      <c r="O532">
        <v>1.7075700000007688E-3</v>
      </c>
      <c r="P532">
        <v>0.54005868615540908</v>
      </c>
      <c r="Q532">
        <v>0.2854739676518836</v>
      </c>
      <c r="R532">
        <v>-0.219501040064074</v>
      </c>
      <c r="S532">
        <v>0.78905404107108001</v>
      </c>
      <c r="T532">
        <v>0.432495928478005</v>
      </c>
      <c r="U532">
        <v>-2.0189140359505586E-7</v>
      </c>
      <c r="V532">
        <v>0.47481673941358604</v>
      </c>
      <c r="W532">
        <v>0.69584513865470488</v>
      </c>
      <c r="X532">
        <v>0.19227308000000082</v>
      </c>
      <c r="Y532">
        <v>-1.1455070000000039E-2</v>
      </c>
      <c r="Z532">
        <v>-0.17546178600000001</v>
      </c>
    </row>
    <row r="533" spans="1:26">
      <c r="A533" s="54" t="str">
        <f>CONCATENATE(raw[[#This Row],[redis_ls]],raw[[#This Row],[wage_eq]],raw[[#This Row],[flex]],raw[[#This Row],[expo]],raw[[#This Row],[_date_]])</f>
        <v>100144197</v>
      </c>
      <c r="B533" s="1">
        <v>44197</v>
      </c>
      <c r="C533">
        <v>1</v>
      </c>
      <c r="D533">
        <v>0</v>
      </c>
      <c r="E533">
        <v>0</v>
      </c>
      <c r="F533">
        <v>1</v>
      </c>
      <c r="G533">
        <v>-0.33621839812282284</v>
      </c>
      <c r="H533">
        <v>-76.733580000000075</v>
      </c>
      <c r="I533">
        <v>-2.7529448542899848</v>
      </c>
      <c r="J533">
        <v>-1.8623759287517139E-2</v>
      </c>
      <c r="K533">
        <v>-1.1124525222677928</v>
      </c>
      <c r="L533">
        <v>-0.89767352602346806</v>
      </c>
      <c r="M533">
        <v>-0.3828493435222291</v>
      </c>
      <c r="N533">
        <v>-1.7805361112088747E-2</v>
      </c>
      <c r="O533">
        <v>7.3356000000052157E-4</v>
      </c>
      <c r="P533">
        <v>0.52747512774327099</v>
      </c>
      <c r="Q533">
        <v>0.27839266904405857</v>
      </c>
      <c r="R533">
        <v>-0.21695196981640352</v>
      </c>
      <c r="S533">
        <v>0.77232683981998118</v>
      </c>
      <c r="T533">
        <v>0.42408984092856539</v>
      </c>
      <c r="U533">
        <v>-1.9793274796953142E-7</v>
      </c>
      <c r="V533">
        <v>0.45880940678495463</v>
      </c>
      <c r="W533">
        <v>0.67723060380915356</v>
      </c>
      <c r="X533">
        <v>0.18338164000000073</v>
      </c>
      <c r="Y533">
        <v>-1.020633E-2</v>
      </c>
      <c r="Z533">
        <v>-0.1644864979999999</v>
      </c>
    </row>
    <row r="534" spans="1:26">
      <c r="A534" s="54" t="str">
        <f>CONCATENATE(raw[[#This Row],[redis_ls]],raw[[#This Row],[wage_eq]],raw[[#This Row],[flex]],raw[[#This Row],[expo]],raw[[#This Row],[_date_]])</f>
        <v>100144562</v>
      </c>
      <c r="B534" s="1">
        <v>44562</v>
      </c>
      <c r="C534">
        <v>1</v>
      </c>
      <c r="D534">
        <v>0</v>
      </c>
      <c r="E534">
        <v>0</v>
      </c>
      <c r="F534">
        <v>1</v>
      </c>
      <c r="G534">
        <v>-0.32629734194651316</v>
      </c>
      <c r="H534">
        <v>-73.675480000001698</v>
      </c>
      <c r="I534">
        <v>-2.7028207153248163</v>
      </c>
      <c r="J534">
        <v>-1.1912794767898749E-2</v>
      </c>
      <c r="K534">
        <v>-1.0947154521802949</v>
      </c>
      <c r="L534">
        <v>-0.87749089820631232</v>
      </c>
      <c r="M534">
        <v>-0.37452129408870327</v>
      </c>
      <c r="N534">
        <v>-1.1914775378996101E-2</v>
      </c>
      <c r="O534">
        <v>-1.7399999996392523E-6</v>
      </c>
      <c r="P534">
        <v>0.51652432009918758</v>
      </c>
      <c r="Q534">
        <v>0.27303263220455065</v>
      </c>
      <c r="R534">
        <v>-0.21260195402466042</v>
      </c>
      <c r="S534">
        <v>0.75724527281204601</v>
      </c>
      <c r="T534">
        <v>0.41712023181488256</v>
      </c>
      <c r="U534">
        <v>-1.9405170803565852E-7</v>
      </c>
      <c r="V534">
        <v>0.44490050229639699</v>
      </c>
      <c r="W534">
        <v>0.65890325617523615</v>
      </c>
      <c r="X534">
        <v>0.17568357999999951</v>
      </c>
      <c r="Y534">
        <v>-9.1795500000001889E-3</v>
      </c>
      <c r="Z534">
        <v>-0.15471949500000004</v>
      </c>
    </row>
    <row r="535" spans="1:26">
      <c r="A535" s="54" t="str">
        <f>CONCATENATE(raw[[#This Row],[redis_ls]],raw[[#This Row],[wage_eq]],raw[[#This Row],[flex]],raw[[#This Row],[expo]],raw[[#This Row],[_date_]])</f>
        <v>100144927</v>
      </c>
      <c r="B535" s="1">
        <v>44927</v>
      </c>
      <c r="C535">
        <v>1</v>
      </c>
      <c r="D535">
        <v>0</v>
      </c>
      <c r="E535">
        <v>0</v>
      </c>
      <c r="F535">
        <v>1</v>
      </c>
      <c r="G535">
        <v>-0.31752467024374065</v>
      </c>
      <c r="H535">
        <v>-71.069669999997132</v>
      </c>
      <c r="I535">
        <v>-2.6546657278553765</v>
      </c>
      <c r="J535">
        <v>-6.4004372543058352E-3</v>
      </c>
      <c r="K535">
        <v>-1.0763497389670529</v>
      </c>
      <c r="L535">
        <v>-0.85993517144722365</v>
      </c>
      <c r="M535">
        <v>-0.36639605264958686</v>
      </c>
      <c r="N535">
        <v>-6.9667057588151948E-3</v>
      </c>
      <c r="O535">
        <v>-5.0753000000042237E-4</v>
      </c>
      <c r="P535">
        <v>0.50701329896234437</v>
      </c>
      <c r="Q535">
        <v>0.26916107364189923</v>
      </c>
      <c r="R535">
        <v>-0.20672296982339189</v>
      </c>
      <c r="S535">
        <v>0.74361522247849976</v>
      </c>
      <c r="T535">
        <v>0.41136261089316228</v>
      </c>
      <c r="U535">
        <v>-2.5366236888757498E-7</v>
      </c>
      <c r="V535">
        <v>0.43288980225375528</v>
      </c>
      <c r="W535">
        <v>0.64093774951770044</v>
      </c>
      <c r="X535">
        <v>0.16916901999999984</v>
      </c>
      <c r="Y535">
        <v>-8.4259699999998661E-3</v>
      </c>
      <c r="Z535">
        <v>-0.146059833</v>
      </c>
    </row>
    <row r="536" spans="1:26">
      <c r="A536" s="54" t="str">
        <f>CONCATENATE(raw[[#This Row],[redis_ls]],raw[[#This Row],[wage_eq]],raw[[#This Row],[flex]],raw[[#This Row],[expo]],raw[[#This Row],[_date_]])</f>
        <v>100145292</v>
      </c>
      <c r="B536" s="1">
        <v>45292</v>
      </c>
      <c r="C536">
        <v>1</v>
      </c>
      <c r="D536">
        <v>0</v>
      </c>
      <c r="E536">
        <v>0</v>
      </c>
      <c r="F536">
        <v>1</v>
      </c>
      <c r="G536">
        <v>-0.30977047665404767</v>
      </c>
      <c r="H536">
        <v>-68.893799999998009</v>
      </c>
      <c r="I536">
        <v>-2.6082620527847933</v>
      </c>
      <c r="J536">
        <v>-1.9281208564092545E-3</v>
      </c>
      <c r="K536">
        <v>-1.0572762637280131</v>
      </c>
      <c r="L536">
        <v>-0.84481304377811428</v>
      </c>
      <c r="M536">
        <v>-0.35838291532519495</v>
      </c>
      <c r="N536">
        <v>-2.8347283304919202E-3</v>
      </c>
      <c r="O536">
        <v>-8.1254999999974542E-4</v>
      </c>
      <c r="P536">
        <v>0.49874497653157324</v>
      </c>
      <c r="Q536">
        <v>0.26654860109327494</v>
      </c>
      <c r="R536">
        <v>-0.1995801197728353</v>
      </c>
      <c r="S536">
        <v>0.73124276238085706</v>
      </c>
      <c r="T536">
        <v>0.40660771738540991</v>
      </c>
      <c r="U536">
        <v>-2.4868859194171478E-7</v>
      </c>
      <c r="V536">
        <v>0.42256464963532636</v>
      </c>
      <c r="W536">
        <v>0.62338895597360278</v>
      </c>
      <c r="X536">
        <v>0.16373600000000044</v>
      </c>
      <c r="Y536">
        <v>-7.9752900000000515E-3</v>
      </c>
      <c r="Z536">
        <v>-0.138362922</v>
      </c>
    </row>
    <row r="537" spans="1:26">
      <c r="A537" s="54" t="str">
        <f>CONCATENATE(raw[[#This Row],[redis_ls]],raw[[#This Row],[wage_eq]],raw[[#This Row],[flex]],raw[[#This Row],[expo]],raw[[#This Row],[_date_]])</f>
        <v>100145658</v>
      </c>
      <c r="B537" s="1">
        <v>45658</v>
      </c>
      <c r="C537">
        <v>1</v>
      </c>
      <c r="D537">
        <v>0</v>
      </c>
      <c r="E537">
        <v>0</v>
      </c>
      <c r="F537">
        <v>1</v>
      </c>
      <c r="G537">
        <v>-0.30286935988919073</v>
      </c>
      <c r="H537">
        <v>-67.098509999999806</v>
      </c>
      <c r="I537">
        <v>-2.5633775770625977</v>
      </c>
      <c r="J537">
        <v>1.696674138540466E-3</v>
      </c>
      <c r="K537">
        <v>-1.0373952187455182</v>
      </c>
      <c r="L537">
        <v>-0.83187852804867957</v>
      </c>
      <c r="M537">
        <v>-0.35038783085542535</v>
      </c>
      <c r="N537">
        <v>6.3036659641024784E-4</v>
      </c>
      <c r="O537">
        <v>-9.5568000000045839E-4</v>
      </c>
      <c r="P537">
        <v>0.49153056918178617</v>
      </c>
      <c r="Q537">
        <v>0.26498184223695542</v>
      </c>
      <c r="R537">
        <v>-0.19141792727809248</v>
      </c>
      <c r="S537">
        <v>0.7199450090026982</v>
      </c>
      <c r="T537">
        <v>0.40266840472686916</v>
      </c>
      <c r="U537">
        <v>-2.4381235919079813E-7</v>
      </c>
      <c r="V537">
        <v>0.41371638599190241</v>
      </c>
      <c r="W537">
        <v>0.60629494184918364</v>
      </c>
      <c r="X537">
        <v>0.15923047999999995</v>
      </c>
      <c r="Y537">
        <v>-7.839080000000137E-3</v>
      </c>
      <c r="Z537">
        <v>-0.13146983700000006</v>
      </c>
    </row>
    <row r="538" spans="1:26">
      <c r="A538" s="54" t="str">
        <f>CONCATENATE(raw[[#This Row],[redis_ls]],raw[[#This Row],[wage_eq]],raw[[#This Row],[flex]],raw[[#This Row],[expo]],raw[[#This Row],[_date_]])</f>
        <v>100146023</v>
      </c>
      <c r="B538" s="1">
        <v>46023</v>
      </c>
      <c r="C538">
        <v>1</v>
      </c>
      <c r="D538">
        <v>0</v>
      </c>
      <c r="E538">
        <v>0</v>
      </c>
      <c r="F538">
        <v>1</v>
      </c>
      <c r="G538">
        <v>-0.29664731936852595</v>
      </c>
      <c r="H538">
        <v>-65.620730000002368</v>
      </c>
      <c r="I538">
        <v>-2.5197901641327514</v>
      </c>
      <c r="J538">
        <v>4.6691765153816789E-3</v>
      </c>
      <c r="K538">
        <v>-1.0166110276334295</v>
      </c>
      <c r="L538">
        <v>-0.82086384631078202</v>
      </c>
      <c r="M538">
        <v>-0.34232728367010745</v>
      </c>
      <c r="N538">
        <v>3.5771877890500292E-3</v>
      </c>
      <c r="O538">
        <v>-9.7869000000028183E-4</v>
      </c>
      <c r="P538">
        <v>0.4851976868580854</v>
      </c>
      <c r="Q538">
        <v>0.26426969744075546</v>
      </c>
      <c r="R538">
        <v>-0.182453982271924</v>
      </c>
      <c r="S538">
        <v>0.70955667757386376</v>
      </c>
      <c r="T538">
        <v>0.39938338948950491</v>
      </c>
      <c r="U538">
        <v>-2.3903171664230172E-7</v>
      </c>
      <c r="V538">
        <v>0.40615007312929663</v>
      </c>
      <c r="W538">
        <v>0.5896799210602266</v>
      </c>
      <c r="X538">
        <v>0.15547734999999951</v>
      </c>
      <c r="Y538">
        <v>-8.014190000000046E-3</v>
      </c>
      <c r="Z538">
        <v>-0.12522768500000009</v>
      </c>
    </row>
    <row r="539" spans="1:26">
      <c r="A539" s="54" t="str">
        <f>CONCATENATE(raw[[#This Row],[redis_ls]],raw[[#This Row],[wage_eq]],raw[[#This Row],[flex]],raw[[#This Row],[expo]],raw[[#This Row],[_date_]])</f>
        <v>100146388</v>
      </c>
      <c r="B539" s="1">
        <v>46388</v>
      </c>
      <c r="C539">
        <v>1</v>
      </c>
      <c r="D539">
        <v>0</v>
      </c>
      <c r="E539">
        <v>0</v>
      </c>
      <c r="F539">
        <v>1</v>
      </c>
      <c r="G539">
        <v>-0.29093965910255148</v>
      </c>
      <c r="H539">
        <v>-64.393630000002304</v>
      </c>
      <c r="I539">
        <v>-2.4773024697358426</v>
      </c>
      <c r="J539">
        <v>7.1667182362622484E-3</v>
      </c>
      <c r="K539">
        <v>-0.99484815228401136</v>
      </c>
      <c r="L539">
        <v>-0.81150079439824552</v>
      </c>
      <c r="M539">
        <v>-0.334136561290721</v>
      </c>
      <c r="N539">
        <v>6.1390699676699967E-3</v>
      </c>
      <c r="O539">
        <v>-9.2096999999985441E-4</v>
      </c>
      <c r="P539">
        <v>0.47959375688557682</v>
      </c>
      <c r="Q539">
        <v>0.2642454580434439</v>
      </c>
      <c r="R539">
        <v>-0.17287652290400857</v>
      </c>
      <c r="S539">
        <v>0.69993266336023652</v>
      </c>
      <c r="T539">
        <v>0.39661647563111746</v>
      </c>
      <c r="U539">
        <v>-1.7575861877006105E-7</v>
      </c>
      <c r="V539">
        <v>0.39968871271758299</v>
      </c>
      <c r="W539">
        <v>0.57355685161808445</v>
      </c>
      <c r="X539">
        <v>0.15230259999999968</v>
      </c>
      <c r="Y539">
        <v>-8.4861599999999648E-3</v>
      </c>
      <c r="Z539">
        <v>-0.11950204999999994</v>
      </c>
    </row>
    <row r="540" spans="1:26">
      <c r="A540" s="54" t="str">
        <f>CONCATENATE(raw[[#This Row],[redis_ls]],raw[[#This Row],[wage_eq]],raw[[#This Row],[flex]],raw[[#This Row],[expo]],raw[[#This Row],[_date_]])</f>
        <v>100146753</v>
      </c>
      <c r="B540" s="1">
        <v>46753</v>
      </c>
      <c r="C540">
        <v>1</v>
      </c>
      <c r="D540">
        <v>0</v>
      </c>
      <c r="E540">
        <v>0</v>
      </c>
      <c r="F540">
        <v>1</v>
      </c>
      <c r="G540">
        <v>-0.28560200569274219</v>
      </c>
      <c r="H540">
        <v>-63.353510000000824</v>
      </c>
      <c r="I540">
        <v>-2.4357492672393399</v>
      </c>
      <c r="J540">
        <v>9.3367524284015957E-3</v>
      </c>
      <c r="K540">
        <v>-0.97205984509702859</v>
      </c>
      <c r="L540">
        <v>-0.80353464991987922</v>
      </c>
      <c r="M540">
        <v>-0.32577321117331914</v>
      </c>
      <c r="N540">
        <v>8.4257151954147957E-3</v>
      </c>
      <c r="O540">
        <v>-8.1640000000049451E-4</v>
      </c>
      <c r="P540">
        <v>0.4745870822784326</v>
      </c>
      <c r="Q540">
        <v>0.26476650760371978</v>
      </c>
      <c r="R540">
        <v>-0.1628460983172042</v>
      </c>
      <c r="S540">
        <v>0.69094783007066507</v>
      </c>
      <c r="T540">
        <v>0.39425465542493043</v>
      </c>
      <c r="U540">
        <v>-2.297498191694558E-7</v>
      </c>
      <c r="V540">
        <v>0.39417499778999776</v>
      </c>
      <c r="W540">
        <v>0.55792974702806308</v>
      </c>
      <c r="X540">
        <v>0.14954779999999945</v>
      </c>
      <c r="Y540">
        <v>-9.2323899999999931E-3</v>
      </c>
      <c r="Z540">
        <v>-0.11418308099999994</v>
      </c>
    </row>
    <row r="541" spans="1:26">
      <c r="A541" s="54" t="str">
        <f>CONCATENATE(raw[[#This Row],[redis_ls]],raw[[#This Row],[wage_eq]],raw[[#This Row],[flex]],raw[[#This Row],[expo]],raw[[#This Row],[_date_]])</f>
        <v>100147119</v>
      </c>
      <c r="B541" s="1">
        <v>47119</v>
      </c>
      <c r="C541">
        <v>1</v>
      </c>
      <c r="D541">
        <v>0</v>
      </c>
      <c r="E541">
        <v>0</v>
      </c>
      <c r="F541">
        <v>1</v>
      </c>
      <c r="G541">
        <v>-0.28051512833077163</v>
      </c>
      <c r="H541">
        <v>-62.444039999998495</v>
      </c>
      <c r="I541">
        <v>-2.3949991726962994</v>
      </c>
      <c r="J541">
        <v>1.1292772488835645E-2</v>
      </c>
      <c r="K541">
        <v>-0.94823098565776087</v>
      </c>
      <c r="L541">
        <v>-0.79673195633703786</v>
      </c>
      <c r="M541">
        <v>-0.31721704713341126</v>
      </c>
      <c r="N541">
        <v>1.0520847303951975E-2</v>
      </c>
      <c r="O541">
        <v>-6.9176000000031879E-4</v>
      </c>
      <c r="P541">
        <v>0.47006526123618553</v>
      </c>
      <c r="Q541">
        <v>0.26571219956821324</v>
      </c>
      <c r="R541">
        <v>-0.15249796370706559</v>
      </c>
      <c r="S541">
        <v>0.68249588722200105</v>
      </c>
      <c r="T541">
        <v>0.39220507421242612</v>
      </c>
      <c r="U541">
        <v>-2.2524491161135529E-7</v>
      </c>
      <c r="V541">
        <v>0.38947003539222536</v>
      </c>
      <c r="W541">
        <v>0.54279577464186879</v>
      </c>
      <c r="X541">
        <v>0.14707781000000003</v>
      </c>
      <c r="Y541">
        <v>-1.022484000000011E-2</v>
      </c>
      <c r="Z541">
        <v>-0.10918684399999992</v>
      </c>
    </row>
    <row r="542" spans="1:26">
      <c r="A542" s="54" t="str">
        <f>CONCATENATE(raw[[#This Row],[redis_ls]],raw[[#This Row],[wage_eq]],raw[[#This Row],[flex]],raw[[#This Row],[expo]],raw[[#This Row],[_date_]])</f>
        <v>100147484</v>
      </c>
      <c r="B542" s="1">
        <v>47484</v>
      </c>
      <c r="C542">
        <v>1</v>
      </c>
      <c r="D542">
        <v>0</v>
      </c>
      <c r="E542">
        <v>0</v>
      </c>
      <c r="F542">
        <v>1</v>
      </c>
      <c r="G542">
        <v>-0.27558609067240836</v>
      </c>
      <c r="H542">
        <v>-61.618199999997159</v>
      </c>
      <c r="I542">
        <v>-2.3549526112404795</v>
      </c>
      <c r="J542">
        <v>1.3114700115846034E-2</v>
      </c>
      <c r="K542">
        <v>-0.92337694005347748</v>
      </c>
      <c r="L542">
        <v>-0.79088402796934076</v>
      </c>
      <c r="M542">
        <v>-0.30846780328864787</v>
      </c>
      <c r="N542">
        <v>1.2482540107972007E-2</v>
      </c>
      <c r="O542">
        <v>-5.6648999999936445E-4</v>
      </c>
      <c r="P542">
        <v>0.46593386190321162</v>
      </c>
      <c r="Q542">
        <v>0.26698065308261576</v>
      </c>
      <c r="R542">
        <v>-0.14194603740050882</v>
      </c>
      <c r="S542">
        <v>0.67448686562299187</v>
      </c>
      <c r="T542">
        <v>0.39039146280051007</v>
      </c>
      <c r="U542">
        <v>-2.2082835560155445E-7</v>
      </c>
      <c r="V542">
        <v>0.38545175863398118</v>
      </c>
      <c r="W542">
        <v>0.52814739960080903</v>
      </c>
      <c r="X542">
        <v>0.14478373999999988</v>
      </c>
      <c r="Y542">
        <v>-1.1432460000000005E-2</v>
      </c>
      <c r="Z542">
        <v>-0.10445348700000007</v>
      </c>
    </row>
    <row r="543" spans="1:26">
      <c r="A543" s="54" t="str">
        <f>CONCATENATE(raw[[#This Row],[redis_ls]],raw[[#This Row],[wage_eq]],raw[[#This Row],[flex]],raw[[#This Row],[expo]],raw[[#This Row],[_date_]])</f>
        <v>100147849</v>
      </c>
      <c r="B543" s="1">
        <v>47849</v>
      </c>
      <c r="C543">
        <v>1</v>
      </c>
      <c r="D543">
        <v>0</v>
      </c>
      <c r="E543">
        <v>0</v>
      </c>
      <c r="F543">
        <v>1</v>
      </c>
      <c r="G543">
        <v>-0.27074608381733034</v>
      </c>
      <c r="H543">
        <v>-60.838870000003226</v>
      </c>
      <c r="I543">
        <v>-2.3155376678478556</v>
      </c>
      <c r="J543">
        <v>1.4852793296205036E-2</v>
      </c>
      <c r="K543">
        <v>-0.89754002151113399</v>
      </c>
      <c r="L543">
        <v>-0.78580753923482849</v>
      </c>
      <c r="M543">
        <v>-0.29954128194512597</v>
      </c>
      <c r="N543">
        <v>1.434702332221427E-2</v>
      </c>
      <c r="O543">
        <v>-4.5320000000015348E-4</v>
      </c>
      <c r="P543">
        <v>0.46211353454714832</v>
      </c>
      <c r="Q543">
        <v>0.26848614494836553</v>
      </c>
      <c r="R543">
        <v>-0.13128613743043083</v>
      </c>
      <c r="S543">
        <v>0.66684496391355985</v>
      </c>
      <c r="T543">
        <v>0.3887510533864269</v>
      </c>
      <c r="U543">
        <v>-2.1649838588544412E-7</v>
      </c>
      <c r="V543">
        <v>0.38201265503463588</v>
      </c>
      <c r="W543">
        <v>0.51397358223981282</v>
      </c>
      <c r="X543">
        <v>0.14258235999999869</v>
      </c>
      <c r="Y543">
        <v>-1.2823000000000001E-2</v>
      </c>
      <c r="Z543">
        <v>-9.9943574000000035E-2</v>
      </c>
    </row>
    <row r="544" spans="1:26">
      <c r="A544" s="54" t="str">
        <f>CONCATENATE(raw[[#This Row],[redis_ls]],raw[[#This Row],[wage_eq]],raw[[#This Row],[flex]],raw[[#This Row],[expo]],raw[[#This Row],[_date_]])</f>
        <v>100148214</v>
      </c>
      <c r="B544" s="1">
        <v>48214</v>
      </c>
      <c r="C544">
        <v>1</v>
      </c>
      <c r="D544">
        <v>0</v>
      </c>
      <c r="E544">
        <v>0</v>
      </c>
      <c r="F544">
        <v>1</v>
      </c>
      <c r="G544">
        <v>-0.26594721693361523</v>
      </c>
      <c r="H544">
        <v>-60.07818000000043</v>
      </c>
      <c r="I544">
        <v>-2.2767047660245288</v>
      </c>
      <c r="J544">
        <v>1.6533535160379031E-2</v>
      </c>
      <c r="K544">
        <v>-0.8707844477452098</v>
      </c>
      <c r="L544">
        <v>-0.78134328628404193</v>
      </c>
      <c r="M544">
        <v>-0.2904651680472714</v>
      </c>
      <c r="N544">
        <v>1.6133132606421796E-2</v>
      </c>
      <c r="O544">
        <v>-3.5879999999988144E-4</v>
      </c>
      <c r="P544">
        <v>0.45853753502345107</v>
      </c>
      <c r="Q544">
        <v>0.27015586759471244</v>
      </c>
      <c r="R544">
        <v>-0.12059963061619161</v>
      </c>
      <c r="S544">
        <v>0.65950587779219916</v>
      </c>
      <c r="T544">
        <v>0.38723188110085793</v>
      </c>
      <c r="U544">
        <v>-2.1225331492402688E-7</v>
      </c>
      <c r="V544">
        <v>0.3790580723318504</v>
      </c>
      <c r="W544">
        <v>0.50026095129975801</v>
      </c>
      <c r="X544">
        <v>0.14041344999999872</v>
      </c>
      <c r="Y544">
        <v>-1.4364539999999967E-2</v>
      </c>
      <c r="Z544">
        <v>-9.5633620999999863E-2</v>
      </c>
    </row>
    <row r="545" spans="1:26">
      <c r="A545" s="54" t="str">
        <f>CONCATENATE(raw[[#This Row],[redis_ls]],raw[[#This Row],[wage_eq]],raw[[#This Row],[flex]],raw[[#This Row],[expo]],raw[[#This Row],[_date_]])</f>
        <v>100148580</v>
      </c>
      <c r="B545" s="1">
        <v>48580</v>
      </c>
      <c r="C545">
        <v>1</v>
      </c>
      <c r="D545">
        <v>0</v>
      </c>
      <c r="E545">
        <v>0</v>
      </c>
      <c r="F545">
        <v>1</v>
      </c>
      <c r="G545">
        <v>-0.26115828779800232</v>
      </c>
      <c r="H545">
        <v>-59.316330000001471</v>
      </c>
      <c r="I545">
        <v>-2.2384213185147717</v>
      </c>
      <c r="J545">
        <v>1.8165352619292641E-2</v>
      </c>
      <c r="K545">
        <v>-0.84319105727634902</v>
      </c>
      <c r="L545">
        <v>-0.77735391030212542</v>
      </c>
      <c r="M545">
        <v>-0.28127479600305039</v>
      </c>
      <c r="N545">
        <v>1.7846431278023545E-2</v>
      </c>
      <c r="O545">
        <v>-2.8576999999974095E-4</v>
      </c>
      <c r="P545">
        <v>0.45514993478870114</v>
      </c>
      <c r="Q545">
        <v>0.27192776975377697</v>
      </c>
      <c r="R545">
        <v>-0.10995595998506413</v>
      </c>
      <c r="S545">
        <v>0.65241478980140322</v>
      </c>
      <c r="T545">
        <v>0.38579028358067813</v>
      </c>
      <c r="U545">
        <v>-2.0809149958722628E-7</v>
      </c>
      <c r="V545">
        <v>0.37650360186154419</v>
      </c>
      <c r="W545">
        <v>0.48699506885299115</v>
      </c>
      <c r="X545">
        <v>0.13823601999999879</v>
      </c>
      <c r="Y545">
        <v>-1.6026499999999971E-2</v>
      </c>
      <c r="Z545">
        <v>-9.151159599999989E-2</v>
      </c>
    </row>
    <row r="546" spans="1:26">
      <c r="A546" s="54" t="str">
        <f>CONCATENATE(raw[[#This Row],[redis_ls]],raw[[#This Row],[wage_eq]],raw[[#This Row],[flex]],raw[[#This Row],[expo]],raw[[#This Row],[_date_]])</f>
        <v>100148945</v>
      </c>
      <c r="B546" s="1">
        <v>48945</v>
      </c>
      <c r="C546">
        <v>1</v>
      </c>
      <c r="D546">
        <v>0</v>
      </c>
      <c r="E546">
        <v>0</v>
      </c>
      <c r="F546">
        <v>1</v>
      </c>
      <c r="G546">
        <v>-0.25636086137484915</v>
      </c>
      <c r="H546">
        <v>-58.540079999998852</v>
      </c>
      <c r="I546">
        <v>-2.2006668866073054</v>
      </c>
      <c r="J546">
        <v>1.9745080661159875E-2</v>
      </c>
      <c r="K546">
        <v>-0.81485220512547141</v>
      </c>
      <c r="L546">
        <v>-0.7737213683288835</v>
      </c>
      <c r="M546">
        <v>-0.27200939328966278</v>
      </c>
      <c r="N546">
        <v>1.9484546529069391E-2</v>
      </c>
      <c r="O546">
        <v>-2.3346999999951379E-4</v>
      </c>
      <c r="P546">
        <v>0.45190300859478949</v>
      </c>
      <c r="Q546">
        <v>0.27374853856403369</v>
      </c>
      <c r="R546">
        <v>-9.9414791746432751E-2</v>
      </c>
      <c r="S546">
        <v>0.6455246436002593</v>
      </c>
      <c r="T546">
        <v>0.38438930541180305</v>
      </c>
      <c r="U546">
        <v>-2.5501407652228636E-7</v>
      </c>
      <c r="V546">
        <v>0.37427476705085283</v>
      </c>
      <c r="W546">
        <v>0.47416092679812838</v>
      </c>
      <c r="X546">
        <v>0.13602419999999976</v>
      </c>
      <c r="Y546">
        <v>-1.7780389999999882E-2</v>
      </c>
      <c r="Z546">
        <v>-8.7572897999999871E-2</v>
      </c>
    </row>
    <row r="547" spans="1:26">
      <c r="A547" s="54" t="str">
        <f>CONCATENATE(raw[[#This Row],[redis_ls]],raw[[#This Row],[wage_eq]],raw[[#This Row],[flex]],raw[[#This Row],[expo]],raw[[#This Row],[_date_]])</f>
        <v>100149310</v>
      </c>
      <c r="B547" s="1">
        <v>49310</v>
      </c>
      <c r="C547">
        <v>1</v>
      </c>
      <c r="D547">
        <v>0</v>
      </c>
      <c r="E547">
        <v>0</v>
      </c>
      <c r="F547">
        <v>1</v>
      </c>
      <c r="G547">
        <v>-0.25154554181553435</v>
      </c>
      <c r="H547">
        <v>-57.741310000001249</v>
      </c>
      <c r="I547">
        <v>-2.1634290560666125</v>
      </c>
      <c r="J547">
        <v>2.1262461899640428E-2</v>
      </c>
      <c r="K547">
        <v>-0.78586731365517526</v>
      </c>
      <c r="L547">
        <v>-0.7703443379509789</v>
      </c>
      <c r="M547">
        <v>-0.26270915647560455</v>
      </c>
      <c r="N547">
        <v>2.1040005919159555E-2</v>
      </c>
      <c r="O547">
        <v>-1.9931000000000809E-4</v>
      </c>
      <c r="P547">
        <v>0.4487564810060185</v>
      </c>
      <c r="Q547">
        <v>0.27557231737893595</v>
      </c>
      <c r="R547">
        <v>-8.9027666152241558E-2</v>
      </c>
      <c r="S547">
        <v>0.63879512522500015</v>
      </c>
      <c r="T547">
        <v>0.38299764970473049</v>
      </c>
      <c r="U547">
        <v>-2.0001104106270873E-7</v>
      </c>
      <c r="V547">
        <v>0.37230474862222085</v>
      </c>
      <c r="W547">
        <v>0.46174343572398246</v>
      </c>
      <c r="X547">
        <v>0.1337634199999993</v>
      </c>
      <c r="Y547">
        <v>-1.9600200000000068E-2</v>
      </c>
      <c r="Z547">
        <v>-8.3817048999999977E-2</v>
      </c>
    </row>
    <row r="548" spans="1:26">
      <c r="A548" s="54" t="str">
        <f>CONCATENATE(raw[[#This Row],[redis_ls]],raw[[#This Row],[wage_eq]],raw[[#This Row],[flex]],raw[[#This Row],[expo]],raw[[#This Row],[_date_]])</f>
        <v>100149675</v>
      </c>
      <c r="B548" s="1">
        <v>49675</v>
      </c>
      <c r="C548">
        <v>1</v>
      </c>
      <c r="D548">
        <v>0</v>
      </c>
      <c r="E548">
        <v>0</v>
      </c>
      <c r="F548">
        <v>1</v>
      </c>
      <c r="G548">
        <v>-0.24670916249092123</v>
      </c>
      <c r="H548">
        <v>-56.915619999999763</v>
      </c>
      <c r="I548">
        <v>-2.1267000933482549</v>
      </c>
      <c r="J548">
        <v>2.2704268824091933E-2</v>
      </c>
      <c r="K548">
        <v>-0.75633930121103976</v>
      </c>
      <c r="L548">
        <v>-0.76713593089846599</v>
      </c>
      <c r="M548">
        <v>-0.25341276955558323</v>
      </c>
      <c r="N548">
        <v>2.2503689545039229E-2</v>
      </c>
      <c r="O548">
        <v>-1.7970999999922244E-4</v>
      </c>
      <c r="P548">
        <v>0.44567564010125071</v>
      </c>
      <c r="Q548">
        <v>0.27735904155559155</v>
      </c>
      <c r="R548">
        <v>-7.883935351682414E-2</v>
      </c>
      <c r="S548">
        <v>0.63219093998714282</v>
      </c>
      <c r="T548">
        <v>0.38158832680792454</v>
      </c>
      <c r="U548">
        <v>-1.9608927814829258E-7</v>
      </c>
      <c r="V548">
        <v>0.37053437801446432</v>
      </c>
      <c r="W548">
        <v>0.44972827707761009</v>
      </c>
      <c r="X548">
        <v>0.13144704999999979</v>
      </c>
      <c r="Y548">
        <v>-2.1462610000000035E-2</v>
      </c>
      <c r="Z548">
        <v>-8.0245213999999981E-2</v>
      </c>
    </row>
    <row r="549" spans="1:26">
      <c r="A549" s="54" t="str">
        <f>CONCATENATE(raw[[#This Row],[redis_ls]],raw[[#This Row],[wage_eq]],raw[[#This Row],[flex]],raw[[#This Row],[expo]],raw[[#This Row],[_date_]])</f>
        <v>100150041</v>
      </c>
      <c r="B549" s="1">
        <v>50041</v>
      </c>
      <c r="C549">
        <v>1</v>
      </c>
      <c r="D549">
        <v>0</v>
      </c>
      <c r="E549">
        <v>0</v>
      </c>
      <c r="F549">
        <v>1</v>
      </c>
      <c r="G549">
        <v>-0.24185233058410249</v>
      </c>
      <c r="H549">
        <v>-56.061219999999594</v>
      </c>
      <c r="I549">
        <v>-2.0904749788994481</v>
      </c>
      <c r="J549">
        <v>2.4057272232202997E-2</v>
      </c>
      <c r="K549">
        <v>-0.72637169626043052</v>
      </c>
      <c r="L549">
        <v>-0.76402159554527227</v>
      </c>
      <c r="M549">
        <v>-0.24415645918416384</v>
      </c>
      <c r="N549">
        <v>2.3866621333779037E-2</v>
      </c>
      <c r="O549">
        <v>-1.7085000000027772E-4</v>
      </c>
      <c r="P549">
        <v>0.44263098811567758</v>
      </c>
      <c r="Q549">
        <v>0.2790741861117052</v>
      </c>
      <c r="R549">
        <v>-6.8888319591364766E-2</v>
      </c>
      <c r="S549">
        <v>0.6256815618703726</v>
      </c>
      <c r="T549">
        <v>0.38013820635360851</v>
      </c>
      <c r="U549">
        <v>-1.9224438707610148E-7</v>
      </c>
      <c r="V549">
        <v>0.36891128157947595</v>
      </c>
      <c r="W549">
        <v>0.43810136910353847</v>
      </c>
      <c r="X549">
        <v>0.12907371999999889</v>
      </c>
      <c r="Y549">
        <v>-2.3347049999999925E-2</v>
      </c>
      <c r="Z549">
        <v>-7.6858513999999989E-2</v>
      </c>
    </row>
    <row r="550" spans="1:26">
      <c r="A550" s="54" t="str">
        <f>CONCATENATE(raw[[#This Row],[redis_ls]],raw[[#This Row],[wage_eq]],raw[[#This Row],[flex]],raw[[#This Row],[expo]],raw[[#This Row],[_date_]])</f>
        <v>100150406</v>
      </c>
      <c r="B550" s="1">
        <v>50406</v>
      </c>
      <c r="C550">
        <v>1</v>
      </c>
      <c r="D550">
        <v>0</v>
      </c>
      <c r="E550">
        <v>0</v>
      </c>
      <c r="F550">
        <v>1</v>
      </c>
      <c r="G550">
        <v>-0.23697787375458468</v>
      </c>
      <c r="H550">
        <v>-55.177990000000136</v>
      </c>
      <c r="I550">
        <v>-2.0547494261152655</v>
      </c>
      <c r="J550">
        <v>2.5310018466018214E-2</v>
      </c>
      <c r="K550">
        <v>-0.69606675953939323</v>
      </c>
      <c r="L550">
        <v>-0.76093753223526184</v>
      </c>
      <c r="M550">
        <v>-0.23497228171371898</v>
      </c>
      <c r="N550">
        <v>2.5121283205309375E-2</v>
      </c>
      <c r="O550">
        <v>-1.6914999999978475E-4</v>
      </c>
      <c r="P550">
        <v>0.43959714856323107</v>
      </c>
      <c r="Q550">
        <v>0.28068813899406742</v>
      </c>
      <c r="R550">
        <v>-5.9207779790471093E-2</v>
      </c>
      <c r="S550">
        <v>0.61924051498203347</v>
      </c>
      <c r="T550">
        <v>0.37862774136039334</v>
      </c>
      <c r="U550">
        <v>-2.3559358908187278E-7</v>
      </c>
      <c r="V550">
        <v>0.36738936180327197</v>
      </c>
      <c r="W550">
        <v>0.4268498229368145</v>
      </c>
      <c r="X550">
        <v>0.12664535000000005</v>
      </c>
      <c r="Y550">
        <v>-2.5235560000000032E-2</v>
      </c>
      <c r="Z550">
        <v>-7.3657021000000072E-2</v>
      </c>
    </row>
    <row r="551" spans="1:26">
      <c r="A551" s="54" t="str">
        <f>CONCATENATE(raw[[#This Row],[redis_ls]],raw[[#This Row],[wage_eq]],raw[[#This Row],[flex]],raw[[#This Row],[expo]],raw[[#This Row],[_date_]])</f>
        <v>100150771</v>
      </c>
      <c r="B551" s="1">
        <v>50771</v>
      </c>
      <c r="C551">
        <v>1</v>
      </c>
      <c r="D551">
        <v>0</v>
      </c>
      <c r="E551">
        <v>0</v>
      </c>
      <c r="F551">
        <v>1</v>
      </c>
      <c r="G551">
        <v>-0.23208977732850355</v>
      </c>
      <c r="H551">
        <v>-54.266890000002604</v>
      </c>
      <c r="I551">
        <v>-2.0195194194690957</v>
      </c>
      <c r="J551">
        <v>2.6453796808967311E-2</v>
      </c>
      <c r="K551">
        <v>-0.66552409204759799</v>
      </c>
      <c r="L551">
        <v>-0.7578292369767925</v>
      </c>
      <c r="M551">
        <v>-0.22588857818345298</v>
      </c>
      <c r="N551">
        <v>2.6262319188785632E-2</v>
      </c>
      <c r="O551">
        <v>-1.7154999999990928E-4</v>
      </c>
      <c r="P551">
        <v>0.43655248015856962</v>
      </c>
      <c r="Q551">
        <v>0.28217525102107732</v>
      </c>
      <c r="R551">
        <v>-4.9825919986423717E-2</v>
      </c>
      <c r="S551">
        <v>0.61284494899667141</v>
      </c>
      <c r="T551">
        <v>0.37704042997590559</v>
      </c>
      <c r="U551">
        <v>-2.3097410650763095E-7</v>
      </c>
      <c r="V551">
        <v>0.36592836357440817</v>
      </c>
      <c r="W551">
        <v>0.41596153726166651</v>
      </c>
      <c r="X551">
        <v>0.12416572999999903</v>
      </c>
      <c r="Y551">
        <v>-2.7112610000000134E-2</v>
      </c>
      <c r="Z551">
        <v>-7.0639304000000125E-2</v>
      </c>
    </row>
    <row r="552" spans="1:26">
      <c r="A552" s="54" t="str">
        <f>CONCATENATE(raw[[#This Row],[redis_ls]],raw[[#This Row],[wage_eq]],raw[[#This Row],[flex]],raw[[#This Row],[expo]],raw[[#This Row],[_date_]])</f>
        <v>100151136</v>
      </c>
      <c r="B552" s="1">
        <v>51136</v>
      </c>
      <c r="C552">
        <v>1</v>
      </c>
      <c r="D552">
        <v>0</v>
      </c>
      <c r="E552">
        <v>0</v>
      </c>
      <c r="F552">
        <v>1</v>
      </c>
      <c r="G552">
        <v>-0.22719255713691267</v>
      </c>
      <c r="H552">
        <v>-53.329470000000583</v>
      </c>
      <c r="I552">
        <v>-1.9847804313399942</v>
      </c>
      <c r="J552">
        <v>2.7482736081152481E-2</v>
      </c>
      <c r="K552">
        <v>-0.63483985752178507</v>
      </c>
      <c r="L552">
        <v>-0.75465030189084681</v>
      </c>
      <c r="M552">
        <v>-0.21692959842543047</v>
      </c>
      <c r="N552">
        <v>2.7286623176014935E-2</v>
      </c>
      <c r="O552">
        <v>-1.7570000000050046E-4</v>
      </c>
      <c r="P552">
        <v>0.43347862515235036</v>
      </c>
      <c r="Q552">
        <v>0.28351383741218594</v>
      </c>
      <c r="R552">
        <v>-4.0766387118051917E-2</v>
      </c>
      <c r="S552">
        <v>0.6064751094831955</v>
      </c>
      <c r="T552">
        <v>0.37536241383533397</v>
      </c>
      <c r="U552">
        <v>-2.2644520702996829E-7</v>
      </c>
      <c r="V552">
        <v>0.36449357017240835</v>
      </c>
      <c r="W552">
        <v>0.40542520741764232</v>
      </c>
      <c r="X552">
        <v>0.12163962999999917</v>
      </c>
      <c r="Y552">
        <v>-2.896494999999992E-2</v>
      </c>
      <c r="Z552">
        <v>-6.7802361000000005E-2</v>
      </c>
    </row>
    <row r="553" spans="1:26">
      <c r="A553" s="54" t="str">
        <f>CONCATENATE(raw[[#This Row],[redis_ls]],raw[[#This Row],[wage_eq]],raw[[#This Row],[flex]],raw[[#This Row],[expo]],raw[[#This Row],[_date_]])</f>
        <v>100151502</v>
      </c>
      <c r="B553" s="1">
        <v>51502</v>
      </c>
      <c r="C553">
        <v>1</v>
      </c>
      <c r="D553">
        <v>0</v>
      </c>
      <c r="E553">
        <v>0</v>
      </c>
      <c r="F553">
        <v>1</v>
      </c>
      <c r="G553">
        <v>-0.22229099250473672</v>
      </c>
      <c r="H553">
        <v>-52.367669999999634</v>
      </c>
      <c r="I553">
        <v>-1.9505275610759876</v>
      </c>
      <c r="J553">
        <v>2.8394108018559017E-2</v>
      </c>
      <c r="K553">
        <v>-0.60410634559672216</v>
      </c>
      <c r="L553">
        <v>-0.75136178032213508</v>
      </c>
      <c r="M553">
        <v>-0.20811570661050105</v>
      </c>
      <c r="N553">
        <v>2.8193304947232711E-2</v>
      </c>
      <c r="O553">
        <v>-1.7991000000050494E-4</v>
      </c>
      <c r="P553">
        <v>0.43036004847425424</v>
      </c>
      <c r="Q553">
        <v>0.28468589298928926</v>
      </c>
      <c r="R553">
        <v>-3.2048834516151814E-2</v>
      </c>
      <c r="S553">
        <v>0.6001142539504567</v>
      </c>
      <c r="T553">
        <v>0.37358250928198888</v>
      </c>
      <c r="U553">
        <v>-2.2200510318981515E-7</v>
      </c>
      <c r="V553">
        <v>0.36305532657756601</v>
      </c>
      <c r="W553">
        <v>0.39523081034273932</v>
      </c>
      <c r="X553">
        <v>0.11907231999999934</v>
      </c>
      <c r="Y553">
        <v>-3.0781269999999999E-2</v>
      </c>
      <c r="Z553">
        <v>-6.514181000000005E-2</v>
      </c>
    </row>
    <row r="554" spans="1:26">
      <c r="A554" s="54" t="str">
        <f>CONCATENATE(raw[[#This Row],[redis_ls]],raw[[#This Row],[wage_eq]],raw[[#This Row],[flex]],raw[[#This Row],[expo]],raw[[#This Row],[_date_]])</f>
        <v>100151867</v>
      </c>
      <c r="B554" s="1">
        <v>51867</v>
      </c>
      <c r="C554">
        <v>1</v>
      </c>
      <c r="D554">
        <v>0</v>
      </c>
      <c r="E554">
        <v>0</v>
      </c>
      <c r="F554">
        <v>1</v>
      </c>
      <c r="G554">
        <v>-0.2173899765729459</v>
      </c>
      <c r="H554">
        <v>-51.383589999997639</v>
      </c>
      <c r="I554">
        <v>-1.9167556555904297</v>
      </c>
      <c r="J554">
        <v>2.9187518803097667E-2</v>
      </c>
      <c r="K554">
        <v>-0.57341180058343433</v>
      </c>
      <c r="L554">
        <v>-0.74793086832940503</v>
      </c>
      <c r="M554">
        <v>-0.19946443286098514</v>
      </c>
      <c r="N554">
        <v>2.8983130998350148E-2</v>
      </c>
      <c r="O554">
        <v>-1.8313000000047541E-4</v>
      </c>
      <c r="P554">
        <v>0.42718387701490279</v>
      </c>
      <c r="Q554">
        <v>0.28567625592887946</v>
      </c>
      <c r="R554">
        <v>-2.3688902341878482E-2</v>
      </c>
      <c r="S554">
        <v>0.59374808237651067</v>
      </c>
      <c r="T554">
        <v>0.37169169864477158</v>
      </c>
      <c r="U554">
        <v>-2.6118247564710373E-7</v>
      </c>
      <c r="V554">
        <v>0.36158843490654569</v>
      </c>
      <c r="W554">
        <v>0.38536862965734553</v>
      </c>
      <c r="X554">
        <v>0.11646927999999918</v>
      </c>
      <c r="Y554">
        <v>-3.2552049999999902E-2</v>
      </c>
      <c r="Z554">
        <v>-6.2652206999999974E-2</v>
      </c>
    </row>
    <row r="555" spans="1:26">
      <c r="A555" s="54" t="str">
        <f>CONCATENATE(raw[[#This Row],[redis_ls]],raw[[#This Row],[wage_eq]],raw[[#This Row],[flex]],raw[[#This Row],[expo]],raw[[#This Row],[_date_]])</f>
        <v>100152232</v>
      </c>
      <c r="B555" s="1">
        <v>52232</v>
      </c>
      <c r="C555">
        <v>1</v>
      </c>
      <c r="D555">
        <v>0</v>
      </c>
      <c r="E555">
        <v>0</v>
      </c>
      <c r="F555">
        <v>1</v>
      </c>
      <c r="G555">
        <v>-0.21249449026840006</v>
      </c>
      <c r="H555">
        <v>-50.379479999999603</v>
      </c>
      <c r="I555">
        <v>-1.8834592599868971</v>
      </c>
      <c r="J555">
        <v>2.9864475928542689E-2</v>
      </c>
      <c r="K555">
        <v>-0.54284038166130255</v>
      </c>
      <c r="L555">
        <v>-0.74433041953693158</v>
      </c>
      <c r="M555">
        <v>-0.19099016877736075</v>
      </c>
      <c r="N555">
        <v>2.9658169490565101E-2</v>
      </c>
      <c r="O555">
        <v>-1.8480999999931358E-4</v>
      </c>
      <c r="P555">
        <v>0.42393953153494479</v>
      </c>
      <c r="Q555">
        <v>0.28647283522449385</v>
      </c>
      <c r="R555">
        <v>-1.5699200662511181E-2</v>
      </c>
      <c r="S555">
        <v>0.5873647784968794</v>
      </c>
      <c r="T555">
        <v>0.36968301171798057</v>
      </c>
      <c r="U555">
        <v>-2.5606124998134305E-7</v>
      </c>
      <c r="V555">
        <v>0.36007191768623326</v>
      </c>
      <c r="W555">
        <v>0.3758301083491622</v>
      </c>
      <c r="X555">
        <v>0.11383614999999903</v>
      </c>
      <c r="Y555">
        <v>-3.4269240000000048E-2</v>
      </c>
      <c r="Z555">
        <v>-6.0327418999999924E-2</v>
      </c>
    </row>
    <row r="556" spans="1:26">
      <c r="A556" s="54" t="str">
        <f>CONCATENATE(raw[[#This Row],[redis_ls]],raw[[#This Row],[wage_eq]],raw[[#This Row],[flex]],raw[[#This Row],[expo]],raw[[#This Row],[_date_]])</f>
        <v>100152597</v>
      </c>
      <c r="B556" s="1">
        <v>52597</v>
      </c>
      <c r="C556">
        <v>1</v>
      </c>
      <c r="D556">
        <v>0</v>
      </c>
      <c r="E556">
        <v>0</v>
      </c>
      <c r="F556">
        <v>1</v>
      </c>
      <c r="G556">
        <v>-0.20760983401336697</v>
      </c>
      <c r="H556">
        <v>-49.357710000000225</v>
      </c>
      <c r="I556">
        <v>-1.8506328088481294</v>
      </c>
      <c r="J556">
        <v>3.042788375395844E-2</v>
      </c>
      <c r="K556">
        <v>-0.51247219315815329</v>
      </c>
      <c r="L556">
        <v>-0.74053825684666785</v>
      </c>
      <c r="M556">
        <v>-0.18270522012346913</v>
      </c>
      <c r="N556">
        <v>3.0221599734470139E-2</v>
      </c>
      <c r="O556">
        <v>-1.8479000000043433E-4</v>
      </c>
      <c r="P556">
        <v>0.42061821965810875</v>
      </c>
      <c r="Q556">
        <v>0.2870658755015576</v>
      </c>
      <c r="R556">
        <v>-8.0892343301774972E-3</v>
      </c>
      <c r="S556">
        <v>0.5809542775908394</v>
      </c>
      <c r="T556">
        <v>0.36755107338728443</v>
      </c>
      <c r="U556">
        <v>-2.5104042178369923E-7</v>
      </c>
      <c r="V556">
        <v>0.35848823342132796</v>
      </c>
      <c r="W556">
        <v>0.3666071424912154</v>
      </c>
      <c r="X556">
        <v>0.11117873</v>
      </c>
      <c r="Y556">
        <v>-3.5926140000000148E-2</v>
      </c>
      <c r="Z556">
        <v>-5.8160961999999955E-2</v>
      </c>
    </row>
    <row r="557" spans="1:26">
      <c r="A557" s="54" t="str">
        <f>CONCATENATE(raw[[#This Row],[redis_ls]],raw[[#This Row],[wage_eq]],raw[[#This Row],[flex]],raw[[#This Row],[expo]],raw[[#This Row],[_date_]])</f>
        <v>100152963</v>
      </c>
      <c r="B557" s="1">
        <v>52963</v>
      </c>
      <c r="C557">
        <v>1</v>
      </c>
      <c r="D557">
        <v>0</v>
      </c>
      <c r="E557">
        <v>0</v>
      </c>
      <c r="F557">
        <v>1</v>
      </c>
      <c r="G557">
        <v>-0.20274143433781644</v>
      </c>
      <c r="H557">
        <v>-48.3207599999987</v>
      </c>
      <c r="I557">
        <v>-1.8182714529954014</v>
      </c>
      <c r="J557">
        <v>3.0881516244263274E-2</v>
      </c>
      <c r="K557">
        <v>-0.48238342052546734</v>
      </c>
      <c r="L557">
        <v>-0.73653653237907291</v>
      </c>
      <c r="M557">
        <v>-0.17462011059262705</v>
      </c>
      <c r="N557">
        <v>3.0677031866321869E-2</v>
      </c>
      <c r="O557">
        <v>-1.8316999999962169E-4</v>
      </c>
      <c r="P557">
        <v>0.41721288968417092</v>
      </c>
      <c r="Q557">
        <v>0.28744786963188496</v>
      </c>
      <c r="R557">
        <v>-8.6592544701336038E-4</v>
      </c>
      <c r="S557">
        <v>0.5745083908957449</v>
      </c>
      <c r="T557">
        <v>0.36529190137037926</v>
      </c>
      <c r="U557">
        <v>-2.461180814705699E-7</v>
      </c>
      <c r="V557">
        <v>0.35682321706165254</v>
      </c>
      <c r="W557">
        <v>0.35769220508028443</v>
      </c>
      <c r="X557">
        <v>0.10850299999999868</v>
      </c>
      <c r="Y557">
        <v>-3.7517100000000053E-2</v>
      </c>
      <c r="Z557">
        <v>-5.6146293000000104E-2</v>
      </c>
    </row>
    <row r="558" spans="1:26">
      <c r="A558" s="54" t="str">
        <f>CONCATENATE(raw[[#This Row],[redis_ls]],raw[[#This Row],[wage_eq]],raw[[#This Row],[flex]],raw[[#This Row],[expo]],raw[[#This Row],[_date_]])</f>
        <v>100153328</v>
      </c>
      <c r="B558" s="1">
        <v>53328</v>
      </c>
      <c r="C558">
        <v>1</v>
      </c>
      <c r="D558">
        <v>0</v>
      </c>
      <c r="E558">
        <v>0</v>
      </c>
      <c r="F558">
        <v>1</v>
      </c>
      <c r="G558">
        <v>-0.19789501850673297</v>
      </c>
      <c r="H558">
        <v>-47.271239999998215</v>
      </c>
      <c r="I558">
        <v>-1.7863701277599175</v>
      </c>
      <c r="J558">
        <v>3.1229403449417603E-2</v>
      </c>
      <c r="K558">
        <v>-0.45264620497824648</v>
      </c>
      <c r="L558">
        <v>-0.73231114490058813</v>
      </c>
      <c r="M558">
        <v>-0.16674385817748716</v>
      </c>
      <c r="N558">
        <v>3.1028293140411556E-2</v>
      </c>
      <c r="O558">
        <v>-1.8021000000034704E-4</v>
      </c>
      <c r="P558">
        <v>0.41371789859352415</v>
      </c>
      <c r="Q558">
        <v>0.28761298593906748</v>
      </c>
      <c r="R558">
        <v>5.9659103181619599E-3</v>
      </c>
      <c r="S558">
        <v>0.56802034249263667</v>
      </c>
      <c r="T558">
        <v>0.36290279926405322</v>
      </c>
      <c r="U558">
        <v>-2.8150761721690287E-7</v>
      </c>
      <c r="V558">
        <v>0.35506494049828419</v>
      </c>
      <c r="W558">
        <v>0.34907820579674897</v>
      </c>
      <c r="X558">
        <v>0.1058151199999996</v>
      </c>
      <c r="Y558">
        <v>-3.9037440000000076E-2</v>
      </c>
      <c r="Z558">
        <v>-5.4277022999999966E-2</v>
      </c>
    </row>
    <row r="559" spans="1:26">
      <c r="A559" s="54" t="str">
        <f>CONCATENATE(raw[[#This Row],[redis_ls]],raw[[#This Row],[wage_eq]],raw[[#This Row],[flex]],raw[[#This Row],[expo]],raw[[#This Row],[_date_]])</f>
        <v>100153693</v>
      </c>
      <c r="B559" s="1">
        <v>53693</v>
      </c>
      <c r="C559">
        <v>1</v>
      </c>
      <c r="D559">
        <v>0</v>
      </c>
      <c r="E559">
        <v>0</v>
      </c>
      <c r="F559">
        <v>1</v>
      </c>
      <c r="G559">
        <v>-0.19307662681983251</v>
      </c>
      <c r="H559">
        <v>-46.211870000002818</v>
      </c>
      <c r="I559">
        <v>-1.7549242681235699</v>
      </c>
      <c r="J559">
        <v>3.1475834285932258E-2</v>
      </c>
      <c r="K559">
        <v>-0.42332882619044998</v>
      </c>
      <c r="L559">
        <v>-0.72785111246227441</v>
      </c>
      <c r="M559">
        <v>-0.15908407426341586</v>
      </c>
      <c r="N559">
        <v>3.1279152568064461E-2</v>
      </c>
      <c r="O559">
        <v>-1.7622999999994393E-4</v>
      </c>
      <c r="P559">
        <v>0.41012886897107137</v>
      </c>
      <c r="Q559">
        <v>0.28755698642006777</v>
      </c>
      <c r="R559">
        <v>1.2403248890513474E-2</v>
      </c>
      <c r="S559">
        <v>0.56148470727539479</v>
      </c>
      <c r="T559">
        <v>0.36038197983498943</v>
      </c>
      <c r="U559">
        <v>-2.759878547919925E-7</v>
      </c>
      <c r="V559">
        <v>0.3532039103289808</v>
      </c>
      <c r="W559">
        <v>0.34075838469069808</v>
      </c>
      <c r="X559">
        <v>0.10312145999999967</v>
      </c>
      <c r="Y559">
        <v>-4.0483280000000108E-2</v>
      </c>
      <c r="Z559">
        <v>-5.2547042000000016E-2</v>
      </c>
    </row>
    <row r="560" spans="1:26">
      <c r="A560" s="54" t="str">
        <f>CONCATENATE(raw[[#This Row],[redis_ls]],raw[[#This Row],[wage_eq]],raw[[#This Row],[flex]],raw[[#This Row],[expo]],raw[[#This Row],[_date_]])</f>
        <v>100154058</v>
      </c>
      <c r="B560" s="1">
        <v>54058</v>
      </c>
      <c r="C560">
        <v>1</v>
      </c>
      <c r="D560">
        <v>0</v>
      </c>
      <c r="E560">
        <v>0</v>
      </c>
      <c r="F560">
        <v>1</v>
      </c>
      <c r="G560">
        <v>-0.18829238468871523</v>
      </c>
      <c r="H560">
        <v>-45.145449999999983</v>
      </c>
      <c r="I560">
        <v>-1.7239297738061432</v>
      </c>
      <c r="J560">
        <v>3.1624852138101289E-2</v>
      </c>
      <c r="K560">
        <v>-0.39449558775002114</v>
      </c>
      <c r="L560">
        <v>-0.72314809175516581</v>
      </c>
      <c r="M560">
        <v>-0.15164781250798232</v>
      </c>
      <c r="N560">
        <v>3.1433365532218538E-2</v>
      </c>
      <c r="O560">
        <v>-1.7154999999990928E-4</v>
      </c>
      <c r="P560">
        <v>0.40644228438915242</v>
      </c>
      <c r="Q560">
        <v>0.28727699177066857</v>
      </c>
      <c r="R560">
        <v>1.8444685576479714E-2</v>
      </c>
      <c r="S560">
        <v>0.55489696161308277</v>
      </c>
      <c r="T560">
        <v>0.35772845720078994</v>
      </c>
      <c r="U560">
        <v>-2.7057632800975284E-7</v>
      </c>
      <c r="V560">
        <v>0.35123234945548809</v>
      </c>
      <c r="W560">
        <v>0.33272631861118729</v>
      </c>
      <c r="X560">
        <v>0.1004285399999999</v>
      </c>
      <c r="Y560">
        <v>-4.1851390000000044E-2</v>
      </c>
      <c r="Z560">
        <v>-5.0950588999999942E-2</v>
      </c>
    </row>
    <row r="561" spans="1:26">
      <c r="A561" s="54" t="str">
        <f>CONCATENATE(raw[[#This Row],[redis_ls]],raw[[#This Row],[wage_eq]],raw[[#This Row],[flex]],raw[[#This Row],[expo]],raw[[#This Row],[_date_]])</f>
        <v>100154424</v>
      </c>
      <c r="B561" s="1">
        <v>54424</v>
      </c>
      <c r="C561">
        <v>1</v>
      </c>
      <c r="D561">
        <v>0</v>
      </c>
      <c r="E561">
        <v>0</v>
      </c>
      <c r="F561">
        <v>1</v>
      </c>
      <c r="G561">
        <v>-0.18354862686500439</v>
      </c>
      <c r="H561">
        <v>-44.074919999999111</v>
      </c>
      <c r="I561">
        <v>-1.6933827322102024</v>
      </c>
      <c r="J561">
        <v>3.1680335955264205E-2</v>
      </c>
      <c r="K561">
        <v>-0.36620678804424323</v>
      </c>
      <c r="L561">
        <v>-0.71819592844307723</v>
      </c>
      <c r="M561">
        <v>-0.14444084383757883</v>
      </c>
      <c r="N561">
        <v>3.1494547625410263E-2</v>
      </c>
      <c r="O561">
        <v>-1.6645999999925776E-4</v>
      </c>
      <c r="P561">
        <v>0.40265535420147547</v>
      </c>
      <c r="Q561">
        <v>0.28677111407233724</v>
      </c>
      <c r="R561">
        <v>2.4090160551715201E-2</v>
      </c>
      <c r="S561">
        <v>0.5482534601368716</v>
      </c>
      <c r="T561">
        <v>0.3549416824648155</v>
      </c>
      <c r="U561">
        <v>-2.6527091634420685E-7</v>
      </c>
      <c r="V561">
        <v>0.34914400659082911</v>
      </c>
      <c r="W561">
        <v>0.32497555417123625</v>
      </c>
      <c r="X561">
        <v>9.7742929999999895E-2</v>
      </c>
      <c r="Y561">
        <v>-4.3139130000000026E-2</v>
      </c>
      <c r="Z561">
        <v>-4.9482244999999973E-2</v>
      </c>
    </row>
    <row r="562" spans="1:26">
      <c r="A562" s="54" t="str">
        <f>CONCATENATE(raw[[#This Row],[redis_ls]],raw[[#This Row],[wage_eq]],raw[[#This Row],[flex]],raw[[#This Row],[expo]],raw[[#This Row],[_date_]])</f>
        <v>100154789</v>
      </c>
      <c r="B562" s="1">
        <v>54789</v>
      </c>
      <c r="C562">
        <v>1</v>
      </c>
      <c r="D562">
        <v>0</v>
      </c>
      <c r="E562">
        <v>0</v>
      </c>
      <c r="F562">
        <v>1</v>
      </c>
      <c r="G562">
        <v>-0.17885162719704084</v>
      </c>
      <c r="H562">
        <v>-43.003189999999449</v>
      </c>
      <c r="I562">
        <v>-1.6632797691406576</v>
      </c>
      <c r="J562">
        <v>3.1645846310768277E-2</v>
      </c>
      <c r="K562">
        <v>-0.33851861734001121</v>
      </c>
      <c r="L562">
        <v>-0.71299033865548367</v>
      </c>
      <c r="M562">
        <v>-0.13746854238690931</v>
      </c>
      <c r="N562">
        <v>3.1465950036313473E-2</v>
      </c>
      <c r="O562">
        <v>-1.6117000000009929E-4</v>
      </c>
      <c r="P562">
        <v>0.39876611340383672</v>
      </c>
      <c r="Q562">
        <v>0.28603842394030465</v>
      </c>
      <c r="R562">
        <v>2.9340597021421111E-2</v>
      </c>
      <c r="S562">
        <v>0.54155130001476426</v>
      </c>
      <c r="T562">
        <v>0.35202166428411896</v>
      </c>
      <c r="U562">
        <v>-2.6006952147383799E-7</v>
      </c>
      <c r="V562">
        <v>0.34693359184811978</v>
      </c>
      <c r="W562">
        <v>0.31749984433773193</v>
      </c>
      <c r="X562">
        <v>9.5071229999998952E-2</v>
      </c>
      <c r="Y562">
        <v>-4.434434000000001E-2</v>
      </c>
      <c r="Z562">
        <v>-4.8136902000000051E-2</v>
      </c>
    </row>
    <row r="563" spans="1:26">
      <c r="A563" s="54" t="str">
        <f>CONCATENATE(raw[[#This Row],[redis_ls]],raw[[#This Row],[wage_eq]],raw[[#This Row],[flex]],raw[[#This Row],[expo]],raw[[#This Row],[_date_]])</f>
        <v>100036526</v>
      </c>
      <c r="B563" s="1">
        <v>36526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s="54" t="str">
        <f>CONCATENATE(raw[[#This Row],[redis_ls]],raw[[#This Row],[wage_eq]],raw[[#This Row],[flex]],raw[[#This Row],[expo]],raw[[#This Row],[_date_]])</f>
        <v>100036892</v>
      </c>
      <c r="B564" s="1">
        <v>36892</v>
      </c>
      <c r="C564">
        <v>1</v>
      </c>
      <c r="D564">
        <v>0</v>
      </c>
      <c r="E564">
        <v>0</v>
      </c>
      <c r="F564">
        <v>0</v>
      </c>
      <c r="G564">
        <v>3.1198580247604468E-2</v>
      </c>
      <c r="H564">
        <v>22.547700000002806</v>
      </c>
      <c r="I564">
        <v>-1.1929823961905117</v>
      </c>
      <c r="J564">
        <v>5.427215278603903E-2</v>
      </c>
      <c r="K564">
        <v>-0.1599497408055206</v>
      </c>
      <c r="L564">
        <v>-3.839912916197008E-2</v>
      </c>
      <c r="M564">
        <v>-0.15020914422861908</v>
      </c>
      <c r="N564">
        <v>7.6382420492615566E-2</v>
      </c>
      <c r="O564">
        <v>1.9800609999999497E-2</v>
      </c>
      <c r="P564">
        <v>0.45529313680852113</v>
      </c>
      <c r="Q564">
        <v>7.010068620576515E-2</v>
      </c>
      <c r="R564">
        <v>-0.71103274440095232</v>
      </c>
      <c r="S564">
        <v>0.84655068544454704</v>
      </c>
      <c r="T564">
        <v>0.21391872528047085</v>
      </c>
      <c r="U564">
        <v>-9.8039221185786118E-8</v>
      </c>
      <c r="V564">
        <v>1.4380004466429952E-2</v>
      </c>
      <c r="W564">
        <v>0.73060758924192726</v>
      </c>
      <c r="X564">
        <v>-6.7346050000000046E-2</v>
      </c>
      <c r="Y564">
        <v>8.838692000000016E-2</v>
      </c>
      <c r="Z564">
        <v>-1.7110106000000139E-2</v>
      </c>
    </row>
    <row r="565" spans="1:26">
      <c r="A565" s="54" t="str">
        <f>CONCATENATE(raw[[#This Row],[redis_ls]],raw[[#This Row],[wage_eq]],raw[[#This Row],[flex]],raw[[#This Row],[expo]],raw[[#This Row],[_date_]])</f>
        <v>100037257</v>
      </c>
      <c r="B565" s="1">
        <v>37257</v>
      </c>
      <c r="C565">
        <v>1</v>
      </c>
      <c r="D565">
        <v>0</v>
      </c>
      <c r="E565">
        <v>0</v>
      </c>
      <c r="F565">
        <v>0</v>
      </c>
      <c r="G565">
        <v>6.3863962537991092E-2</v>
      </c>
      <c r="H565">
        <v>46.790330000003451</v>
      </c>
      <c r="I565">
        <v>-1.9405678799803705</v>
      </c>
      <c r="J565">
        <v>0.13570294767857316</v>
      </c>
      <c r="K565">
        <v>-0.29302452353142661</v>
      </c>
      <c r="L565">
        <v>-9.1085802636192703E-2</v>
      </c>
      <c r="M565">
        <v>-0.23823925155902481</v>
      </c>
      <c r="N565">
        <v>0.16583146151978312</v>
      </c>
      <c r="O565">
        <v>2.6957220000001225E-2</v>
      </c>
      <c r="P565">
        <v>0.51400394029794683</v>
      </c>
      <c r="Q565">
        <v>0.14621241816010766</v>
      </c>
      <c r="R565">
        <v>-0.61140811108917337</v>
      </c>
      <c r="S565">
        <v>0.9003662044402283</v>
      </c>
      <c r="T565">
        <v>0.35826643564180749</v>
      </c>
      <c r="U565">
        <v>-9.6116881120877906E-8</v>
      </c>
      <c r="V565">
        <v>0.16728739875375709</v>
      </c>
      <c r="W565">
        <v>0.78348580806300028</v>
      </c>
      <c r="X565">
        <v>-0.13381920999999963</v>
      </c>
      <c r="Y565">
        <v>0.13518741000000006</v>
      </c>
      <c r="Z565">
        <v>3.6431380999999916E-2</v>
      </c>
    </row>
    <row r="566" spans="1:26">
      <c r="A566" s="54" t="str">
        <f>CONCATENATE(raw[[#This Row],[redis_ls]],raw[[#This Row],[wage_eq]],raw[[#This Row],[flex]],raw[[#This Row],[expo]],raw[[#This Row],[_date_]])</f>
        <v>100037622</v>
      </c>
      <c r="B566" s="1">
        <v>37622</v>
      </c>
      <c r="C566">
        <v>1</v>
      </c>
      <c r="D566">
        <v>0</v>
      </c>
      <c r="E566">
        <v>0</v>
      </c>
      <c r="F566">
        <v>0</v>
      </c>
      <c r="G566">
        <v>8.5481765982309277E-2</v>
      </c>
      <c r="H566">
        <v>65.227900000001682</v>
      </c>
      <c r="I566">
        <v>-2.369092307156806</v>
      </c>
      <c r="J566">
        <v>0.21414229537624063</v>
      </c>
      <c r="K566">
        <v>-0.39262372731723172</v>
      </c>
      <c r="L566">
        <v>-0.14896463595550635</v>
      </c>
      <c r="M566">
        <v>-0.27069003084673193</v>
      </c>
      <c r="N566">
        <v>0.23608826171990227</v>
      </c>
      <c r="O566">
        <v>1.962211000000047E-2</v>
      </c>
      <c r="P566">
        <v>0.59081838698762379</v>
      </c>
      <c r="Q566">
        <v>0.24064075988752265</v>
      </c>
      <c r="R566">
        <v>-0.48776629937248295</v>
      </c>
      <c r="S566">
        <v>0.96637539301178688</v>
      </c>
      <c r="T566">
        <v>0.47584752381086837</v>
      </c>
      <c r="U566">
        <v>-1.8846447735754168E-7</v>
      </c>
      <c r="V566">
        <v>0.33684006293861479</v>
      </c>
      <c r="W566">
        <v>0.82864821686721157</v>
      </c>
      <c r="X566">
        <v>-0.17993930000000102</v>
      </c>
      <c r="Y566">
        <v>0.16027197000000015</v>
      </c>
      <c r="Z566">
        <v>6.4951308999999957E-2</v>
      </c>
    </row>
    <row r="567" spans="1:26">
      <c r="A567" s="54" t="str">
        <f>CONCATENATE(raw[[#This Row],[redis_ls]],raw[[#This Row],[wage_eq]],raw[[#This Row],[flex]],raw[[#This Row],[expo]],raw[[#This Row],[_date_]])</f>
        <v>100037987</v>
      </c>
      <c r="B567" s="1">
        <v>37987</v>
      </c>
      <c r="C567">
        <v>1</v>
      </c>
      <c r="D567">
        <v>0</v>
      </c>
      <c r="E567">
        <v>0</v>
      </c>
      <c r="F567">
        <v>0</v>
      </c>
      <c r="G567">
        <v>9.1518266003220994E-2</v>
      </c>
      <c r="H567">
        <v>75.660879999999452</v>
      </c>
      <c r="I567">
        <v>-2.6067880924451114</v>
      </c>
      <c r="J567">
        <v>0.27043804938402527</v>
      </c>
      <c r="K567">
        <v>-0.46723301361718539</v>
      </c>
      <c r="L567">
        <v>-0.20797238821881336</v>
      </c>
      <c r="M567">
        <v>-0.27573445696631449</v>
      </c>
      <c r="N567">
        <v>0.27688782300958614</v>
      </c>
      <c r="O567">
        <v>5.7644999999995061E-3</v>
      </c>
      <c r="P567">
        <v>0.67641282816945925</v>
      </c>
      <c r="Q567">
        <v>0.34514153659714886</v>
      </c>
      <c r="R567">
        <v>-0.35082632702589933</v>
      </c>
      <c r="S567">
        <v>1.0389229362163244</v>
      </c>
      <c r="T567">
        <v>0.57943501867232516</v>
      </c>
      <c r="U567">
        <v>-1.8476907781561636E-7</v>
      </c>
      <c r="V567">
        <v>0.49386106455131529</v>
      </c>
      <c r="W567">
        <v>0.84766121315102971</v>
      </c>
      <c r="X567">
        <v>-0.20237146999999983</v>
      </c>
      <c r="Y567">
        <v>0.17460688000000002</v>
      </c>
      <c r="Z567">
        <v>7.1919709999999998E-2</v>
      </c>
    </row>
    <row r="568" spans="1:26">
      <c r="A568" s="54" t="str">
        <f>CONCATENATE(raw[[#This Row],[redis_ls]],raw[[#This Row],[wage_eq]],raw[[#This Row],[flex]],raw[[#This Row],[expo]],raw[[#This Row],[_date_]])</f>
        <v>100038353</v>
      </c>
      <c r="B568" s="1">
        <v>38353</v>
      </c>
      <c r="C568">
        <v>1</v>
      </c>
      <c r="D568">
        <v>0</v>
      </c>
      <c r="E568">
        <v>0</v>
      </c>
      <c r="F568">
        <v>0</v>
      </c>
      <c r="G568">
        <v>8.4319173258728952E-2</v>
      </c>
      <c r="H568">
        <v>78.495060000001104</v>
      </c>
      <c r="I568">
        <v>-2.7332303703467731</v>
      </c>
      <c r="J568">
        <v>0.30284533561830695</v>
      </c>
      <c r="K568">
        <v>-0.52545458974000425</v>
      </c>
      <c r="L568">
        <v>-0.26566749588748939</v>
      </c>
      <c r="M568">
        <v>-0.27040420829015366</v>
      </c>
      <c r="N568">
        <v>0.29669555056888175</v>
      </c>
      <c r="O568">
        <v>-5.4952800000007684E-3</v>
      </c>
      <c r="P568">
        <v>0.76142153312643845</v>
      </c>
      <c r="Q568">
        <v>0.44957180425795329</v>
      </c>
      <c r="R568">
        <v>-0.21336309671038389</v>
      </c>
      <c r="S568">
        <v>1.1106135468856193</v>
      </c>
      <c r="T568">
        <v>0.67130430668858043</v>
      </c>
      <c r="U568">
        <v>-2.7171924710245321E-7</v>
      </c>
      <c r="V568">
        <v>0.63337873834630187</v>
      </c>
      <c r="W568">
        <v>0.84855232149867454</v>
      </c>
      <c r="X568">
        <v>-0.20430931999999985</v>
      </c>
      <c r="Y568">
        <v>0.18351020000000018</v>
      </c>
      <c r="Z568">
        <v>6.6090164999999937E-2</v>
      </c>
    </row>
    <row r="569" spans="1:26">
      <c r="A569" s="54" t="str">
        <f>CONCATENATE(raw[[#This Row],[redis_ls]],raw[[#This Row],[wage_eq]],raw[[#This Row],[flex]],raw[[#This Row],[expo]],raw[[#This Row],[_date_]])</f>
        <v>100038718</v>
      </c>
      <c r="B569" s="1">
        <v>38718</v>
      </c>
      <c r="C569">
        <v>1</v>
      </c>
      <c r="D569">
        <v>0</v>
      </c>
      <c r="E569">
        <v>0</v>
      </c>
      <c r="F569">
        <v>0</v>
      </c>
      <c r="G569">
        <v>6.8778920246259645E-2</v>
      </c>
      <c r="H569">
        <v>75.381000000001222</v>
      </c>
      <c r="I569">
        <v>-2.7935593728201424</v>
      </c>
      <c r="J569">
        <v>0.31744216576814477</v>
      </c>
      <c r="K569">
        <v>-0.57229360878817692</v>
      </c>
      <c r="L569">
        <v>-0.32028414285300011</v>
      </c>
      <c r="M569">
        <v>-0.26190945187770653</v>
      </c>
      <c r="N569">
        <v>0.30466365914028071</v>
      </c>
      <c r="O569">
        <v>-1.1417610000000189E-2</v>
      </c>
      <c r="P569">
        <v>0.83974334565393161</v>
      </c>
      <c r="Q569">
        <v>0.5467967030542642</v>
      </c>
      <c r="R569">
        <v>-8.4367492623793616E-2</v>
      </c>
      <c r="S569">
        <v>1.1762478254668807</v>
      </c>
      <c r="T569">
        <v>0.75115150663409569</v>
      </c>
      <c r="U569">
        <v>-2.6639142003404004E-7</v>
      </c>
      <c r="V569">
        <v>0.75529854136220376</v>
      </c>
      <c r="W569">
        <v>0.84037505204457297</v>
      </c>
      <c r="X569">
        <v>-0.19143457999999947</v>
      </c>
      <c r="Y569">
        <v>0.18912274000000007</v>
      </c>
      <c r="Z569">
        <v>5.4801578000000017E-2</v>
      </c>
    </row>
    <row r="570" spans="1:26">
      <c r="A570" s="54" t="str">
        <f>CONCATENATE(raw[[#This Row],[redis_ls]],raw[[#This Row],[wage_eq]],raw[[#This Row],[flex]],raw[[#This Row],[expo]],raw[[#This Row],[_date_]])</f>
        <v>100039083</v>
      </c>
      <c r="B570" s="1">
        <v>39083</v>
      </c>
      <c r="C570">
        <v>1</v>
      </c>
      <c r="D570">
        <v>0</v>
      </c>
      <c r="E570">
        <v>0</v>
      </c>
      <c r="F570">
        <v>0</v>
      </c>
      <c r="G570">
        <v>4.9608981564364107E-2</v>
      </c>
      <c r="H570">
        <v>68.341360000002169</v>
      </c>
      <c r="I570">
        <v>-2.8131719883357609</v>
      </c>
      <c r="J570">
        <v>0.3215204627378343</v>
      </c>
      <c r="K570">
        <v>-0.60993617925834132</v>
      </c>
      <c r="L570">
        <v>-0.37054821138322591</v>
      </c>
      <c r="M570">
        <v>-0.25240550389249439</v>
      </c>
      <c r="N570">
        <v>0.3071886957936254</v>
      </c>
      <c r="O570">
        <v>-1.2805100000000402E-2</v>
      </c>
      <c r="P570">
        <v>0.90827014416550167</v>
      </c>
      <c r="Q570">
        <v>0.63297176740617633</v>
      </c>
      <c r="R570">
        <v>3.1296725331420028E-2</v>
      </c>
      <c r="S570">
        <v>1.2330466338689172</v>
      </c>
      <c r="T570">
        <v>0.81874991892365578</v>
      </c>
      <c r="U570">
        <v>-2.6116805385001385E-7</v>
      </c>
      <c r="V570">
        <v>0.86009662262518383</v>
      </c>
      <c r="W570">
        <v>0.82854058831978161</v>
      </c>
      <c r="X570">
        <v>-0.16967843999999982</v>
      </c>
      <c r="Y570">
        <v>0.19226172000000008</v>
      </c>
      <c r="Z570">
        <v>4.2937759000000013E-2</v>
      </c>
    </row>
    <row r="571" spans="1:26">
      <c r="A571" s="54" t="str">
        <f>CONCATENATE(raw[[#This Row],[redis_ls]],raw[[#This Row],[wage_eq]],raw[[#This Row],[flex]],raw[[#This Row],[expo]],raw[[#This Row],[_date_]])</f>
        <v>100039448</v>
      </c>
      <c r="B571" s="1">
        <v>39448</v>
      </c>
      <c r="C571">
        <v>1</v>
      </c>
      <c r="D571">
        <v>0</v>
      </c>
      <c r="E571">
        <v>0</v>
      </c>
      <c r="F571">
        <v>0</v>
      </c>
      <c r="G571">
        <v>3.0297855192862322E-2</v>
      </c>
      <c r="H571">
        <v>59.248220000001311</v>
      </c>
      <c r="I571">
        <v>-2.806801579723428</v>
      </c>
      <c r="J571">
        <v>0.32088592915633374</v>
      </c>
      <c r="K571">
        <v>-0.63922598883079385</v>
      </c>
      <c r="L571">
        <v>-0.41564367616336861</v>
      </c>
      <c r="M571">
        <v>-0.24212044016047596</v>
      </c>
      <c r="N571">
        <v>0.30809811784604513</v>
      </c>
      <c r="O571">
        <v>-1.1425430000000514E-2</v>
      </c>
      <c r="P571">
        <v>0.96589803699647092</v>
      </c>
      <c r="Q571">
        <v>0.70663232838217294</v>
      </c>
      <c r="R571">
        <v>0.13176935354506369</v>
      </c>
      <c r="S571">
        <v>1.2799678124884251</v>
      </c>
      <c r="T571">
        <v>0.87449561973167445</v>
      </c>
      <c r="U571">
        <v>-3.4139615578965277E-7</v>
      </c>
      <c r="V571">
        <v>0.94836677719263296</v>
      </c>
      <c r="W571">
        <v>0.81552281241237257</v>
      </c>
      <c r="X571">
        <v>-0.14405111999999942</v>
      </c>
      <c r="Y571">
        <v>0.19331915000000005</v>
      </c>
      <c r="Z571">
        <v>3.3285794999999944E-2</v>
      </c>
    </row>
    <row r="572" spans="1:26">
      <c r="A572" s="54" t="str">
        <f>CONCATENATE(raw[[#This Row],[redis_ls]],raw[[#This Row],[wage_eq]],raw[[#This Row],[flex]],raw[[#This Row],[expo]],raw[[#This Row],[_date_]])</f>
        <v>100039814</v>
      </c>
      <c r="B572" s="1">
        <v>39814</v>
      </c>
      <c r="C572">
        <v>1</v>
      </c>
      <c r="D572">
        <v>0</v>
      </c>
      <c r="E572">
        <v>0</v>
      </c>
      <c r="F572">
        <v>0</v>
      </c>
      <c r="G572">
        <v>1.2993907352831791E-2</v>
      </c>
      <c r="H572">
        <v>49.576059999999416</v>
      </c>
      <c r="I572">
        <v>-2.7834659711138299</v>
      </c>
      <c r="J572">
        <v>0.31929516731303842</v>
      </c>
      <c r="K572">
        <v>-0.66066620288370848</v>
      </c>
      <c r="L572">
        <v>-0.45516188415397618</v>
      </c>
      <c r="M572">
        <v>-0.23086045403792887</v>
      </c>
      <c r="N572">
        <v>0.30939686068209848</v>
      </c>
      <c r="O572">
        <v>-8.8437000000010646E-3</v>
      </c>
      <c r="P572">
        <v>1.012677701579201</v>
      </c>
      <c r="Q572">
        <v>0.76775449865693624</v>
      </c>
      <c r="R572">
        <v>0.21701473628517043</v>
      </c>
      <c r="S572">
        <v>1.3170144602681066</v>
      </c>
      <c r="T572">
        <v>0.91927037688988023</v>
      </c>
      <c r="U572">
        <v>-3.3470209936936612E-7</v>
      </c>
      <c r="V572">
        <v>1.0209702532651965</v>
      </c>
      <c r="W572">
        <v>0.80221460181499893</v>
      </c>
      <c r="X572">
        <v>-0.11821137000000009</v>
      </c>
      <c r="Y572">
        <v>0.19260222000000021</v>
      </c>
      <c r="Z572">
        <v>2.7100342999999971E-2</v>
      </c>
    </row>
    <row r="573" spans="1:26">
      <c r="A573" s="54" t="str">
        <f>CONCATENATE(raw[[#This Row],[redis_ls]],raw[[#This Row],[wage_eq]],raw[[#This Row],[flex]],raw[[#This Row],[expo]],raw[[#This Row],[_date_]])</f>
        <v>100040179</v>
      </c>
      <c r="B573" s="1">
        <v>40179</v>
      </c>
      <c r="C573">
        <v>1</v>
      </c>
      <c r="D573">
        <v>0</v>
      </c>
      <c r="E573">
        <v>0</v>
      </c>
      <c r="F573">
        <v>0</v>
      </c>
      <c r="G573">
        <v>-1.2550694091228998E-3</v>
      </c>
      <c r="H573">
        <v>40.340720000000147</v>
      </c>
      <c r="I573">
        <v>-2.7490331075876506</v>
      </c>
      <c r="J573">
        <v>0.31873042571566312</v>
      </c>
      <c r="K573">
        <v>-0.67487283356260086</v>
      </c>
      <c r="L573">
        <v>-0.48902005285478278</v>
      </c>
      <c r="M573">
        <v>-0.21857282197785821</v>
      </c>
      <c r="N573">
        <v>0.3118902117053457</v>
      </c>
      <c r="O573">
        <v>-6.1113400000006868E-3</v>
      </c>
      <c r="P573">
        <v>1.0492552498753138</v>
      </c>
      <c r="Q573">
        <v>0.81707789531761943</v>
      </c>
      <c r="R573">
        <v>0.28796070943810648</v>
      </c>
      <c r="S573">
        <v>1.3447468391826201</v>
      </c>
      <c r="T573">
        <v>0.95418910549980307</v>
      </c>
      <c r="U573">
        <v>-4.1017415020050407E-7</v>
      </c>
      <c r="V573">
        <v>1.079075825029463</v>
      </c>
      <c r="W573">
        <v>0.78884353646686556</v>
      </c>
      <c r="X573">
        <v>-9.4482110000000674E-2</v>
      </c>
      <c r="Y573">
        <v>0.19042580000000026</v>
      </c>
      <c r="Z573">
        <v>2.4598969000000012E-2</v>
      </c>
    </row>
    <row r="574" spans="1:26">
      <c r="A574" s="54" t="str">
        <f>CONCATENATE(raw[[#This Row],[redis_ls]],raw[[#This Row],[wage_eq]],raw[[#This Row],[flex]],raw[[#This Row],[expo]],raw[[#This Row],[_date_]])</f>
        <v>100040544</v>
      </c>
      <c r="B574" s="1">
        <v>40544</v>
      </c>
      <c r="C574">
        <v>1</v>
      </c>
      <c r="D574">
        <v>0</v>
      </c>
      <c r="E574">
        <v>0</v>
      </c>
      <c r="F574">
        <v>0</v>
      </c>
      <c r="G574">
        <v>-1.2184269381942947E-2</v>
      </c>
      <c r="H574">
        <v>32.142020000002958</v>
      </c>
      <c r="I574">
        <v>-2.7075322590247142</v>
      </c>
      <c r="J574">
        <v>0.31988636774826773</v>
      </c>
      <c r="K574">
        <v>-0.68268150337803535</v>
      </c>
      <c r="L574">
        <v>-0.51736956629372388</v>
      </c>
      <c r="M574">
        <v>-0.20546487658654744</v>
      </c>
      <c r="N574">
        <v>0.31562752136351513</v>
      </c>
      <c r="O574">
        <v>-3.8048700000001268E-3</v>
      </c>
      <c r="P574">
        <v>1.0765459644198394</v>
      </c>
      <c r="Q574">
        <v>0.8556860851673509</v>
      </c>
      <c r="R574">
        <v>0.34596009782785764</v>
      </c>
      <c r="S574">
        <v>1.363985310701854</v>
      </c>
      <c r="T574">
        <v>0.98040991057501969</v>
      </c>
      <c r="U574">
        <v>-4.8255782703066075E-7</v>
      </c>
      <c r="V574">
        <v>1.1240679186366176</v>
      </c>
      <c r="W574">
        <v>0.77542515393469458</v>
      </c>
      <c r="X574">
        <v>-7.4079380000000028E-2</v>
      </c>
      <c r="Y574">
        <v>0.18711585000000008</v>
      </c>
      <c r="Z574">
        <v>2.5353692999999927E-2</v>
      </c>
    </row>
    <row r="575" spans="1:26">
      <c r="A575" s="54" t="str">
        <f>CONCATENATE(raw[[#This Row],[redis_ls]],raw[[#This Row],[wage_eq]],raw[[#This Row],[flex]],raw[[#This Row],[expo]],raw[[#This Row],[_date_]])</f>
        <v>100040909</v>
      </c>
      <c r="B575" s="1">
        <v>40909</v>
      </c>
      <c r="C575">
        <v>1</v>
      </c>
      <c r="D575">
        <v>0</v>
      </c>
      <c r="E575">
        <v>0</v>
      </c>
      <c r="F575">
        <v>0</v>
      </c>
      <c r="G575">
        <v>-2.0025883577312609E-2</v>
      </c>
      <c r="H575">
        <v>25.25112999999692</v>
      </c>
      <c r="I575">
        <v>-2.6618334610530758</v>
      </c>
      <c r="J575">
        <v>0.32263272560373313</v>
      </c>
      <c r="K575">
        <v>-0.68509343188374316</v>
      </c>
      <c r="L575">
        <v>-0.54051336970948327</v>
      </c>
      <c r="M575">
        <v>-0.19194849245935952</v>
      </c>
      <c r="N575">
        <v>0.32021788760032699</v>
      </c>
      <c r="O575">
        <v>-2.15733000000079E-3</v>
      </c>
      <c r="P575">
        <v>1.0955565413472534</v>
      </c>
      <c r="Q575">
        <v>0.88477023791142528</v>
      </c>
      <c r="R575">
        <v>0.39248627447465712</v>
      </c>
      <c r="S575">
        <v>1.3756422474010988</v>
      </c>
      <c r="T575">
        <v>0.99902802446663053</v>
      </c>
      <c r="U575">
        <v>-3.9424657982678468E-7</v>
      </c>
      <c r="V575">
        <v>1.1574138448207094</v>
      </c>
      <c r="W575">
        <v>0.76193707669023336</v>
      </c>
      <c r="X575">
        <v>-5.7406189999999191E-2</v>
      </c>
      <c r="Y575">
        <v>0.18299040000000003</v>
      </c>
      <c r="Z575">
        <v>2.8590784000000029E-2</v>
      </c>
    </row>
    <row r="576" spans="1:26">
      <c r="A576" s="54" t="str">
        <f>CONCATENATE(raw[[#This Row],[redis_ls]],raw[[#This Row],[wage_eq]],raw[[#This Row],[flex]],raw[[#This Row],[expo]],raw[[#This Row],[_date_]])</f>
        <v>100041275</v>
      </c>
      <c r="B576" s="1">
        <v>41275</v>
      </c>
      <c r="C576">
        <v>1</v>
      </c>
      <c r="D576">
        <v>0</v>
      </c>
      <c r="E576">
        <v>0</v>
      </c>
      <c r="F576">
        <v>0</v>
      </c>
      <c r="G576">
        <v>-2.5282988103991766E-2</v>
      </c>
      <c r="H576">
        <v>19.706780000000435</v>
      </c>
      <c r="I576">
        <v>-2.6140139453021516</v>
      </c>
      <c r="J576">
        <v>0.32638693444173583</v>
      </c>
      <c r="K576">
        <v>-0.68317287417133388</v>
      </c>
      <c r="L576">
        <v>-0.55884065401404781</v>
      </c>
      <c r="M576">
        <v>-0.17853682841756369</v>
      </c>
      <c r="N576">
        <v>0.32506046084186391</v>
      </c>
      <c r="O576">
        <v>-1.1849399999999677E-3</v>
      </c>
      <c r="P576">
        <v>1.1072915522675197</v>
      </c>
      <c r="Q576">
        <v>0.90550486252647389</v>
      </c>
      <c r="R576">
        <v>0.42897599878504167</v>
      </c>
      <c r="S576">
        <v>1.3806319868012729</v>
      </c>
      <c r="T576">
        <v>1.0110329242312144</v>
      </c>
      <c r="U576">
        <v>-4.6381951612772809E-7</v>
      </c>
      <c r="V576">
        <v>1.1805514844423826</v>
      </c>
      <c r="W576">
        <v>0.74836517288217053</v>
      </c>
      <c r="X576">
        <v>-4.4331270000000367E-2</v>
      </c>
      <c r="Y576">
        <v>0.1783403900000001</v>
      </c>
      <c r="Z576">
        <v>3.3412801000000034E-2</v>
      </c>
    </row>
    <row r="577" spans="1:26">
      <c r="A577" s="54" t="str">
        <f>CONCATENATE(raw[[#This Row],[redis_ls]],raw[[#This Row],[wage_eq]],raw[[#This Row],[flex]],raw[[#This Row],[expo]],raw[[#This Row],[_date_]])</f>
        <v>100041640</v>
      </c>
      <c r="B577" s="1">
        <v>41640</v>
      </c>
      <c r="C577">
        <v>1</v>
      </c>
      <c r="D577">
        <v>0</v>
      </c>
      <c r="E577">
        <v>0</v>
      </c>
      <c r="F577">
        <v>0</v>
      </c>
      <c r="G577">
        <v>-2.8564038386225121E-2</v>
      </c>
      <c r="H577">
        <v>15.40193999999974</v>
      </c>
      <c r="I577">
        <v>-2.5655695381540444</v>
      </c>
      <c r="J577">
        <v>0.33038946946761794</v>
      </c>
      <c r="K577">
        <v>-0.67794989903755543</v>
      </c>
      <c r="L577">
        <v>-0.57278007174986767</v>
      </c>
      <c r="M577">
        <v>-0.16574668666531345</v>
      </c>
      <c r="N577">
        <v>0.32951142009920442</v>
      </c>
      <c r="O577">
        <v>-7.8428000000047016E-4</v>
      </c>
      <c r="P577">
        <v>1.1127059673061046</v>
      </c>
      <c r="Q577">
        <v>0.91898894288386934</v>
      </c>
      <c r="R577">
        <v>0.45675816298771377</v>
      </c>
      <c r="S577">
        <v>1.3798253088830092</v>
      </c>
      <c r="T577">
        <v>1.017300870265081</v>
      </c>
      <c r="U577">
        <v>-4.5472501319920866E-7</v>
      </c>
      <c r="V577">
        <v>1.194818784453755</v>
      </c>
      <c r="W577">
        <v>0.73470478661594729</v>
      </c>
      <c r="X577">
        <v>-3.4418919999999742E-2</v>
      </c>
      <c r="Y577">
        <v>0.17341646000000011</v>
      </c>
      <c r="Z577">
        <v>3.8953392999999982E-2</v>
      </c>
    </row>
    <row r="578" spans="1:26">
      <c r="A578" s="54" t="str">
        <f>CONCATENATE(raw[[#This Row],[redis_ls]],raw[[#This Row],[wage_eq]],raw[[#This Row],[flex]],raw[[#This Row],[expo]],raw[[#This Row],[_date_]])</f>
        <v>100042005</v>
      </c>
      <c r="B578" s="1">
        <v>42005</v>
      </c>
      <c r="C578">
        <v>1</v>
      </c>
      <c r="D578">
        <v>0</v>
      </c>
      <c r="E578">
        <v>0</v>
      </c>
      <c r="F578">
        <v>0</v>
      </c>
      <c r="G578">
        <v>-3.0470413933003648E-2</v>
      </c>
      <c r="H578">
        <v>12.153190000000905</v>
      </c>
      <c r="I578">
        <v>-2.5175487656520779</v>
      </c>
      <c r="J578">
        <v>0.33389281309539331</v>
      </c>
      <c r="K578">
        <v>-0.67034886213048761</v>
      </c>
      <c r="L578">
        <v>-0.58276898292627388</v>
      </c>
      <c r="M578">
        <v>-0.15402534487460873</v>
      </c>
      <c r="N578">
        <v>0.33299735225986726</v>
      </c>
      <c r="O578">
        <v>-7.9989999999946493E-4</v>
      </c>
      <c r="P578">
        <v>1.1126826078965424</v>
      </c>
      <c r="Q578">
        <v>0.92622269013524772</v>
      </c>
      <c r="R578">
        <v>0.47702845633534885</v>
      </c>
      <c r="S578">
        <v>1.3740280071748101</v>
      </c>
      <c r="T578">
        <v>1.0186046095021384</v>
      </c>
      <c r="U578">
        <v>-5.2011029927356844E-7</v>
      </c>
      <c r="V578">
        <v>1.2014226476922962</v>
      </c>
      <c r="W578">
        <v>0.720955034525117</v>
      </c>
      <c r="X578">
        <v>-2.7100959999999674E-2</v>
      </c>
      <c r="Y578">
        <v>0.1684219100000002</v>
      </c>
      <c r="Z578">
        <v>4.447438300000002E-2</v>
      </c>
    </row>
    <row r="579" spans="1:26">
      <c r="A579" s="54" t="str">
        <f>CONCATENATE(raw[[#This Row],[redis_ls]],raw[[#This Row],[wage_eq]],raw[[#This Row],[flex]],raw[[#This Row],[expo]],raw[[#This Row],[_date_]])</f>
        <v>100042370</v>
      </c>
      <c r="B579" s="1">
        <v>42370</v>
      </c>
      <c r="C579">
        <v>1</v>
      </c>
      <c r="D579">
        <v>0</v>
      </c>
      <c r="E579">
        <v>0</v>
      </c>
      <c r="F579">
        <v>0</v>
      </c>
      <c r="G579">
        <v>-3.1527151672572362E-2</v>
      </c>
      <c r="H579">
        <v>9.7515299999977287</v>
      </c>
      <c r="I579">
        <v>-2.4706474561571046</v>
      </c>
      <c r="J579">
        <v>0.33627764892611989</v>
      </c>
      <c r="K579">
        <v>-0.66114598952845549</v>
      </c>
      <c r="L579">
        <v>-0.58923490917169863</v>
      </c>
      <c r="M579">
        <v>-0.1437062236304909</v>
      </c>
      <c r="N579">
        <v>0.3350814320384643</v>
      </c>
      <c r="O579">
        <v>-1.0685100000004666E-3</v>
      </c>
      <c r="P579">
        <v>1.1080240613693171</v>
      </c>
      <c r="Q579">
        <v>0.92810399171161517</v>
      </c>
      <c r="R579">
        <v>0.49084951360442997</v>
      </c>
      <c r="S579">
        <v>1.3639736221263909</v>
      </c>
      <c r="T579">
        <v>1.0156287232686356</v>
      </c>
      <c r="U579">
        <v>-5.0991205702288767E-7</v>
      </c>
      <c r="V579">
        <v>1.2014354079173506</v>
      </c>
      <c r="W579">
        <v>0.70711502342342136</v>
      </c>
      <c r="X579">
        <v>-2.1794220000000142E-2</v>
      </c>
      <c r="Y579">
        <v>0.16351111000000029</v>
      </c>
      <c r="Z579">
        <v>4.9415267000000027E-2</v>
      </c>
    </row>
    <row r="580" spans="1:26">
      <c r="A580" s="54" t="str">
        <f>CONCATENATE(raw[[#This Row],[redis_ls]],raw[[#This Row],[wage_eq]],raw[[#This Row],[flex]],raw[[#This Row],[expo]],raw[[#This Row],[_date_]])</f>
        <v>100042736</v>
      </c>
      <c r="B580" s="1">
        <v>42736</v>
      </c>
      <c r="C580">
        <v>1</v>
      </c>
      <c r="D580">
        <v>0</v>
      </c>
      <c r="E580">
        <v>0</v>
      </c>
      <c r="F580">
        <v>0</v>
      </c>
      <c r="G580">
        <v>-3.2148556226851976E-2</v>
      </c>
      <c r="H580">
        <v>7.9959000000017113</v>
      </c>
      <c r="I580">
        <v>-2.425282935856421</v>
      </c>
      <c r="J580">
        <v>0.33711130068345696</v>
      </c>
      <c r="K580">
        <v>-0.65095224766912319</v>
      </c>
      <c r="L580">
        <v>-0.59258531315531382</v>
      </c>
      <c r="M580">
        <v>-0.13499043003685207</v>
      </c>
      <c r="N580">
        <v>0.33549310825793377</v>
      </c>
      <c r="O580">
        <v>-1.4454600000005091E-3</v>
      </c>
      <c r="P580">
        <v>1.0994524025744745</v>
      </c>
      <c r="Q580">
        <v>0.92543391090511573</v>
      </c>
      <c r="R580">
        <v>0.49916227696473747</v>
      </c>
      <c r="S580">
        <v>1.3503236405462582</v>
      </c>
      <c r="T580">
        <v>1.0089849320027211</v>
      </c>
      <c r="U580">
        <v>-4.9991378814340237E-7</v>
      </c>
      <c r="V580">
        <v>1.1958069569005358</v>
      </c>
      <c r="W580">
        <v>0.69318456936464656</v>
      </c>
      <c r="X580">
        <v>-1.797241000000005E-2</v>
      </c>
      <c r="Y580">
        <v>0.15879197000000025</v>
      </c>
      <c r="Z580">
        <v>5.3406101999999969E-2</v>
      </c>
    </row>
    <row r="581" spans="1:26">
      <c r="A581" s="54" t="str">
        <f>CONCATENATE(raw[[#This Row],[redis_ls]],raw[[#This Row],[wage_eq]],raw[[#This Row],[flex]],raw[[#This Row],[expo]],raw[[#This Row],[_date_]])</f>
        <v>100043101</v>
      </c>
      <c r="B581" s="1">
        <v>43101</v>
      </c>
      <c r="C581">
        <v>1</v>
      </c>
      <c r="D581">
        <v>0</v>
      </c>
      <c r="E581">
        <v>0</v>
      </c>
      <c r="F581">
        <v>0</v>
      </c>
      <c r="G581">
        <v>-3.262798046546056E-2</v>
      </c>
      <c r="H581">
        <v>6.7125300000006973</v>
      </c>
      <c r="I581">
        <v>-2.3816564937594653</v>
      </c>
      <c r="J581">
        <v>0.33616233202375945</v>
      </c>
      <c r="K581">
        <v>-0.64021624225462093</v>
      </c>
      <c r="L581">
        <v>-0.59320312009267795</v>
      </c>
      <c r="M581">
        <v>-0.12794864053251587</v>
      </c>
      <c r="N581">
        <v>0.33412694699375134</v>
      </c>
      <c r="O581">
        <v>-1.8181399999997461E-3</v>
      </c>
      <c r="P581">
        <v>1.0876144044221769</v>
      </c>
      <c r="Q581">
        <v>0.91892759703477989</v>
      </c>
      <c r="R581">
        <v>0.50280243758915599</v>
      </c>
      <c r="S581">
        <v>1.3336731626858223</v>
      </c>
      <c r="T581">
        <v>0.99922600532218464</v>
      </c>
      <c r="U581">
        <v>-4.9011155134337514E-7</v>
      </c>
      <c r="V581">
        <v>1.1853830962545997</v>
      </c>
      <c r="W581">
        <v>0.67916584100200517</v>
      </c>
      <c r="X581">
        <v>-1.520248999999918E-2</v>
      </c>
      <c r="Y581">
        <v>0.15433139000000026</v>
      </c>
      <c r="Z581">
        <v>5.6254774999999882E-2</v>
      </c>
    </row>
    <row r="582" spans="1:26">
      <c r="A582" s="54" t="str">
        <f>CONCATENATE(raw[[#This Row],[redis_ls]],raw[[#This Row],[wage_eq]],raw[[#This Row],[flex]],raw[[#This Row],[expo]],raw[[#This Row],[_date_]])</f>
        <v>100043466</v>
      </c>
      <c r="B582" s="1">
        <v>43466</v>
      </c>
      <c r="C582">
        <v>1</v>
      </c>
      <c r="D582">
        <v>0</v>
      </c>
      <c r="E582">
        <v>0</v>
      </c>
      <c r="F582">
        <v>0</v>
      </c>
      <c r="G582">
        <v>-3.3145894604302839E-2</v>
      </c>
      <c r="H582">
        <v>5.7634799999977986</v>
      </c>
      <c r="I582">
        <v>-2.3398073983897372</v>
      </c>
      <c r="J582">
        <v>0.33338475000941337</v>
      </c>
      <c r="K582">
        <v>-0.629240161871647</v>
      </c>
      <c r="L582">
        <v>-0.59144535697577272</v>
      </c>
      <c r="M582">
        <v>-0.12253718725089291</v>
      </c>
      <c r="N582">
        <v>0.33102245065073088</v>
      </c>
      <c r="O582">
        <v>-2.1101600000003606E-3</v>
      </c>
      <c r="P582">
        <v>1.073088689503332</v>
      </c>
      <c r="Q582">
        <v>0.90922565482423057</v>
      </c>
      <c r="R582">
        <v>0.50251618640959617</v>
      </c>
      <c r="S582">
        <v>1.3145571137091139</v>
      </c>
      <c r="T582">
        <v>0.98685630625101606</v>
      </c>
      <c r="U582">
        <v>-4.8050153855783151E-7</v>
      </c>
      <c r="V582">
        <v>1.170924090849268</v>
      </c>
      <c r="W582">
        <v>0.66506584261618595</v>
      </c>
      <c r="X582">
        <v>-1.3155659999999902E-2</v>
      </c>
      <c r="Y582">
        <v>0.15016243000000007</v>
      </c>
      <c r="Z582">
        <v>5.7918663000000072E-2</v>
      </c>
    </row>
    <row r="583" spans="1:26">
      <c r="A583" s="54" t="str">
        <f>CONCATENATE(raw[[#This Row],[redis_ls]],raw[[#This Row],[wage_eq]],raw[[#This Row],[flex]],raw[[#This Row],[expo]],raw[[#This Row],[_date_]])</f>
        <v>100043831</v>
      </c>
      <c r="B583" s="1">
        <v>43831</v>
      </c>
      <c r="C583">
        <v>1</v>
      </c>
      <c r="D583">
        <v>0</v>
      </c>
      <c r="E583">
        <v>0</v>
      </c>
      <c r="F583">
        <v>0</v>
      </c>
      <c r="G583">
        <v>-3.3787749752633989E-2</v>
      </c>
      <c r="H583">
        <v>5.047630000000936</v>
      </c>
      <c r="I583">
        <v>-2.2996602623706619</v>
      </c>
      <c r="J583">
        <v>0.32888482922543982</v>
      </c>
      <c r="K583">
        <v>-0.61820372564098669</v>
      </c>
      <c r="L583">
        <v>-0.58764386592566886</v>
      </c>
      <c r="M583">
        <v>-0.11862217462511593</v>
      </c>
      <c r="N583">
        <v>0.32633333477223303</v>
      </c>
      <c r="O583">
        <v>-2.2792800000004387E-3</v>
      </c>
      <c r="P583">
        <v>1.0563932457035907</v>
      </c>
      <c r="Q583">
        <v>0.89690469226264558</v>
      </c>
      <c r="R583">
        <v>0.4989749953505429</v>
      </c>
      <c r="S583">
        <v>1.293457693132094</v>
      </c>
      <c r="T583">
        <v>0.9723395303783855</v>
      </c>
      <c r="U583">
        <v>-4.7107993061956677E-7</v>
      </c>
      <c r="V583">
        <v>1.1531203960664094</v>
      </c>
      <c r="W583">
        <v>0.65089759699437089</v>
      </c>
      <c r="X583">
        <v>-1.1601619999999924E-2</v>
      </c>
      <c r="Y583">
        <v>0.14629207000000019</v>
      </c>
      <c r="Z583">
        <v>5.8469036000000085E-2</v>
      </c>
    </row>
    <row r="584" spans="1:26">
      <c r="A584" s="54" t="str">
        <f>CONCATENATE(raw[[#This Row],[redis_ls]],raw[[#This Row],[wage_eq]],raw[[#This Row],[flex]],raw[[#This Row],[expo]],raw[[#This Row],[_date_]])</f>
        <v>100044197</v>
      </c>
      <c r="B584" s="1">
        <v>44197</v>
      </c>
      <c r="C584">
        <v>1</v>
      </c>
      <c r="D584">
        <v>0</v>
      </c>
      <c r="E584">
        <v>0</v>
      </c>
      <c r="F584">
        <v>0</v>
      </c>
      <c r="G584">
        <v>-3.4566631695820416E-2</v>
      </c>
      <c r="H584">
        <v>4.4968499999995402</v>
      </c>
      <c r="I584">
        <v>-2.2610652871848824</v>
      </c>
      <c r="J584">
        <v>0.32287972496118922</v>
      </c>
      <c r="K584">
        <v>-0.60719093380876554</v>
      </c>
      <c r="L584">
        <v>-0.58210637485389682</v>
      </c>
      <c r="M584">
        <v>-0.11600656405912346</v>
      </c>
      <c r="N584">
        <v>0.32029207844921359</v>
      </c>
      <c r="O584">
        <v>-2.3117500000002789E-3</v>
      </c>
      <c r="P584">
        <v>1.0379926940543349</v>
      </c>
      <c r="Q584">
        <v>0.88248604143816856</v>
      </c>
      <c r="R584">
        <v>0.49278609209479907</v>
      </c>
      <c r="S584">
        <v>1.2708100293505886</v>
      </c>
      <c r="T584">
        <v>0.95610330007254163</v>
      </c>
      <c r="U584">
        <v>-4.6184306379259965E-7</v>
      </c>
      <c r="V584">
        <v>1.1326041060547354</v>
      </c>
      <c r="W584">
        <v>0.63668049241014657</v>
      </c>
      <c r="X584">
        <v>-1.0393350000000023E-2</v>
      </c>
      <c r="Y584">
        <v>0.14270883000000006</v>
      </c>
      <c r="Z584">
        <v>5.8054474000000023E-2</v>
      </c>
    </row>
    <row r="585" spans="1:26">
      <c r="A585" s="54" t="str">
        <f>CONCATENATE(raw[[#This Row],[redis_ls]],raw[[#This Row],[wage_eq]],raw[[#This Row],[flex]],raw[[#This Row],[expo]],raw[[#This Row],[_date_]])</f>
        <v>100044562</v>
      </c>
      <c r="B585" s="1">
        <v>44562</v>
      </c>
      <c r="C585">
        <v>1</v>
      </c>
      <c r="D585">
        <v>0</v>
      </c>
      <c r="E585">
        <v>0</v>
      </c>
      <c r="F585">
        <v>0</v>
      </c>
      <c r="G585">
        <v>-3.5446244871373267E-2</v>
      </c>
      <c r="H585">
        <v>4.0697799999979907</v>
      </c>
      <c r="I585">
        <v>-2.223831248251773</v>
      </c>
      <c r="J585">
        <v>0.31565524113168486</v>
      </c>
      <c r="K585">
        <v>-0.5962165048310597</v>
      </c>
      <c r="L585">
        <v>-0.57511808173837942</v>
      </c>
      <c r="M585">
        <v>-0.11445664779348164</v>
      </c>
      <c r="N585">
        <v>0.31317598582636386</v>
      </c>
      <c r="O585">
        <v>-2.2150499999998297E-3</v>
      </c>
      <c r="P585">
        <v>1.0183045232640353</v>
      </c>
      <c r="Q585">
        <v>0.86644217729949791</v>
      </c>
      <c r="R585">
        <v>0.48450125750099104</v>
      </c>
      <c r="S585">
        <v>1.2470076595664015</v>
      </c>
      <c r="T585">
        <v>0.93854254402432336</v>
      </c>
      <c r="U585">
        <v>-4.5278731874986988E-7</v>
      </c>
      <c r="V585">
        <v>1.1099563354161068</v>
      </c>
      <c r="W585">
        <v>0.6224393849975085</v>
      </c>
      <c r="X585">
        <v>-9.4479100000002814E-3</v>
      </c>
      <c r="Y585">
        <v>0.13938949000000012</v>
      </c>
      <c r="Z585">
        <v>5.6867522999999934E-2</v>
      </c>
    </row>
    <row r="586" spans="1:26">
      <c r="A586" s="54" t="str">
        <f>CONCATENATE(raw[[#This Row],[redis_ls]],raw[[#This Row],[wage_eq]],raw[[#This Row],[flex]],raw[[#This Row],[expo]],raw[[#This Row],[_date_]])</f>
        <v>100044927</v>
      </c>
      <c r="B586" s="1">
        <v>44927</v>
      </c>
      <c r="C586">
        <v>1</v>
      </c>
      <c r="D586">
        <v>0</v>
      </c>
      <c r="E586">
        <v>0</v>
      </c>
      <c r="F586">
        <v>0</v>
      </c>
      <c r="G586">
        <v>-3.6361956607711132E-2</v>
      </c>
      <c r="H586">
        <v>3.7447499999980209</v>
      </c>
      <c r="I586">
        <v>-2.1877514429682665</v>
      </c>
      <c r="J586">
        <v>0.30752840271954796</v>
      </c>
      <c r="K586">
        <v>-0.58524973127683788</v>
      </c>
      <c r="L586">
        <v>-0.5669426836500957</v>
      </c>
      <c r="M586">
        <v>-0.11372501456938799</v>
      </c>
      <c r="N586">
        <v>0.30527835783189516</v>
      </c>
      <c r="O586">
        <v>-2.0104199999995687E-3</v>
      </c>
      <c r="P586">
        <v>0.99770285137148473</v>
      </c>
      <c r="Q586">
        <v>0.84920084756154868</v>
      </c>
      <c r="R586">
        <v>0.47462118339802739</v>
      </c>
      <c r="S586">
        <v>1.2224056629534852</v>
      </c>
      <c r="T586">
        <v>0.92001976648767858</v>
      </c>
      <c r="U586">
        <v>-5.0732472667291972E-7</v>
      </c>
      <c r="V586">
        <v>1.0857110785097879</v>
      </c>
      <c r="W586">
        <v>0.60820321256545018</v>
      </c>
      <c r="X586">
        <v>-8.7270099999994799E-3</v>
      </c>
      <c r="Y586">
        <v>0.13630456000000013</v>
      </c>
      <c r="Z586">
        <v>5.5117020999999933E-2</v>
      </c>
    </row>
    <row r="587" spans="1:26">
      <c r="A587" s="54" t="str">
        <f>CONCATENATE(raw[[#This Row],[redis_ls]],raw[[#This Row],[wage_eq]],raw[[#This Row],[flex]],raw[[#This Row],[expo]],raw[[#This Row],[_date_]])</f>
        <v>100045292</v>
      </c>
      <c r="B587" s="1">
        <v>45292</v>
      </c>
      <c r="C587">
        <v>1</v>
      </c>
      <c r="D587">
        <v>0</v>
      </c>
      <c r="E587">
        <v>0</v>
      </c>
      <c r="F587">
        <v>0</v>
      </c>
      <c r="G587">
        <v>-3.7237753305408017E-2</v>
      </c>
      <c r="H587">
        <v>3.513039999998</v>
      </c>
      <c r="I587">
        <v>-2.1526227532838949</v>
      </c>
      <c r="J587">
        <v>0.29881654008416803</v>
      </c>
      <c r="K587">
        <v>-0.574234023280773</v>
      </c>
      <c r="L587">
        <v>-0.55782325059463567</v>
      </c>
      <c r="M587">
        <v>-0.11356907661301818</v>
      </c>
      <c r="N587">
        <v>0.29688467220552184</v>
      </c>
      <c r="O587">
        <v>-1.7263199999992263E-3</v>
      </c>
      <c r="P587">
        <v>0.97652226854845203</v>
      </c>
      <c r="Q587">
        <v>0.83114799319630173</v>
      </c>
      <c r="R587">
        <v>0.46359856121240828</v>
      </c>
      <c r="S587">
        <v>1.1973230485794462</v>
      </c>
      <c r="T587">
        <v>0.900865665535866</v>
      </c>
      <c r="U587">
        <v>-4.9737718388342955E-7</v>
      </c>
      <c r="V587">
        <v>1.0603566106596407</v>
      </c>
      <c r="W587">
        <v>0.59400425093298903</v>
      </c>
      <c r="X587">
        <v>-8.2196899999997797E-3</v>
      </c>
      <c r="Y587">
        <v>0.13342252000000004</v>
      </c>
      <c r="Z587">
        <v>5.3007049000000118E-2</v>
      </c>
    </row>
    <row r="588" spans="1:26">
      <c r="A588" s="54" t="str">
        <f>CONCATENATE(raw[[#This Row],[redis_ls]],raw[[#This Row],[wage_eq]],raw[[#This Row],[flex]],raw[[#This Row],[expo]],raw[[#This Row],[_date_]])</f>
        <v>100045658</v>
      </c>
      <c r="B588" s="1">
        <v>45658</v>
      </c>
      <c r="C588">
        <v>1</v>
      </c>
      <c r="D588">
        <v>0</v>
      </c>
      <c r="E588">
        <v>0</v>
      </c>
      <c r="F588">
        <v>0</v>
      </c>
      <c r="G588">
        <v>-3.7999046394432412E-2</v>
      </c>
      <c r="H588">
        <v>3.373250000000553</v>
      </c>
      <c r="I588">
        <v>-2.1182585793410147</v>
      </c>
      <c r="J588">
        <v>0.28981498051221521</v>
      </c>
      <c r="K588">
        <v>-0.56310221212728662</v>
      </c>
      <c r="L588">
        <v>-0.54798267451751093</v>
      </c>
      <c r="M588">
        <v>-0.11376456748919406</v>
      </c>
      <c r="N588">
        <v>0.28825613681213724</v>
      </c>
      <c r="O588">
        <v>-1.3930999999994809E-3</v>
      </c>
      <c r="P588">
        <v>0.9550598358989415</v>
      </c>
      <c r="Q588">
        <v>0.81262844141096746</v>
      </c>
      <c r="R588">
        <v>0.45183925774314737</v>
      </c>
      <c r="S588">
        <v>1.1720439262418392</v>
      </c>
      <c r="T588">
        <v>0.88137773373817563</v>
      </c>
      <c r="U588">
        <v>-4.8762469617713577E-7</v>
      </c>
      <c r="V588">
        <v>1.0343353464493665</v>
      </c>
      <c r="W588">
        <v>0.57987596138955322</v>
      </c>
      <c r="X588">
        <v>-7.9285200000001055E-3</v>
      </c>
      <c r="Y588">
        <v>0.13071275000000016</v>
      </c>
      <c r="Z588">
        <v>5.0722449000000031E-2</v>
      </c>
    </row>
    <row r="589" spans="1:26">
      <c r="A589" s="54" t="str">
        <f>CONCATENATE(raw[[#This Row],[redis_ls]],raw[[#This Row],[wage_eq]],raw[[#This Row],[flex]],raw[[#This Row],[expo]],raw[[#This Row],[_date_]])</f>
        <v>100046023</v>
      </c>
      <c r="B589" s="1">
        <v>46023</v>
      </c>
      <c r="C589">
        <v>1</v>
      </c>
      <c r="D589">
        <v>0</v>
      </c>
      <c r="E589">
        <v>0</v>
      </c>
      <c r="F589">
        <v>0</v>
      </c>
      <c r="G589">
        <v>-3.8580976502877729E-2</v>
      </c>
      <c r="H589">
        <v>3.3268099999986589</v>
      </c>
      <c r="I589">
        <v>-2.0844965737431553</v>
      </c>
      <c r="J589">
        <v>0.28078214630531395</v>
      </c>
      <c r="K589">
        <v>-0.5517874325962846</v>
      </c>
      <c r="L589">
        <v>-0.53762372248823409</v>
      </c>
      <c r="M589">
        <v>-0.11411410006904044</v>
      </c>
      <c r="N589">
        <v>0.27961932649918086</v>
      </c>
      <c r="O589">
        <v>-1.0392599999992091E-3</v>
      </c>
      <c r="P589">
        <v>0.9335763599830571</v>
      </c>
      <c r="Q589">
        <v>0.7939469406631261</v>
      </c>
      <c r="R589">
        <v>0.43970259946854995</v>
      </c>
      <c r="S589">
        <v>1.1468187021660414</v>
      </c>
      <c r="T589">
        <v>0.86181993620013664</v>
      </c>
      <c r="U589">
        <v>-5.3782135411850618E-7</v>
      </c>
      <c r="V589">
        <v>1.008043111932766</v>
      </c>
      <c r="W589">
        <v>0.56585237695132573</v>
      </c>
      <c r="X589">
        <v>-7.8595099999995144E-3</v>
      </c>
      <c r="Y589">
        <v>0.12814727000000012</v>
      </c>
      <c r="Z589">
        <v>4.8420189000000086E-2</v>
      </c>
    </row>
    <row r="590" spans="1:26">
      <c r="A590" s="54" t="str">
        <f>CONCATENATE(raw[[#This Row],[redis_ls]],raw[[#This Row],[wage_eq]],raw[[#This Row],[flex]],raw[[#This Row],[expo]],raw[[#This Row],[_date_]])</f>
        <v>100046388</v>
      </c>
      <c r="B590" s="1">
        <v>46388</v>
      </c>
      <c r="C590">
        <v>1</v>
      </c>
      <c r="D590">
        <v>0</v>
      </c>
      <c r="E590">
        <v>0</v>
      </c>
      <c r="F590">
        <v>0</v>
      </c>
      <c r="G590">
        <v>-3.8933448554245853E-2</v>
      </c>
      <c r="H590">
        <v>3.3750099999997474</v>
      </c>
      <c r="I590">
        <v>-2.0512022136313424</v>
      </c>
      <c r="J590">
        <v>0.27193198973591848</v>
      </c>
      <c r="K590">
        <v>-0.54023013402776376</v>
      </c>
      <c r="L590">
        <v>-0.5269291652879482</v>
      </c>
      <c r="M590">
        <v>-0.11445178716174009</v>
      </c>
      <c r="N590">
        <v>0.27116111099825257</v>
      </c>
      <c r="O590">
        <v>-6.8901999999981811E-4</v>
      </c>
      <c r="P590">
        <v>0.91229745720318167</v>
      </c>
      <c r="Q590">
        <v>0.77536866691474415</v>
      </c>
      <c r="R590">
        <v>0.42750194854932477</v>
      </c>
      <c r="S590">
        <v>1.1218644103330622</v>
      </c>
      <c r="T590">
        <v>0.84242210166658449</v>
      </c>
      <c r="U590">
        <v>-4.6868963154977905E-7</v>
      </c>
      <c r="V590">
        <v>0.98182784000706569</v>
      </c>
      <c r="W590">
        <v>0.5519663022961252</v>
      </c>
      <c r="X590">
        <v>-8.0155499999998159E-3</v>
      </c>
      <c r="Y590">
        <v>0.12570173000000032</v>
      </c>
      <c r="Z590">
        <v>4.622549400000002E-2</v>
      </c>
    </row>
    <row r="591" spans="1:26">
      <c r="A591" s="54" t="str">
        <f>CONCATENATE(raw[[#This Row],[redis_ls]],raw[[#This Row],[wage_eq]],raw[[#This Row],[flex]],raw[[#This Row],[expo]],raw[[#This Row],[_date_]])</f>
        <v>100046753</v>
      </c>
      <c r="B591" s="1">
        <v>46753</v>
      </c>
      <c r="C591">
        <v>1</v>
      </c>
      <c r="D591">
        <v>0</v>
      </c>
      <c r="E591">
        <v>0</v>
      </c>
      <c r="F591">
        <v>0</v>
      </c>
      <c r="G591">
        <v>-3.902260604177199E-2</v>
      </c>
      <c r="H591">
        <v>3.5171200000004319</v>
      </c>
      <c r="I591">
        <v>-2.0182692983226391</v>
      </c>
      <c r="J591">
        <v>0.26343128189858511</v>
      </c>
      <c r="K591">
        <v>-0.52838209416492532</v>
      </c>
      <c r="L591">
        <v>-0.51606167808665449</v>
      </c>
      <c r="M591">
        <v>-0.11464442553633658</v>
      </c>
      <c r="N591">
        <v>0.26302719756885473</v>
      </c>
      <c r="O591">
        <v>-3.6120000000000596E-4</v>
      </c>
      <c r="P591">
        <v>0.89141476989740287</v>
      </c>
      <c r="Q591">
        <v>0.75711939436917675</v>
      </c>
      <c r="R591">
        <v>0.41550473136497956</v>
      </c>
      <c r="S591">
        <v>1.0973652080996432</v>
      </c>
      <c r="T591">
        <v>0.82337958751481644</v>
      </c>
      <c r="U591">
        <v>-5.1693708202904531E-7</v>
      </c>
      <c r="V591">
        <v>0.95599026019446143</v>
      </c>
      <c r="W591">
        <v>0.53824911707869294</v>
      </c>
      <c r="X591">
        <v>-8.3929199999999149E-3</v>
      </c>
      <c r="Y591">
        <v>0.12335560000000002</v>
      </c>
      <c r="Z591">
        <v>4.4231576999999994E-2</v>
      </c>
    </row>
    <row r="592" spans="1:26">
      <c r="A592" s="54" t="str">
        <f>CONCATENATE(raw[[#This Row],[redis_ls]],raw[[#This Row],[wage_eq]],raw[[#This Row],[flex]],raw[[#This Row],[expo]],raw[[#This Row],[_date_]])</f>
        <v>100047119</v>
      </c>
      <c r="B592" s="1">
        <v>47119</v>
      </c>
      <c r="C592">
        <v>1</v>
      </c>
      <c r="D592">
        <v>0</v>
      </c>
      <c r="E592">
        <v>0</v>
      </c>
      <c r="F592">
        <v>0</v>
      </c>
      <c r="G592">
        <v>-3.8830824050606338E-2</v>
      </c>
      <c r="H592">
        <v>3.7495799999996962</v>
      </c>
      <c r="I592">
        <v>-1.9856183156567564</v>
      </c>
      <c r="J592">
        <v>0.25540145671374415</v>
      </c>
      <c r="K592">
        <v>-0.51620790971993458</v>
      </c>
      <c r="L592">
        <v>-0.50516387535960439</v>
      </c>
      <c r="M592">
        <v>-0.11459045185581163</v>
      </c>
      <c r="N592">
        <v>0.25532429642620702</v>
      </c>
      <c r="O592">
        <v>-6.8949999999790013E-5</v>
      </c>
      <c r="P592">
        <v>0.87108698236455506</v>
      </c>
      <c r="Q592">
        <v>0.73938650111724513</v>
      </c>
      <c r="R592">
        <v>0.40393346264355756</v>
      </c>
      <c r="S592">
        <v>1.0734737114531878</v>
      </c>
      <c r="T592">
        <v>0.80485393841300823</v>
      </c>
      <c r="U592">
        <v>-5.0680107888112502E-7</v>
      </c>
      <c r="V592">
        <v>0.93078292335506685</v>
      </c>
      <c r="W592">
        <v>0.52472985357050472</v>
      </c>
      <c r="X592">
        <v>-8.9801999999999937E-3</v>
      </c>
      <c r="Y592">
        <v>0.12109205000000005</v>
      </c>
      <c r="Z592">
        <v>4.2501840000000027E-2</v>
      </c>
    </row>
    <row r="593" spans="1:26">
      <c r="A593" s="54" t="str">
        <f>CONCATENATE(raw[[#This Row],[redis_ls]],raw[[#This Row],[wage_eq]],raw[[#This Row],[flex]],raw[[#This Row],[expo]],raw[[#This Row],[_date_]])</f>
        <v>100047484</v>
      </c>
      <c r="B593" s="1">
        <v>47484</v>
      </c>
      <c r="C593">
        <v>1</v>
      </c>
      <c r="D593">
        <v>0</v>
      </c>
      <c r="E593">
        <v>0</v>
      </c>
      <c r="F593">
        <v>0</v>
      </c>
      <c r="G593">
        <v>-3.8354621336633699E-2</v>
      </c>
      <c r="H593">
        <v>4.0658999999977823</v>
      </c>
      <c r="I593">
        <v>-1.9531935757458485</v>
      </c>
      <c r="J593">
        <v>0.2479228788888177</v>
      </c>
      <c r="K593">
        <v>-0.50368508176303894</v>
      </c>
      <c r="L593">
        <v>-0.49435858592614679</v>
      </c>
      <c r="M593">
        <v>-0.1142171749690557</v>
      </c>
      <c r="N593">
        <v>0.24812405245648872</v>
      </c>
      <c r="O593">
        <v>1.7986000000053126E-4</v>
      </c>
      <c r="P593">
        <v>0.85144115120916464</v>
      </c>
      <c r="Q593">
        <v>0.7223207688689115</v>
      </c>
      <c r="R593">
        <v>0.39296769964587419</v>
      </c>
      <c r="S593">
        <v>1.0503117695286113</v>
      </c>
      <c r="T593">
        <v>0.78697395677860271</v>
      </c>
      <c r="U593">
        <v>-4.9686380565461263E-7</v>
      </c>
      <c r="V593">
        <v>0.90641224692107336</v>
      </c>
      <c r="W593">
        <v>0.51143476945538779</v>
      </c>
      <c r="X593">
        <v>-9.7585800000007938E-3</v>
      </c>
      <c r="Y593">
        <v>0.11889750000000018</v>
      </c>
      <c r="Z593">
        <v>4.1073566000000061E-2</v>
      </c>
    </row>
    <row r="594" spans="1:26">
      <c r="A594" s="54" t="str">
        <f>CONCATENATE(raw[[#This Row],[redis_ls]],raw[[#This Row],[wage_eq]],raw[[#This Row],[flex]],raw[[#This Row],[expo]],raw[[#This Row],[_date_]])</f>
        <v>100047849</v>
      </c>
      <c r="B594" s="1">
        <v>47849</v>
      </c>
      <c r="C594">
        <v>1</v>
      </c>
      <c r="D594">
        <v>0</v>
      </c>
      <c r="E594">
        <v>0</v>
      </c>
      <c r="F594">
        <v>0</v>
      </c>
      <c r="G594">
        <v>-3.7602398833580519E-2</v>
      </c>
      <c r="H594">
        <v>4.4570099999982631</v>
      </c>
      <c r="I594">
        <v>-1.920959596330829</v>
      </c>
      <c r="J594">
        <v>0.24104058956329055</v>
      </c>
      <c r="K594">
        <v>-0.49080303292851069</v>
      </c>
      <c r="L594">
        <v>-0.48374926860725864</v>
      </c>
      <c r="M594">
        <v>-0.11347717684906389</v>
      </c>
      <c r="N594">
        <v>0.24146775269340282</v>
      </c>
      <c r="O594">
        <v>3.8185999999967857E-4</v>
      </c>
      <c r="P594">
        <v>0.8325745312948607</v>
      </c>
      <c r="Q594">
        <v>0.70603771842359109</v>
      </c>
      <c r="R594">
        <v>0.38274560296269744</v>
      </c>
      <c r="S594">
        <v>1.027972444031211</v>
      </c>
      <c r="T594">
        <v>0.76983741228247027</v>
      </c>
      <c r="U594">
        <v>-4.8712137656892196E-7</v>
      </c>
      <c r="V594">
        <v>0.88304061892485741</v>
      </c>
      <c r="W594">
        <v>0.49838737592822202</v>
      </c>
      <c r="X594">
        <v>-1.0703410000000024E-2</v>
      </c>
      <c r="Y594">
        <v>0.11676108000000032</v>
      </c>
      <c r="Z594">
        <v>3.9962325999999979E-2</v>
      </c>
    </row>
    <row r="595" spans="1:26">
      <c r="A595" s="54" t="str">
        <f>CONCATENATE(raw[[#This Row],[redis_ls]],raw[[#This Row],[wage_eq]],raw[[#This Row],[flex]],raw[[#This Row],[expo]],raw[[#This Row],[_date_]])</f>
        <v>100048214</v>
      </c>
      <c r="B595" s="1">
        <v>48214</v>
      </c>
      <c r="C595">
        <v>1</v>
      </c>
      <c r="D595">
        <v>0</v>
      </c>
      <c r="E595">
        <v>0</v>
      </c>
      <c r="F595">
        <v>0</v>
      </c>
      <c r="G595">
        <v>-3.6591608794633856E-2</v>
      </c>
      <c r="H595">
        <v>4.9119400000017777</v>
      </c>
      <c r="I595">
        <v>-1.8888974190522823</v>
      </c>
      <c r="J595">
        <v>0.23477065656709595</v>
      </c>
      <c r="K595">
        <v>-0.47756139650352303</v>
      </c>
      <c r="L595">
        <v>-0.47342078151808575</v>
      </c>
      <c r="M595">
        <v>-0.11234446710619572</v>
      </c>
      <c r="N595">
        <v>0.23537150007135743</v>
      </c>
      <c r="O595">
        <v>5.3723000000005516E-4</v>
      </c>
      <c r="P595">
        <v>0.81455682047149036</v>
      </c>
      <c r="Q595">
        <v>0.69062046099093166</v>
      </c>
      <c r="R595">
        <v>0.37336728013881437</v>
      </c>
      <c r="S595">
        <v>1.0065218541821075</v>
      </c>
      <c r="T595">
        <v>0.75351345534635517</v>
      </c>
      <c r="U595">
        <v>-4.7756997245684829E-7</v>
      </c>
      <c r="V595">
        <v>0.86078840057468575</v>
      </c>
      <c r="W595">
        <v>0.48560794711163258</v>
      </c>
      <c r="X595">
        <v>-1.1786080000000809E-2</v>
      </c>
      <c r="Y595">
        <v>0.11467411000000011</v>
      </c>
      <c r="Z595">
        <v>3.9166520000000031E-2</v>
      </c>
    </row>
    <row r="596" spans="1:26">
      <c r="A596" s="54" t="str">
        <f>CONCATENATE(raw[[#This Row],[redis_ls]],raw[[#This Row],[wage_eq]],raw[[#This Row],[flex]],raw[[#This Row],[expo]],raw[[#This Row],[_date_]])</f>
        <v>100048580</v>
      </c>
      <c r="B596" s="1">
        <v>48580</v>
      </c>
      <c r="C596">
        <v>1</v>
      </c>
      <c r="D596">
        <v>0</v>
      </c>
      <c r="E596">
        <v>0</v>
      </c>
      <c r="F596">
        <v>0</v>
      </c>
      <c r="G596">
        <v>-3.5345818053489353E-2</v>
      </c>
      <c r="H596">
        <v>5.4185700000016368</v>
      </c>
      <c r="I596">
        <v>-1.8570011563353028</v>
      </c>
      <c r="J596">
        <v>0.22910624061196483</v>
      </c>
      <c r="K596">
        <v>-0.46396851030003905</v>
      </c>
      <c r="L596">
        <v>-0.46344024356393954</v>
      </c>
      <c r="M596">
        <v>-0.11081041628128174</v>
      </c>
      <c r="N596">
        <v>0.22983174609767509</v>
      </c>
      <c r="O596">
        <v>6.4871000000077395E-4</v>
      </c>
      <c r="P596">
        <v>0.79743223923685047</v>
      </c>
      <c r="Q596">
        <v>0.67612239081005221</v>
      </c>
      <c r="R596">
        <v>0.36489810425359703</v>
      </c>
      <c r="S596">
        <v>0.98600152259606944</v>
      </c>
      <c r="T596">
        <v>0.73804500873588808</v>
      </c>
      <c r="U596">
        <v>-4.6820586296902889E-7</v>
      </c>
      <c r="V596">
        <v>0.83973820475744532</v>
      </c>
      <c r="W596">
        <v>0.47311367310216568</v>
      </c>
      <c r="X596">
        <v>-1.2976010000000093E-2</v>
      </c>
      <c r="Y596">
        <v>0.11262957000000018</v>
      </c>
      <c r="Z596">
        <v>3.8671659999999983E-2</v>
      </c>
    </row>
    <row r="597" spans="1:26">
      <c r="A597" s="54" t="str">
        <f>CONCATENATE(raw[[#This Row],[redis_ls]],raw[[#This Row],[wage_eq]],raw[[#This Row],[flex]],raw[[#This Row],[expo]],raw[[#This Row],[_date_]])</f>
        <v>100048945</v>
      </c>
      <c r="B597" s="1">
        <v>48945</v>
      </c>
      <c r="C597">
        <v>1</v>
      </c>
      <c r="D597">
        <v>0</v>
      </c>
      <c r="E597">
        <v>0</v>
      </c>
      <c r="F597">
        <v>0</v>
      </c>
      <c r="G597">
        <v>-3.3892505059607281E-2</v>
      </c>
      <c r="H597">
        <v>5.9644000000007509</v>
      </c>
      <c r="I597">
        <v>-1.8252747730534313</v>
      </c>
      <c r="J597">
        <v>0.22402355253552386</v>
      </c>
      <c r="K597">
        <v>-0.45003962539941211</v>
      </c>
      <c r="L597">
        <v>-0.45385830435316077</v>
      </c>
      <c r="M597">
        <v>-0.10888031028771783</v>
      </c>
      <c r="N597">
        <v>0.22482956342417815</v>
      </c>
      <c r="O597">
        <v>7.20740000000053E-4</v>
      </c>
      <c r="P597">
        <v>0.78122242899318906</v>
      </c>
      <c r="Q597">
        <v>0.6625703948584416</v>
      </c>
      <c r="R597">
        <v>0.35737209203268172</v>
      </c>
      <c r="S597">
        <v>0.96643114944863218</v>
      </c>
      <c r="T597">
        <v>0.72345179434973872</v>
      </c>
      <c r="U597">
        <v>-4.590253399605615E-7</v>
      </c>
      <c r="V597">
        <v>0.8199381170432396</v>
      </c>
      <c r="W597">
        <v>0.46091880664691498</v>
      </c>
      <c r="X597">
        <v>-1.4242500000000158E-2</v>
      </c>
      <c r="Y597">
        <v>0.1106217100000001</v>
      </c>
      <c r="Z597">
        <v>3.8454162000000056E-2</v>
      </c>
    </row>
    <row r="598" spans="1:26">
      <c r="A598" s="54" t="str">
        <f>CONCATENATE(raw[[#This Row],[redis_ls]],raw[[#This Row],[wage_eq]],raw[[#This Row],[flex]],raw[[#This Row],[expo]],raw[[#This Row],[_date_]])</f>
        <v>100049310</v>
      </c>
      <c r="B598" s="1">
        <v>49310</v>
      </c>
      <c r="C598">
        <v>1</v>
      </c>
      <c r="D598">
        <v>0</v>
      </c>
      <c r="E598">
        <v>0</v>
      </c>
      <c r="F598">
        <v>0</v>
      </c>
      <c r="G598">
        <v>-3.2260951001550353E-2</v>
      </c>
      <c r="H598">
        <v>6.5371800000029907</v>
      </c>
      <c r="I598">
        <v>-1.7937294138616666</v>
      </c>
      <c r="J598">
        <v>0.21948658605115412</v>
      </c>
      <c r="K598">
        <v>-0.43579556784165696</v>
      </c>
      <c r="L598">
        <v>-0.44471044025112816</v>
      </c>
      <c r="M598">
        <v>-0.106569862689887</v>
      </c>
      <c r="N598">
        <v>0.22033494087387862</v>
      </c>
      <c r="O598">
        <v>7.5863999999953302E-4</v>
      </c>
      <c r="P598">
        <v>0.76592924384690786</v>
      </c>
      <c r="Q598">
        <v>0.64996803993522256</v>
      </c>
      <c r="R598">
        <v>0.35079611990935788</v>
      </c>
      <c r="S598">
        <v>0.94781103717767046</v>
      </c>
      <c r="T598">
        <v>0.70973344077087663</v>
      </c>
      <c r="U598">
        <v>-4.5002483961553708E-7</v>
      </c>
      <c r="V598">
        <v>0.80140585112424834</v>
      </c>
      <c r="W598">
        <v>0.44903456605924763</v>
      </c>
      <c r="X598">
        <v>-1.5556210000000625E-2</v>
      </c>
      <c r="Y598">
        <v>0.10864574000000009</v>
      </c>
      <c r="Z598">
        <v>3.8484537000000027E-2</v>
      </c>
    </row>
    <row r="599" spans="1:26">
      <c r="A599" s="54" t="str">
        <f>CONCATENATE(raw[[#This Row],[redis_ls]],raw[[#This Row],[wage_eq]],raw[[#This Row],[flex]],raw[[#This Row],[expo]],raw[[#This Row],[_date_]])</f>
        <v>100049675</v>
      </c>
      <c r="B599" s="1">
        <v>49675</v>
      </c>
      <c r="C599">
        <v>1</v>
      </c>
      <c r="D599">
        <v>0</v>
      </c>
      <c r="E599">
        <v>0</v>
      </c>
      <c r="F599">
        <v>0</v>
      </c>
      <c r="G599">
        <v>-3.0480602796312262E-2</v>
      </c>
      <c r="H599">
        <v>7.1254100000005565</v>
      </c>
      <c r="I599">
        <v>-1.7623813158785806</v>
      </c>
      <c r="J599">
        <v>0.21545160563156696</v>
      </c>
      <c r="K599">
        <v>-0.42126141390007588</v>
      </c>
      <c r="L599">
        <v>-0.43601846791300192</v>
      </c>
      <c r="M599">
        <v>-0.10390311214664161</v>
      </c>
      <c r="N599">
        <v>0.21631055237174568</v>
      </c>
      <c r="O599">
        <v>7.680999999995497E-4</v>
      </c>
      <c r="P599">
        <v>0.75153713610403017</v>
      </c>
      <c r="Q599">
        <v>0.63829906921504254</v>
      </c>
      <c r="R599">
        <v>0.34515371526957495</v>
      </c>
      <c r="S599">
        <v>0.93012513519907802</v>
      </c>
      <c r="T599">
        <v>0.69687235322546393</v>
      </c>
      <c r="U599">
        <v>-4.4120084252696756E-7</v>
      </c>
      <c r="V599">
        <v>0.78413316388363796</v>
      </c>
      <c r="W599">
        <v>0.43746945475364729</v>
      </c>
      <c r="X599">
        <v>-1.6890280000000923E-2</v>
      </c>
      <c r="Y599">
        <v>0.10669761999999999</v>
      </c>
      <c r="Z599">
        <v>3.8729957000000009E-2</v>
      </c>
    </row>
    <row r="600" spans="1:26">
      <c r="A600" s="54" t="str">
        <f>CONCATENATE(raw[[#This Row],[redis_ls]],raw[[#This Row],[wage_eq]],raw[[#This Row],[flex]],raw[[#This Row],[expo]],raw[[#This Row],[_date_]])</f>
        <v>100050041</v>
      </c>
      <c r="B600" s="1">
        <v>50041</v>
      </c>
      <c r="C600">
        <v>1</v>
      </c>
      <c r="D600">
        <v>0</v>
      </c>
      <c r="E600">
        <v>0</v>
      </c>
      <c r="F600">
        <v>0</v>
      </c>
      <c r="G600">
        <v>-2.8579957092933483E-2</v>
      </c>
      <c r="H600">
        <v>7.7187300000005052</v>
      </c>
      <c r="I600">
        <v>-1.7312497478365607</v>
      </c>
      <c r="J600">
        <v>0.21186996637863054</v>
      </c>
      <c r="K600">
        <v>-0.40646564482783587</v>
      </c>
      <c r="L600">
        <v>-0.42779211482361079</v>
      </c>
      <c r="M600">
        <v>-0.1009090046705019</v>
      </c>
      <c r="N600">
        <v>0.21271386386194635</v>
      </c>
      <c r="O600">
        <v>7.5466999999995732E-4</v>
      </c>
      <c r="P600">
        <v>0.73801672307933774</v>
      </c>
      <c r="Q600">
        <v>0.62753056613178426</v>
      </c>
      <c r="R600">
        <v>0.34040893468114675</v>
      </c>
      <c r="S600">
        <v>0.91334339828741395</v>
      </c>
      <c r="T600">
        <v>0.6848368837744756</v>
      </c>
      <c r="U600">
        <v>-4.3254985149232539E-7</v>
      </c>
      <c r="V600">
        <v>0.76808939585046865</v>
      </c>
      <c r="W600">
        <v>0.42622956926043898</v>
      </c>
      <c r="X600">
        <v>-1.822107000000045E-2</v>
      </c>
      <c r="Y600">
        <v>0.10477387000000019</v>
      </c>
      <c r="Z600">
        <v>3.9156239999999995E-2</v>
      </c>
    </row>
    <row r="601" spans="1:26">
      <c r="A601" s="54" t="str">
        <f>CONCATENATE(raw[[#This Row],[redis_ls]],raw[[#This Row],[wage_eq]],raw[[#This Row],[flex]],raw[[#This Row],[expo]],raw[[#This Row],[_date_]])</f>
        <v>100050406</v>
      </c>
      <c r="B601" s="1">
        <v>50406</v>
      </c>
      <c r="C601">
        <v>1</v>
      </c>
      <c r="D601">
        <v>0</v>
      </c>
      <c r="E601">
        <v>0</v>
      </c>
      <c r="F601">
        <v>0</v>
      </c>
      <c r="G601">
        <v>-2.658583456554009E-2</v>
      </c>
      <c r="H601">
        <v>8.3081100000017614</v>
      </c>
      <c r="I601">
        <v>-1.7003562260409444</v>
      </c>
      <c r="J601">
        <v>0.20869110350232312</v>
      </c>
      <c r="K601">
        <v>-0.39143937449472865</v>
      </c>
      <c r="L601">
        <v>-0.42003065042668375</v>
      </c>
      <c r="M601">
        <v>-9.7620896390770984E-2</v>
      </c>
      <c r="N601">
        <v>0.20950009963431881</v>
      </c>
      <c r="O601">
        <v>7.2351999999969996E-4</v>
      </c>
      <c r="P601">
        <v>0.72532675315277739</v>
      </c>
      <c r="Q601">
        <v>0.61761623618312722</v>
      </c>
      <c r="R601">
        <v>0.33651034323933793</v>
      </c>
      <c r="S601">
        <v>0.89742490463884383</v>
      </c>
      <c r="T601">
        <v>0.67358408658235724</v>
      </c>
      <c r="U601">
        <v>-4.7118717816374556E-7</v>
      </c>
      <c r="V601">
        <v>0.75322605131309395</v>
      </c>
      <c r="W601">
        <v>0.41531812900306164</v>
      </c>
      <c r="X601">
        <v>-1.9528559999999751E-2</v>
      </c>
      <c r="Y601">
        <v>0.10287148000000003</v>
      </c>
      <c r="Z601">
        <v>3.972931300000003E-2</v>
      </c>
    </row>
    <row r="602" spans="1:26">
      <c r="A602" s="54" t="str">
        <f>CONCATENATE(raw[[#This Row],[redis_ls]],raw[[#This Row],[wage_eq]],raw[[#This Row],[flex]],raw[[#This Row],[expo]],raw[[#This Row],[_date_]])</f>
        <v>100050771</v>
      </c>
      <c r="B602" s="1">
        <v>50771</v>
      </c>
      <c r="C602">
        <v>1</v>
      </c>
      <c r="D602">
        <v>0</v>
      </c>
      <c r="E602">
        <v>0</v>
      </c>
      <c r="F602">
        <v>0</v>
      </c>
      <c r="G602">
        <v>-2.4522834926554715E-2</v>
      </c>
      <c r="H602">
        <v>8.885999999998603</v>
      </c>
      <c r="I602">
        <v>-1.6697229058380669</v>
      </c>
      <c r="J602">
        <v>0.20586411773091395</v>
      </c>
      <c r="K602">
        <v>-0.37621581724958109</v>
      </c>
      <c r="L602">
        <v>-0.41272447118532174</v>
      </c>
      <c r="M602">
        <v>-9.4074143449973668E-2</v>
      </c>
      <c r="N602">
        <v>0.20662357159011435</v>
      </c>
      <c r="O602">
        <v>6.7923000000025269E-4</v>
      </c>
      <c r="P602">
        <v>0.71341698798941255</v>
      </c>
      <c r="Q602">
        <v>0.60849944601391037</v>
      </c>
      <c r="R602">
        <v>0.33339412833681692</v>
      </c>
      <c r="S602">
        <v>0.88231994801928337</v>
      </c>
      <c r="T602">
        <v>0.66306241483400363</v>
      </c>
      <c r="U602">
        <v>-4.6194823521972239E-7</v>
      </c>
      <c r="V602">
        <v>0.73948027610659661</v>
      </c>
      <c r="W602">
        <v>0.40473682135104827</v>
      </c>
      <c r="X602">
        <v>-2.0796370000000786E-2</v>
      </c>
      <c r="Y602">
        <v>0.10098792999999988</v>
      </c>
      <c r="Z602">
        <v>4.0416249000000022E-2</v>
      </c>
    </row>
    <row r="603" spans="1:26">
      <c r="A603" s="54" t="str">
        <f>CONCATENATE(raw[[#This Row],[redis_ls]],raw[[#This Row],[wage_eq]],raw[[#This Row],[flex]],raw[[#This Row],[expo]],raw[[#This Row],[_date_]])</f>
        <v>100051136</v>
      </c>
      <c r="B603" s="1">
        <v>51136</v>
      </c>
      <c r="C603">
        <v>1</v>
      </c>
      <c r="D603">
        <v>0</v>
      </c>
      <c r="E603">
        <v>0</v>
      </c>
      <c r="F603">
        <v>0</v>
      </c>
      <c r="G603">
        <v>-2.2413207874327767E-2</v>
      </c>
      <c r="H603">
        <v>9.4462800000001153</v>
      </c>
      <c r="I603">
        <v>-1.6393723189467302</v>
      </c>
      <c r="J603">
        <v>0.2033393108376691</v>
      </c>
      <c r="K603">
        <v>-0.36082984787527694</v>
      </c>
      <c r="L603">
        <v>-0.40585646990327628</v>
      </c>
      <c r="M603">
        <v>-9.0305450353689309E-2</v>
      </c>
      <c r="N603">
        <v>0.204038937555584</v>
      </c>
      <c r="O603">
        <v>6.257600000003638E-4</v>
      </c>
      <c r="P603">
        <v>0.70223063392294005</v>
      </c>
      <c r="Q603">
        <v>0.60011584683137276</v>
      </c>
      <c r="R603">
        <v>0.33098762095706835</v>
      </c>
      <c r="S603">
        <v>0.86797235691336017</v>
      </c>
      <c r="T603">
        <v>0.65321403278371104</v>
      </c>
      <c r="U603">
        <v>-4.5289041405993657E-7</v>
      </c>
      <c r="V603">
        <v>0.72677810067272031</v>
      </c>
      <c r="W603">
        <v>0.3944847440587429</v>
      </c>
      <c r="X603">
        <v>-2.2011700000000578E-2</v>
      </c>
      <c r="Y603">
        <v>9.9121090000000092E-2</v>
      </c>
      <c r="Z603">
        <v>4.1185967000000046E-2</v>
      </c>
    </row>
    <row r="604" spans="1:26">
      <c r="A604" s="54" t="str">
        <f>CONCATENATE(raw[[#This Row],[redis_ls]],raw[[#This Row],[wage_eq]],raw[[#This Row],[flex]],raw[[#This Row],[expo]],raw[[#This Row],[_date_]])</f>
        <v>100051502</v>
      </c>
      <c r="B604" s="1">
        <v>51502</v>
      </c>
      <c r="C604">
        <v>1</v>
      </c>
      <c r="D604">
        <v>0</v>
      </c>
      <c r="E604">
        <v>0</v>
      </c>
      <c r="F604">
        <v>0</v>
      </c>
      <c r="G604">
        <v>-2.0276680278341619E-2</v>
      </c>
      <c r="H604">
        <v>9.9841799999994691</v>
      </c>
      <c r="I604">
        <v>-1.6093263696780991</v>
      </c>
      <c r="J604">
        <v>0.20106904673069526</v>
      </c>
      <c r="K604">
        <v>-0.34531773901965712</v>
      </c>
      <c r="L604">
        <v>-0.39940398226939733</v>
      </c>
      <c r="M604">
        <v>-8.6351671729911761E-2</v>
      </c>
      <c r="N604">
        <v>0.20170237967549465</v>
      </c>
      <c r="O604">
        <v>5.6642000000051151E-4</v>
      </c>
      <c r="P604">
        <v>0.69170614345153147</v>
      </c>
      <c r="Q604">
        <v>0.5923957559603954</v>
      </c>
      <c r="R604">
        <v>0.32921185712280199</v>
      </c>
      <c r="S604">
        <v>0.85432181912428184</v>
      </c>
      <c r="T604">
        <v>0.64397704434007164</v>
      </c>
      <c r="U604">
        <v>-4.4401022858409078E-7</v>
      </c>
      <c r="V604">
        <v>0.71503777436676685</v>
      </c>
      <c r="W604">
        <v>0.38455992636357017</v>
      </c>
      <c r="X604">
        <v>-2.3164999999999991E-2</v>
      </c>
      <c r="Y604">
        <v>9.7269250000000043E-2</v>
      </c>
      <c r="Z604">
        <v>4.2009665000000085E-2</v>
      </c>
    </row>
    <row r="605" spans="1:26">
      <c r="A605" s="54" t="str">
        <f>CONCATENATE(raw[[#This Row],[redis_ls]],raw[[#This Row],[wage_eq]],raw[[#This Row],[flex]],raw[[#This Row],[expo]],raw[[#This Row],[_date_]])</f>
        <v>100051867</v>
      </c>
      <c r="B605" s="1">
        <v>51867</v>
      </c>
      <c r="C605">
        <v>1</v>
      </c>
      <c r="D605">
        <v>0</v>
      </c>
      <c r="E605">
        <v>0</v>
      </c>
      <c r="F605">
        <v>0</v>
      </c>
      <c r="G605">
        <v>-1.8130779612124392E-2</v>
      </c>
      <c r="H605">
        <v>10.496210000001156</v>
      </c>
      <c r="I605">
        <v>-1.5796064718958558</v>
      </c>
      <c r="J605">
        <v>0.19900847348270911</v>
      </c>
      <c r="K605">
        <v>-0.32971683456302081</v>
      </c>
      <c r="L605">
        <v>-0.39333957472414971</v>
      </c>
      <c r="M605">
        <v>-8.2249338054496413E-2</v>
      </c>
      <c r="N605">
        <v>0.19957186760393153</v>
      </c>
      <c r="O605">
        <v>5.0389999999983504E-4</v>
      </c>
      <c r="P605">
        <v>0.6817795474887145</v>
      </c>
      <c r="Q605">
        <v>0.58526657144704064</v>
      </c>
      <c r="R605">
        <v>0.32798450762716591</v>
      </c>
      <c r="S605">
        <v>0.84130527653891729</v>
      </c>
      <c r="T605">
        <v>0.63528728205100027</v>
      </c>
      <c r="U605">
        <v>-4.7883453868635684E-7</v>
      </c>
      <c r="V605">
        <v>0.7041725734574289</v>
      </c>
      <c r="W605">
        <v>0.37495827002327342</v>
      </c>
      <c r="X605">
        <v>-2.424961000000031E-2</v>
      </c>
      <c r="Y605">
        <v>9.5431110000000069E-2</v>
      </c>
      <c r="Z605">
        <v>4.2861055999999981E-2</v>
      </c>
    </row>
    <row r="606" spans="1:26">
      <c r="A606" s="54" t="str">
        <f>CONCATENATE(raw[[#This Row],[redis_ls]],raw[[#This Row],[wage_eq]],raw[[#This Row],[flex]],raw[[#This Row],[expo]],raw[[#This Row],[_date_]])</f>
        <v>100052232</v>
      </c>
      <c r="B606" s="1">
        <v>52232</v>
      </c>
      <c r="C606">
        <v>1</v>
      </c>
      <c r="D606">
        <v>0</v>
      </c>
      <c r="E606">
        <v>0</v>
      </c>
      <c r="F606">
        <v>0</v>
      </c>
      <c r="G606">
        <v>-1.5990695738399285E-2</v>
      </c>
      <c r="H606">
        <v>10.979920000001584</v>
      </c>
      <c r="I606">
        <v>-1.5502328453491532</v>
      </c>
      <c r="J606">
        <v>0.1971157836340387</v>
      </c>
      <c r="K606">
        <v>-0.31406535109380629</v>
      </c>
      <c r="L606">
        <v>-0.38763259040972553</v>
      </c>
      <c r="M606">
        <v>-7.8034314998409737E-2</v>
      </c>
      <c r="N606">
        <v>0.19760814238434232</v>
      </c>
      <c r="O606">
        <v>4.4034999999997826E-4</v>
      </c>
      <c r="P606">
        <v>0.67238556225490687</v>
      </c>
      <c r="Q606">
        <v>0.57865442628679542</v>
      </c>
      <c r="R606">
        <v>0.3272217386650178</v>
      </c>
      <c r="S606">
        <v>0.82885891690240854</v>
      </c>
      <c r="T606">
        <v>0.6270800479554639</v>
      </c>
      <c r="U606">
        <v>-4.6944562681616731E-7</v>
      </c>
      <c r="V606">
        <v>0.69409304919216819</v>
      </c>
      <c r="W606">
        <v>0.36567471183173161</v>
      </c>
      <c r="X606">
        <v>-2.5261320000000143E-2</v>
      </c>
      <c r="Y606">
        <v>9.3605750000000029E-2</v>
      </c>
      <c r="Z606">
        <v>4.3716485000000041E-2</v>
      </c>
    </row>
    <row r="607" spans="1:26">
      <c r="A607" s="54" t="str">
        <f>CONCATENATE(raw[[#This Row],[redis_ls]],raw[[#This Row],[wage_eq]],raw[[#This Row],[flex]],raw[[#This Row],[expo]],raw[[#This Row],[_date_]])</f>
        <v>100052597</v>
      </c>
      <c r="B607" s="1">
        <v>52597</v>
      </c>
      <c r="C607">
        <v>1</v>
      </c>
      <c r="D607">
        <v>0</v>
      </c>
      <c r="E607">
        <v>0</v>
      </c>
      <c r="F607">
        <v>0</v>
      </c>
      <c r="G607">
        <v>-1.3869680530187445E-2</v>
      </c>
      <c r="H607">
        <v>11.433789999999135</v>
      </c>
      <c r="I607">
        <v>-1.5212245311327921</v>
      </c>
      <c r="J607">
        <v>0.19535250758522249</v>
      </c>
      <c r="K607">
        <v>-0.29840209127717232</v>
      </c>
      <c r="L607">
        <v>-0.38225004004169838</v>
      </c>
      <c r="M607">
        <v>-7.3740844889369495E-2</v>
      </c>
      <c r="N607">
        <v>0.19577447020249217</v>
      </c>
      <c r="O607">
        <v>3.7742999999951232E-4</v>
      </c>
      <c r="P607">
        <v>0.66345947049175624</v>
      </c>
      <c r="Q607">
        <v>0.57248597026602344</v>
      </c>
      <c r="R607">
        <v>0.32684021987479106</v>
      </c>
      <c r="S607">
        <v>0.81691902823681772</v>
      </c>
      <c r="T607">
        <v>0.61929112225929117</v>
      </c>
      <c r="U607">
        <v>-5.0208086577185895E-7</v>
      </c>
      <c r="V607">
        <v>0.68470908313489343</v>
      </c>
      <c r="W607">
        <v>0.35670296995737871</v>
      </c>
      <c r="X607">
        <v>-2.6197929999999259E-2</v>
      </c>
      <c r="Y607">
        <v>9.1792660000000054E-2</v>
      </c>
      <c r="Z607">
        <v>4.4554927999999966E-2</v>
      </c>
    </row>
    <row r="608" spans="1:26">
      <c r="A608" s="54" t="str">
        <f>CONCATENATE(raw[[#This Row],[redis_ls]],raw[[#This Row],[wage_eq]],raw[[#This Row],[flex]],raw[[#This Row],[expo]],raw[[#This Row],[_date_]])</f>
        <v>100052963</v>
      </c>
      <c r="B608" s="1">
        <v>52963</v>
      </c>
      <c r="C608">
        <v>1</v>
      </c>
      <c r="D608">
        <v>0</v>
      </c>
      <c r="E608">
        <v>0</v>
      </c>
      <c r="F608">
        <v>0</v>
      </c>
      <c r="G608">
        <v>-1.1779202411177359E-2</v>
      </c>
      <c r="H608">
        <v>11.857029999999213</v>
      </c>
      <c r="I608">
        <v>-1.4925991061336963</v>
      </c>
      <c r="J608">
        <v>0.19368361837595049</v>
      </c>
      <c r="K608">
        <v>-0.28276624640470871</v>
      </c>
      <c r="L608">
        <v>-0.37715798294256642</v>
      </c>
      <c r="M608">
        <v>-6.9401501683807876E-2</v>
      </c>
      <c r="N608">
        <v>0.1940373736585066</v>
      </c>
      <c r="O608">
        <v>3.1642999999970112E-4</v>
      </c>
      <c r="P608">
        <v>0.65493780918730593</v>
      </c>
      <c r="Q608">
        <v>0.56668946372302464</v>
      </c>
      <c r="R608">
        <v>0.32675862765350061</v>
      </c>
      <c r="S608">
        <v>0.80542359190627355</v>
      </c>
      <c r="T608">
        <v>0.61185832589922828</v>
      </c>
      <c r="U608">
        <v>-4.9223616294113981E-7</v>
      </c>
      <c r="V608">
        <v>0.67593180368699102</v>
      </c>
      <c r="W608">
        <v>0.34803589878720231</v>
      </c>
      <c r="X608">
        <v>-2.7058909999999603E-2</v>
      </c>
      <c r="Y608">
        <v>8.9991660000000168E-2</v>
      </c>
      <c r="Z608">
        <v>4.5357949000000064E-2</v>
      </c>
    </row>
    <row r="609" spans="1:26">
      <c r="A609" s="54" t="str">
        <f>CONCATENATE(raw[[#This Row],[redis_ls]],raw[[#This Row],[wage_eq]],raw[[#This Row],[flex]],raw[[#This Row],[expo]],raw[[#This Row],[_date_]])</f>
        <v>100053328</v>
      </c>
      <c r="B609" s="1">
        <v>53328</v>
      </c>
      <c r="C609">
        <v>1</v>
      </c>
      <c r="D609">
        <v>0</v>
      </c>
      <c r="E609">
        <v>0</v>
      </c>
      <c r="F609">
        <v>0</v>
      </c>
      <c r="G609">
        <v>-9.7291121399112335E-3</v>
      </c>
      <c r="H609">
        <v>12.249479999998584</v>
      </c>
      <c r="I609">
        <v>-1.4643726627307951</v>
      </c>
      <c r="J609">
        <v>0.1920774706009265</v>
      </c>
      <c r="K609">
        <v>-0.26719710652060025</v>
      </c>
      <c r="L609">
        <v>-0.37232198478348577</v>
      </c>
      <c r="M609">
        <v>-6.5047312970667459E-2</v>
      </c>
      <c r="N609">
        <v>0.19236621336589099</v>
      </c>
      <c r="O609">
        <v>2.5827999999977758E-4</v>
      </c>
      <c r="P609">
        <v>0.64675970816447936</v>
      </c>
      <c r="Q609">
        <v>0.56119603323414591</v>
      </c>
      <c r="R609">
        <v>0.32689889973500641</v>
      </c>
      <c r="S609">
        <v>0.79431292667482278</v>
      </c>
      <c r="T609">
        <v>0.60472209685338285</v>
      </c>
      <c r="U609">
        <v>-4.8258447238325175E-7</v>
      </c>
      <c r="V609">
        <v>0.66767489029000426</v>
      </c>
      <c r="W609">
        <v>0.33966558840086147</v>
      </c>
      <c r="X609">
        <v>-2.7844889999999178E-2</v>
      </c>
      <c r="Y609">
        <v>8.8202919999999865E-2</v>
      </c>
      <c r="Z609">
        <v>4.6109604000000012E-2</v>
      </c>
    </row>
    <row r="610" spans="1:26">
      <c r="A610" s="54" t="str">
        <f>CONCATENATE(raw[[#This Row],[redis_ls]],raw[[#This Row],[wage_eq]],raw[[#This Row],[flex]],raw[[#This Row],[expo]],raw[[#This Row],[_date_]])</f>
        <v>100053693</v>
      </c>
      <c r="B610" s="1">
        <v>53693</v>
      </c>
      <c r="C610">
        <v>1</v>
      </c>
      <c r="D610">
        <v>0</v>
      </c>
      <c r="E610">
        <v>0</v>
      </c>
      <c r="F610">
        <v>0</v>
      </c>
      <c r="G610">
        <v>-7.7278577344186417E-3</v>
      </c>
      <c r="H610">
        <v>12.611410000001342</v>
      </c>
      <c r="I610">
        <v>-1.4365597929903218</v>
      </c>
      <c r="J610">
        <v>0.19050586959976634</v>
      </c>
      <c r="K610">
        <v>-0.25173380729642814</v>
      </c>
      <c r="L610">
        <v>-0.36770778504733315</v>
      </c>
      <c r="M610">
        <v>-6.0706792871745296E-2</v>
      </c>
      <c r="N610">
        <v>0.19073358132564167</v>
      </c>
      <c r="O610">
        <v>2.03660000000494E-4</v>
      </c>
      <c r="P610">
        <v>0.63886740187664159</v>
      </c>
      <c r="Q610">
        <v>0.55594054327492426</v>
      </c>
      <c r="R610">
        <v>0.32718714527539827</v>
      </c>
      <c r="S610">
        <v>0.78353029818110098</v>
      </c>
      <c r="T610">
        <v>0.59782619501604906</v>
      </c>
      <c r="U610">
        <v>-4.7312203044214129E-7</v>
      </c>
      <c r="V610">
        <v>0.65985568335535927</v>
      </c>
      <c r="W610">
        <v>0.33158363122105516</v>
      </c>
      <c r="X610">
        <v>-2.8557479999999358E-2</v>
      </c>
      <c r="Y610">
        <v>8.6426900000000084E-2</v>
      </c>
      <c r="Z610">
        <v>4.6796327999999984E-2</v>
      </c>
    </row>
    <row r="611" spans="1:26">
      <c r="A611" s="54" t="str">
        <f>CONCATENATE(raw[[#This Row],[redis_ls]],raw[[#This Row],[wage_eq]],raw[[#This Row],[flex]],raw[[#This Row],[expo]],raw[[#This Row],[_date_]])</f>
        <v>100054058</v>
      </c>
      <c r="B611" s="1">
        <v>54058</v>
      </c>
      <c r="C611">
        <v>1</v>
      </c>
      <c r="D611">
        <v>0</v>
      </c>
      <c r="E611">
        <v>0</v>
      </c>
      <c r="F611">
        <v>0</v>
      </c>
      <c r="G611">
        <v>-5.7826620152967578E-3</v>
      </c>
      <c r="H611">
        <v>12.943380000000616</v>
      </c>
      <c r="I611">
        <v>-1.4091732085951936</v>
      </c>
      <c r="J611">
        <v>0.18894398342874652</v>
      </c>
      <c r="K611">
        <v>-0.23641501821960453</v>
      </c>
      <c r="L611">
        <v>-0.36328239337751755</v>
      </c>
      <c r="M611">
        <v>-5.6406755735727288E-2</v>
      </c>
      <c r="N611">
        <v>0.18911502674003877</v>
      </c>
      <c r="O611">
        <v>1.5302999999966538E-4</v>
      </c>
      <c r="P611">
        <v>0.63120690541023095</v>
      </c>
      <c r="Q611">
        <v>0.55086200957235043</v>
      </c>
      <c r="R611">
        <v>0.32755459573785561</v>
      </c>
      <c r="S611">
        <v>0.77302268293359955</v>
      </c>
      <c r="T611">
        <v>0.59111827849069876</v>
      </c>
      <c r="U611">
        <v>-5.0249887584286057E-7</v>
      </c>
      <c r="V611">
        <v>0.6523961992116023</v>
      </c>
      <c r="W611">
        <v>0.32378101236429924</v>
      </c>
      <c r="X611">
        <v>-2.9198860000000104E-2</v>
      </c>
      <c r="Y611">
        <v>8.4664309999999895E-2</v>
      </c>
      <c r="Z611">
        <v>4.7406798999999944E-2</v>
      </c>
    </row>
    <row r="612" spans="1:26">
      <c r="A612" s="54" t="str">
        <f>CONCATENATE(raw[[#This Row],[redis_ls]],raw[[#This Row],[wage_eq]],raw[[#This Row],[flex]],raw[[#This Row],[expo]],raw[[#This Row],[_date_]])</f>
        <v>100054424</v>
      </c>
      <c r="B612" s="1">
        <v>54424</v>
      </c>
      <c r="C612">
        <v>1</v>
      </c>
      <c r="D612">
        <v>0</v>
      </c>
      <c r="E612">
        <v>0</v>
      </c>
      <c r="F612">
        <v>0</v>
      </c>
      <c r="G612">
        <v>-3.8996278929337436E-3</v>
      </c>
      <c r="H612">
        <v>13.246220000000903</v>
      </c>
      <c r="I612">
        <v>-1.3822242254907136</v>
      </c>
      <c r="J612">
        <v>0.18737005166098442</v>
      </c>
      <c r="K612">
        <v>-0.22127875322027757</v>
      </c>
      <c r="L612">
        <v>-0.35901383576284474</v>
      </c>
      <c r="M612">
        <v>-5.2171487956342855E-2</v>
      </c>
      <c r="N612">
        <v>0.18748928604146453</v>
      </c>
      <c r="O612">
        <v>1.0668999999990936E-4</v>
      </c>
      <c r="P612">
        <v>0.6237281856393162</v>
      </c>
      <c r="Q612">
        <v>0.54590429491290227</v>
      </c>
      <c r="R612">
        <v>0.32793774685437871</v>
      </c>
      <c r="S612">
        <v>0.76274105467604159</v>
      </c>
      <c r="T612">
        <v>0.58455028755468597</v>
      </c>
      <c r="U612">
        <v>-4.9264597956621969E-7</v>
      </c>
      <c r="V612">
        <v>0.64522367748638398</v>
      </c>
      <c r="W612">
        <v>0.3162488156238652</v>
      </c>
      <c r="X612">
        <v>-2.9771639999999489E-2</v>
      </c>
      <c r="Y612">
        <v>8.2916090000000053E-2</v>
      </c>
      <c r="Z612">
        <v>4.7931803000000016E-2</v>
      </c>
    </row>
    <row r="613" spans="1:26">
      <c r="A613" s="54" t="str">
        <f>CONCATENATE(raw[[#This Row],[redis_ls]],raw[[#This Row],[wage_eq]],raw[[#This Row],[flex]],raw[[#This Row],[expo]],raw[[#This Row],[_date_]])</f>
        <v>100054789</v>
      </c>
      <c r="B613" s="1">
        <v>54789</v>
      </c>
      <c r="C613">
        <v>1</v>
      </c>
      <c r="D613">
        <v>0</v>
      </c>
      <c r="E613">
        <v>0</v>
      </c>
      <c r="F613">
        <v>0</v>
      </c>
      <c r="G613">
        <v>-2.0839506793324247E-3</v>
      </c>
      <c r="H613">
        <v>13.520870000000286</v>
      </c>
      <c r="I613">
        <v>-1.355722399199788</v>
      </c>
      <c r="J613">
        <v>0.18576550181621521</v>
      </c>
      <c r="K613">
        <v>-0.2063620326201443</v>
      </c>
      <c r="L613">
        <v>-0.3548722098320134</v>
      </c>
      <c r="M613">
        <v>-4.8022821867765852E-2</v>
      </c>
      <c r="N613">
        <v>0.18583797105733435</v>
      </c>
      <c r="O613">
        <v>6.4789999999759207E-5</v>
      </c>
      <c r="P613">
        <v>0.61638563312640393</v>
      </c>
      <c r="Q613">
        <v>0.54101618659849748</v>
      </c>
      <c r="R613">
        <v>0.32827921072713373</v>
      </c>
      <c r="S613">
        <v>0.75264054840082917</v>
      </c>
      <c r="T613">
        <v>0.57807858250249478</v>
      </c>
      <c r="U613">
        <v>-4.829862398914031E-7</v>
      </c>
      <c r="V613">
        <v>0.63827110252974162</v>
      </c>
      <c r="W613">
        <v>0.30897758058983094</v>
      </c>
      <c r="X613">
        <v>-3.027863999999908E-2</v>
      </c>
      <c r="Y613">
        <v>8.1183320000000059E-2</v>
      </c>
      <c r="Z613">
        <v>4.8364076000000006E-2</v>
      </c>
    </row>
    <row r="614" spans="1:26">
      <c r="A614" s="54" t="str">
        <f>CONCATENATE(raw[[#This Row],[redis_ls]],raw[[#This Row],[wage_eq]],raw[[#This Row],[flex]],raw[[#This Row],[expo]],raw[[#This Row],[_date_]])</f>
        <v>021136526</v>
      </c>
      <c r="B614" s="1">
        <v>36526</v>
      </c>
      <c r="C614">
        <v>0</v>
      </c>
      <c r="D614">
        <v>2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5.5086995838893316E-3</v>
      </c>
      <c r="U614">
        <v>0.21447656749506994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>
      <c r="A615" s="54" t="str">
        <f>CONCATENATE(raw[[#This Row],[redis_ls]],raw[[#This Row],[wage_eq]],raw[[#This Row],[flex]],raw[[#This Row],[expo]],raw[[#This Row],[_date_]])</f>
        <v>021136892</v>
      </c>
      <c r="B615" s="1">
        <v>36892</v>
      </c>
      <c r="C615">
        <v>0</v>
      </c>
      <c r="D615">
        <v>2</v>
      </c>
      <c r="E615">
        <v>1</v>
      </c>
      <c r="F615">
        <v>1</v>
      </c>
      <c r="G615">
        <v>0.21182244977022702</v>
      </c>
      <c r="H615">
        <v>46.326359999999113</v>
      </c>
      <c r="I615">
        <v>-5.4416065249545227</v>
      </c>
      <c r="J615">
        <v>0.10510326090131805</v>
      </c>
      <c r="K615">
        <v>0.53871049396423398</v>
      </c>
      <c r="L615">
        <v>-0.1588921819038247</v>
      </c>
      <c r="M615">
        <v>-0.32738190109929954</v>
      </c>
      <c r="N615">
        <v>0.15252311007403208</v>
      </c>
      <c r="O615">
        <v>4.2485759999999484E-2</v>
      </c>
      <c r="P615">
        <v>0.46596479140601499</v>
      </c>
      <c r="Q615">
        <v>0.12399286345228244</v>
      </c>
      <c r="R615">
        <v>-0.60221675811449327</v>
      </c>
      <c r="S615">
        <v>0.84763792345752265</v>
      </c>
      <c r="T615">
        <v>0.27222132135822363</v>
      </c>
      <c r="U615">
        <v>0.7379585821868373</v>
      </c>
      <c r="V615">
        <v>3.5299081783457531E-2</v>
      </c>
      <c r="W615">
        <v>-0.4287510811583628</v>
      </c>
      <c r="X615">
        <v>-0.13835467000000018</v>
      </c>
      <c r="Y615">
        <v>0.12402956</v>
      </c>
      <c r="Z615">
        <v>6.5218500000000304E-3</v>
      </c>
    </row>
    <row r="616" spans="1:26">
      <c r="A616" s="54" t="str">
        <f>CONCATENATE(raw[[#This Row],[redis_ls]],raw[[#This Row],[wage_eq]],raw[[#This Row],[flex]],raw[[#This Row],[expo]],raw[[#This Row],[_date_]])</f>
        <v>021137257</v>
      </c>
      <c r="B616" s="1">
        <v>37257</v>
      </c>
      <c r="C616">
        <v>0</v>
      </c>
      <c r="D616">
        <v>2</v>
      </c>
      <c r="E616">
        <v>1</v>
      </c>
      <c r="F616">
        <v>1</v>
      </c>
      <c r="G616">
        <v>0.37492624205575087</v>
      </c>
      <c r="H616">
        <v>97.069149999999354</v>
      </c>
      <c r="I616">
        <v>-8.6935721316829362</v>
      </c>
      <c r="J616">
        <v>0.27295871275483385</v>
      </c>
      <c r="K616">
        <v>1.0166232478935777</v>
      </c>
      <c r="L616">
        <v>-0.42519080535075027</v>
      </c>
      <c r="M616">
        <v>-0.47700904493271912</v>
      </c>
      <c r="N616">
        <v>0.33149780461727563</v>
      </c>
      <c r="O616">
        <v>5.2347030000000905E-2</v>
      </c>
      <c r="P616">
        <v>0.61023411759826285</v>
      </c>
      <c r="Q616">
        <v>0.32208365535377759</v>
      </c>
      <c r="R616">
        <v>-0.32297561744690784</v>
      </c>
      <c r="S616">
        <v>0.96836786616025794</v>
      </c>
      <c r="T616">
        <v>0.52232567042167499</v>
      </c>
      <c r="U616">
        <v>1.5893090832582946</v>
      </c>
      <c r="V616">
        <v>0.23060908646108658</v>
      </c>
      <c r="W616">
        <v>-0.45058281868188832</v>
      </c>
      <c r="X616">
        <v>-0.27755803999999912</v>
      </c>
      <c r="Y616">
        <v>0.17033098999999982</v>
      </c>
      <c r="Z616">
        <v>0.12457821299999994</v>
      </c>
    </row>
    <row r="617" spans="1:26">
      <c r="A617" s="54" t="str">
        <f>CONCATENATE(raw[[#This Row],[redis_ls]],raw[[#This Row],[wage_eq]],raw[[#This Row],[flex]],raw[[#This Row],[expo]],raw[[#This Row],[_date_]])</f>
        <v>021137622</v>
      </c>
      <c r="B617" s="1">
        <v>37622</v>
      </c>
      <c r="C617">
        <v>0</v>
      </c>
      <c r="D617">
        <v>2</v>
      </c>
      <c r="E617">
        <v>1</v>
      </c>
      <c r="F617">
        <v>1</v>
      </c>
      <c r="G617">
        <v>0.45706930886031394</v>
      </c>
      <c r="H617">
        <v>133.63287000000128</v>
      </c>
      <c r="I617">
        <v>-10.572722869801277</v>
      </c>
      <c r="J617">
        <v>0.43974795554120316</v>
      </c>
      <c r="K617">
        <v>1.3702938955622912</v>
      </c>
      <c r="L617">
        <v>-0.77567905498727718</v>
      </c>
      <c r="M617">
        <v>-0.49854643480204963</v>
      </c>
      <c r="N617">
        <v>0.48417269635299132</v>
      </c>
      <c r="O617">
        <v>3.9648939999999133E-2</v>
      </c>
      <c r="P617">
        <v>0.81968529693634551</v>
      </c>
      <c r="Q617">
        <v>0.58446918883381382</v>
      </c>
      <c r="R617">
        <v>2.3839713969731058E-2</v>
      </c>
      <c r="S617">
        <v>1.1500671564708798</v>
      </c>
      <c r="T617">
        <v>0.77591220003596639</v>
      </c>
      <c r="U617">
        <v>2.7453267869536502</v>
      </c>
      <c r="V617">
        <v>0.47626959415456582</v>
      </c>
      <c r="W617">
        <v>-0.5102413821723939</v>
      </c>
      <c r="X617">
        <v>-0.36770050999999915</v>
      </c>
      <c r="Y617">
        <v>0.16586518000000008</v>
      </c>
      <c r="Z617">
        <v>0.22324016800000002</v>
      </c>
    </row>
    <row r="618" spans="1:26">
      <c r="A618" s="54" t="str">
        <f>CONCATENATE(raw[[#This Row],[redis_ls]],raw[[#This Row],[wage_eq]],raw[[#This Row],[flex]],raw[[#This Row],[expo]],raw[[#This Row],[_date_]])</f>
        <v>021137987</v>
      </c>
      <c r="B618" s="1">
        <v>37987</v>
      </c>
      <c r="C618">
        <v>0</v>
      </c>
      <c r="D618">
        <v>2</v>
      </c>
      <c r="E618">
        <v>1</v>
      </c>
      <c r="F618">
        <v>1</v>
      </c>
      <c r="G618">
        <v>0.46392756321542716</v>
      </c>
      <c r="H618">
        <v>149.48342000000048</v>
      </c>
      <c r="I618">
        <v>-11.67050131245313</v>
      </c>
      <c r="J618">
        <v>0.57413180143381926</v>
      </c>
      <c r="K618">
        <v>1.6062903310918086</v>
      </c>
      <c r="L618">
        <v>-1.1863802970650705</v>
      </c>
      <c r="M618">
        <v>-0.46082286900845926</v>
      </c>
      <c r="N618">
        <v>0.59319642622834845</v>
      </c>
      <c r="O618">
        <v>1.6988319999999835E-2</v>
      </c>
      <c r="P618">
        <v>1.0600099277015218</v>
      </c>
      <c r="Q618">
        <v>0.87631521430096004</v>
      </c>
      <c r="R618">
        <v>0.39892228649034411</v>
      </c>
      <c r="S618">
        <v>1.3630115874081694</v>
      </c>
      <c r="T618">
        <v>1.0227904529761522</v>
      </c>
      <c r="U618">
        <v>4.1615535495106437</v>
      </c>
      <c r="V618">
        <v>0.74480812570154598</v>
      </c>
      <c r="W618">
        <v>-0.58979273853908554</v>
      </c>
      <c r="X618">
        <v>-0.39663531000000002</v>
      </c>
      <c r="Y618">
        <v>0.12879881000000015</v>
      </c>
      <c r="Z618">
        <v>0.28836265500000002</v>
      </c>
    </row>
    <row r="619" spans="1:26">
      <c r="A619" s="54" t="str">
        <f>CONCATENATE(raw[[#This Row],[redis_ls]],raw[[#This Row],[wage_eq]],raw[[#This Row],[flex]],raw[[#This Row],[expo]],raw[[#This Row],[_date_]])</f>
        <v>021138353</v>
      </c>
      <c r="B619" s="1">
        <v>38353</v>
      </c>
      <c r="C619">
        <v>0</v>
      </c>
      <c r="D619">
        <v>2</v>
      </c>
      <c r="E619">
        <v>1</v>
      </c>
      <c r="F619">
        <v>1</v>
      </c>
      <c r="G619">
        <v>0.41257302013655295</v>
      </c>
      <c r="H619">
        <v>144.52223999999842</v>
      </c>
      <c r="I619">
        <v>-12.332112886833235</v>
      </c>
      <c r="J619">
        <v>0.66708552056740089</v>
      </c>
      <c r="K619">
        <v>1.7536626503285246</v>
      </c>
      <c r="L619">
        <v>-1.6298209079746884</v>
      </c>
      <c r="M619">
        <v>-0.40539126908426537</v>
      </c>
      <c r="N619">
        <v>0.66248665277783836</v>
      </c>
      <c r="O619">
        <v>-4.093260000000154E-3</v>
      </c>
      <c r="P619">
        <v>1.3030350468587582</v>
      </c>
      <c r="Q619">
        <v>1.1659790252951607</v>
      </c>
      <c r="R619">
        <v>0.76627027998392716</v>
      </c>
      <c r="S619">
        <v>1.5802774846148671</v>
      </c>
      <c r="T619">
        <v>1.2488789723192228</v>
      </c>
      <c r="U619">
        <v>5.7837128185377784</v>
      </c>
      <c r="V619">
        <v>1.0223155829253372</v>
      </c>
      <c r="W619">
        <v>-0.66287415221785162</v>
      </c>
      <c r="X619">
        <v>-0.36921302000000045</v>
      </c>
      <c r="Y619">
        <v>7.0315150000000229E-2</v>
      </c>
      <c r="Z619">
        <v>0.32014078509999999</v>
      </c>
    </row>
    <row r="620" spans="1:26">
      <c r="A620" s="54" t="str">
        <f>CONCATENATE(raw[[#This Row],[redis_ls]],raw[[#This Row],[wage_eq]],raw[[#This Row],[flex]],raw[[#This Row],[expo]],raw[[#This Row],[_date_]])</f>
        <v>021138718</v>
      </c>
      <c r="B620" s="1">
        <v>38718</v>
      </c>
      <c r="C620">
        <v>0</v>
      </c>
      <c r="D620">
        <v>2</v>
      </c>
      <c r="E620">
        <v>1</v>
      </c>
      <c r="F620">
        <v>1</v>
      </c>
      <c r="G620">
        <v>0.32171200592729932</v>
      </c>
      <c r="H620">
        <v>121.78302999999869</v>
      </c>
      <c r="I620">
        <v>-12.752033481328095</v>
      </c>
      <c r="J620">
        <v>0.71956931807959368</v>
      </c>
      <c r="K620">
        <v>1.8441936587420438</v>
      </c>
      <c r="L620">
        <v>-2.0786987123039613</v>
      </c>
      <c r="M620">
        <v>-0.35427883594966181</v>
      </c>
      <c r="N620">
        <v>0.69759729640379575</v>
      </c>
      <c r="O620">
        <v>-1.9542270000000306E-2</v>
      </c>
      <c r="P620">
        <v>1.5294679405230882</v>
      </c>
      <c r="Q620">
        <v>1.4312439034710245</v>
      </c>
      <c r="R620">
        <v>1.1004756358960366</v>
      </c>
      <c r="S620">
        <v>1.7829096970848779</v>
      </c>
      <c r="T620">
        <v>1.4437145539180962</v>
      </c>
      <c r="U620">
        <v>7.5536468909712218</v>
      </c>
      <c r="V620">
        <v>1.2940681073498883</v>
      </c>
      <c r="W620">
        <v>-0.71616048230256357</v>
      </c>
      <c r="X620">
        <v>-0.29713227000000009</v>
      </c>
      <c r="Y620">
        <v>-1.7271999999998733E-3</v>
      </c>
      <c r="Z620">
        <v>0.32274305729999997</v>
      </c>
    </row>
    <row r="621" spans="1:26">
      <c r="A621" s="54" t="str">
        <f>CONCATENATE(raw[[#This Row],[redis_ls]],raw[[#This Row],[wage_eq]],raw[[#This Row],[flex]],raw[[#This Row],[expo]],raw[[#This Row],[_date_]])</f>
        <v>021139083</v>
      </c>
      <c r="B621" s="1">
        <v>39083</v>
      </c>
      <c r="C621">
        <v>0</v>
      </c>
      <c r="D621">
        <v>2</v>
      </c>
      <c r="E621">
        <v>1</v>
      </c>
      <c r="F621">
        <v>1</v>
      </c>
      <c r="G621">
        <v>0.20777046956341749</v>
      </c>
      <c r="H621">
        <v>85.496199999997771</v>
      </c>
      <c r="I621">
        <v>-13.038094950606427</v>
      </c>
      <c r="J621">
        <v>0.73588434136506731</v>
      </c>
      <c r="K621">
        <v>1.9045880833014062</v>
      </c>
      <c r="L621">
        <v>-2.5092146766965362</v>
      </c>
      <c r="M621">
        <v>-0.31832489564823652</v>
      </c>
      <c r="N621">
        <v>0.70297992183128155</v>
      </c>
      <c r="O621">
        <v>-2.9255520000000257E-2</v>
      </c>
      <c r="P621">
        <v>1.7272718111192242</v>
      </c>
      <c r="Q621">
        <v>1.6585300456004148</v>
      </c>
      <c r="R621">
        <v>1.386073161234691</v>
      </c>
      <c r="S621">
        <v>1.9590408668842096</v>
      </c>
      <c r="T621">
        <v>1.6011014216571695</v>
      </c>
      <c r="U621">
        <v>9.4125555549610773</v>
      </c>
      <c r="V621">
        <v>1.5447438700718186</v>
      </c>
      <c r="W621">
        <v>-0.74774900045635473</v>
      </c>
      <c r="X621">
        <v>-0.19378725999999943</v>
      </c>
      <c r="Y621">
        <v>-8.0976709999999896E-2</v>
      </c>
      <c r="Z621">
        <v>0.30153553300000002</v>
      </c>
    </row>
    <row r="622" spans="1:26">
      <c r="A622" s="54" t="str">
        <f>CONCATENATE(raw[[#This Row],[redis_ls]],raw[[#This Row],[wage_eq]],raw[[#This Row],[flex]],raw[[#This Row],[expo]],raw[[#This Row],[_date_]])</f>
        <v>021139448</v>
      </c>
      <c r="B622" s="1">
        <v>39448</v>
      </c>
      <c r="C622">
        <v>0</v>
      </c>
      <c r="D622">
        <v>2</v>
      </c>
      <c r="E622">
        <v>1</v>
      </c>
      <c r="F622">
        <v>1</v>
      </c>
      <c r="G622">
        <v>8.4000454998878205E-2</v>
      </c>
      <c r="H622">
        <v>40.080910000000586</v>
      </c>
      <c r="I622">
        <v>-13.248579970319396</v>
      </c>
      <c r="J622">
        <v>0.72133298403940227</v>
      </c>
      <c r="K622">
        <v>1.9544169229226194</v>
      </c>
      <c r="L622">
        <v>-2.9026744709159225</v>
      </c>
      <c r="M622">
        <v>-0.3019793920229108</v>
      </c>
      <c r="N622">
        <v>0.68280662639728096</v>
      </c>
      <c r="O622">
        <v>-3.4253889999999454E-2</v>
      </c>
      <c r="P622">
        <v>1.889510576809772</v>
      </c>
      <c r="Q622">
        <v>1.8406515206174534</v>
      </c>
      <c r="R622">
        <v>1.6150781316184526</v>
      </c>
      <c r="S622">
        <v>2.1019378345925377</v>
      </c>
      <c r="T622">
        <v>1.7179968063063322</v>
      </c>
      <c r="U622">
        <v>11.303166145467113</v>
      </c>
      <c r="V622">
        <v>1.7608831436087824</v>
      </c>
      <c r="W622">
        <v>-0.7617535174529233</v>
      </c>
      <c r="X622">
        <v>-7.1915550000000578E-2</v>
      </c>
      <c r="Y622">
        <v>-0.16203387500000002</v>
      </c>
      <c r="Z622">
        <v>0.26234178300000005</v>
      </c>
    </row>
    <row r="623" spans="1:26">
      <c r="A623" s="54" t="str">
        <f>CONCATENATE(raw[[#This Row],[redis_ls]],raw[[#This Row],[wage_eq]],raw[[#This Row],[flex]],raw[[#This Row],[expo]],raw[[#This Row],[_date_]])</f>
        <v>021139814</v>
      </c>
      <c r="B623" s="1">
        <v>39814</v>
      </c>
      <c r="C623">
        <v>0</v>
      </c>
      <c r="D623">
        <v>2</v>
      </c>
      <c r="E623">
        <v>1</v>
      </c>
      <c r="F623">
        <v>1</v>
      </c>
      <c r="G623">
        <v>-3.9192985401903524E-2</v>
      </c>
      <c r="H623">
        <v>-10.286110000000917</v>
      </c>
      <c r="I623">
        <v>-13.413197664734167</v>
      </c>
      <c r="J623">
        <v>0.68175007074309235</v>
      </c>
      <c r="K623">
        <v>2.006694310715873</v>
      </c>
      <c r="L623">
        <v>-3.2457224018703323</v>
      </c>
      <c r="M623">
        <v>-0.30578728715183745</v>
      </c>
      <c r="N623">
        <v>0.64178422233480692</v>
      </c>
      <c r="O623">
        <v>-3.5544070000000094E-2</v>
      </c>
      <c r="P623">
        <v>2.012741876199553</v>
      </c>
      <c r="Q623">
        <v>1.9748761015894845</v>
      </c>
      <c r="R623">
        <v>1.7847739434820653</v>
      </c>
      <c r="S623">
        <v>2.2084140748210856</v>
      </c>
      <c r="T623">
        <v>1.7934581631433133</v>
      </c>
      <c r="U623">
        <v>13.171604174206442</v>
      </c>
      <c r="V623">
        <v>1.9325353621405084</v>
      </c>
      <c r="W623">
        <v>-0.76422407744868304</v>
      </c>
      <c r="X623">
        <v>5.722937000000039E-2</v>
      </c>
      <c r="Y623">
        <v>-0.24037482699999996</v>
      </c>
      <c r="Z623">
        <v>0.21111835000000007</v>
      </c>
    </row>
    <row r="624" spans="1:26">
      <c r="A624" s="54" t="str">
        <f>CONCATENATE(raw[[#This Row],[redis_ls]],raw[[#This Row],[wage_eq]],raw[[#This Row],[flex]],raw[[#This Row],[expo]],raw[[#This Row],[_date_]])</f>
        <v>021140179</v>
      </c>
      <c r="B624" s="1">
        <v>40179</v>
      </c>
      <c r="C624">
        <v>0</v>
      </c>
      <c r="D624">
        <v>2</v>
      </c>
      <c r="E624">
        <v>1</v>
      </c>
      <c r="F624">
        <v>1</v>
      </c>
      <c r="G624">
        <v>-0.1536855595901554</v>
      </c>
      <c r="H624">
        <v>-61.804140000000189</v>
      </c>
      <c r="I624">
        <v>-13.545036209141269</v>
      </c>
      <c r="J624">
        <v>0.623470848859764</v>
      </c>
      <c r="K624">
        <v>2.0693451968259113</v>
      </c>
      <c r="L624">
        <v>-3.5298610357953342</v>
      </c>
      <c r="M624">
        <v>-0.32774003986592026</v>
      </c>
      <c r="N624">
        <v>0.58537399445028893</v>
      </c>
      <c r="O624">
        <v>-3.3899789999999874E-2</v>
      </c>
      <c r="P624">
        <v>2.0960295240494808</v>
      </c>
      <c r="Q624">
        <v>2.0615975215033666</v>
      </c>
      <c r="R624">
        <v>1.8961524385222583</v>
      </c>
      <c r="S624">
        <v>2.2778087903649658</v>
      </c>
      <c r="T624">
        <v>1.8280579924703666</v>
      </c>
      <c r="U624">
        <v>14.969195037393002</v>
      </c>
      <c r="V624">
        <v>2.0538471810898073</v>
      </c>
      <c r="W624">
        <v>-0.76092602440502866</v>
      </c>
      <c r="X624">
        <v>0.18401026999999986</v>
      </c>
      <c r="Y624">
        <v>-0.31239475710000003</v>
      </c>
      <c r="Z624">
        <v>0.15366258999999979</v>
      </c>
    </row>
    <row r="625" spans="1:26">
      <c r="A625" s="54" t="str">
        <f>CONCATENATE(raw[[#This Row],[redis_ls]],raw[[#This Row],[wage_eq]],raw[[#This Row],[flex]],raw[[#This Row],[expo]],raw[[#This Row],[_date_]])</f>
        <v>021140544</v>
      </c>
      <c r="B625" s="1">
        <v>40544</v>
      </c>
      <c r="C625">
        <v>0</v>
      </c>
      <c r="D625">
        <v>2</v>
      </c>
      <c r="E625">
        <v>1</v>
      </c>
      <c r="F625">
        <v>1</v>
      </c>
      <c r="G625">
        <v>-0.25320854928156944</v>
      </c>
      <c r="H625">
        <v>-111.07212000000072</v>
      </c>
      <c r="I625">
        <v>-13.647601037190638</v>
      </c>
      <c r="J625">
        <v>0.5531967114611902</v>
      </c>
      <c r="K625">
        <v>2.146682797866073</v>
      </c>
      <c r="L625">
        <v>-3.7507315613037107</v>
      </c>
      <c r="M625">
        <v>-0.36414926103776057</v>
      </c>
      <c r="N625">
        <v>0.51956724953718947</v>
      </c>
      <c r="O625">
        <v>-2.9945349999999094E-2</v>
      </c>
      <c r="P625">
        <v>2.1403750341812744</v>
      </c>
      <c r="Q625">
        <v>2.1034755776433656</v>
      </c>
      <c r="R625">
        <v>1.952875448696112</v>
      </c>
      <c r="S625">
        <v>2.3113678850646968</v>
      </c>
      <c r="T625">
        <v>1.8236608880130456</v>
      </c>
      <c r="U625">
        <v>16.654152934439082</v>
      </c>
      <c r="V625">
        <v>2.1229547032869833</v>
      </c>
      <c r="W625">
        <v>-0.75639904289511728</v>
      </c>
      <c r="X625">
        <v>0.30032992999999997</v>
      </c>
      <c r="Y625">
        <v>-0.37544634600000004</v>
      </c>
      <c r="Z625">
        <v>9.5314380000000032E-2</v>
      </c>
    </row>
    <row r="626" spans="1:26">
      <c r="A626" s="54" t="str">
        <f>CONCATENATE(raw[[#This Row],[redis_ls]],raw[[#This Row],[wage_eq]],raw[[#This Row],[flex]],raw[[#This Row],[expo]],raw[[#This Row],[_date_]])</f>
        <v>021140909</v>
      </c>
      <c r="B626" s="1">
        <v>40909</v>
      </c>
      <c r="C626">
        <v>0</v>
      </c>
      <c r="D626">
        <v>2</v>
      </c>
      <c r="E626">
        <v>1</v>
      </c>
      <c r="F626">
        <v>1</v>
      </c>
      <c r="G626">
        <v>-0.3331267025726059</v>
      </c>
      <c r="H626">
        <v>-155.10612999999648</v>
      </c>
      <c r="I626">
        <v>-13.719180700960843</v>
      </c>
      <c r="J626">
        <v>0.47767851119504545</v>
      </c>
      <c r="K626">
        <v>2.2405511579036919</v>
      </c>
      <c r="L626">
        <v>-3.907397333372753</v>
      </c>
      <c r="M626">
        <v>-0.41033074023467675</v>
      </c>
      <c r="N626">
        <v>0.4504511594892957</v>
      </c>
      <c r="O626">
        <v>-2.4263800000000335E-2</v>
      </c>
      <c r="P626">
        <v>2.1483542588685234</v>
      </c>
      <c r="Q626">
        <v>2.1048416685281568</v>
      </c>
      <c r="R626">
        <v>1.96053983822988</v>
      </c>
      <c r="S626">
        <v>2.3118322718384432</v>
      </c>
      <c r="T626">
        <v>1.7833523526421313</v>
      </c>
      <c r="U626">
        <v>18.192994152246243</v>
      </c>
      <c r="V626">
        <v>2.1415139968537389</v>
      </c>
      <c r="W626">
        <v>-0.7537034758086314</v>
      </c>
      <c r="X626">
        <v>0.39957779119999998</v>
      </c>
      <c r="Y626">
        <v>-0.42783883100000009</v>
      </c>
      <c r="Z626">
        <v>4.0685380000000243E-2</v>
      </c>
    </row>
    <row r="627" spans="1:26">
      <c r="A627" s="54" t="str">
        <f>CONCATENATE(raw[[#This Row],[redis_ls]],raw[[#This Row],[wage_eq]],raw[[#This Row],[flex]],raw[[#This Row],[expo]],raw[[#This Row],[_date_]])</f>
        <v>021141275</v>
      </c>
      <c r="B627" s="1">
        <v>41275</v>
      </c>
      <c r="C627">
        <v>0</v>
      </c>
      <c r="D627">
        <v>2</v>
      </c>
      <c r="E627">
        <v>1</v>
      </c>
      <c r="F627">
        <v>1</v>
      </c>
      <c r="G627">
        <v>-0.3903578303066646</v>
      </c>
      <c r="H627">
        <v>-191.39127000000008</v>
      </c>
      <c r="I627">
        <v>-13.75570087875284</v>
      </c>
      <c r="J627">
        <v>0.40329130723302242</v>
      </c>
      <c r="K627">
        <v>2.3510839221064339</v>
      </c>
      <c r="L627">
        <v>-4.0017107213793484</v>
      </c>
      <c r="M627">
        <v>-0.46119612298576307</v>
      </c>
      <c r="N627">
        <v>0.38372314571204491</v>
      </c>
      <c r="O627">
        <v>-1.7452649999999403E-2</v>
      </c>
      <c r="P627">
        <v>2.1238216469549487</v>
      </c>
      <c r="Q627">
        <v>2.0712230223816519</v>
      </c>
      <c r="R627">
        <v>1.9260873534968637</v>
      </c>
      <c r="S627">
        <v>2.2830989443092475</v>
      </c>
      <c r="T627">
        <v>1.711357582091666</v>
      </c>
      <c r="U627">
        <v>19.561503446147199</v>
      </c>
      <c r="V627">
        <v>2.1140657122112883</v>
      </c>
      <c r="W627">
        <v>-0.75448080755776692</v>
      </c>
      <c r="X627">
        <v>0.47666596300000003</v>
      </c>
      <c r="Y627">
        <v>-0.46878925400000004</v>
      </c>
      <c r="Z627">
        <v>-6.5524099999998697E-3</v>
      </c>
    </row>
    <row r="628" spans="1:26">
      <c r="A628" s="54" t="str">
        <f>CONCATENATE(raw[[#This Row],[redis_ls]],raw[[#This Row],[wage_eq]],raw[[#This Row],[flex]],raw[[#This Row],[expo]],raw[[#This Row],[_date_]])</f>
        <v>021141640</v>
      </c>
      <c r="B628" s="1">
        <v>41640</v>
      </c>
      <c r="C628">
        <v>0</v>
      </c>
      <c r="D628">
        <v>2</v>
      </c>
      <c r="E628">
        <v>1</v>
      </c>
      <c r="F628">
        <v>1</v>
      </c>
      <c r="G628">
        <v>-0.42334838033371014</v>
      </c>
      <c r="H628">
        <v>-217.96834999999919</v>
      </c>
      <c r="I628">
        <v>-13.752645364579209</v>
      </c>
      <c r="J628">
        <v>0.33559896182409066</v>
      </c>
      <c r="K628">
        <v>2.4771588262402</v>
      </c>
      <c r="L628">
        <v>-4.0377634454293538</v>
      </c>
      <c r="M628">
        <v>-0.51176890173224576</v>
      </c>
      <c r="N628">
        <v>0.32425202187527091</v>
      </c>
      <c r="O628">
        <v>-1.0128270000001049E-2</v>
      </c>
      <c r="P628">
        <v>2.0716083514163541</v>
      </c>
      <c r="Q628">
        <v>2.0089117338490503</v>
      </c>
      <c r="R628">
        <v>1.8572801909328751</v>
      </c>
      <c r="S628">
        <v>2.2298888759509472</v>
      </c>
      <c r="T628">
        <v>1.6128674853574498</v>
      </c>
      <c r="U628">
        <v>20.745130421275391</v>
      </c>
      <c r="V628">
        <v>2.0473283703234868</v>
      </c>
      <c r="W628">
        <v>-0.7591474053929903</v>
      </c>
      <c r="X628">
        <v>0.5281306699999998</v>
      </c>
      <c r="Y628">
        <v>-0.49832489999999985</v>
      </c>
      <c r="Z628">
        <v>-4.3800900000000309E-2</v>
      </c>
    </row>
    <row r="629" spans="1:26">
      <c r="A629" s="54" t="str">
        <f>CONCATENATE(raw[[#This Row],[redis_ls]],raw[[#This Row],[wage_eq]],raw[[#This Row],[flex]],raw[[#This Row],[expo]],raw[[#This Row],[_date_]])</f>
        <v>021142005</v>
      </c>
      <c r="B629" s="1">
        <v>42005</v>
      </c>
      <c r="C629">
        <v>0</v>
      </c>
      <c r="D629">
        <v>2</v>
      </c>
      <c r="E629">
        <v>1</v>
      </c>
      <c r="F629">
        <v>1</v>
      </c>
      <c r="G629">
        <v>-0.43203508060637441</v>
      </c>
      <c r="H629">
        <v>-233.5331299999998</v>
      </c>
      <c r="I629">
        <v>-13.706331562694507</v>
      </c>
      <c r="J629">
        <v>0.27898408505899752</v>
      </c>
      <c r="K629">
        <v>2.6166616190240521</v>
      </c>
      <c r="L629">
        <v>-4.0213913834351462</v>
      </c>
      <c r="M629">
        <v>-0.55761279763134608</v>
      </c>
      <c r="N629">
        <v>0.27573896228776373</v>
      </c>
      <c r="O629">
        <v>-2.8985800000005946E-3</v>
      </c>
      <c r="P629">
        <v>1.9971967403822566</v>
      </c>
      <c r="Q629">
        <v>1.9245593719132925</v>
      </c>
      <c r="R629">
        <v>1.7622200851458603</v>
      </c>
      <c r="S629">
        <v>2.1574094437044167</v>
      </c>
      <c r="T629">
        <v>1.4937616028916301</v>
      </c>
      <c r="U629">
        <v>21.738768832358279</v>
      </c>
      <c r="V629">
        <v>1.9494681267137048</v>
      </c>
      <c r="W629">
        <v>-0.76714901038997807</v>
      </c>
      <c r="X629">
        <v>0.55223701999999975</v>
      </c>
      <c r="Y629">
        <v>-0.51714158999999971</v>
      </c>
      <c r="Z629">
        <v>-6.9587189999999882E-2</v>
      </c>
    </row>
    <row r="630" spans="1:26">
      <c r="A630" s="54" t="str">
        <f>CONCATENATE(raw[[#This Row],[redis_ls]],raw[[#This Row],[wage_eq]],raw[[#This Row],[flex]],raw[[#This Row],[expo]],raw[[#This Row],[_date_]])</f>
        <v>021142370</v>
      </c>
      <c r="B630" s="1">
        <v>42370</v>
      </c>
      <c r="C630">
        <v>0</v>
      </c>
      <c r="D630">
        <v>2</v>
      </c>
      <c r="E630">
        <v>1</v>
      </c>
      <c r="F630">
        <v>1</v>
      </c>
      <c r="G630">
        <v>-0.41774793461593074</v>
      </c>
      <c r="H630">
        <v>-237.51754000000074</v>
      </c>
      <c r="I630">
        <v>-13.614695123962973</v>
      </c>
      <c r="J630">
        <v>0.23639419448102661</v>
      </c>
      <c r="K630">
        <v>2.7666612501853205</v>
      </c>
      <c r="L630">
        <v>-3.9597092875360729</v>
      </c>
      <c r="M630">
        <v>-0.59515623015785613</v>
      </c>
      <c r="N630">
        <v>0.24051019182862454</v>
      </c>
      <c r="O630">
        <v>3.6787800000007143E-3</v>
      </c>
      <c r="P630">
        <v>1.9063776570773516</v>
      </c>
      <c r="Q630">
        <v>1.8248004986247457</v>
      </c>
      <c r="R630">
        <v>1.6489136737793286</v>
      </c>
      <c r="S630">
        <v>2.0710204908357177</v>
      </c>
      <c r="T630">
        <v>1.36025385409555</v>
      </c>
      <c r="U630">
        <v>22.545957830505927</v>
      </c>
      <c r="V630">
        <v>1.8293800951237005</v>
      </c>
      <c r="W630">
        <v>-0.77724314027752817</v>
      </c>
      <c r="X630">
        <v>0.54902070000000036</v>
      </c>
      <c r="Y630">
        <v>-0.52643036000000021</v>
      </c>
      <c r="Z630">
        <v>-8.3533829999999504E-2</v>
      </c>
    </row>
    <row r="631" spans="1:26">
      <c r="A631" s="54" t="str">
        <f>CONCATENATE(raw[[#This Row],[redis_ls]],raw[[#This Row],[wage_eq]],raw[[#This Row],[flex]],raw[[#This Row],[expo]],raw[[#This Row],[_date_]])</f>
        <v>021142736</v>
      </c>
      <c r="B631" s="1">
        <v>42736</v>
      </c>
      <c r="C631">
        <v>0</v>
      </c>
      <c r="D631">
        <v>2</v>
      </c>
      <c r="E631">
        <v>1</v>
      </c>
      <c r="F631">
        <v>1</v>
      </c>
      <c r="G631">
        <v>-0.38303645780071172</v>
      </c>
      <c r="H631">
        <v>-230.12409000000116</v>
      </c>
      <c r="I631">
        <v>-13.477683251215621</v>
      </c>
      <c r="J631">
        <v>0.20923103332994852</v>
      </c>
      <c r="K631">
        <v>2.9235689332147263</v>
      </c>
      <c r="L631">
        <v>-3.8606615357857366</v>
      </c>
      <c r="M631">
        <v>-0.62190028441175826</v>
      </c>
      <c r="N631">
        <v>0.21945292897267432</v>
      </c>
      <c r="O631">
        <v>9.1402899999995513E-3</v>
      </c>
      <c r="P631">
        <v>1.8049165105702425</v>
      </c>
      <c r="Q631">
        <v>1.7159254662743928</v>
      </c>
      <c r="R631">
        <v>1.5249015846336755</v>
      </c>
      <c r="S631">
        <v>1.9759273574379455</v>
      </c>
      <c r="T631">
        <v>1.2185129367100478</v>
      </c>
      <c r="U631">
        <v>23.177610307220075</v>
      </c>
      <c r="V631">
        <v>1.6960176281757722</v>
      </c>
      <c r="W631">
        <v>-0.78779152764367755</v>
      </c>
      <c r="X631">
        <v>0.52021768000000002</v>
      </c>
      <c r="Y631">
        <v>-0.52769111999999985</v>
      </c>
      <c r="Z631">
        <v>-8.6255650000000017E-2</v>
      </c>
    </row>
    <row r="632" spans="1:26">
      <c r="A632" s="54" t="str">
        <f>CONCATENATE(raw[[#This Row],[redis_ls]],raw[[#This Row],[wage_eq]],raw[[#This Row],[flex]],raw[[#This Row],[expo]],raw[[#This Row],[_date_]])</f>
        <v>021143101</v>
      </c>
      <c r="B632" s="1">
        <v>43101</v>
      </c>
      <c r="C632">
        <v>0</v>
      </c>
      <c r="D632">
        <v>2</v>
      </c>
      <c r="E632">
        <v>1</v>
      </c>
      <c r="F632">
        <v>1</v>
      </c>
      <c r="G632">
        <v>-0.33142115590895083</v>
      </c>
      <c r="H632">
        <v>-212.29453999999532</v>
      </c>
      <c r="I632">
        <v>-13.297334609657408</v>
      </c>
      <c r="J632">
        <v>0.19738897339218742</v>
      </c>
      <c r="K632">
        <v>3.0833207713272248</v>
      </c>
      <c r="L632">
        <v>-3.7325894412907679</v>
      </c>
      <c r="M632">
        <v>-0.63650561494765778</v>
      </c>
      <c r="N632">
        <v>0.21209470873366776</v>
      </c>
      <c r="O632">
        <v>1.315378000000117E-2</v>
      </c>
      <c r="P632">
        <v>1.6982502583954728</v>
      </c>
      <c r="Q632">
        <v>1.6036138028619806</v>
      </c>
      <c r="R632">
        <v>1.3969626116143274</v>
      </c>
      <c r="S632">
        <v>1.8769225121077593</v>
      </c>
      <c r="T632">
        <v>1.0743047943081896</v>
      </c>
      <c r="U632">
        <v>23.650422906811428</v>
      </c>
      <c r="V632">
        <v>1.5578076719521716</v>
      </c>
      <c r="W632">
        <v>-0.79703714791788949</v>
      </c>
      <c r="X632">
        <v>0.46906046000000023</v>
      </c>
      <c r="Y632">
        <v>-0.52255437999999998</v>
      </c>
      <c r="Z632">
        <v>-7.9195189999999721E-2</v>
      </c>
    </row>
    <row r="633" spans="1:26">
      <c r="A633" s="54" t="str">
        <f>CONCATENATE(raw[[#This Row],[redis_ls]],raw[[#This Row],[wage_eq]],raw[[#This Row],[flex]],raw[[#This Row],[expo]],raw[[#This Row],[_date_]])</f>
        <v>021143466</v>
      </c>
      <c r="B633" s="1">
        <v>43466</v>
      </c>
      <c r="C633">
        <v>0</v>
      </c>
      <c r="D633">
        <v>2</v>
      </c>
      <c r="E633">
        <v>1</v>
      </c>
      <c r="F633">
        <v>1</v>
      </c>
      <c r="G633">
        <v>-0.26708785783267075</v>
      </c>
      <c r="H633">
        <v>-185.60822000000189</v>
      </c>
      <c r="I633">
        <v>-13.077617272293708</v>
      </c>
      <c r="J633">
        <v>0.19943276301799262</v>
      </c>
      <c r="K633">
        <v>3.2415969534191236</v>
      </c>
      <c r="L633">
        <v>-3.5838245717160766</v>
      </c>
      <c r="M633">
        <v>-0.63876325250142862</v>
      </c>
      <c r="N633">
        <v>0.2168063228390249</v>
      </c>
      <c r="O633">
        <v>1.5542609999999457E-2</v>
      </c>
      <c r="P633">
        <v>1.5912384280696079</v>
      </c>
      <c r="Q633">
        <v>1.4927415138301203</v>
      </c>
      <c r="R633">
        <v>1.2709017440865944</v>
      </c>
      <c r="S633">
        <v>1.7781887139765917</v>
      </c>
      <c r="T633">
        <v>0.93269903677579702</v>
      </c>
      <c r="U633">
        <v>23.985136546376019</v>
      </c>
      <c r="V633">
        <v>1.4221848688148464</v>
      </c>
      <c r="W633">
        <v>-0.80334368070491546</v>
      </c>
      <c r="X633">
        <v>0.39994999999999892</v>
      </c>
      <c r="Y633">
        <v>-0.51262949999999996</v>
      </c>
      <c r="Z633">
        <v>-6.4412679999999861E-2</v>
      </c>
    </row>
    <row r="634" spans="1:26">
      <c r="A634" s="54" t="str">
        <f>CONCATENATE(raw[[#This Row],[redis_ls]],raw[[#This Row],[wage_eq]],raw[[#This Row],[flex]],raw[[#This Row],[expo]],raw[[#This Row],[_date_]])</f>
        <v>021143831</v>
      </c>
      <c r="B634" s="1">
        <v>43831</v>
      </c>
      <c r="C634">
        <v>0</v>
      </c>
      <c r="D634">
        <v>2</v>
      </c>
      <c r="E634">
        <v>1</v>
      </c>
      <c r="F634">
        <v>1</v>
      </c>
      <c r="G634">
        <v>-0.19455324798064444</v>
      </c>
      <c r="H634">
        <v>-152.11955999999918</v>
      </c>
      <c r="I634">
        <v>-12.824092582631398</v>
      </c>
      <c r="J634">
        <v>0.21288404914387993</v>
      </c>
      <c r="K634">
        <v>3.3940691325941907</v>
      </c>
      <c r="L634">
        <v>-3.4223227872913431</v>
      </c>
      <c r="M634">
        <v>-0.62946483907194706</v>
      </c>
      <c r="N634">
        <v>0.23109529596399003</v>
      </c>
      <c r="O634">
        <v>1.6292539999999966E-2</v>
      </c>
      <c r="P634">
        <v>1.4879814015326787</v>
      </c>
      <c r="Q634">
        <v>1.3872628961832278</v>
      </c>
      <c r="R634">
        <v>1.151421415273135</v>
      </c>
      <c r="S634">
        <v>1.6831714901308636</v>
      </c>
      <c r="T634">
        <v>0.79786168050770545</v>
      </c>
      <c r="U634">
        <v>24.20480915176908</v>
      </c>
      <c r="V634">
        <v>1.2952666149676162</v>
      </c>
      <c r="W634">
        <v>-0.80537561370597199</v>
      </c>
      <c r="X634">
        <v>0.31803825000000091</v>
      </c>
      <c r="Y634">
        <v>-0.49939156999999967</v>
      </c>
      <c r="Z634">
        <v>-4.4349850000000024E-2</v>
      </c>
    </row>
    <row r="635" spans="1:26">
      <c r="A635" s="54" t="str">
        <f>CONCATENATE(raw[[#This Row],[redis_ls]],raw[[#This Row],[wage_eq]],raw[[#This Row],[flex]],raw[[#This Row],[expo]],raw[[#This Row],[_date_]])</f>
        <v>021144197</v>
      </c>
      <c r="B635" s="1">
        <v>44197</v>
      </c>
      <c r="C635">
        <v>0</v>
      </c>
      <c r="D635">
        <v>2</v>
      </c>
      <c r="E635">
        <v>1</v>
      </c>
      <c r="F635">
        <v>1</v>
      </c>
      <c r="G635">
        <v>-0.118331159884566</v>
      </c>
      <c r="H635">
        <v>-114.15687000000617</v>
      </c>
      <c r="I635">
        <v>-12.543469410489649</v>
      </c>
      <c r="J635">
        <v>0.23457764315384377</v>
      </c>
      <c r="K635">
        <v>3.5366552972351029</v>
      </c>
      <c r="L635">
        <v>-3.2553539209307703</v>
      </c>
      <c r="M635">
        <v>-0.61019648416081873</v>
      </c>
      <c r="N635">
        <v>0.25194920611182337</v>
      </c>
      <c r="O635">
        <v>1.5540060000000799E-2</v>
      </c>
      <c r="P635">
        <v>1.3917118303580667</v>
      </c>
      <c r="Q635">
        <v>1.2901640510707413</v>
      </c>
      <c r="R635">
        <v>1.0420718435830256</v>
      </c>
      <c r="S635">
        <v>1.5945187536051453</v>
      </c>
      <c r="T635">
        <v>0.67294532724648803</v>
      </c>
      <c r="U635">
        <v>24.333232261085502</v>
      </c>
      <c r="V635">
        <v>1.1816752300776834</v>
      </c>
      <c r="W635">
        <v>-0.802209695081324</v>
      </c>
      <c r="X635">
        <v>0.22877183000000051</v>
      </c>
      <c r="Y635">
        <v>-0.48411096999999986</v>
      </c>
      <c r="Z635">
        <v>-2.1588850000000409E-2</v>
      </c>
    </row>
    <row r="636" spans="1:26">
      <c r="A636" s="54" t="str">
        <f>CONCATENATE(raw[[#This Row],[redis_ls]],raw[[#This Row],[wage_eq]],raw[[#This Row],[flex]],raw[[#This Row],[expo]],raw[[#This Row],[_date_]])</f>
        <v>021144562</v>
      </c>
      <c r="B636" s="1">
        <v>44562</v>
      </c>
      <c r="C636">
        <v>0</v>
      </c>
      <c r="D636">
        <v>2</v>
      </c>
      <c r="E636">
        <v>1</v>
      </c>
      <c r="F636">
        <v>1</v>
      </c>
      <c r="G636">
        <v>-4.2631412977633953E-2</v>
      </c>
      <c r="H636">
        <v>-74.109870000000228</v>
      </c>
      <c r="I636">
        <v>-12.243108280375703</v>
      </c>
      <c r="J636">
        <v>0.26104129447743762</v>
      </c>
      <c r="K636">
        <v>3.6657562619978101</v>
      </c>
      <c r="L636">
        <v>-3.0892616372943715</v>
      </c>
      <c r="M636">
        <v>-0.58308720484423482</v>
      </c>
      <c r="N636">
        <v>0.27618417065433665</v>
      </c>
      <c r="O636">
        <v>1.3544149999999977E-2</v>
      </c>
      <c r="P636">
        <v>1.3047571672604619</v>
      </c>
      <c r="Q636">
        <v>1.2034785554719374</v>
      </c>
      <c r="R636">
        <v>0.94527019922745481</v>
      </c>
      <c r="S636">
        <v>1.514080030940379</v>
      </c>
      <c r="T636">
        <v>0.5600709679070448</v>
      </c>
      <c r="U636">
        <v>24.393583444839241</v>
      </c>
      <c r="V636">
        <v>1.0844988090448426</v>
      </c>
      <c r="W636">
        <v>-0.79337638623617757</v>
      </c>
      <c r="X636">
        <v>0.13745198999999958</v>
      </c>
      <c r="Y636">
        <v>-0.46782241999999974</v>
      </c>
      <c r="Z636">
        <v>1.3728800000001318E-3</v>
      </c>
    </row>
    <row r="637" spans="1:26">
      <c r="A637" s="54" t="str">
        <f>CONCATENATE(raw[[#This Row],[redis_ls]],raw[[#This Row],[wage_eq]],raw[[#This Row],[flex]],raw[[#This Row],[expo]],raw[[#This Row],[_date_]])</f>
        <v>021144927</v>
      </c>
      <c r="B637" s="1">
        <v>44927</v>
      </c>
      <c r="C637">
        <v>0</v>
      </c>
      <c r="D637">
        <v>2</v>
      </c>
      <c r="E637">
        <v>1</v>
      </c>
      <c r="F637">
        <v>1</v>
      </c>
      <c r="G637">
        <v>2.8885188694460773E-2</v>
      </c>
      <c r="H637">
        <v>-34.233570000003965</v>
      </c>
      <c r="I637">
        <v>-11.930527259065848</v>
      </c>
      <c r="J637">
        <v>0.28885469271111575</v>
      </c>
      <c r="K637">
        <v>3.7784489295649148</v>
      </c>
      <c r="L637">
        <v>-2.9292981600049228</v>
      </c>
      <c r="M637">
        <v>-0.5505440303651632</v>
      </c>
      <c r="N637">
        <v>0.30076056128767181</v>
      </c>
      <c r="O637">
        <v>1.0646640000000485E-2</v>
      </c>
      <c r="P637">
        <v>1.2285646148276985</v>
      </c>
      <c r="Q637">
        <v>1.1283534406583584</v>
      </c>
      <c r="R637">
        <v>0.86237796289168056</v>
      </c>
      <c r="S637">
        <v>1.4429538128567287</v>
      </c>
      <c r="T637">
        <v>0.46038573075202205</v>
      </c>
      <c r="U637">
        <v>24.407365781326163</v>
      </c>
      <c r="V637">
        <v>1.0053692371967626</v>
      </c>
      <c r="W637">
        <v>-0.77884249386197535</v>
      </c>
      <c r="X637">
        <v>4.8858539999999118E-2</v>
      </c>
      <c r="Y637">
        <v>-0.45132556999999962</v>
      </c>
      <c r="Z637">
        <v>2.2314089999998787E-2</v>
      </c>
    </row>
    <row r="638" spans="1:26">
      <c r="A638" s="54" t="str">
        <f>CONCATENATE(raw[[#This Row],[redis_ls]],raw[[#This Row],[wage_eq]],raw[[#This Row],[flex]],raw[[#This Row],[expo]],raw[[#This Row],[_date_]])</f>
        <v>021145292</v>
      </c>
      <c r="B638" s="1">
        <v>45292</v>
      </c>
      <c r="C638">
        <v>0</v>
      </c>
      <c r="D638">
        <v>2</v>
      </c>
      <c r="E638">
        <v>1</v>
      </c>
      <c r="F638">
        <v>1</v>
      </c>
      <c r="G638">
        <v>9.3280039482701582E-2</v>
      </c>
      <c r="H638">
        <v>3.5096599999960745</v>
      </c>
      <c r="I638">
        <v>-11.612952110937069</v>
      </c>
      <c r="J638">
        <v>0.31495188615962011</v>
      </c>
      <c r="K638">
        <v>3.8726185108668654</v>
      </c>
      <c r="L638">
        <v>-2.7795396965058505</v>
      </c>
      <c r="M638">
        <v>-0.51500360057536998</v>
      </c>
      <c r="N638">
        <v>0.3230358150424717</v>
      </c>
      <c r="O638">
        <v>7.2271600000006764E-3</v>
      </c>
      <c r="P638">
        <v>1.1637766452414988</v>
      </c>
      <c r="Q638">
        <v>1.0651532460399737</v>
      </c>
      <c r="R638">
        <v>0.7938204289560824</v>
      </c>
      <c r="S638">
        <v>1.3815699900779466</v>
      </c>
      <c r="T638">
        <v>0.37417816383242819</v>
      </c>
      <c r="U638">
        <v>24.393648486752827</v>
      </c>
      <c r="V638">
        <v>0.94462872358307415</v>
      </c>
      <c r="W638">
        <v>-0.75894846979542852</v>
      </c>
      <c r="X638">
        <v>-3.3029090000000205E-2</v>
      </c>
      <c r="Y638">
        <v>-0.43520680000000006</v>
      </c>
      <c r="Z638">
        <v>3.9434430000000187E-2</v>
      </c>
    </row>
    <row r="639" spans="1:26">
      <c r="A639" s="54" t="str">
        <f>CONCATENATE(raw[[#This Row],[redis_ls]],raw[[#This Row],[wage_eq]],raw[[#This Row],[flex]],raw[[#This Row],[expo]],raw[[#This Row],[_date_]])</f>
        <v>021145658</v>
      </c>
      <c r="B639" s="1">
        <v>45658</v>
      </c>
      <c r="C639">
        <v>0</v>
      </c>
      <c r="D639">
        <v>2</v>
      </c>
      <c r="E639">
        <v>1</v>
      </c>
      <c r="F639">
        <v>1</v>
      </c>
      <c r="G639">
        <v>0.14843143860747698</v>
      </c>
      <c r="H639">
        <v>37.557059999999183</v>
      </c>
      <c r="I639">
        <v>-11.296942253280751</v>
      </c>
      <c r="J639">
        <v>0.33684401441023137</v>
      </c>
      <c r="K639">
        <v>3.9470196155243942</v>
      </c>
      <c r="L639">
        <v>-2.6428754005860533</v>
      </c>
      <c r="M639">
        <v>-0.47872361525301832</v>
      </c>
      <c r="N639">
        <v>0.34093869041842417</v>
      </c>
      <c r="O639">
        <v>3.6598900000003876E-3</v>
      </c>
      <c r="P639">
        <v>1.110342443574619</v>
      </c>
      <c r="Q639">
        <v>1.0135861599695373</v>
      </c>
      <c r="R639">
        <v>0.73923580215140561</v>
      </c>
      <c r="S639">
        <v>1.3297946951357442</v>
      </c>
      <c r="T639">
        <v>0.30102805565035418</v>
      </c>
      <c r="U639">
        <v>24.368593868184796</v>
      </c>
      <c r="V639">
        <v>0.90155313806985493</v>
      </c>
      <c r="W639">
        <v>-0.73431973778882442</v>
      </c>
      <c r="X639">
        <v>-0.1051988400000009</v>
      </c>
      <c r="Y639">
        <v>-0.41987209000000014</v>
      </c>
      <c r="Z639">
        <v>5.1445269999998711E-2</v>
      </c>
    </row>
    <row r="640" spans="1:26">
      <c r="A640" s="54" t="str">
        <f>CONCATENATE(raw[[#This Row],[redis_ls]],raw[[#This Row],[wage_eq]],raw[[#This Row],[flex]],raw[[#This Row],[expo]],raw[[#This Row],[_date_]])</f>
        <v>021146023</v>
      </c>
      <c r="B640" s="1">
        <v>46023</v>
      </c>
      <c r="C640">
        <v>0</v>
      </c>
      <c r="D640">
        <v>2</v>
      </c>
      <c r="E640">
        <v>1</v>
      </c>
      <c r="F640">
        <v>1</v>
      </c>
      <c r="G640">
        <v>0.19305408314873596</v>
      </c>
      <c r="H640">
        <v>66.798280000002705</v>
      </c>
      <c r="I640">
        <v>-10.988111437540383</v>
      </c>
      <c r="J640">
        <v>0.35275124680316239</v>
      </c>
      <c r="K640">
        <v>4.0012666395293328</v>
      </c>
      <c r="L640">
        <v>-2.5210619545974144</v>
      </c>
      <c r="M640">
        <v>-0.44362878901670344</v>
      </c>
      <c r="N640">
        <v>0.35306121163636295</v>
      </c>
      <c r="O640">
        <v>2.7695999999938214E-4</v>
      </c>
      <c r="P640">
        <v>1.0676500004689116</v>
      </c>
      <c r="Q640">
        <v>0.9728436345542546</v>
      </c>
      <c r="R640">
        <v>0.69764054161545186</v>
      </c>
      <c r="S640">
        <v>1.2870463654846676</v>
      </c>
      <c r="T640">
        <v>0.2399713760866673</v>
      </c>
      <c r="U640">
        <v>24.345237642324502</v>
      </c>
      <c r="V640">
        <v>0.87460236556018423</v>
      </c>
      <c r="W640">
        <v>-0.70576925725609474</v>
      </c>
      <c r="X640">
        <v>-0.16566320999999995</v>
      </c>
      <c r="Y640">
        <v>-0.4055829900000002</v>
      </c>
      <c r="Z640">
        <v>5.7605589999999707E-2</v>
      </c>
    </row>
    <row r="641" spans="1:26">
      <c r="A641" s="54" t="str">
        <f>CONCATENATE(raw[[#This Row],[redis_ls]],raw[[#This Row],[wage_eq]],raw[[#This Row],[flex]],raw[[#This Row],[expo]],raw[[#This Row],[_date_]])</f>
        <v>021146388</v>
      </c>
      <c r="B641" s="1">
        <v>46388</v>
      </c>
      <c r="C641">
        <v>0</v>
      </c>
      <c r="D641">
        <v>2</v>
      </c>
      <c r="E641">
        <v>1</v>
      </c>
      <c r="F641">
        <v>1</v>
      </c>
      <c r="G641">
        <v>0.22665276303530657</v>
      </c>
      <c r="H641">
        <v>90.578849999998056</v>
      </c>
      <c r="I641">
        <v>-10.690951223958734</v>
      </c>
      <c r="J641">
        <v>0.36164621273588882</v>
      </c>
      <c r="K641">
        <v>4.0357613949810744</v>
      </c>
      <c r="L641">
        <v>-2.4148330750570435</v>
      </c>
      <c r="M641">
        <v>-0.41121707524414131</v>
      </c>
      <c r="N641">
        <v>0.35867174086430254</v>
      </c>
      <c r="O641">
        <v>-2.6576700000002784E-3</v>
      </c>
      <c r="P641">
        <v>1.0346672185394867</v>
      </c>
      <c r="Q641">
        <v>0.94174093295409378</v>
      </c>
      <c r="R641">
        <v>0.66759687916173593</v>
      </c>
      <c r="S641">
        <v>1.2524132205893768</v>
      </c>
      <c r="T641">
        <v>0.18966487289380218</v>
      </c>
      <c r="U641">
        <v>24.333479929851865</v>
      </c>
      <c r="V641">
        <v>0.86167239961139064</v>
      </c>
      <c r="W641">
        <v>-0.67420290303191743</v>
      </c>
      <c r="X641">
        <v>-0.21342188999999984</v>
      </c>
      <c r="Y641">
        <v>-0.3924899500000002</v>
      </c>
      <c r="Z641">
        <v>5.7706639999999254E-2</v>
      </c>
    </row>
    <row r="642" spans="1:26">
      <c r="A642" s="54" t="str">
        <f>CONCATENATE(raw[[#This Row],[redis_ls]],raw[[#This Row],[wage_eq]],raw[[#This Row],[flex]],raw[[#This Row],[expo]],raw[[#This Row],[_date_]])</f>
        <v>021146753</v>
      </c>
      <c r="B642" s="1">
        <v>46753</v>
      </c>
      <c r="C642">
        <v>0</v>
      </c>
      <c r="D642">
        <v>2</v>
      </c>
      <c r="E642">
        <v>1</v>
      </c>
      <c r="F642">
        <v>1</v>
      </c>
      <c r="G642">
        <v>0.2494258156141349</v>
      </c>
      <c r="H642">
        <v>108.66425999999774</v>
      </c>
      <c r="I642">
        <v>-10.408755210686349</v>
      </c>
      <c r="J642">
        <v>0.36321965126955291</v>
      </c>
      <c r="K642">
        <v>4.0515725969053173</v>
      </c>
      <c r="L642">
        <v>-2.324044569475836</v>
      </c>
      <c r="M642">
        <v>-0.38252372913581967</v>
      </c>
      <c r="N642">
        <v>0.35766453443721868</v>
      </c>
      <c r="O642">
        <v>-4.9628599999990142E-3</v>
      </c>
      <c r="P642">
        <v>1.0100793863327739</v>
      </c>
      <c r="Q642">
        <v>0.91885040854364775</v>
      </c>
      <c r="R642">
        <v>0.64737477904135421</v>
      </c>
      <c r="S642">
        <v>1.2247657554406599</v>
      </c>
      <c r="T642">
        <v>0.14853788456123951</v>
      </c>
      <c r="U642">
        <v>24.340239561059086</v>
      </c>
      <c r="V642">
        <v>0.86033011303914275</v>
      </c>
      <c r="W642">
        <v>-0.6405391399412208</v>
      </c>
      <c r="X642">
        <v>-0.24835291000000065</v>
      </c>
      <c r="Y642">
        <v>-0.38066004000000053</v>
      </c>
      <c r="Z642">
        <v>5.2013850000000306E-2</v>
      </c>
    </row>
    <row r="643" spans="1:26">
      <c r="A643" s="54" t="str">
        <f>CONCATENATE(raw[[#This Row],[redis_ls]],raw[[#This Row],[wage_eq]],raw[[#This Row],[flex]],raw[[#This Row],[expo]],raw[[#This Row],[_date_]])</f>
        <v>021147119</v>
      </c>
      <c r="B643" s="1">
        <v>47119</v>
      </c>
      <c r="C643">
        <v>0</v>
      </c>
      <c r="D643">
        <v>2</v>
      </c>
      <c r="E643">
        <v>1</v>
      </c>
      <c r="F643">
        <v>1</v>
      </c>
      <c r="G643">
        <v>0.26213385965707658</v>
      </c>
      <c r="H643">
        <v>121.17733999999473</v>
      </c>
      <c r="I643">
        <v>-10.143633639213977</v>
      </c>
      <c r="J643">
        <v>0.35778579906557972</v>
      </c>
      <c r="K643">
        <v>4.0502841752631857</v>
      </c>
      <c r="L643">
        <v>-2.2478444329316227</v>
      </c>
      <c r="M643">
        <v>-0.35813511376934226</v>
      </c>
      <c r="N643">
        <v>0.35046080318101858</v>
      </c>
      <c r="O643">
        <v>-6.5438200000003666E-3</v>
      </c>
      <c r="P643">
        <v>0.99241601407293878</v>
      </c>
      <c r="Q643">
        <v>0.9026234888524387</v>
      </c>
      <c r="R643">
        <v>0.63509870295763715</v>
      </c>
      <c r="S643">
        <v>1.2028582895578843</v>
      </c>
      <c r="T643">
        <v>0.11492438756290912</v>
      </c>
      <c r="U643">
        <v>24.36972815895291</v>
      </c>
      <c r="V643">
        <v>0.8680180447389052</v>
      </c>
      <c r="W643">
        <v>-0.60564625738448452</v>
      </c>
      <c r="X643">
        <v>-0.27105766999999947</v>
      </c>
      <c r="Y643">
        <v>-0.37009801999999953</v>
      </c>
      <c r="Z643">
        <v>4.1176730000000439E-2</v>
      </c>
    </row>
    <row r="644" spans="1:26">
      <c r="A644" s="54" t="str">
        <f>CONCATENATE(raw[[#This Row],[redis_ls]],raw[[#This Row],[wage_eq]],raw[[#This Row],[flex]],raw[[#This Row],[expo]],raw[[#This Row],[_date_]])</f>
        <v>021147484</v>
      </c>
      <c r="B644" s="1">
        <v>47484</v>
      </c>
      <c r="C644">
        <v>0</v>
      </c>
      <c r="D644">
        <v>2</v>
      </c>
      <c r="E644">
        <v>1</v>
      </c>
      <c r="F644">
        <v>1</v>
      </c>
      <c r="G644">
        <v>0.26595156865112379</v>
      </c>
      <c r="H644">
        <v>128.52094999999827</v>
      </c>
      <c r="I644">
        <v>-9.8966015407275005</v>
      </c>
      <c r="J644">
        <v>0.34614786957720689</v>
      </c>
      <c r="K644">
        <v>4.0338303942799802</v>
      </c>
      <c r="L644">
        <v>-2.1848509534146854</v>
      </c>
      <c r="M644">
        <v>-0.33824009745050398</v>
      </c>
      <c r="N644">
        <v>0.33788003159573865</v>
      </c>
      <c r="O644">
        <v>-7.3861999999993988E-3</v>
      </c>
      <c r="P644">
        <v>0.9801609399230804</v>
      </c>
      <c r="Q644">
        <v>0.89149419827665444</v>
      </c>
      <c r="R644">
        <v>0.62887388928587473</v>
      </c>
      <c r="S644">
        <v>1.1854169615432175</v>
      </c>
      <c r="T644">
        <v>8.7170908284961435E-2</v>
      </c>
      <c r="U644">
        <v>24.423801497637832</v>
      </c>
      <c r="V644">
        <v>0.88222187440729627</v>
      </c>
      <c r="W644">
        <v>-0.57029910146854101</v>
      </c>
      <c r="X644">
        <v>-0.28268377000000011</v>
      </c>
      <c r="Y644">
        <v>-0.36076151000000029</v>
      </c>
      <c r="Z644">
        <v>2.6119580000000253E-2</v>
      </c>
    </row>
    <row r="645" spans="1:26">
      <c r="A645" s="54" t="str">
        <f>CONCATENATE(raw[[#This Row],[redis_ls]],raw[[#This Row],[wage_eq]],raw[[#This Row],[flex]],raw[[#This Row],[expo]],raw[[#This Row],[_date_]])</f>
        <v>021147849</v>
      </c>
      <c r="B645" s="1">
        <v>47849</v>
      </c>
      <c r="C645">
        <v>0</v>
      </c>
      <c r="D645">
        <v>2</v>
      </c>
      <c r="E645">
        <v>1</v>
      </c>
      <c r="F645">
        <v>1</v>
      </c>
      <c r="G645">
        <v>0.26231716477564948</v>
      </c>
      <c r="H645">
        <v>131.29654000000301</v>
      </c>
      <c r="I645">
        <v>-9.6677220487186961</v>
      </c>
      <c r="J645">
        <v>0.32944355208646137</v>
      </c>
      <c r="K645">
        <v>4.0043339197212369</v>
      </c>
      <c r="L645">
        <v>-2.1333261133045123</v>
      </c>
      <c r="M645">
        <v>-0.322705325035888</v>
      </c>
      <c r="N645">
        <v>0.32100048225371935</v>
      </c>
      <c r="O645">
        <v>-7.5432500000000013E-3</v>
      </c>
      <c r="P645">
        <v>0.97184209871696847</v>
      </c>
      <c r="Q645">
        <v>0.88396455814963026</v>
      </c>
      <c r="R645">
        <v>0.62689024953626049</v>
      </c>
      <c r="S645">
        <v>1.1712115135256829</v>
      </c>
      <c r="T645">
        <v>6.3720308367054557E-2</v>
      </c>
      <c r="U645">
        <v>24.502355224690618</v>
      </c>
      <c r="V645">
        <v>0.90059836302802676</v>
      </c>
      <c r="W645">
        <v>-0.53515406977086011</v>
      </c>
      <c r="X645">
        <v>-0.28474567000000006</v>
      </c>
      <c r="Y645">
        <v>-0.35257131999999958</v>
      </c>
      <c r="Z645">
        <v>7.9259799999994995E-3</v>
      </c>
    </row>
    <row r="646" spans="1:26">
      <c r="A646" s="54" t="str">
        <f>CONCATENATE(raw[[#This Row],[redis_ls]],raw[[#This Row],[wage_eq]],raw[[#This Row],[flex]],raw[[#This Row],[expo]],raw[[#This Row],[_date_]])</f>
        <v>021148214</v>
      </c>
      <c r="B646" s="1">
        <v>48214</v>
      </c>
      <c r="C646">
        <v>0</v>
      </c>
      <c r="D646">
        <v>2</v>
      </c>
      <c r="E646">
        <v>1</v>
      </c>
      <c r="F646">
        <v>1</v>
      </c>
      <c r="G646">
        <v>0.25279192786873406</v>
      </c>
      <c r="H646">
        <v>130.2265200000038</v>
      </c>
      <c r="I646">
        <v>-9.4562835756055499</v>
      </c>
      <c r="J646">
        <v>0.30899051447312864</v>
      </c>
      <c r="K646">
        <v>3.9639597155068262</v>
      </c>
      <c r="L646">
        <v>-2.0913362831848747</v>
      </c>
      <c r="M646">
        <v>-0.31116156057736655</v>
      </c>
      <c r="N646">
        <v>0.30102399193430163</v>
      </c>
      <c r="O646">
        <v>-7.1184099999996309E-3</v>
      </c>
      <c r="P646">
        <v>0.96610002336445788</v>
      </c>
      <c r="Q646">
        <v>0.878668362483781</v>
      </c>
      <c r="R646">
        <v>0.62749968719604254</v>
      </c>
      <c r="S646">
        <v>1.159109982016715</v>
      </c>
      <c r="T646">
        <v>4.31707431142625E-2</v>
      </c>
      <c r="U646">
        <v>24.60373424501374</v>
      </c>
      <c r="V646">
        <v>0.92106478369384792</v>
      </c>
      <c r="W646">
        <v>-0.50073909765825375</v>
      </c>
      <c r="X646">
        <v>-0.27895801999999886</v>
      </c>
      <c r="Y646">
        <v>-0.34541883000000007</v>
      </c>
      <c r="Z646">
        <v>-1.2271150000001119E-2</v>
      </c>
    </row>
    <row r="647" spans="1:26">
      <c r="A647" s="54" t="str">
        <f>CONCATENATE(raw[[#This Row],[redis_ls]],raw[[#This Row],[wage_eq]],raw[[#This Row],[flex]],raw[[#This Row],[expo]],raw[[#This Row],[_date_]])</f>
        <v>021148580</v>
      </c>
      <c r="B647" s="1">
        <v>48580</v>
      </c>
      <c r="C647">
        <v>0</v>
      </c>
      <c r="D647">
        <v>2</v>
      </c>
      <c r="E647">
        <v>1</v>
      </c>
      <c r="F647">
        <v>1</v>
      </c>
      <c r="G647">
        <v>0.23893918809849701</v>
      </c>
      <c r="H647">
        <v>126.08572000000277</v>
      </c>
      <c r="I647">
        <v>-9.2609906087141027</v>
      </c>
      <c r="J647">
        <v>0.28614607800625524</v>
      </c>
      <c r="K647">
        <v>3.9147936924500915</v>
      </c>
      <c r="L647">
        <v>-2.0568914554031981</v>
      </c>
      <c r="M647">
        <v>-0.30308959930529511</v>
      </c>
      <c r="N647">
        <v>0.27915665051687633</v>
      </c>
      <c r="O647">
        <v>-6.2463299999995781E-3</v>
      </c>
      <c r="P647">
        <v>0.96173599236939467</v>
      </c>
      <c r="Q647">
        <v>0.87441563106582798</v>
      </c>
      <c r="R647">
        <v>0.62926872228117325</v>
      </c>
      <c r="S647">
        <v>1.1481177612612914</v>
      </c>
      <c r="T647">
        <v>2.431399620308472E-2</v>
      </c>
      <c r="U647">
        <v>24.72513432210981</v>
      </c>
      <c r="V647">
        <v>0.94185327884284131</v>
      </c>
      <c r="W647">
        <v>-0.46745406823368585</v>
      </c>
      <c r="X647">
        <v>-0.26709171999999975</v>
      </c>
      <c r="Y647">
        <v>-0.33917190000000014</v>
      </c>
      <c r="Z647">
        <v>-3.338424000000062E-2</v>
      </c>
    </row>
    <row r="648" spans="1:26">
      <c r="A648" s="54" t="str">
        <f>CONCATENATE(raw[[#This Row],[redis_ls]],raw[[#This Row],[wage_eq]],raw[[#This Row],[flex]],raw[[#This Row],[expo]],raw[[#This Row],[_date_]])</f>
        <v>021148945</v>
      </c>
      <c r="B648" s="1">
        <v>48945</v>
      </c>
      <c r="C648">
        <v>0</v>
      </c>
      <c r="D648">
        <v>2</v>
      </c>
      <c r="E648">
        <v>1</v>
      </c>
      <c r="F648">
        <v>1</v>
      </c>
      <c r="G648">
        <v>0.22222809145475697</v>
      </c>
      <c r="H648">
        <v>119.6449300000022</v>
      </c>
      <c r="I648">
        <v>-9.0801536098977227</v>
      </c>
      <c r="J648">
        <v>0.26219196908028319</v>
      </c>
      <c r="K648">
        <v>3.8587510599430219</v>
      </c>
      <c r="L648">
        <v>-2.0280587446019238</v>
      </c>
      <c r="M648">
        <v>-0.29789743436368088</v>
      </c>
      <c r="N648">
        <v>0.2565149822433721</v>
      </c>
      <c r="O648">
        <v>-5.0743200000008537E-3</v>
      </c>
      <c r="P648">
        <v>0.95774027470771905</v>
      </c>
      <c r="Q648">
        <v>0.87021806700662285</v>
      </c>
      <c r="R648">
        <v>0.63100969522036365</v>
      </c>
      <c r="S648">
        <v>1.1374005485070171</v>
      </c>
      <c r="T648">
        <v>6.1546412273738582E-3</v>
      </c>
      <c r="U648">
        <v>24.862976905671697</v>
      </c>
      <c r="V648">
        <v>0.96153508592966563</v>
      </c>
      <c r="W648">
        <v>-0.43558152119423932</v>
      </c>
      <c r="X648">
        <v>-0.25085789000000025</v>
      </c>
      <c r="Y648">
        <v>-0.33368042000000014</v>
      </c>
      <c r="Z648">
        <v>-5.4444189999999781E-2</v>
      </c>
    </row>
    <row r="649" spans="1:26">
      <c r="A649" s="54" t="str">
        <f>CONCATENATE(raw[[#This Row],[redis_ls]],raw[[#This Row],[wage_eq]],raw[[#This Row],[flex]],raw[[#This Row],[expo]],raw[[#This Row],[_date_]])</f>
        <v>021149310</v>
      </c>
      <c r="B649" s="1">
        <v>49310</v>
      </c>
      <c r="C649">
        <v>0</v>
      </c>
      <c r="D649">
        <v>2</v>
      </c>
      <c r="E649">
        <v>1</v>
      </c>
      <c r="F649">
        <v>1</v>
      </c>
      <c r="G649">
        <v>0.20396456484483849</v>
      </c>
      <c r="H649">
        <v>111.62750999999844</v>
      </c>
      <c r="I649">
        <v>-8.9118626476198841</v>
      </c>
      <c r="J649">
        <v>0.23825036855686932</v>
      </c>
      <c r="K649">
        <v>3.7975156677996891</v>
      </c>
      <c r="L649">
        <v>-2.0030496820832466</v>
      </c>
      <c r="M649">
        <v>-0.29498318719467509</v>
      </c>
      <c r="N649">
        <v>0.23406012209175042</v>
      </c>
      <c r="O649">
        <v>-3.7461799999999323E-3</v>
      </c>
      <c r="P649">
        <v>0.95330395153734315</v>
      </c>
      <c r="Q649">
        <v>0.86529780624935437</v>
      </c>
      <c r="R649">
        <v>0.63179019742880538</v>
      </c>
      <c r="S649">
        <v>1.1262936532677736</v>
      </c>
      <c r="T649">
        <v>-1.2086385500520436E-2</v>
      </c>
      <c r="U649">
        <v>25.01324583799811</v>
      </c>
      <c r="V649">
        <v>0.97902023704490304</v>
      </c>
      <c r="W649">
        <v>-0.40529975718567313</v>
      </c>
      <c r="X649">
        <v>-0.23182184999999966</v>
      </c>
      <c r="Y649">
        <v>-0.32878226999999982</v>
      </c>
      <c r="Z649">
        <v>-7.4648880000000029E-2</v>
      </c>
    </row>
    <row r="650" spans="1:26">
      <c r="A650" s="54" t="str">
        <f>CONCATENATE(raw[[#This Row],[redis_ls]],raw[[#This Row],[wage_eq]],raw[[#This Row],[flex]],raw[[#This Row],[expo]],raw[[#This Row],[_date_]])</f>
        <v>021149675</v>
      </c>
      <c r="B650" s="1">
        <v>49675</v>
      </c>
      <c r="C650">
        <v>0</v>
      </c>
      <c r="D650">
        <v>2</v>
      </c>
      <c r="E650">
        <v>1</v>
      </c>
      <c r="F650">
        <v>1</v>
      </c>
      <c r="G650">
        <v>0.18524881996029308</v>
      </c>
      <c r="H650">
        <v>102.67912000000069</v>
      </c>
      <c r="I650">
        <v>-8.754137352098013</v>
      </c>
      <c r="J650">
        <v>0.215232153282785</v>
      </c>
      <c r="K650">
        <v>3.7325081681945926</v>
      </c>
      <c r="L650">
        <v>-1.980281326262423</v>
      </c>
      <c r="M650">
        <v>-0.29378152007289993</v>
      </c>
      <c r="N650">
        <v>0.21255971472375901</v>
      </c>
      <c r="O650">
        <v>-2.3897600000002961E-3</v>
      </c>
      <c r="P650">
        <v>0.9478176977695485</v>
      </c>
      <c r="Q650">
        <v>0.85908343348322092</v>
      </c>
      <c r="R650">
        <v>0.63092730864930946</v>
      </c>
      <c r="S650">
        <v>1.1143009395909953</v>
      </c>
      <c r="T650">
        <v>-3.0979516846441069E-2</v>
      </c>
      <c r="U650">
        <v>25.171777623826518</v>
      </c>
      <c r="V650">
        <v>0.993538545445527</v>
      </c>
      <c r="W650">
        <v>-0.37670050781942743</v>
      </c>
      <c r="X650">
        <v>-0.21134589000000037</v>
      </c>
      <c r="Y650">
        <v>-0.32430978999999982</v>
      </c>
      <c r="Z650">
        <v>-9.3387399999998733E-2</v>
      </c>
    </row>
    <row r="651" spans="1:26">
      <c r="A651" s="54" t="str">
        <f>CONCATENATE(raw[[#This Row],[redis_ls]],raw[[#This Row],[wage_eq]],raw[[#This Row],[flex]],raw[[#This Row],[expo]],raw[[#This Row],[_date_]])</f>
        <v>021150041</v>
      </c>
      <c r="B651" s="1">
        <v>50041</v>
      </c>
      <c r="C651">
        <v>0</v>
      </c>
      <c r="D651">
        <v>2</v>
      </c>
      <c r="E651">
        <v>1</v>
      </c>
      <c r="F651">
        <v>1</v>
      </c>
      <c r="G651">
        <v>0.16695664730566051</v>
      </c>
      <c r="H651">
        <v>93.349119999998948</v>
      </c>
      <c r="I651">
        <v>-8.6050464502891444</v>
      </c>
      <c r="J651">
        <v>0.19381507250442187</v>
      </c>
      <c r="K651">
        <v>3.6648791834300587</v>
      </c>
      <c r="L651">
        <v>-1.9584123983207857</v>
      </c>
      <c r="M651">
        <v>-0.29379351628293637</v>
      </c>
      <c r="N651">
        <v>0.19257546323243613</v>
      </c>
      <c r="O651">
        <v>-1.1086899999998567E-3</v>
      </c>
      <c r="P651">
        <v>0.94085970571000654</v>
      </c>
      <c r="Q651">
        <v>0.85119543870408876</v>
      </c>
      <c r="R651">
        <v>0.62796915436651446</v>
      </c>
      <c r="S651">
        <v>1.101084463231583</v>
      </c>
      <c r="T651">
        <v>-5.0903448091765835E-2</v>
      </c>
      <c r="U651">
        <v>25.334501142567369</v>
      </c>
      <c r="V651">
        <v>1.0046077736471704</v>
      </c>
      <c r="W651">
        <v>-0.34980541689181299</v>
      </c>
      <c r="X651">
        <v>-0.19055809999999895</v>
      </c>
      <c r="Y651">
        <v>-0.32009681000000001</v>
      </c>
      <c r="Z651">
        <v>-0.11024295999999961</v>
      </c>
    </row>
    <row r="652" spans="1:26">
      <c r="A652" s="54" t="str">
        <f>CONCATENATE(raw[[#This Row],[redis_ls]],raw[[#This Row],[wage_eq]],raw[[#This Row],[flex]],raw[[#This Row],[expo]],raw[[#This Row],[_date_]])</f>
        <v>021150406</v>
      </c>
      <c r="B652" s="1">
        <v>50406</v>
      </c>
      <c r="C652">
        <v>0</v>
      </c>
      <c r="D652">
        <v>2</v>
      </c>
      <c r="E652">
        <v>1</v>
      </c>
      <c r="F652">
        <v>1</v>
      </c>
      <c r="G652">
        <v>0.14974024838381172</v>
      </c>
      <c r="H652">
        <v>84.082289999998466</v>
      </c>
      <c r="I652">
        <v>-8.4627985510128951</v>
      </c>
      <c r="J652">
        <v>0.17444679756914994</v>
      </c>
      <c r="K652">
        <v>3.5955218325530724</v>
      </c>
      <c r="L652">
        <v>-1.9363594256563754</v>
      </c>
      <c r="M652">
        <v>-0.29460206163577363</v>
      </c>
      <c r="N652">
        <v>0.17447108523678256</v>
      </c>
      <c r="O652">
        <v>2.1690000000240683E-5</v>
      </c>
      <c r="P652">
        <v>0.93217606376081452</v>
      </c>
      <c r="Q652">
        <v>0.84142409610139524</v>
      </c>
      <c r="R652">
        <v>0.62266843908438396</v>
      </c>
      <c r="S652">
        <v>1.086447742500285</v>
      </c>
      <c r="T652">
        <v>-7.206812977399446E-2</v>
      </c>
      <c r="U652">
        <v>25.497624827632116</v>
      </c>
      <c r="V652">
        <v>1.0119939719001936</v>
      </c>
      <c r="W652">
        <v>-0.32458373848269773</v>
      </c>
      <c r="X652">
        <v>-0.17034310000000052</v>
      </c>
      <c r="Y652">
        <v>-0.31598545000000033</v>
      </c>
      <c r="Z652">
        <v>-0.12497910000000001</v>
      </c>
    </row>
    <row r="653" spans="1:26">
      <c r="A653" s="54" t="str">
        <f>CONCATENATE(raw[[#This Row],[redis_ls]],raw[[#This Row],[wage_eq]],raw[[#This Row],[flex]],raw[[#This Row],[expo]],raw[[#This Row],[_date_]])</f>
        <v>021150771</v>
      </c>
      <c r="B653" s="1">
        <v>50771</v>
      </c>
      <c r="C653">
        <v>0</v>
      </c>
      <c r="D653">
        <v>2</v>
      </c>
      <c r="E653">
        <v>1</v>
      </c>
      <c r="F653">
        <v>1</v>
      </c>
      <c r="G653">
        <v>0.13404365020543985</v>
      </c>
      <c r="H653">
        <v>75.218600000000151</v>
      </c>
      <c r="I653">
        <v>-8.3258017200346082</v>
      </c>
      <c r="J653">
        <v>0.15736677853463998</v>
      </c>
      <c r="K653">
        <v>3.5250980015731237</v>
      </c>
      <c r="L653">
        <v>-1.9132957442924314</v>
      </c>
      <c r="M653">
        <v>-0.29587527530201552</v>
      </c>
      <c r="N653">
        <v>0.15843365472938409</v>
      </c>
      <c r="O653">
        <v>9.5458999999908922E-4</v>
      </c>
      <c r="P653">
        <v>0.92165753197046563</v>
      </c>
      <c r="Q653">
        <v>0.82970414930292335</v>
      </c>
      <c r="R653">
        <v>0.61495073038719816</v>
      </c>
      <c r="S653">
        <v>1.0703156031951044</v>
      </c>
      <c r="T653">
        <v>-9.4540616205096573E-2</v>
      </c>
      <c r="U653">
        <v>25.657774574170933</v>
      </c>
      <c r="V653">
        <v>1.0156675097956258</v>
      </c>
      <c r="W653">
        <v>-0.30096672957977688</v>
      </c>
      <c r="X653">
        <v>-0.15134992999999985</v>
      </c>
      <c r="Y653">
        <v>-0.31183253999999966</v>
      </c>
      <c r="Z653">
        <v>-0.13751452999999914</v>
      </c>
    </row>
    <row r="654" spans="1:26">
      <c r="A654" s="54" t="str">
        <f>CONCATENATE(raw[[#This Row],[redis_ls]],raw[[#This Row],[wage_eq]],raw[[#This Row],[flex]],raw[[#This Row],[expo]],raw[[#This Row],[_date_]])</f>
        <v>021151136</v>
      </c>
      <c r="B654" s="1">
        <v>51136</v>
      </c>
      <c r="C654">
        <v>0</v>
      </c>
      <c r="D654">
        <v>2</v>
      </c>
      <c r="E654">
        <v>1</v>
      </c>
      <c r="F654">
        <v>1</v>
      </c>
      <c r="G654">
        <v>0.1201279329214433</v>
      </c>
      <c r="H654">
        <v>66.999309999999241</v>
      </c>
      <c r="I654">
        <v>-8.1926986124128085</v>
      </c>
      <c r="J654">
        <v>0.14263885786747199</v>
      </c>
      <c r="K654">
        <v>3.4540727682578432</v>
      </c>
      <c r="L654">
        <v>-1.8886370336100633</v>
      </c>
      <c r="M654">
        <v>-0.29736208822936927</v>
      </c>
      <c r="N654">
        <v>0.14450420535456754</v>
      </c>
      <c r="O654">
        <v>1.6692499999998445E-3</v>
      </c>
      <c r="P654">
        <v>0.90931363396296039</v>
      </c>
      <c r="Q654">
        <v>0.81608731183064886</v>
      </c>
      <c r="R654">
        <v>0.6048815313853817</v>
      </c>
      <c r="S654">
        <v>1.0527125660229286</v>
      </c>
      <c r="T654">
        <v>-0.11827257376734179</v>
      </c>
      <c r="U654">
        <v>25.812084411062397</v>
      </c>
      <c r="V654">
        <v>1.0157594415911353</v>
      </c>
      <c r="W654">
        <v>-0.27886176565619092</v>
      </c>
      <c r="X654">
        <v>-0.13401237999999954</v>
      </c>
      <c r="Y654">
        <v>-0.30751489999999992</v>
      </c>
      <c r="Z654">
        <v>-0.14789172999999933</v>
      </c>
    </row>
    <row r="655" spans="1:26">
      <c r="A655" s="54" t="str">
        <f>CONCATENATE(raw[[#This Row],[redis_ls]],raw[[#This Row],[wage_eq]],raw[[#This Row],[flex]],raw[[#This Row],[expo]],raw[[#This Row],[_date_]])</f>
        <v>021151502</v>
      </c>
      <c r="B655" s="1">
        <v>51502</v>
      </c>
      <c r="C655">
        <v>0</v>
      </c>
      <c r="D655">
        <v>2</v>
      </c>
      <c r="E655">
        <v>1</v>
      </c>
      <c r="F655">
        <v>1</v>
      </c>
      <c r="G655">
        <v>0.10810158920488977</v>
      </c>
      <c r="H655">
        <v>59.577259999998205</v>
      </c>
      <c r="I655">
        <v>-8.0623787274953003</v>
      </c>
      <c r="J655">
        <v>0.13019077601681417</v>
      </c>
      <c r="K655">
        <v>3.3827520932246724</v>
      </c>
      <c r="L655">
        <v>-1.862018489843642</v>
      </c>
      <c r="M655">
        <v>-0.29888226274900065</v>
      </c>
      <c r="N655">
        <v>0.13261144684526549</v>
      </c>
      <c r="O655">
        <v>2.1664699999993098E-3</v>
      </c>
      <c r="P655">
        <v>0.8952469511296135</v>
      </c>
      <c r="Q655">
        <v>0.80071490868436346</v>
      </c>
      <c r="R655">
        <v>0.59263309670174458</v>
      </c>
      <c r="S655">
        <v>1.0337402631686921</v>
      </c>
      <c r="T655">
        <v>-0.14312750761342752</v>
      </c>
      <c r="U655">
        <v>25.958245502194522</v>
      </c>
      <c r="V655">
        <v>1.0125200971905057</v>
      </c>
      <c r="W655">
        <v>-0.25816249402900171</v>
      </c>
      <c r="X655">
        <v>-0.11857720000000016</v>
      </c>
      <c r="Y655">
        <v>-0.30293314000000016</v>
      </c>
      <c r="Z655">
        <v>-0.15624407000000007</v>
      </c>
    </row>
    <row r="656" spans="1:26">
      <c r="A656" s="54" t="str">
        <f>CONCATENATE(raw[[#This Row],[redis_ls]],raw[[#This Row],[wage_eq]],raw[[#This Row],[flex]],raw[[#This Row],[expo]],raw[[#This Row],[_date_]])</f>
        <v>021151867</v>
      </c>
      <c r="B656" s="1">
        <v>51867</v>
      </c>
      <c r="C656">
        <v>0</v>
      </c>
      <c r="D656">
        <v>2</v>
      </c>
      <c r="E656">
        <v>1</v>
      </c>
      <c r="F656">
        <v>1</v>
      </c>
      <c r="G656">
        <v>9.7952680743951248E-2</v>
      </c>
      <c r="H656">
        <v>53.029739999998128</v>
      </c>
      <c r="I656">
        <v>-7.9339747908461984</v>
      </c>
      <c r="J656">
        <v>0.11985323082273069</v>
      </c>
      <c r="K656">
        <v>3.3113201612655185</v>
      </c>
      <c r="L656">
        <v>-1.8332661540522488</v>
      </c>
      <c r="M656">
        <v>-0.30031378652275453</v>
      </c>
      <c r="N656">
        <v>0.12260506498009693</v>
      </c>
      <c r="O656">
        <v>2.4631500000010798E-3</v>
      </c>
      <c r="P656">
        <v>0.87962856005765477</v>
      </c>
      <c r="Q656">
        <v>0.78379263814642997</v>
      </c>
      <c r="R656">
        <v>0.57845449270899074</v>
      </c>
      <c r="S656">
        <v>1.0135572472511845</v>
      </c>
      <c r="T656">
        <v>-0.16890569751171203</v>
      </c>
      <c r="U656">
        <v>26.094520072866366</v>
      </c>
      <c r="V656">
        <v>1.0062815064702413</v>
      </c>
      <c r="W656">
        <v>-0.238758397153227</v>
      </c>
      <c r="X656">
        <v>-0.10513642999999961</v>
      </c>
      <c r="Y656">
        <v>-0.29801396000000008</v>
      </c>
      <c r="Z656">
        <v>-0.16276448000000082</v>
      </c>
    </row>
    <row r="657" spans="1:26">
      <c r="A657" s="54" t="str">
        <f>CONCATENATE(raw[[#This Row],[redis_ls]],raw[[#This Row],[wage_eq]],raw[[#This Row],[flex]],raw[[#This Row],[expo]],raw[[#This Row],[_date_]])</f>
        <v>021152232</v>
      </c>
      <c r="B657" s="1">
        <v>52232</v>
      </c>
      <c r="C657">
        <v>0</v>
      </c>
      <c r="D657">
        <v>2</v>
      </c>
      <c r="E657">
        <v>1</v>
      </c>
      <c r="F657">
        <v>1</v>
      </c>
      <c r="G657">
        <v>8.9579762513092298E-2</v>
      </c>
      <c r="H657">
        <v>47.372550000000047</v>
      </c>
      <c r="I657">
        <v>-7.8068466600459629</v>
      </c>
      <c r="J657">
        <v>0.11139587284094699</v>
      </c>
      <c r="K657">
        <v>3.2398737973515779</v>
      </c>
      <c r="L657">
        <v>-1.8023651949986563</v>
      </c>
      <c r="M657">
        <v>-0.30158091275405141</v>
      </c>
      <c r="N657">
        <v>0.1142855415460664</v>
      </c>
      <c r="O657">
        <v>2.5868099999992733E-3</v>
      </c>
      <c r="P657">
        <v>0.86267615595945202</v>
      </c>
      <c r="Q657">
        <v>0.76556787588288877</v>
      </c>
      <c r="R657">
        <v>0.56264439302293745</v>
      </c>
      <c r="S657">
        <v>0.99235947682285719</v>
      </c>
      <c r="T657">
        <v>-0.19536771203798597</v>
      </c>
      <c r="U657">
        <v>26.219724831691373</v>
      </c>
      <c r="V657">
        <v>0.99742503614668188</v>
      </c>
      <c r="W657">
        <v>-0.22054137695421971</v>
      </c>
      <c r="X657">
        <v>-9.3660469999999607E-2</v>
      </c>
      <c r="Y657">
        <v>-0.29271059999999988</v>
      </c>
      <c r="Z657">
        <v>-0.16767830000000011</v>
      </c>
    </row>
    <row r="658" spans="1:26">
      <c r="A658" s="54" t="str">
        <f>CONCATENATE(raw[[#This Row],[redis_ls]],raw[[#This Row],[wage_eq]],raw[[#This Row],[flex]],raw[[#This Row],[expo]],raw[[#This Row],[_date_]])</f>
        <v>021152597</v>
      </c>
      <c r="B658" s="1">
        <v>52597</v>
      </c>
      <c r="C658">
        <v>0</v>
      </c>
      <c r="D658">
        <v>2</v>
      </c>
      <c r="E658">
        <v>1</v>
      </c>
      <c r="F658">
        <v>1</v>
      </c>
      <c r="G658">
        <v>8.2819752990270779E-2</v>
      </c>
      <c r="H658">
        <v>42.57383999999729</v>
      </c>
      <c r="I658">
        <v>-7.6805564809603766</v>
      </c>
      <c r="J658">
        <v>0.1045585399227944</v>
      </c>
      <c r="K658">
        <v>3.1684520407071703</v>
      </c>
      <c r="L658">
        <v>-1.7694277299527772</v>
      </c>
      <c r="M658">
        <v>-0.30264175781211655</v>
      </c>
      <c r="N658">
        <v>0.10742979740696601</v>
      </c>
      <c r="O658">
        <v>2.5705400000006207E-3</v>
      </c>
      <c r="P658">
        <v>0.84463407106987187</v>
      </c>
      <c r="Q658">
        <v>0.74631047545352658</v>
      </c>
      <c r="R658">
        <v>0.54552727339822749</v>
      </c>
      <c r="S658">
        <v>0.97036423470353572</v>
      </c>
      <c r="T658">
        <v>-0.22225425880865179</v>
      </c>
      <c r="U658">
        <v>26.33319212521301</v>
      </c>
      <c r="V658">
        <v>0.986354123512867</v>
      </c>
      <c r="W658">
        <v>-0.20340980175400647</v>
      </c>
      <c r="X658">
        <v>-8.4029770000000614E-2</v>
      </c>
      <c r="Y658">
        <v>-0.28700196999999972</v>
      </c>
      <c r="Z658">
        <v>-0.17122121999999934</v>
      </c>
    </row>
    <row r="659" spans="1:26">
      <c r="A659" s="54" t="str">
        <f>CONCATENATE(raw[[#This Row],[redis_ls]],raw[[#This Row],[wage_eq]],raw[[#This Row],[flex]],raw[[#This Row],[expo]],raw[[#This Row],[_date_]])</f>
        <v>021152963</v>
      </c>
      <c r="B659" s="1">
        <v>52963</v>
      </c>
      <c r="C659">
        <v>0</v>
      </c>
      <c r="D659">
        <v>2</v>
      </c>
      <c r="E659">
        <v>1</v>
      </c>
      <c r="F659">
        <v>1</v>
      </c>
      <c r="G659">
        <v>7.7471970579923166E-2</v>
      </c>
      <c r="H659">
        <v>38.567289999999048</v>
      </c>
      <c r="I659">
        <v>-7.5548403630027128</v>
      </c>
      <c r="J659">
        <v>9.9075242683355214E-2</v>
      </c>
      <c r="K659">
        <v>3.0970604694766424</v>
      </c>
      <c r="L659">
        <v>-1.7346623556355079</v>
      </c>
      <c r="M659">
        <v>-0.30347825153219654</v>
      </c>
      <c r="N659">
        <v>0.10181025609015126</v>
      </c>
      <c r="O659">
        <v>2.4488000000003063E-3</v>
      </c>
      <c r="P659">
        <v>0.82575764950876263</v>
      </c>
      <c r="Q659">
        <v>0.72629614887183003</v>
      </c>
      <c r="R659">
        <v>0.52743479495409584</v>
      </c>
      <c r="S659">
        <v>0.94779651918999175</v>
      </c>
      <c r="T659">
        <v>-0.24930236641189651</v>
      </c>
      <c r="U659">
        <v>26.434714521264091</v>
      </c>
      <c r="V659">
        <v>0.97347298134202731</v>
      </c>
      <c r="W659">
        <v>-0.18727222586699677</v>
      </c>
      <c r="X659">
        <v>-7.6063319999999934E-2</v>
      </c>
      <c r="Y659">
        <v>-0.28089032999999985</v>
      </c>
      <c r="Z659">
        <v>-0.17362274999999927</v>
      </c>
    </row>
    <row r="660" spans="1:26">
      <c r="A660" s="54" t="str">
        <f>CONCATENATE(raw[[#This Row],[redis_ls]],raw[[#This Row],[wage_eq]],raw[[#This Row],[flex]],raw[[#This Row],[expo]],raw[[#This Row],[_date_]])</f>
        <v>021153328</v>
      </c>
      <c r="B660" s="1">
        <v>53328</v>
      </c>
      <c r="C660">
        <v>0</v>
      </c>
      <c r="D660">
        <v>2</v>
      </c>
      <c r="E660">
        <v>1</v>
      </c>
      <c r="F660">
        <v>1</v>
      </c>
      <c r="G660">
        <v>7.3317818094098541E-2</v>
      </c>
      <c r="H660">
        <v>35.263749999998254</v>
      </c>
      <c r="I660">
        <v>-7.4295774200330511</v>
      </c>
      <c r="J660">
        <v>9.4691960440096423E-2</v>
      </c>
      <c r="K660">
        <v>3.0256901172419859</v>
      </c>
      <c r="L660">
        <v>-1.6983450733704442</v>
      </c>
      <c r="M660">
        <v>-0.30408846059587491</v>
      </c>
      <c r="N660">
        <v>9.7209666185293919E-2</v>
      </c>
      <c r="O660">
        <v>2.2543499999999606E-3</v>
      </c>
      <c r="P660">
        <v>0.8062996173979986</v>
      </c>
      <c r="Q660">
        <v>0.70579398338692645</v>
      </c>
      <c r="R660">
        <v>0.50869020401853593</v>
      </c>
      <c r="S660">
        <v>0.9248777752432602</v>
      </c>
      <c r="T660">
        <v>-0.27625923878904501</v>
      </c>
      <c r="U660">
        <v>26.524477636097686</v>
      </c>
      <c r="V660">
        <v>0.9591698681834071</v>
      </c>
      <c r="W660">
        <v>-0.17204855200265712</v>
      </c>
      <c r="X660">
        <v>-6.9543280000000651E-2</v>
      </c>
      <c r="Y660">
        <v>-0.27439817000000022</v>
      </c>
      <c r="Z660">
        <v>-0.17509485999999963</v>
      </c>
    </row>
    <row r="661" spans="1:26">
      <c r="A661" s="54" t="str">
        <f>CONCATENATE(raw[[#This Row],[redis_ls]],raw[[#This Row],[wage_eq]],raw[[#This Row],[flex]],raw[[#This Row],[expo]],raw[[#This Row],[_date_]])</f>
        <v>021153693</v>
      </c>
      <c r="B661" s="1">
        <v>53693</v>
      </c>
      <c r="C661">
        <v>0</v>
      </c>
      <c r="D661">
        <v>2</v>
      </c>
      <c r="E661">
        <v>1</v>
      </c>
      <c r="F661">
        <v>1</v>
      </c>
      <c r="G661">
        <v>7.0135960429618116E-2</v>
      </c>
      <c r="H661">
        <v>32.561190000000352</v>
      </c>
      <c r="I661">
        <v>-7.3047596526721215</v>
      </c>
      <c r="J661">
        <v>9.117839508052672E-2</v>
      </c>
      <c r="K661">
        <v>2.9543314101176943</v>
      </c>
      <c r="L661">
        <v>-1.6607942617560822</v>
      </c>
      <c r="M661">
        <v>-0.30448008029498874</v>
      </c>
      <c r="N661">
        <v>9.3429985792381487E-2</v>
      </c>
      <c r="O661">
        <v>2.016139999999611E-3</v>
      </c>
      <c r="P661">
        <v>0.78650031871074777</v>
      </c>
      <c r="Q661">
        <v>0.68505671924159461</v>
      </c>
      <c r="R661">
        <v>0.48959692129029175</v>
      </c>
      <c r="S661">
        <v>0.90181780058677941</v>
      </c>
      <c r="T661">
        <v>-0.30289191609333965</v>
      </c>
      <c r="U661">
        <v>26.602988244774028</v>
      </c>
      <c r="V661">
        <v>0.94380515755505545</v>
      </c>
      <c r="W661">
        <v>-0.15767058064389827</v>
      </c>
      <c r="X661">
        <v>-6.4235119999998813E-2</v>
      </c>
      <c r="Y661">
        <v>-0.26756440999999992</v>
      </c>
      <c r="Z661">
        <v>-0.17582508999999941</v>
      </c>
    </row>
    <row r="662" spans="1:26">
      <c r="A662" s="54" t="str">
        <f>CONCATENATE(raw[[#This Row],[redis_ls]],raw[[#This Row],[wage_eq]],raw[[#This Row],[flex]],raw[[#This Row],[expo]],raw[[#This Row],[_date_]])</f>
        <v>021154058</v>
      </c>
      <c r="B662" s="1">
        <v>54058</v>
      </c>
      <c r="C662">
        <v>0</v>
      </c>
      <c r="D662">
        <v>2</v>
      </c>
      <c r="E662">
        <v>1</v>
      </c>
      <c r="F662">
        <v>1</v>
      </c>
      <c r="G662">
        <v>6.7713728023455211E-2</v>
      </c>
      <c r="H662">
        <v>30.352850000002945</v>
      </c>
      <c r="I662">
        <v>-7.180463115431424</v>
      </c>
      <c r="J662">
        <v>8.8334508599152706E-2</v>
      </c>
      <c r="K662">
        <v>2.8829832959622159</v>
      </c>
      <c r="L662">
        <v>-1.6223485638150237</v>
      </c>
      <c r="M662">
        <v>-0.30466608655619343</v>
      </c>
      <c r="N662">
        <v>9.0297938862105021E-2</v>
      </c>
      <c r="O662">
        <v>1.7582299999999162E-3</v>
      </c>
      <c r="P662">
        <v>0.76658004786800404</v>
      </c>
      <c r="Q662">
        <v>0.66431370822708224</v>
      </c>
      <c r="R662">
        <v>0.47042980757072694</v>
      </c>
      <c r="S662">
        <v>0.87880817608712025</v>
      </c>
      <c r="T662">
        <v>-0.32899451328791685</v>
      </c>
      <c r="U662">
        <v>26.670999823149689</v>
      </c>
      <c r="V662">
        <v>0.92770280347271861</v>
      </c>
      <c r="W662">
        <v>-0.14408114880516409</v>
      </c>
      <c r="X662">
        <v>-5.9903499999999776E-2</v>
      </c>
      <c r="Y662">
        <v>-0.26044033999999966</v>
      </c>
      <c r="Z662">
        <v>-0.17597340000000128</v>
      </c>
    </row>
    <row r="663" spans="1:26">
      <c r="A663" s="54" t="str">
        <f>CONCATENATE(raw[[#This Row],[redis_ls]],raw[[#This Row],[wage_eq]],raw[[#This Row],[flex]],raw[[#This Row],[expo]],raw[[#This Row],[_date_]])</f>
        <v>021154424</v>
      </c>
      <c r="B663" s="1">
        <v>54424</v>
      </c>
      <c r="C663">
        <v>0</v>
      </c>
      <c r="D663">
        <v>2</v>
      </c>
      <c r="E663">
        <v>1</v>
      </c>
      <c r="F663">
        <v>1</v>
      </c>
      <c r="G663">
        <v>6.585498287419167E-2</v>
      </c>
      <c r="H663">
        <v>28.53363000000536</v>
      </c>
      <c r="I663">
        <v>-7.0568228795882533</v>
      </c>
      <c r="J663">
        <v>8.5993002332829249E-2</v>
      </c>
      <c r="K663">
        <v>2.8116594547602514</v>
      </c>
      <c r="L663">
        <v>-1.5833487198557483</v>
      </c>
      <c r="M663">
        <v>-0.304661764001668</v>
      </c>
      <c r="N663">
        <v>8.7667303045213529E-2</v>
      </c>
      <c r="O663">
        <v>1.4993399999996271E-3</v>
      </c>
      <c r="P663">
        <v>0.74673391813844248</v>
      </c>
      <c r="Q663">
        <v>0.64376643079941953</v>
      </c>
      <c r="R663">
        <v>0.45143043891719969</v>
      </c>
      <c r="S663">
        <v>0.85601835030271189</v>
      </c>
      <c r="T663">
        <v>-0.35439253572573381</v>
      </c>
      <c r="U663">
        <v>26.729441678343346</v>
      </c>
      <c r="V663">
        <v>0.91114649293115857</v>
      </c>
      <c r="W663">
        <v>-0.1312341193791644</v>
      </c>
      <c r="X663">
        <v>-5.6324119999999478E-2</v>
      </c>
      <c r="Y663">
        <v>-0.25308563000000017</v>
      </c>
      <c r="Z663">
        <v>-0.17567156999999944</v>
      </c>
    </row>
    <row r="664" spans="1:26">
      <c r="A664" s="54" t="str">
        <f>CONCATENATE(raw[[#This Row],[redis_ls]],raw[[#This Row],[wage_eq]],raw[[#This Row],[flex]],raw[[#This Row],[expo]],raw[[#This Row],[_date_]])</f>
        <v>021154789</v>
      </c>
      <c r="B664" s="1">
        <v>54789</v>
      </c>
      <c r="C664">
        <v>0</v>
      </c>
      <c r="D664">
        <v>2</v>
      </c>
      <c r="E664">
        <v>1</v>
      </c>
      <c r="F664">
        <v>1</v>
      </c>
      <c r="G664">
        <v>6.4385248843978893E-2</v>
      </c>
      <c r="H664">
        <v>27.004789999999048</v>
      </c>
      <c r="I664">
        <v>-6.9340098054792021</v>
      </c>
      <c r="J664">
        <v>8.4018941075747477E-2</v>
      </c>
      <c r="K664">
        <v>2.7403911194497255</v>
      </c>
      <c r="L664">
        <v>-1.5441230414782181</v>
      </c>
      <c r="M664">
        <v>-0.30448288310335192</v>
      </c>
      <c r="N664">
        <v>8.5418259786651518E-2</v>
      </c>
      <c r="O664">
        <v>1.2530799999993514E-3</v>
      </c>
      <c r="P664">
        <v>0.72712938028698382</v>
      </c>
      <c r="Q664">
        <v>0.62358603956411685</v>
      </c>
      <c r="R664">
        <v>0.43280376389567277</v>
      </c>
      <c r="S664">
        <v>0.83359344467006657</v>
      </c>
      <c r="T664">
        <v>-0.37894496185264526</v>
      </c>
      <c r="U664">
        <v>26.779352200647644</v>
      </c>
      <c r="V664">
        <v>0.89437642153662456</v>
      </c>
      <c r="W664">
        <v>-0.1190922043703857</v>
      </c>
      <c r="X664">
        <v>-5.3291950000000643E-2</v>
      </c>
      <c r="Y664">
        <v>-0.24556452999999964</v>
      </c>
      <c r="Z664">
        <v>-0.17502467999999938</v>
      </c>
    </row>
    <row r="665" spans="1:26">
      <c r="A665" s="54" t="str">
        <f>CONCATENATE(raw[[#This Row],[redis_ls]],raw[[#This Row],[wage_eq]],raw[[#This Row],[flex]],raw[[#This Row],[expo]],raw[[#This Row],[_date_]])</f>
        <v>021036526</v>
      </c>
      <c r="B665" s="1">
        <v>36526</v>
      </c>
      <c r="C665">
        <v>0</v>
      </c>
      <c r="D665">
        <v>2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3.8679681282127731E-3</v>
      </c>
      <c r="U665">
        <v>0.21889064466060759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>
      <c r="A666" s="54" t="str">
        <f>CONCATENATE(raw[[#This Row],[redis_ls]],raw[[#This Row],[wage_eq]],raw[[#This Row],[flex]],raw[[#This Row],[expo]],raw[[#This Row],[_date_]])</f>
        <v>021036892</v>
      </c>
      <c r="B666" s="1">
        <v>36892</v>
      </c>
      <c r="C666">
        <v>0</v>
      </c>
      <c r="D666">
        <v>2</v>
      </c>
      <c r="E666">
        <v>1</v>
      </c>
      <c r="F666">
        <v>0</v>
      </c>
      <c r="G666">
        <v>0.2501578167143137</v>
      </c>
      <c r="H666">
        <v>52.097509999999602</v>
      </c>
      <c r="I666">
        <v>-5.3818534742874675</v>
      </c>
      <c r="J666">
        <v>0.11618950521286031</v>
      </c>
      <c r="K666">
        <v>0.566036296563599</v>
      </c>
      <c r="L666">
        <v>-4.9168495242557508E-2</v>
      </c>
      <c r="M666">
        <v>-0.32868825385596878</v>
      </c>
      <c r="N666">
        <v>0.16883014718500622</v>
      </c>
      <c r="O666">
        <v>4.716390000000098E-2</v>
      </c>
      <c r="P666">
        <v>0.47143091168238005</v>
      </c>
      <c r="Q666">
        <v>0.13078223633216091</v>
      </c>
      <c r="R666">
        <v>-0.59416847407037787</v>
      </c>
      <c r="S666">
        <v>0.85323950758378064</v>
      </c>
      <c r="T666">
        <v>0.27240045079390818</v>
      </c>
      <c r="U666">
        <v>0.76264519630449001</v>
      </c>
      <c r="V666">
        <v>4.0026564207251702E-2</v>
      </c>
      <c r="W666">
        <v>-0.43174814671746997</v>
      </c>
      <c r="X666">
        <v>-0.15562653999999926</v>
      </c>
      <c r="Y666">
        <v>0.15409358999999984</v>
      </c>
      <c r="Z666">
        <v>2.2105835999999997E-2</v>
      </c>
    </row>
    <row r="667" spans="1:26">
      <c r="A667" s="54" t="str">
        <f>CONCATENATE(raw[[#This Row],[redis_ls]],raw[[#This Row],[wage_eq]],raw[[#This Row],[flex]],raw[[#This Row],[expo]],raw[[#This Row],[_date_]])</f>
        <v>021037257</v>
      </c>
      <c r="B667" s="1">
        <v>37257</v>
      </c>
      <c r="C667">
        <v>0</v>
      </c>
      <c r="D667">
        <v>2</v>
      </c>
      <c r="E667">
        <v>1</v>
      </c>
      <c r="F667">
        <v>0</v>
      </c>
      <c r="G667">
        <v>0.48500207667847572</v>
      </c>
      <c r="H667">
        <v>117.29075999999986</v>
      </c>
      <c r="I667">
        <v>-8.5231241060869767</v>
      </c>
      <c r="J667">
        <v>0.31653940406162207</v>
      </c>
      <c r="K667">
        <v>1.1064130368008351</v>
      </c>
      <c r="L667">
        <v>-0.13442382214848836</v>
      </c>
      <c r="M667">
        <v>-0.4652515679276048</v>
      </c>
      <c r="N667">
        <v>0.38896011086726467</v>
      </c>
      <c r="O667">
        <v>6.4750339999999906E-2</v>
      </c>
      <c r="P667">
        <v>0.63246023740948232</v>
      </c>
      <c r="Q667">
        <v>0.34998305985036726</v>
      </c>
      <c r="R667">
        <v>-0.28941739087890994</v>
      </c>
      <c r="S667">
        <v>0.99078171711244334</v>
      </c>
      <c r="T667">
        <v>0.53058880181435786</v>
      </c>
      <c r="U667">
        <v>1.6688210915921209</v>
      </c>
      <c r="V667">
        <v>0.25228437421720429</v>
      </c>
      <c r="W667">
        <v>-0.46176868677439975</v>
      </c>
      <c r="X667">
        <v>-0.33657309999999968</v>
      </c>
      <c r="Y667">
        <v>0.25020325999999987</v>
      </c>
      <c r="Z667">
        <v>0.17770476399999996</v>
      </c>
    </row>
    <row r="668" spans="1:26">
      <c r="A668" s="54" t="str">
        <f>CONCATENATE(raw[[#This Row],[redis_ls]],raw[[#This Row],[wage_eq]],raw[[#This Row],[flex]],raw[[#This Row],[expo]],raw[[#This Row],[_date_]])</f>
        <v>021037622</v>
      </c>
      <c r="B668" s="1">
        <v>37622</v>
      </c>
      <c r="C668">
        <v>0</v>
      </c>
      <c r="D668">
        <v>2</v>
      </c>
      <c r="E668">
        <v>1</v>
      </c>
      <c r="F668">
        <v>0</v>
      </c>
      <c r="G668">
        <v>0.67118153194376529</v>
      </c>
      <c r="H668">
        <v>178.13301000000138</v>
      </c>
      <c r="I668">
        <v>-10.242386070500952</v>
      </c>
      <c r="J668">
        <v>0.54469202008720075</v>
      </c>
      <c r="K668">
        <v>1.5575253562809532</v>
      </c>
      <c r="L668">
        <v>-0.25136852643599106</v>
      </c>
      <c r="M668">
        <v>-0.45292726828467522</v>
      </c>
      <c r="N668">
        <v>0.61283663142788214</v>
      </c>
      <c r="O668">
        <v>6.0787779999998959E-2</v>
      </c>
      <c r="P668">
        <v>0.87533874142116108</v>
      </c>
      <c r="Q668">
        <v>0.65483490516762277</v>
      </c>
      <c r="R668">
        <v>0.10953185389108722</v>
      </c>
      <c r="S668">
        <v>1.2054995974406069</v>
      </c>
      <c r="T668">
        <v>0.79963691141924365</v>
      </c>
      <c r="U668">
        <v>2.9390802618106227</v>
      </c>
      <c r="V668">
        <v>0.5358878068779882</v>
      </c>
      <c r="W668">
        <v>-0.53472214370899884</v>
      </c>
      <c r="X668">
        <v>-0.49493866999999886</v>
      </c>
      <c r="Y668">
        <v>0.31231396000000017</v>
      </c>
      <c r="Z668">
        <v>0.33896964400000013</v>
      </c>
    </row>
    <row r="669" spans="1:26">
      <c r="A669" s="54" t="str">
        <f>CONCATENATE(raw[[#This Row],[redis_ls]],raw[[#This Row],[wage_eq]],raw[[#This Row],[flex]],raw[[#This Row],[expo]],raw[[#This Row],[_date_]])</f>
        <v>021037987</v>
      </c>
      <c r="B669" s="1">
        <v>37987</v>
      </c>
      <c r="C669">
        <v>0</v>
      </c>
      <c r="D669">
        <v>2</v>
      </c>
      <c r="E669">
        <v>1</v>
      </c>
      <c r="F669">
        <v>0</v>
      </c>
      <c r="G669">
        <v>0.810567305972687</v>
      </c>
      <c r="H669">
        <v>227.97732000000178</v>
      </c>
      <c r="I669">
        <v>-11.130843015065384</v>
      </c>
      <c r="J669">
        <v>0.77332651089494497</v>
      </c>
      <c r="K669">
        <v>1.921370008896095</v>
      </c>
      <c r="L669">
        <v>-0.39523592410133368</v>
      </c>
      <c r="M669">
        <v>-0.3557574160512833</v>
      </c>
      <c r="N669">
        <v>0.82519586157572267</v>
      </c>
      <c r="O669">
        <v>4.6168779999999909E-2</v>
      </c>
      <c r="P669">
        <v>1.1701947557994918</v>
      </c>
      <c r="Q669">
        <v>1.0164215365565443</v>
      </c>
      <c r="R669">
        <v>0.57134316890554704</v>
      </c>
      <c r="S669">
        <v>1.471627737744341</v>
      </c>
      <c r="T669">
        <v>1.0702404268190469</v>
      </c>
      <c r="U669">
        <v>4.5584963778879217</v>
      </c>
      <c r="V669">
        <v>0.87214253937557551</v>
      </c>
      <c r="W669">
        <v>-0.63171589441826104</v>
      </c>
      <c r="X669">
        <v>-0.61718106999999889</v>
      </c>
      <c r="Y669">
        <v>0.35551743999999996</v>
      </c>
      <c r="Z669">
        <v>0.49197966400000015</v>
      </c>
    </row>
    <row r="670" spans="1:26">
      <c r="A670" s="54" t="str">
        <f>CONCATENATE(raw[[#This Row],[redis_ls]],raw[[#This Row],[wage_eq]],raw[[#This Row],[flex]],raw[[#This Row],[expo]],raw[[#This Row],[_date_]])</f>
        <v>021038353</v>
      </c>
      <c r="B670" s="1">
        <v>38353</v>
      </c>
      <c r="C670">
        <v>0</v>
      </c>
      <c r="D670">
        <v>2</v>
      </c>
      <c r="E670">
        <v>1</v>
      </c>
      <c r="F670">
        <v>0</v>
      </c>
      <c r="G670">
        <v>0.91354745729821385</v>
      </c>
      <c r="H670">
        <v>265.63754999999946</v>
      </c>
      <c r="I670">
        <v>-11.536436854066491</v>
      </c>
      <c r="J670">
        <v>0.99386039400803927</v>
      </c>
      <c r="K670">
        <v>2.2194694165370343</v>
      </c>
      <c r="L670">
        <v>-0.55981393586257422</v>
      </c>
      <c r="M670">
        <v>-0.21273727893471595</v>
      </c>
      <c r="N670">
        <v>1.0289416887158342</v>
      </c>
      <c r="O670">
        <v>3.1162130000000898E-2</v>
      </c>
      <c r="P670">
        <v>1.4920934477985481</v>
      </c>
      <c r="Q670">
        <v>1.4073477195703843</v>
      </c>
      <c r="R670">
        <v>1.0660065411998154</v>
      </c>
      <c r="S670">
        <v>1.7649441242562958</v>
      </c>
      <c r="T670">
        <v>1.329228485313827</v>
      </c>
      <c r="U670">
        <v>6.5054186463753494</v>
      </c>
      <c r="V670">
        <v>1.2548349905233902</v>
      </c>
      <c r="W670">
        <v>-0.72465212653486377</v>
      </c>
      <c r="X670">
        <v>-0.70418369999999952</v>
      </c>
      <c r="Y670">
        <v>0.38712304999999997</v>
      </c>
      <c r="Z670">
        <v>0.63436584400000007</v>
      </c>
    </row>
    <row r="671" spans="1:26">
      <c r="A671" s="54" t="str">
        <f>CONCATENATE(raw[[#This Row],[redis_ls]],raw[[#This Row],[wage_eq]],raw[[#This Row],[flex]],raw[[#This Row],[expo]],raw[[#This Row],[_date_]])</f>
        <v>021038718</v>
      </c>
      <c r="B671" s="1">
        <v>38718</v>
      </c>
      <c r="C671">
        <v>0</v>
      </c>
      <c r="D671">
        <v>2</v>
      </c>
      <c r="E671">
        <v>1</v>
      </c>
      <c r="F671">
        <v>0</v>
      </c>
      <c r="G671">
        <v>0.99040668978673807</v>
      </c>
      <c r="H671">
        <v>292.34213000000091</v>
      </c>
      <c r="I671">
        <v>-11.660480441498544</v>
      </c>
      <c r="J671">
        <v>1.2044162627919519</v>
      </c>
      <c r="K671">
        <v>2.4746558503233596</v>
      </c>
      <c r="L671">
        <v>-0.73835994169515473</v>
      </c>
      <c r="M671">
        <v>-4.6097295113955994E-2</v>
      </c>
      <c r="N671">
        <v>1.2258698437551008</v>
      </c>
      <c r="O671">
        <v>1.9020219999998922E-2</v>
      </c>
      <c r="P671">
        <v>1.8236315622694566</v>
      </c>
      <c r="Q671">
        <v>1.8076158308081292</v>
      </c>
      <c r="R671">
        <v>1.5715671321608005</v>
      </c>
      <c r="S671">
        <v>2.0678264030610682</v>
      </c>
      <c r="T671">
        <v>1.5669602930996174</v>
      </c>
      <c r="U671">
        <v>8.7557717663862888</v>
      </c>
      <c r="V671">
        <v>1.6750383409763092</v>
      </c>
      <c r="W671">
        <v>-0.79798805133993733</v>
      </c>
      <c r="X671">
        <v>-0.76185168999999964</v>
      </c>
      <c r="Y671">
        <v>0.4107706499999999</v>
      </c>
      <c r="Z671">
        <v>0.76549660099999994</v>
      </c>
    </row>
    <row r="672" spans="1:26">
      <c r="A672" s="54" t="str">
        <f>CONCATENATE(raw[[#This Row],[redis_ls]],raw[[#This Row],[wage_eq]],raw[[#This Row],[flex]],raw[[#This Row],[expo]],raw[[#This Row],[_date_]])</f>
        <v>021039083</v>
      </c>
      <c r="B672" s="1">
        <v>39083</v>
      </c>
      <c r="C672">
        <v>0</v>
      </c>
      <c r="D672">
        <v>2</v>
      </c>
      <c r="E672">
        <v>1</v>
      </c>
      <c r="F672">
        <v>0</v>
      </c>
      <c r="G672">
        <v>1.0485623344781869</v>
      </c>
      <c r="H672">
        <v>310.03491000000213</v>
      </c>
      <c r="I672">
        <v>-11.621127500412653</v>
      </c>
      <c r="J672">
        <v>1.4038313230388733</v>
      </c>
      <c r="K672">
        <v>2.7046844203894693</v>
      </c>
      <c r="L672">
        <v>-0.92450622643523994</v>
      </c>
      <c r="M672">
        <v>0.13054681305026961</v>
      </c>
      <c r="N672">
        <v>1.4145965993880516</v>
      </c>
      <c r="O672">
        <v>9.5269999999994526E-3</v>
      </c>
      <c r="P672">
        <v>2.1532614713637654</v>
      </c>
      <c r="Q672">
        <v>2.2037086988736743</v>
      </c>
      <c r="R672">
        <v>2.0732251913184063</v>
      </c>
      <c r="S672">
        <v>2.3683566463853056</v>
      </c>
      <c r="T672">
        <v>1.7777861736024247</v>
      </c>
      <c r="U672">
        <v>11.284516085746322</v>
      </c>
      <c r="V672">
        <v>2.1208026138651803</v>
      </c>
      <c r="W672">
        <v>-0.84739553804921153</v>
      </c>
      <c r="X672">
        <v>-0.79669253999999912</v>
      </c>
      <c r="Y672">
        <v>0.42868948000000029</v>
      </c>
      <c r="Z672">
        <v>0.88454029999999984</v>
      </c>
    </row>
    <row r="673" spans="1:26">
      <c r="A673" s="54" t="str">
        <f>CONCATENATE(raw[[#This Row],[redis_ls]],raw[[#This Row],[wage_eq]],raw[[#This Row],[flex]],raw[[#This Row],[expo]],raw[[#This Row],[_date_]])</f>
        <v>021039448</v>
      </c>
      <c r="B673" s="1">
        <v>39448</v>
      </c>
      <c r="C673">
        <v>0</v>
      </c>
      <c r="D673">
        <v>2</v>
      </c>
      <c r="E673">
        <v>1</v>
      </c>
      <c r="F673">
        <v>0</v>
      </c>
      <c r="G673">
        <v>1.0925306501931464</v>
      </c>
      <c r="H673">
        <v>320.56507999999667</v>
      </c>
      <c r="I673">
        <v>-11.489343429472921</v>
      </c>
      <c r="J673">
        <v>1.5901406238305826</v>
      </c>
      <c r="K673">
        <v>2.921153757350714</v>
      </c>
      <c r="L673">
        <v>-1.1127262525933213</v>
      </c>
      <c r="M673">
        <v>0.30797418518404562</v>
      </c>
      <c r="N673">
        <v>1.5921321674270406</v>
      </c>
      <c r="O673">
        <v>1.7595100000003527E-3</v>
      </c>
      <c r="P673">
        <v>2.4731542741448509</v>
      </c>
      <c r="Q673">
        <v>2.5864066321588774</v>
      </c>
      <c r="R673">
        <v>2.5608942811950364</v>
      </c>
      <c r="S673">
        <v>2.658414787359531</v>
      </c>
      <c r="T673">
        <v>1.9587360803918763</v>
      </c>
      <c r="U673">
        <v>14.065868140719417</v>
      </c>
      <c r="V673">
        <v>2.5793559424462709</v>
      </c>
      <c r="W673">
        <v>-0.87459801424830674</v>
      </c>
      <c r="X673">
        <v>-0.81410363999999957</v>
      </c>
      <c r="Y673">
        <v>0.44249976000000013</v>
      </c>
      <c r="Z673">
        <v>0.99056040000000001</v>
      </c>
    </row>
    <row r="674" spans="1:26">
      <c r="A674" s="54" t="str">
        <f>CONCATENATE(raw[[#This Row],[redis_ls]],raw[[#This Row],[wage_eq]],raw[[#This Row],[flex]],raw[[#This Row],[expo]],raw[[#This Row],[_date_]])</f>
        <v>021039814</v>
      </c>
      <c r="B674" s="1">
        <v>39814</v>
      </c>
      <c r="C674">
        <v>0</v>
      </c>
      <c r="D674">
        <v>2</v>
      </c>
      <c r="E674">
        <v>1</v>
      </c>
      <c r="F674">
        <v>0</v>
      </c>
      <c r="G674">
        <v>1.1248237875722822</v>
      </c>
      <c r="H674">
        <v>325.41330000000016</v>
      </c>
      <c r="I674">
        <v>-11.308720842461584</v>
      </c>
      <c r="J674">
        <v>1.760921047774322</v>
      </c>
      <c r="K674">
        <v>3.1305535051225686</v>
      </c>
      <c r="L674">
        <v>-1.298444347987282</v>
      </c>
      <c r="M674">
        <v>0.47955114821529587</v>
      </c>
      <c r="N674">
        <v>1.7553728537443192</v>
      </c>
      <c r="O674">
        <v>-4.8939299999994912E-3</v>
      </c>
      <c r="P674">
        <v>2.7776626438337226</v>
      </c>
      <c r="Q674">
        <v>2.9490510889326194</v>
      </c>
      <c r="R674">
        <v>3.0272168479728911</v>
      </c>
      <c r="S674">
        <v>2.9321901960544183</v>
      </c>
      <c r="T674">
        <v>2.1082878710873887</v>
      </c>
      <c r="U674">
        <v>17.07311212920084</v>
      </c>
      <c r="V674">
        <v>3.0387181969626198</v>
      </c>
      <c r="W674">
        <v>-0.88350240317720541</v>
      </c>
      <c r="X674">
        <v>-0.81805464000000017</v>
      </c>
      <c r="Y674">
        <v>0.45341007000000016</v>
      </c>
      <c r="Z674">
        <v>1.0828609699999998</v>
      </c>
    </row>
    <row r="675" spans="1:26">
      <c r="A675" s="54" t="str">
        <f>CONCATENATE(raw[[#This Row],[redis_ls]],raw[[#This Row],[wage_eq]],raw[[#This Row],[flex]],raw[[#This Row],[expo]],raw[[#This Row],[_date_]])</f>
        <v>021040179</v>
      </c>
      <c r="B675" s="1">
        <v>40179</v>
      </c>
      <c r="C675">
        <v>0</v>
      </c>
      <c r="D675">
        <v>2</v>
      </c>
      <c r="E675">
        <v>1</v>
      </c>
      <c r="F675">
        <v>0</v>
      </c>
      <c r="G675">
        <v>1.1468688471778954</v>
      </c>
      <c r="H675">
        <v>325.68780999999944</v>
      </c>
      <c r="I675">
        <v>-11.10637007889247</v>
      </c>
      <c r="J675">
        <v>1.9139583577088892</v>
      </c>
      <c r="K675">
        <v>3.3358268364363619</v>
      </c>
      <c r="L675">
        <v>-1.4779604650454581</v>
      </c>
      <c r="M675">
        <v>0.64050456422835023</v>
      </c>
      <c r="N675">
        <v>1.9018733608858307</v>
      </c>
      <c r="O675">
        <v>-1.0644099999999879E-2</v>
      </c>
      <c r="P675">
        <v>3.0624540938605449</v>
      </c>
      <c r="Q675">
        <v>3.2865285280835765</v>
      </c>
      <c r="R675">
        <v>3.4663937910189846</v>
      </c>
      <c r="S675">
        <v>3.1853105433687023</v>
      </c>
      <c r="T675">
        <v>2.2256487258204949</v>
      </c>
      <c r="U675">
        <v>20.278385014277902</v>
      </c>
      <c r="V675">
        <v>3.4884358120417014</v>
      </c>
      <c r="W675">
        <v>-0.87816960257207644</v>
      </c>
      <c r="X675">
        <v>-0.81135115000000035</v>
      </c>
      <c r="Y675">
        <v>0.46225249000000013</v>
      </c>
      <c r="Z675">
        <v>1.1611640900000002</v>
      </c>
    </row>
    <row r="676" spans="1:26">
      <c r="A676" s="54" t="str">
        <f>CONCATENATE(raw[[#This Row],[redis_ls]],raw[[#This Row],[wage_eq]],raw[[#This Row],[flex]],raw[[#This Row],[expo]],raw[[#This Row],[_date_]])</f>
        <v>021040544</v>
      </c>
      <c r="B676" s="1">
        <v>40544</v>
      </c>
      <c r="C676">
        <v>0</v>
      </c>
      <c r="D676">
        <v>2</v>
      </c>
      <c r="E676">
        <v>1</v>
      </c>
      <c r="F676">
        <v>0</v>
      </c>
      <c r="G676">
        <v>1.1596417055920849</v>
      </c>
      <c r="H676">
        <v>322.21906000000308</v>
      </c>
      <c r="I676">
        <v>-10.899022729521812</v>
      </c>
      <c r="J676">
        <v>2.0476752606580328</v>
      </c>
      <c r="K676">
        <v>3.5377375112806364</v>
      </c>
      <c r="L676">
        <v>-1.6483190176959872</v>
      </c>
      <c r="M676">
        <v>0.78757240356019942</v>
      </c>
      <c r="N676">
        <v>2.0300686520479339</v>
      </c>
      <c r="O676">
        <v>-1.5486440000000989E-2</v>
      </c>
      <c r="P676">
        <v>3.3241100712961602</v>
      </c>
      <c r="Q676">
        <v>3.5948030915302853</v>
      </c>
      <c r="R676">
        <v>3.8736506327440967</v>
      </c>
      <c r="S676">
        <v>3.4144311418792705</v>
      </c>
      <c r="T676">
        <v>2.3104762766730902</v>
      </c>
      <c r="U676">
        <v>23.652594261164705</v>
      </c>
      <c r="V676">
        <v>3.9197663522807513</v>
      </c>
      <c r="W676">
        <v>-0.8620404452405861</v>
      </c>
      <c r="X676">
        <v>-0.79603176999999969</v>
      </c>
      <c r="Y676">
        <v>0.46951759999999954</v>
      </c>
      <c r="Z676">
        <v>1.2256123300000001</v>
      </c>
    </row>
    <row r="677" spans="1:26">
      <c r="A677" s="54" t="str">
        <f>CONCATENATE(raw[[#This Row],[redis_ls]],raw[[#This Row],[wage_eq]],raw[[#This Row],[flex]],raw[[#This Row],[expo]],raw[[#This Row],[_date_]])</f>
        <v>021040909</v>
      </c>
      <c r="B677" s="1">
        <v>40909</v>
      </c>
      <c r="C677">
        <v>0</v>
      </c>
      <c r="D677">
        <v>2</v>
      </c>
      <c r="E677">
        <v>1</v>
      </c>
      <c r="F677">
        <v>0</v>
      </c>
      <c r="G677">
        <v>1.1640053641092551</v>
      </c>
      <c r="H677">
        <v>315.66345000000001</v>
      </c>
      <c r="I677">
        <v>-10.696605792524638</v>
      </c>
      <c r="J677">
        <v>2.1612567338285871</v>
      </c>
      <c r="K677">
        <v>3.7358355793042586</v>
      </c>
      <c r="L677">
        <v>-1.807187885615813</v>
      </c>
      <c r="M677">
        <v>0.91874760327503857</v>
      </c>
      <c r="N677">
        <v>2.1392057230365191</v>
      </c>
      <c r="O677">
        <v>-1.9372210000000167E-2</v>
      </c>
      <c r="P677">
        <v>3.5599832077474414</v>
      </c>
      <c r="Q677">
        <v>3.8707646426470843</v>
      </c>
      <c r="R677">
        <v>4.2450774992304208</v>
      </c>
      <c r="S677">
        <v>3.6170803327075562</v>
      </c>
      <c r="T677">
        <v>2.3628488746717302</v>
      </c>
      <c r="U677">
        <v>27.165512093657874</v>
      </c>
      <c r="V677">
        <v>4.3256204742472271</v>
      </c>
      <c r="W677">
        <v>-0.83780539870393911</v>
      </c>
      <c r="X677">
        <v>-0.77370012999999904</v>
      </c>
      <c r="Y677">
        <v>0.47542112000000036</v>
      </c>
      <c r="Z677">
        <v>1.2766776200000001</v>
      </c>
    </row>
    <row r="678" spans="1:26">
      <c r="A678" s="54" t="str">
        <f>CONCATENATE(raw[[#This Row],[redis_ls]],raw[[#This Row],[wage_eq]],raw[[#This Row],[flex]],raw[[#This Row],[expo]],raw[[#This Row],[_date_]])</f>
        <v>021041275</v>
      </c>
      <c r="B678" s="1">
        <v>41275</v>
      </c>
      <c r="C678">
        <v>0</v>
      </c>
      <c r="D678">
        <v>2</v>
      </c>
      <c r="E678">
        <v>1</v>
      </c>
      <c r="F678">
        <v>0</v>
      </c>
      <c r="G678">
        <v>1.1608420531019847</v>
      </c>
      <c r="H678">
        <v>306.58090000000084</v>
      </c>
      <c r="I678">
        <v>-10.504470228664831</v>
      </c>
      <c r="J678">
        <v>2.2545811963944562</v>
      </c>
      <c r="K678">
        <v>3.9290514474892735</v>
      </c>
      <c r="L678">
        <v>-1.9527694493877701</v>
      </c>
      <c r="M678">
        <v>1.0330362733552034</v>
      </c>
      <c r="N678">
        <v>2.229176118241516</v>
      </c>
      <c r="O678">
        <v>-2.2295149999999875E-2</v>
      </c>
      <c r="P678">
        <v>3.768163334194119</v>
      </c>
      <c r="Q678">
        <v>4.1122120775304971</v>
      </c>
      <c r="R678">
        <v>4.5776380780209847</v>
      </c>
      <c r="S678">
        <v>3.7916163401779945</v>
      </c>
      <c r="T678">
        <v>2.3833270472234824</v>
      </c>
      <c r="U678">
        <v>30.78604887859666</v>
      </c>
      <c r="V678">
        <v>4.7004364020061251</v>
      </c>
      <c r="W678">
        <v>-0.80752342212941919</v>
      </c>
      <c r="X678">
        <v>-0.74573923000000042</v>
      </c>
      <c r="Y678">
        <v>0.47998931000000011</v>
      </c>
      <c r="Z678">
        <v>1.3150466000000001</v>
      </c>
    </row>
    <row r="679" spans="1:26">
      <c r="A679" s="54" t="str">
        <f>CONCATENATE(raw[[#This Row],[redis_ls]],raw[[#This Row],[wage_eq]],raw[[#This Row],[flex]],raw[[#This Row],[expo]],raw[[#This Row],[_date_]])</f>
        <v>021041640</v>
      </c>
      <c r="B679" s="1">
        <v>41640</v>
      </c>
      <c r="C679">
        <v>0</v>
      </c>
      <c r="D679">
        <v>2</v>
      </c>
      <c r="E679">
        <v>1</v>
      </c>
      <c r="F679">
        <v>0</v>
      </c>
      <c r="G679">
        <v>1.1510722074139057</v>
      </c>
      <c r="H679">
        <v>295.48052999999709</v>
      </c>
      <c r="I679">
        <v>-10.324873767838294</v>
      </c>
      <c r="J679">
        <v>2.3280698403612909</v>
      </c>
      <c r="K679">
        <v>4.1160268520643584</v>
      </c>
      <c r="L679">
        <v>-2.0837409401010309</v>
      </c>
      <c r="M679">
        <v>1.1302281631818456</v>
      </c>
      <c r="N679">
        <v>2.3003437970169349</v>
      </c>
      <c r="O679">
        <v>-2.4309690000000328E-2</v>
      </c>
      <c r="P679">
        <v>3.9474707166729628</v>
      </c>
      <c r="Q679">
        <v>4.3178664824801816</v>
      </c>
      <c r="R679">
        <v>4.869222577580623</v>
      </c>
      <c r="S679">
        <v>3.937206648825331</v>
      </c>
      <c r="T679">
        <v>2.3730125289662674</v>
      </c>
      <c r="U679">
        <v>34.482682336637581</v>
      </c>
      <c r="V679">
        <v>5.0400563089980199</v>
      </c>
      <c r="W679">
        <v>-0.77279002314499801</v>
      </c>
      <c r="X679">
        <v>-0.71342136999999961</v>
      </c>
      <c r="Y679">
        <v>0.48314366999999969</v>
      </c>
      <c r="Z679">
        <v>1.3415224000000003</v>
      </c>
    </row>
    <row r="680" spans="1:26">
      <c r="A680" s="54" t="str">
        <f>CONCATENATE(raw[[#This Row],[redis_ls]],raw[[#This Row],[wage_eq]],raw[[#This Row],[flex]],raw[[#This Row],[expo]],raw[[#This Row],[_date_]])</f>
        <v>021042005</v>
      </c>
      <c r="B680" s="1">
        <v>42005</v>
      </c>
      <c r="C680">
        <v>0</v>
      </c>
      <c r="D680">
        <v>2</v>
      </c>
      <c r="E680">
        <v>1</v>
      </c>
      <c r="F680">
        <v>0</v>
      </c>
      <c r="G680">
        <v>1.1356272875462148</v>
      </c>
      <c r="H680">
        <v>282.84106999999858</v>
      </c>
      <c r="I680">
        <v>-10.158019975849831</v>
      </c>
      <c r="J680">
        <v>2.3825316501522309</v>
      </c>
      <c r="K680">
        <v>4.2952886082549435</v>
      </c>
      <c r="L680">
        <v>-2.1992142409568372</v>
      </c>
      <c r="M680">
        <v>1.2106939879591661</v>
      </c>
      <c r="N680">
        <v>2.3534088813878418</v>
      </c>
      <c r="O680">
        <v>-2.5514860000000472E-2</v>
      </c>
      <c r="P680">
        <v>4.0974381557748352</v>
      </c>
      <c r="Q680">
        <v>4.4873619618414962</v>
      </c>
      <c r="R680">
        <v>5.118682280397624</v>
      </c>
      <c r="S680">
        <v>4.0537916156572207</v>
      </c>
      <c r="T680">
        <v>2.3335611204960527</v>
      </c>
      <c r="U680">
        <v>38.22400233692651</v>
      </c>
      <c r="V680">
        <v>5.3416191970742766</v>
      </c>
      <c r="W680">
        <v>-0.7348758742389383</v>
      </c>
      <c r="X680">
        <v>-0.67794749999999926</v>
      </c>
      <c r="Y680">
        <v>0.48477152999999995</v>
      </c>
      <c r="Z680">
        <v>1.3569568000000003</v>
      </c>
    </row>
    <row r="681" spans="1:26">
      <c r="A681" s="54" t="str">
        <f>CONCATENATE(raw[[#This Row],[redis_ls]],raw[[#This Row],[wage_eq]],raw[[#This Row],[flex]],raw[[#This Row],[expo]],raw[[#This Row],[_date_]])</f>
        <v>021042370</v>
      </c>
      <c r="B681" s="1">
        <v>42370</v>
      </c>
      <c r="C681">
        <v>0</v>
      </c>
      <c r="D681">
        <v>2</v>
      </c>
      <c r="E681">
        <v>1</v>
      </c>
      <c r="F681">
        <v>0</v>
      </c>
      <c r="G681">
        <v>1.1154130080321512</v>
      </c>
      <c r="H681">
        <v>269.11533000000054</v>
      </c>
      <c r="I681">
        <v>-10.002808583957057</v>
      </c>
      <c r="J681">
        <v>2.4190385267392589</v>
      </c>
      <c r="K681">
        <v>4.4653425873472319</v>
      </c>
      <c r="L681">
        <v>-2.2987033621668207</v>
      </c>
      <c r="M681">
        <v>1.2752178297237515</v>
      </c>
      <c r="N681">
        <v>2.3893105892140776</v>
      </c>
      <c r="O681">
        <v>-2.6029300000000866E-2</v>
      </c>
      <c r="P681">
        <v>4.2182686956260262</v>
      </c>
      <c r="Q681">
        <v>4.6211968056419916</v>
      </c>
      <c r="R681">
        <v>5.3258216384728829</v>
      </c>
      <c r="S681">
        <v>4.142018560934746</v>
      </c>
      <c r="T681">
        <v>2.2671446494440195</v>
      </c>
      <c r="U681">
        <v>41.979330152156116</v>
      </c>
      <c r="V681">
        <v>5.6034625335949828</v>
      </c>
      <c r="W681">
        <v>-0.69481925002601308</v>
      </c>
      <c r="X681">
        <v>-0.64044747999999974</v>
      </c>
      <c r="Y681">
        <v>0.48477710999999951</v>
      </c>
      <c r="Z681">
        <v>1.3622117199999999</v>
      </c>
    </row>
    <row r="682" spans="1:26">
      <c r="A682" s="54" t="str">
        <f>CONCATENATE(raw[[#This Row],[redis_ls]],raw[[#This Row],[wage_eq]],raw[[#This Row],[flex]],raw[[#This Row],[expo]],raw[[#This Row],[_date_]])</f>
        <v>021042736</v>
      </c>
      <c r="B682" s="1">
        <v>42736</v>
      </c>
      <c r="C682">
        <v>0</v>
      </c>
      <c r="D682">
        <v>2</v>
      </c>
      <c r="E682">
        <v>1</v>
      </c>
      <c r="F682">
        <v>0</v>
      </c>
      <c r="G682">
        <v>1.0912793970612844</v>
      </c>
      <c r="H682">
        <v>254.7265699999989</v>
      </c>
      <c r="I682">
        <v>-9.8573831414071282</v>
      </c>
      <c r="J682">
        <v>2.4388356964742508</v>
      </c>
      <c r="K682">
        <v>4.6247338932788873</v>
      </c>
      <c r="L682">
        <v>-2.3820926450632607</v>
      </c>
      <c r="M682">
        <v>1.3248655287432909</v>
      </c>
      <c r="N682">
        <v>2.4091611330590235</v>
      </c>
      <c r="O682">
        <v>-2.59708500000011E-2</v>
      </c>
      <c r="P682">
        <v>4.3107708884997598</v>
      </c>
      <c r="Q682">
        <v>4.7206460947219808</v>
      </c>
      <c r="R682">
        <v>5.4913459196873182</v>
      </c>
      <c r="S682">
        <v>4.2031492510932411</v>
      </c>
      <c r="T682">
        <v>2.1763697738299781</v>
      </c>
      <c r="U682">
        <v>45.719358821147125</v>
      </c>
      <c r="V682">
        <v>5.8250214948820211</v>
      </c>
      <c r="W682">
        <v>-0.65347945419721443</v>
      </c>
      <c r="X682">
        <v>-0.6019639299999997</v>
      </c>
      <c r="Y682">
        <v>0.48311316999999976</v>
      </c>
      <c r="Z682">
        <v>1.3581418800000002</v>
      </c>
    </row>
    <row r="683" spans="1:26">
      <c r="A683" s="54" t="str">
        <f>CONCATENATE(raw[[#This Row],[redis_ls]],raw[[#This Row],[wage_eq]],raw[[#This Row],[flex]],raw[[#This Row],[expo]],raw[[#This Row],[_date_]])</f>
        <v>021043101</v>
      </c>
      <c r="B683" s="1">
        <v>43101</v>
      </c>
      <c r="C683">
        <v>0</v>
      </c>
      <c r="D683">
        <v>2</v>
      </c>
      <c r="E683">
        <v>1</v>
      </c>
      <c r="F683">
        <v>0</v>
      </c>
      <c r="G683">
        <v>1.0640018320602129</v>
      </c>
      <c r="H683">
        <v>240.06168000000253</v>
      </c>
      <c r="I683">
        <v>-9.7195283293041506</v>
      </c>
      <c r="J683">
        <v>2.4432820041776937</v>
      </c>
      <c r="K683">
        <v>4.772094851871822</v>
      </c>
      <c r="L683">
        <v>-2.4496009150660303</v>
      </c>
      <c r="M683">
        <v>1.3608834484954979</v>
      </c>
      <c r="N683">
        <v>2.414199588546917</v>
      </c>
      <c r="O683">
        <v>-2.5445109999999715E-2</v>
      </c>
      <c r="P683">
        <v>4.3762759079555513</v>
      </c>
      <c r="Q683">
        <v>4.7876447383079501</v>
      </c>
      <c r="R683">
        <v>5.6167708745583411</v>
      </c>
      <c r="S683">
        <v>4.2389489280301396</v>
      </c>
      <c r="T683">
        <v>2.0641702900266123</v>
      </c>
      <c r="U683">
        <v>49.416767865089952</v>
      </c>
      <c r="V683">
        <v>6.0067179643521484</v>
      </c>
      <c r="W683">
        <v>-0.61156457764042216</v>
      </c>
      <c r="X683">
        <v>-0.56343210999999993</v>
      </c>
      <c r="Y683">
        <v>0.4797962400000001</v>
      </c>
      <c r="Z683">
        <v>1.3455892400000002</v>
      </c>
    </row>
    <row r="684" spans="1:26">
      <c r="A684" s="54" t="str">
        <f>CONCATENATE(raw[[#This Row],[redis_ls]],raw[[#This Row],[wage_eq]],raw[[#This Row],[flex]],raw[[#This Row],[expo]],raw[[#This Row],[_date_]])</f>
        <v>021043466</v>
      </c>
      <c r="B684" s="1">
        <v>43466</v>
      </c>
      <c r="C684">
        <v>0</v>
      </c>
      <c r="D684">
        <v>2</v>
      </c>
      <c r="E684">
        <v>1</v>
      </c>
      <c r="F684">
        <v>0</v>
      </c>
      <c r="G684">
        <v>1.0342717139148361</v>
      </c>
      <c r="H684">
        <v>225.46432999999888</v>
      </c>
      <c r="I684">
        <v>-9.5869535295960535</v>
      </c>
      <c r="J684">
        <v>2.433807915296704</v>
      </c>
      <c r="K684">
        <v>4.9061879791436613</v>
      </c>
      <c r="L684">
        <v>-2.501740613749559</v>
      </c>
      <c r="M684">
        <v>1.3846206903506797</v>
      </c>
      <c r="N684">
        <v>2.4057540354683216</v>
      </c>
      <c r="O684">
        <v>-2.4541670000000071E-2</v>
      </c>
      <c r="P684">
        <v>4.4165436245949596</v>
      </c>
      <c r="Q684">
        <v>4.8246523174322764</v>
      </c>
      <c r="R684">
        <v>5.7043050386428318</v>
      </c>
      <c r="S684">
        <v>4.2515656361339138</v>
      </c>
      <c r="T684">
        <v>1.9336879128243334</v>
      </c>
      <c r="U684">
        <v>53.046766139552901</v>
      </c>
      <c r="V684">
        <v>6.1498366479968647</v>
      </c>
      <c r="W684">
        <v>-0.56964558377313734</v>
      </c>
      <c r="X684">
        <v>-0.52566236999999971</v>
      </c>
      <c r="Y684">
        <v>0.47490946999999978</v>
      </c>
      <c r="Z684">
        <v>1.3253814799999999</v>
      </c>
    </row>
    <row r="685" spans="1:26">
      <c r="A685" s="54" t="str">
        <f>CONCATENATE(raw[[#This Row],[redis_ls]],raw[[#This Row],[wage_eq]],raw[[#This Row],[flex]],raw[[#This Row],[expo]],raw[[#This Row],[_date_]])</f>
        <v>021043831</v>
      </c>
      <c r="B685" s="1">
        <v>43831</v>
      </c>
      <c r="C685">
        <v>0</v>
      </c>
      <c r="D685">
        <v>2</v>
      </c>
      <c r="E685">
        <v>1</v>
      </c>
      <c r="F685">
        <v>0</v>
      </c>
      <c r="G685">
        <v>1.0026930014928048</v>
      </c>
      <c r="H685">
        <v>211.22896000000037</v>
      </c>
      <c r="I685">
        <v>-9.4574888882120955</v>
      </c>
      <c r="J685">
        <v>2.411882857176173</v>
      </c>
      <c r="K685">
        <v>5.025943550343559</v>
      </c>
      <c r="L685">
        <v>-2.5392725161073493</v>
      </c>
      <c r="M685">
        <v>1.3974682877685662</v>
      </c>
      <c r="N685">
        <v>2.3852075176908683</v>
      </c>
      <c r="O685">
        <v>-2.3335770000000589E-2</v>
      </c>
      <c r="P685">
        <v>4.4336639323696803</v>
      </c>
      <c r="Q685">
        <v>4.8345112280443248</v>
      </c>
      <c r="R685">
        <v>5.7567151757702772</v>
      </c>
      <c r="S685">
        <v>4.2434096132299981</v>
      </c>
      <c r="T685">
        <v>1.7881539736524621</v>
      </c>
      <c r="U685">
        <v>56.587529736758512</v>
      </c>
      <c r="V685">
        <v>6.256389287022146</v>
      </c>
      <c r="W685">
        <v>-0.52816472387234858</v>
      </c>
      <c r="X685">
        <v>-0.48932730999999979</v>
      </c>
      <c r="Y685">
        <v>0.4685972699999999</v>
      </c>
      <c r="Z685">
        <v>1.2983294299999997</v>
      </c>
    </row>
    <row r="686" spans="1:26">
      <c r="A686" s="54" t="str">
        <f>CONCATENATE(raw[[#This Row],[redis_ls]],raw[[#This Row],[wage_eq]],raw[[#This Row],[flex]],raw[[#This Row],[expo]],raw[[#This Row],[_date_]])</f>
        <v>021044197</v>
      </c>
      <c r="B686" s="1">
        <v>44197</v>
      </c>
      <c r="C686">
        <v>0</v>
      </c>
      <c r="D686">
        <v>2</v>
      </c>
      <c r="E686">
        <v>1</v>
      </c>
      <c r="F686">
        <v>0</v>
      </c>
      <c r="G686">
        <v>0.9697828724029689</v>
      </c>
      <c r="H686">
        <v>197.59653999999864</v>
      </c>
      <c r="I686">
        <v>-9.3292140665789507</v>
      </c>
      <c r="J686">
        <v>2.378985355765062</v>
      </c>
      <c r="K686">
        <v>5.1304895727128708</v>
      </c>
      <c r="L686">
        <v>-2.5631576173621329</v>
      </c>
      <c r="M686">
        <v>1.4008107600916864</v>
      </c>
      <c r="N686">
        <v>2.3539637702488569</v>
      </c>
      <c r="O686">
        <v>-2.1891990000000305E-2</v>
      </c>
      <c r="P686">
        <v>4.4299585672415764</v>
      </c>
      <c r="Q686">
        <v>4.8203072500399013</v>
      </c>
      <c r="R686">
        <v>5.7771846604613986</v>
      </c>
      <c r="S686">
        <v>4.2170393612542156</v>
      </c>
      <c r="T686">
        <v>1.6307806976079364</v>
      </c>
      <c r="U686">
        <v>60.020510445892519</v>
      </c>
      <c r="V686">
        <v>6.3289705479859792</v>
      </c>
      <c r="W686">
        <v>-0.48744380229126527</v>
      </c>
      <c r="X686">
        <v>-0.4549542600000005</v>
      </c>
      <c r="Y686">
        <v>0.46105478999999977</v>
      </c>
      <c r="Z686">
        <v>1.2652217700000004</v>
      </c>
    </row>
    <row r="687" spans="1:26">
      <c r="A687" s="54" t="str">
        <f>CONCATENATE(raw[[#This Row],[redis_ls]],raw[[#This Row],[wage_eq]],raw[[#This Row],[flex]],raw[[#This Row],[expo]],raw[[#This Row],[_date_]])</f>
        <v>021044562</v>
      </c>
      <c r="B687" s="1">
        <v>44562</v>
      </c>
      <c r="C687">
        <v>0</v>
      </c>
      <c r="D687">
        <v>2</v>
      </c>
      <c r="E687">
        <v>1</v>
      </c>
      <c r="F687">
        <v>0</v>
      </c>
      <c r="G687">
        <v>0.93597431237573137</v>
      </c>
      <c r="H687">
        <v>184.75180999999793</v>
      </c>
      <c r="I687">
        <v>-9.2005351335010861</v>
      </c>
      <c r="J687">
        <v>2.3365736191679476</v>
      </c>
      <c r="K687">
        <v>5.2191720251820728</v>
      </c>
      <c r="L687">
        <v>-2.5745085177252491</v>
      </c>
      <c r="M687">
        <v>1.3959872404656792</v>
      </c>
      <c r="N687">
        <v>2.3134141038741118</v>
      </c>
      <c r="O687">
        <v>-2.0267840000000314E-2</v>
      </c>
      <c r="P687">
        <v>4.4078877744782696</v>
      </c>
      <c r="Q687">
        <v>4.7852404855841746</v>
      </c>
      <c r="R687">
        <v>5.7691730161011145</v>
      </c>
      <c r="S687">
        <v>4.1750596978305854</v>
      </c>
      <c r="T687">
        <v>1.4646674749003719</v>
      </c>
      <c r="U687">
        <v>63.330604982603809</v>
      </c>
      <c r="V687">
        <v>6.3706112970509654</v>
      </c>
      <c r="W687">
        <v>-0.44769475559698346</v>
      </c>
      <c r="X687">
        <v>-0.42292278999999999</v>
      </c>
      <c r="Y687">
        <v>0.45251507000000013</v>
      </c>
      <c r="Z687">
        <v>1.2268173200000003</v>
      </c>
    </row>
    <row r="688" spans="1:26">
      <c r="A688" s="54" t="str">
        <f>CONCATENATE(raw[[#This Row],[redis_ls]],raw[[#This Row],[wage_eq]],raw[[#This Row],[flex]],raw[[#This Row],[expo]],raw[[#This Row],[_date_]])</f>
        <v>021044927</v>
      </c>
      <c r="B688" s="1">
        <v>44927</v>
      </c>
      <c r="C688">
        <v>0</v>
      </c>
      <c r="D688">
        <v>2</v>
      </c>
      <c r="E688">
        <v>1</v>
      </c>
      <c r="F688">
        <v>0</v>
      </c>
      <c r="G688">
        <v>0.9016208714648144</v>
      </c>
      <c r="H688">
        <v>172.82267000000138</v>
      </c>
      <c r="I688">
        <v>-9.0702211470783727</v>
      </c>
      <c r="J688">
        <v>2.2860585386862864</v>
      </c>
      <c r="K688">
        <v>5.2915644906467385</v>
      </c>
      <c r="L688">
        <v>-2.5745419489562771</v>
      </c>
      <c r="M688">
        <v>1.3842613773208834</v>
      </c>
      <c r="N688">
        <v>2.2649083627527267</v>
      </c>
      <c r="O688">
        <v>-1.851612000000058E-2</v>
      </c>
      <c r="P688">
        <v>4.3699648073364239</v>
      </c>
      <c r="Q688">
        <v>4.7325114361700615</v>
      </c>
      <c r="R688">
        <v>5.7362832651691065</v>
      </c>
      <c r="S688">
        <v>4.1200349965442529</v>
      </c>
      <c r="T688">
        <v>1.2927246975065199</v>
      </c>
      <c r="U688">
        <v>66.506187493927897</v>
      </c>
      <c r="V688">
        <v>6.3846340486086284</v>
      </c>
      <c r="W688">
        <v>-0.40903305384806243</v>
      </c>
      <c r="X688">
        <v>-0.3934676100000003</v>
      </c>
      <c r="Y688">
        <v>0.44323515000000008</v>
      </c>
      <c r="Z688">
        <v>1.1838374099999993</v>
      </c>
    </row>
    <row r="689" spans="1:26">
      <c r="A689" s="54" t="str">
        <f>CONCATENATE(raw[[#This Row],[redis_ls]],raw[[#This Row],[wage_eq]],raw[[#This Row],[flex]],raw[[#This Row],[expo]],raw[[#This Row],[_date_]])</f>
        <v>021045292</v>
      </c>
      <c r="B689" s="1">
        <v>45292</v>
      </c>
      <c r="C689">
        <v>0</v>
      </c>
      <c r="D689">
        <v>2</v>
      </c>
      <c r="E689">
        <v>1</v>
      </c>
      <c r="F689">
        <v>0</v>
      </c>
      <c r="G689">
        <v>0.8670029264231438</v>
      </c>
      <c r="H689">
        <v>161.88142999999764</v>
      </c>
      <c r="I689">
        <v>-8.9374098998384994</v>
      </c>
      <c r="J689">
        <v>2.2287814577436782</v>
      </c>
      <c r="K689">
        <v>5.347468472053829</v>
      </c>
      <c r="L689">
        <v>-2.5645345170267952</v>
      </c>
      <c r="M689">
        <v>1.3667997445138802</v>
      </c>
      <c r="N689">
        <v>2.2097312151728721</v>
      </c>
      <c r="O689">
        <v>-1.6685359999998872E-2</v>
      </c>
      <c r="P689">
        <v>4.318681053606932</v>
      </c>
      <c r="Q689">
        <v>4.6652257938834873</v>
      </c>
      <c r="R689">
        <v>5.6821425022341998</v>
      </c>
      <c r="S689">
        <v>4.0544193425671171</v>
      </c>
      <c r="T689">
        <v>1.1176161451325051</v>
      </c>
      <c r="U689">
        <v>69.539017497095188</v>
      </c>
      <c r="V689">
        <v>6.3745167530354419</v>
      </c>
      <c r="W689">
        <v>-0.37149447483568743</v>
      </c>
      <c r="X689">
        <v>-0.36668672000000002</v>
      </c>
      <c r="Y689">
        <v>0.4334826</v>
      </c>
      <c r="Z689">
        <v>1.136960849999999</v>
      </c>
    </row>
    <row r="690" spans="1:26">
      <c r="A690" s="54" t="str">
        <f>CONCATENATE(raw[[#This Row],[redis_ls]],raw[[#This Row],[wage_eq]],raw[[#This Row],[flex]],raw[[#This Row],[expo]],raw[[#This Row],[_date_]])</f>
        <v>021045658</v>
      </c>
      <c r="B690" s="1">
        <v>45658</v>
      </c>
      <c r="C690">
        <v>0</v>
      </c>
      <c r="D690">
        <v>2</v>
      </c>
      <c r="E690">
        <v>1</v>
      </c>
      <c r="F690">
        <v>0</v>
      </c>
      <c r="G690">
        <v>0.83233683219525734</v>
      </c>
      <c r="H690">
        <v>151.94834000000264</v>
      </c>
      <c r="I690">
        <v>-8.801589691157762</v>
      </c>
      <c r="J690">
        <v>2.1659982786336851</v>
      </c>
      <c r="K690">
        <v>5.386905682109755</v>
      </c>
      <c r="L690">
        <v>-2.5457829066816817</v>
      </c>
      <c r="M690">
        <v>1.3446590543486847</v>
      </c>
      <c r="N690">
        <v>2.1490882687699608</v>
      </c>
      <c r="O690">
        <v>-1.4818839999999889E-2</v>
      </c>
      <c r="P690">
        <v>4.2564429282565097</v>
      </c>
      <c r="Q690">
        <v>4.5863193545283121</v>
      </c>
      <c r="R690">
        <v>5.6102990648488671</v>
      </c>
      <c r="S690">
        <v>3.9805037452946834</v>
      </c>
      <c r="T690">
        <v>0.9417192635855498</v>
      </c>
      <c r="U690">
        <v>72.424042350974432</v>
      </c>
      <c r="V690">
        <v>6.3437693524182714</v>
      </c>
      <c r="W690">
        <v>-0.33505337959544024</v>
      </c>
      <c r="X690">
        <v>-0.34255479000000028</v>
      </c>
      <c r="Y690">
        <v>0.42352267999999982</v>
      </c>
      <c r="Z690">
        <v>1.0868238000000003</v>
      </c>
    </row>
    <row r="691" spans="1:26">
      <c r="A691" s="54" t="str">
        <f>CONCATENATE(raw[[#This Row],[redis_ls]],raw[[#This Row],[wage_eq]],raw[[#This Row],[flex]],raw[[#This Row],[expo]],raw[[#This Row],[_date_]])</f>
        <v>021046023</v>
      </c>
      <c r="B691" s="1">
        <v>46023</v>
      </c>
      <c r="C691">
        <v>0</v>
      </c>
      <c r="D691">
        <v>2</v>
      </c>
      <c r="E691">
        <v>1</v>
      </c>
      <c r="F691">
        <v>0</v>
      </c>
      <c r="G691">
        <v>0.79778628942752672</v>
      </c>
      <c r="H691">
        <v>142.99748999999792</v>
      </c>
      <c r="I691">
        <v>-8.662563781291011</v>
      </c>
      <c r="J691">
        <v>2.0988736505328065</v>
      </c>
      <c r="K691">
        <v>5.4101048810364594</v>
      </c>
      <c r="L691">
        <v>-2.5195689692675494</v>
      </c>
      <c r="M691">
        <v>1.3187817164064475</v>
      </c>
      <c r="N691">
        <v>2.084101971818586</v>
      </c>
      <c r="O691">
        <v>-1.2952830000000082E-2</v>
      </c>
      <c r="P691">
        <v>4.1855217348916618</v>
      </c>
      <c r="Q691">
        <v>4.4985030501603962</v>
      </c>
      <c r="R691">
        <v>5.5241389004113239</v>
      </c>
      <c r="S691">
        <v>3.9003797955714514</v>
      </c>
      <c r="T691">
        <v>0.76710196918599038</v>
      </c>
      <c r="U691">
        <v>75.159119113784328</v>
      </c>
      <c r="V691">
        <v>6.2958267503759657</v>
      </c>
      <c r="W691">
        <v>-0.2996422185834291</v>
      </c>
      <c r="X691">
        <v>-0.3209416500000003</v>
      </c>
      <c r="Y691">
        <v>0.41360669999999999</v>
      </c>
      <c r="Z691">
        <v>1.0340258500000004</v>
      </c>
    </row>
    <row r="692" spans="1:26">
      <c r="A692" s="54" t="str">
        <f>CONCATENATE(raw[[#This Row],[redis_ls]],raw[[#This Row],[wage_eq]],raw[[#This Row],[flex]],raw[[#This Row],[expo]],raw[[#This Row],[_date_]])</f>
        <v>021046388</v>
      </c>
      <c r="B692" s="1">
        <v>46388</v>
      </c>
      <c r="C692">
        <v>0</v>
      </c>
      <c r="D692">
        <v>2</v>
      </c>
      <c r="E692">
        <v>1</v>
      </c>
      <c r="F692">
        <v>0</v>
      </c>
      <c r="G692">
        <v>0.76347579203250859</v>
      </c>
      <c r="H692">
        <v>134.96450999999797</v>
      </c>
      <c r="I692">
        <v>-8.5204025262730845</v>
      </c>
      <c r="J692">
        <v>2.0284839723738735</v>
      </c>
      <c r="K692">
        <v>5.417484802783612</v>
      </c>
      <c r="L692">
        <v>-2.4871316700291635</v>
      </c>
      <c r="M692">
        <v>1.2899992230028134</v>
      </c>
      <c r="N692">
        <v>2.0158165311447762</v>
      </c>
      <c r="O692">
        <v>-1.1114989999999603E-2</v>
      </c>
      <c r="P692">
        <v>4.1080162831513389</v>
      </c>
      <c r="Q692">
        <v>4.404227054522214</v>
      </c>
      <c r="R692">
        <v>5.4268214398993653</v>
      </c>
      <c r="S692">
        <v>3.8159180445986429</v>
      </c>
      <c r="T692">
        <v>0.59551409739082573</v>
      </c>
      <c r="U692">
        <v>77.744681058166137</v>
      </c>
      <c r="V692">
        <v>6.2339615431528328</v>
      </c>
      <c r="W692">
        <v>-0.26516977612918158</v>
      </c>
      <c r="X692">
        <v>-0.3016347199999998</v>
      </c>
      <c r="Y692">
        <v>0.40396172999999991</v>
      </c>
      <c r="Z692">
        <v>0.97914138000000095</v>
      </c>
    </row>
    <row r="693" spans="1:26">
      <c r="A693" s="54" t="str">
        <f>CONCATENATE(raw[[#This Row],[redis_ls]],raw[[#This Row],[wage_eq]],raw[[#This Row],[flex]],raw[[#This Row],[expo]],raw[[#This Row],[_date_]])</f>
        <v>021046753</v>
      </c>
      <c r="B693" s="1">
        <v>46753</v>
      </c>
      <c r="C693">
        <v>0</v>
      </c>
      <c r="D693">
        <v>2</v>
      </c>
      <c r="E693">
        <v>1</v>
      </c>
      <c r="F693">
        <v>0</v>
      </c>
      <c r="G693">
        <v>0.72950522641810345</v>
      </c>
      <c r="H693">
        <v>127.75609000000259</v>
      </c>
      <c r="I693">
        <v>-8.3753886565580586</v>
      </c>
      <c r="J693">
        <v>1.9558280338632938</v>
      </c>
      <c r="K693">
        <v>5.4096348707575848</v>
      </c>
      <c r="L693">
        <v>-2.4496437922143954</v>
      </c>
      <c r="M693">
        <v>1.259041420399809</v>
      </c>
      <c r="N693">
        <v>1.9452097257051992</v>
      </c>
      <c r="O693">
        <v>-9.3235699999999477E-3</v>
      </c>
      <c r="P693">
        <v>4.0258280415589986</v>
      </c>
      <c r="Q693">
        <v>4.3056617095296623</v>
      </c>
      <c r="R693">
        <v>5.3212350337308978</v>
      </c>
      <c r="S693">
        <v>3.7287592242280843</v>
      </c>
      <c r="T693">
        <v>0.42839117939870164</v>
      </c>
      <c r="U693">
        <v>80.183372666544201</v>
      </c>
      <c r="V693">
        <v>6.1612167874425916</v>
      </c>
      <c r="W693">
        <v>-0.23153786337049009</v>
      </c>
      <c r="X693">
        <v>-0.28436414700000001</v>
      </c>
      <c r="Y693">
        <v>0.39478205000000044</v>
      </c>
      <c r="Z693">
        <v>0.92273434999999981</v>
      </c>
    </row>
    <row r="694" spans="1:26">
      <c r="A694" s="54" t="str">
        <f>CONCATENATE(raw[[#This Row],[redis_ls]],raw[[#This Row],[wage_eq]],raw[[#This Row],[flex]],raw[[#This Row],[expo]],raw[[#This Row],[_date_]])</f>
        <v>021047119</v>
      </c>
      <c r="B694" s="1">
        <v>47119</v>
      </c>
      <c r="C694">
        <v>0</v>
      </c>
      <c r="D694">
        <v>2</v>
      </c>
      <c r="E694">
        <v>1</v>
      </c>
      <c r="F694">
        <v>0</v>
      </c>
      <c r="G694">
        <v>0.69596395812911993</v>
      </c>
      <c r="H694">
        <v>121.2601399999985</v>
      </c>
      <c r="I694">
        <v>-8.227960074555785</v>
      </c>
      <c r="J694">
        <v>1.8818420551543369</v>
      </c>
      <c r="K694">
        <v>5.3872945199452849</v>
      </c>
      <c r="L694">
        <v>-2.4081958947852478</v>
      </c>
      <c r="M694">
        <v>1.2265497956063465</v>
      </c>
      <c r="N694">
        <v>1.8732065919726093</v>
      </c>
      <c r="O694">
        <v>-7.5880999999999865E-3</v>
      </c>
      <c r="P694">
        <v>3.9406476223673437</v>
      </c>
      <c r="Q694">
        <v>4.2046930841042052</v>
      </c>
      <c r="R694">
        <v>5.2099703205523928</v>
      </c>
      <c r="S694">
        <v>3.6403159333899815</v>
      </c>
      <c r="T694">
        <v>0.26686827932265178</v>
      </c>
      <c r="U694">
        <v>82.479676221233646</v>
      </c>
      <c r="V694">
        <v>6.080359834236515</v>
      </c>
      <c r="W694">
        <v>-0.19865487404002735</v>
      </c>
      <c r="X694">
        <v>-0.26882863600000012</v>
      </c>
      <c r="Y694">
        <v>0.38622264000000017</v>
      </c>
      <c r="Z694">
        <v>0.86537299999999984</v>
      </c>
    </row>
    <row r="695" spans="1:26">
      <c r="A695" s="54" t="str">
        <f>CONCATENATE(raw[[#This Row],[redis_ls]],raw[[#This Row],[wage_eq]],raw[[#This Row],[flex]],raw[[#This Row],[expo]],raw[[#This Row],[_date_]])</f>
        <v>021047484</v>
      </c>
      <c r="B695" s="1">
        <v>47484</v>
      </c>
      <c r="C695">
        <v>0</v>
      </c>
      <c r="D695">
        <v>2</v>
      </c>
      <c r="E695">
        <v>1</v>
      </c>
      <c r="F695">
        <v>0</v>
      </c>
      <c r="G695">
        <v>0.66294261657673381</v>
      </c>
      <c r="H695">
        <v>115.35618999999861</v>
      </c>
      <c r="I695">
        <v>-8.0786547090714311</v>
      </c>
      <c r="J695">
        <v>1.8074148907608167</v>
      </c>
      <c r="K695">
        <v>5.3513309776992202</v>
      </c>
      <c r="L695">
        <v>-2.3637847013236013</v>
      </c>
      <c r="M695">
        <v>1.1930917679148001</v>
      </c>
      <c r="N695">
        <v>1.8006927423252606</v>
      </c>
      <c r="O695">
        <v>-5.9113400000004868E-3</v>
      </c>
      <c r="P695">
        <v>3.8539508665911049</v>
      </c>
      <c r="Q695">
        <v>4.1029298488999943</v>
      </c>
      <c r="R695">
        <v>5.0953090230244635</v>
      </c>
      <c r="S695">
        <v>3.5517823523721681</v>
      </c>
      <c r="T695">
        <v>0.11180129970660424</v>
      </c>
      <c r="U695">
        <v>84.639545209369714</v>
      </c>
      <c r="V695">
        <v>5.9938551382382466</v>
      </c>
      <c r="W695">
        <v>-0.16644542962400699</v>
      </c>
      <c r="X695">
        <v>-0.25471987000000001</v>
      </c>
      <c r="Y695">
        <v>0.37839516000000017</v>
      </c>
      <c r="Z695">
        <v>0.80764103999999981</v>
      </c>
    </row>
    <row r="696" spans="1:26">
      <c r="A696" s="54" t="str">
        <f>CONCATENATE(raw[[#This Row],[redis_ls]],raw[[#This Row],[wage_eq]],raw[[#This Row],[flex]],raw[[#This Row],[expo]],raw[[#This Row],[_date_]])</f>
        <v>021047849</v>
      </c>
      <c r="B696" s="1">
        <v>47849</v>
      </c>
      <c r="C696">
        <v>0</v>
      </c>
      <c r="D696">
        <v>2</v>
      </c>
      <c r="E696">
        <v>1</v>
      </c>
      <c r="F696">
        <v>0</v>
      </c>
      <c r="G696">
        <v>0.63054175940533419</v>
      </c>
      <c r="H696">
        <v>109.92457999999897</v>
      </c>
      <c r="I696">
        <v>-7.9280608603632281</v>
      </c>
      <c r="J696">
        <v>1.7333987837592879</v>
      </c>
      <c r="K696">
        <v>5.3027160865354972</v>
      </c>
      <c r="L696">
        <v>-2.317306969155708</v>
      </c>
      <c r="M696">
        <v>1.1591740649406823</v>
      </c>
      <c r="N696">
        <v>1.7285213058405358</v>
      </c>
      <c r="O696">
        <v>-4.2924900000004818E-3</v>
      </c>
      <c r="P696">
        <v>3.7670031792921055</v>
      </c>
      <c r="Q696">
        <v>4.0017186145400618</v>
      </c>
      <c r="R696">
        <v>4.9792256095783971</v>
      </c>
      <c r="S696">
        <v>3.4641495291934499</v>
      </c>
      <c r="T696">
        <v>-3.6206501847524386E-2</v>
      </c>
      <c r="U696">
        <v>86.670059585611426</v>
      </c>
      <c r="V696">
        <v>5.903854038385381</v>
      </c>
      <c r="W696">
        <v>-0.13485648244417892</v>
      </c>
      <c r="X696">
        <v>-0.24174350660000002</v>
      </c>
      <c r="Y696">
        <v>0.37136667000000001</v>
      </c>
      <c r="Z696">
        <v>0.75014196999999982</v>
      </c>
    </row>
    <row r="697" spans="1:26">
      <c r="A697" s="54" t="str">
        <f>CONCATENATE(raw[[#This Row],[redis_ls]],raw[[#This Row],[wage_eq]],raw[[#This Row],[flex]],raw[[#This Row],[expo]],raw[[#This Row],[_date_]])</f>
        <v>021048214</v>
      </c>
      <c r="B697" s="1">
        <v>48214</v>
      </c>
      <c r="C697">
        <v>0</v>
      </c>
      <c r="D697">
        <v>2</v>
      </c>
      <c r="E697">
        <v>1</v>
      </c>
      <c r="F697">
        <v>0</v>
      </c>
      <c r="G697">
        <v>0.59887515387708756</v>
      </c>
      <c r="H697">
        <v>104.85412999999971</v>
      </c>
      <c r="I697">
        <v>-7.7767759676177217</v>
      </c>
      <c r="J697">
        <v>1.6606131479801389</v>
      </c>
      <c r="K697">
        <v>5.24250145627847</v>
      </c>
      <c r="L697">
        <v>-2.2695577955660573</v>
      </c>
      <c r="M697">
        <v>1.1252528024458197</v>
      </c>
      <c r="N697">
        <v>1.6575126086380676</v>
      </c>
      <c r="O697">
        <v>-2.7307599999998322E-3</v>
      </c>
      <c r="P697">
        <v>3.6808694271214026</v>
      </c>
      <c r="Q697">
        <v>3.9021647987799613</v>
      </c>
      <c r="R697">
        <v>4.863398543118147</v>
      </c>
      <c r="S697">
        <v>3.3782241504981103</v>
      </c>
      <c r="T697">
        <v>-0.17677507374097567</v>
      </c>
      <c r="U697">
        <v>88.57911047748253</v>
      </c>
      <c r="V697">
        <v>5.8121984622918177</v>
      </c>
      <c r="W697">
        <v>-0.10385923817053389</v>
      </c>
      <c r="X697">
        <v>-0.22963507350000001</v>
      </c>
      <c r="Y697">
        <v>0.36516128000000025</v>
      </c>
      <c r="Z697">
        <v>0.69349477999999931</v>
      </c>
    </row>
    <row r="698" spans="1:26">
      <c r="A698" s="54" t="str">
        <f>CONCATENATE(raw[[#This Row],[redis_ls]],raw[[#This Row],[wage_eq]],raw[[#This Row],[flex]],raw[[#This Row],[expo]],raw[[#This Row],[_date_]])</f>
        <v>021048580</v>
      </c>
      <c r="B698" s="1">
        <v>48580</v>
      </c>
      <c r="C698">
        <v>0</v>
      </c>
      <c r="D698">
        <v>2</v>
      </c>
      <c r="E698">
        <v>1</v>
      </c>
      <c r="F698">
        <v>0</v>
      </c>
      <c r="G698">
        <v>0.56806897676950907</v>
      </c>
      <c r="H698">
        <v>100.04745999999795</v>
      </c>
      <c r="I698">
        <v>-7.6253751384801838</v>
      </c>
      <c r="J698">
        <v>1.589839075520616</v>
      </c>
      <c r="K698">
        <v>5.1717927402215702</v>
      </c>
      <c r="L698">
        <v>-2.2212310420104187</v>
      </c>
      <c r="M698">
        <v>1.0917395128237972</v>
      </c>
      <c r="N698">
        <v>1.5884449945547718</v>
      </c>
      <c r="O698">
        <v>-1.2286700000002648E-3</v>
      </c>
      <c r="P698">
        <v>3.5964281424210931</v>
      </c>
      <c r="Q698">
        <v>3.805156446837854</v>
      </c>
      <c r="R698">
        <v>4.7492280202582782</v>
      </c>
      <c r="S698">
        <v>3.2946486853084211</v>
      </c>
      <c r="T698">
        <v>-0.3097170953195616</v>
      </c>
      <c r="U698">
        <v>90.375119427808087</v>
      </c>
      <c r="V698">
        <v>5.7204349932055365</v>
      </c>
      <c r="W698">
        <v>-7.3448244529639162E-2</v>
      </c>
      <c r="X698">
        <v>-0.21816985299999997</v>
      </c>
      <c r="Y698">
        <v>0.35976451999999992</v>
      </c>
      <c r="Z698">
        <v>0.63832055000000021</v>
      </c>
    </row>
    <row r="699" spans="1:26">
      <c r="A699" s="54" t="str">
        <f>CONCATENATE(raw[[#This Row],[redis_ls]],raw[[#This Row],[wage_eq]],raw[[#This Row],[flex]],raw[[#This Row],[expo]],raw[[#This Row],[_date_]])</f>
        <v>021048945</v>
      </c>
      <c r="B699" s="1">
        <v>48945</v>
      </c>
      <c r="C699">
        <v>0</v>
      </c>
      <c r="D699">
        <v>2</v>
      </c>
      <c r="E699">
        <v>1</v>
      </c>
      <c r="F699">
        <v>0</v>
      </c>
      <c r="G699">
        <v>0.53825585114513075</v>
      </c>
      <c r="H699">
        <v>95.423660000000382</v>
      </c>
      <c r="I699">
        <v>-7.4743903478435403</v>
      </c>
      <c r="J699">
        <v>1.5218058279505398</v>
      </c>
      <c r="K699">
        <v>5.0917232146860281</v>
      </c>
      <c r="L699">
        <v>-2.1729237730051532</v>
      </c>
      <c r="M699">
        <v>1.0590025447948515</v>
      </c>
      <c r="N699">
        <v>1.5220388605028168</v>
      </c>
      <c r="O699">
        <v>2.0557000000032133E-4</v>
      </c>
      <c r="P699">
        <v>3.5143875858343776</v>
      </c>
      <c r="Q699">
        <v>3.7113887476279306</v>
      </c>
      <c r="R699">
        <v>4.6378575616507378</v>
      </c>
      <c r="S699">
        <v>3.2139214362371327</v>
      </c>
      <c r="T699">
        <v>-0.43500785372941886</v>
      </c>
      <c r="U699">
        <v>92.066793314879106</v>
      </c>
      <c r="V699">
        <v>5.6298357239658925</v>
      </c>
      <c r="W699">
        <v>-4.3637894876658034E-2</v>
      </c>
      <c r="X699">
        <v>-0.20716658200000004</v>
      </c>
      <c r="Y699">
        <v>0.35513003999999987</v>
      </c>
      <c r="Z699">
        <v>0.58522156999999964</v>
      </c>
    </row>
    <row r="700" spans="1:26">
      <c r="A700" s="54" t="str">
        <f>CONCATENATE(raw[[#This Row],[redis_ls]],raw[[#This Row],[wage_eq]],raw[[#This Row],[flex]],raw[[#This Row],[expo]],raw[[#This Row],[_date_]])</f>
        <v>021049310</v>
      </c>
      <c r="B700" s="1">
        <v>49310</v>
      </c>
      <c r="C700">
        <v>0</v>
      </c>
      <c r="D700">
        <v>2</v>
      </c>
      <c r="E700">
        <v>1</v>
      </c>
      <c r="F700">
        <v>0</v>
      </c>
      <c r="G700">
        <v>0.50956597507094692</v>
      </c>
      <c r="H700">
        <v>90.918700000001991</v>
      </c>
      <c r="I700">
        <v>-7.3242991971369182</v>
      </c>
      <c r="J700">
        <v>1.4571708078706225</v>
      </c>
      <c r="K700">
        <v>5.0034278292920398</v>
      </c>
      <c r="L700">
        <v>-2.1251410220762823</v>
      </c>
      <c r="M700">
        <v>1.0273646449423079</v>
      </c>
      <c r="N700">
        <v>1.4589350035491666</v>
      </c>
      <c r="O700">
        <v>1.5571400000011226E-3</v>
      </c>
      <c r="P700">
        <v>3.4353024121901443</v>
      </c>
      <c r="Q700">
        <v>3.6213876724393135</v>
      </c>
      <c r="R700">
        <v>4.5301969401585707</v>
      </c>
      <c r="S700">
        <v>3.1364150105332111</v>
      </c>
      <c r="T700">
        <v>-0.55275726188129815</v>
      </c>
      <c r="U700">
        <v>93.662913433200629</v>
      </c>
      <c r="V700">
        <v>5.5414226449933546</v>
      </c>
      <c r="W700">
        <v>-1.4457224464325957E-2</v>
      </c>
      <c r="X700">
        <v>-0.19648560999999987</v>
      </c>
      <c r="Y700">
        <v>0.35118780000000027</v>
      </c>
      <c r="Z700">
        <v>0.5347555599999998</v>
      </c>
    </row>
    <row r="701" spans="1:26">
      <c r="A701" s="54" t="str">
        <f>CONCATENATE(raw[[#This Row],[redis_ls]],raw[[#This Row],[wage_eq]],raw[[#This Row],[flex]],raw[[#This Row],[expo]],raw[[#This Row],[_date_]])</f>
        <v>021049675</v>
      </c>
      <c r="B701" s="1">
        <v>49675</v>
      </c>
      <c r="C701">
        <v>0</v>
      </c>
      <c r="D701">
        <v>2</v>
      </c>
      <c r="E701">
        <v>1</v>
      </c>
      <c r="F701">
        <v>0</v>
      </c>
      <c r="G701">
        <v>0.48211662518549137</v>
      </c>
      <c r="H701">
        <v>86.483599999999569</v>
      </c>
      <c r="I701">
        <v>-7.1755220333264873</v>
      </c>
      <c r="J701">
        <v>1.3964958364969471</v>
      </c>
      <c r="K701">
        <v>4.9080185109971364</v>
      </c>
      <c r="L701">
        <v>-2.0783024691577778</v>
      </c>
      <c r="M701">
        <v>0.99709796964475572</v>
      </c>
      <c r="N701">
        <v>1.3996718271293007</v>
      </c>
      <c r="O701">
        <v>2.8052500000000369E-3</v>
      </c>
      <c r="P701">
        <v>3.3595905796620862</v>
      </c>
      <c r="Q701">
        <v>3.5355314584622155</v>
      </c>
      <c r="R701">
        <v>4.4269450283146439</v>
      </c>
      <c r="S701">
        <v>3.0623937900443376</v>
      </c>
      <c r="T701">
        <v>-0.66318378341696516</v>
      </c>
      <c r="U701">
        <v>95.172159029221291</v>
      </c>
      <c r="V701">
        <v>5.4559932659229204</v>
      </c>
      <c r="W701">
        <v>1.4055407791357943E-2</v>
      </c>
      <c r="X701">
        <v>-0.18602279000000005</v>
      </c>
      <c r="Y701">
        <v>0.34785300000000074</v>
      </c>
      <c r="Z701">
        <v>0.48740894999999979</v>
      </c>
    </row>
    <row r="702" spans="1:26">
      <c r="A702" s="54" t="str">
        <f>CONCATENATE(raw[[#This Row],[redis_ls]],raw[[#This Row],[wage_eq]],raw[[#This Row],[flex]],raw[[#This Row],[expo]],raw[[#This Row],[_date_]])</f>
        <v>021050041</v>
      </c>
      <c r="B702" s="1">
        <v>50041</v>
      </c>
      <c r="C702">
        <v>0</v>
      </c>
      <c r="D702">
        <v>2</v>
      </c>
      <c r="E702">
        <v>1</v>
      </c>
      <c r="F702">
        <v>0</v>
      </c>
      <c r="G702">
        <v>0.45600144506818818</v>
      </c>
      <c r="H702">
        <v>82.081389999999374</v>
      </c>
      <c r="I702">
        <v>-7.0284251660015284</v>
      </c>
      <c r="J702">
        <v>1.3402252243784663</v>
      </c>
      <c r="K702">
        <v>4.8065626726471855</v>
      </c>
      <c r="L702">
        <v>-2.0327487714501435</v>
      </c>
      <c r="M702">
        <v>0.96841815285466648</v>
      </c>
      <c r="N702">
        <v>1.3446664102802375</v>
      </c>
      <c r="O702">
        <v>3.9251800000000836E-3</v>
      </c>
      <c r="P702">
        <v>3.2875475749025274</v>
      </c>
      <c r="Q702">
        <v>3.4540698044148943</v>
      </c>
      <c r="R702">
        <v>4.32861131869684</v>
      </c>
      <c r="S702">
        <v>2.9920274316714179</v>
      </c>
      <c r="T702">
        <v>-0.76659195647191813</v>
      </c>
      <c r="U702">
        <v>96.602957840741482</v>
      </c>
      <c r="V702">
        <v>5.3741450896430676</v>
      </c>
      <c r="W702">
        <v>4.1857984335447185E-2</v>
      </c>
      <c r="X702">
        <v>-0.17570073999999997</v>
      </c>
      <c r="Y702">
        <v>0.34503473999999912</v>
      </c>
      <c r="Z702">
        <v>0.44357274000000058</v>
      </c>
    </row>
    <row r="703" spans="1:26">
      <c r="A703" s="54" t="str">
        <f>CONCATENATE(raw[[#This Row],[redis_ls]],raw[[#This Row],[wage_eq]],raw[[#This Row],[flex]],raw[[#This Row],[expo]],raw[[#This Row],[_date_]])</f>
        <v>021050406</v>
      </c>
      <c r="B703" s="1">
        <v>50406</v>
      </c>
      <c r="C703">
        <v>0</v>
      </c>
      <c r="D703">
        <v>2</v>
      </c>
      <c r="E703">
        <v>1</v>
      </c>
      <c r="F703">
        <v>0</v>
      </c>
      <c r="G703">
        <v>0.43128187489602787</v>
      </c>
      <c r="H703">
        <v>77.683209999995597</v>
      </c>
      <c r="I703">
        <v>-6.8833276849580072</v>
      </c>
      <c r="J703">
        <v>1.2886678064940371</v>
      </c>
      <c r="K703">
        <v>4.7000652423611955</v>
      </c>
      <c r="L703">
        <v>-1.988748201538415</v>
      </c>
      <c r="M703">
        <v>0.94147912622446484</v>
      </c>
      <c r="N703">
        <v>1.294198902063326</v>
      </c>
      <c r="O703">
        <v>4.8913300000008597E-3</v>
      </c>
      <c r="P703">
        <v>3.2193610556619623</v>
      </c>
      <c r="Q703">
        <v>3.3771401801057754</v>
      </c>
      <c r="R703">
        <v>4.2355357254354242</v>
      </c>
      <c r="S703">
        <v>2.9254037787312948</v>
      </c>
      <c r="T703">
        <v>-0.86335199926298456</v>
      </c>
      <c r="U703">
        <v>97.963365208798848</v>
      </c>
      <c r="V703">
        <v>5.2962982636923783</v>
      </c>
      <c r="W703">
        <v>6.8909072818890138E-2</v>
      </c>
      <c r="X703">
        <v>-0.16545930999999989</v>
      </c>
      <c r="Y703">
        <v>0.3426435799999995</v>
      </c>
      <c r="Z703">
        <v>0.40352446000000086</v>
      </c>
    </row>
    <row r="704" spans="1:26">
      <c r="A704" s="54" t="str">
        <f>CONCATENATE(raw[[#This Row],[redis_ls]],raw[[#This Row],[wage_eq]],raw[[#This Row],[flex]],raw[[#This Row],[expo]],raw[[#This Row],[_date_]])</f>
        <v>021050771</v>
      </c>
      <c r="B704" s="1">
        <v>50771</v>
      </c>
      <c r="C704">
        <v>0</v>
      </c>
      <c r="D704">
        <v>2</v>
      </c>
      <c r="E704">
        <v>1</v>
      </c>
      <c r="F704">
        <v>0</v>
      </c>
      <c r="G704">
        <v>0.40798130341721528</v>
      </c>
      <c r="H704">
        <v>73.264629999997851</v>
      </c>
      <c r="I704">
        <v>-6.7405097568050021</v>
      </c>
      <c r="J704">
        <v>1.2419865769054406</v>
      </c>
      <c r="K704">
        <v>4.5894556897442262</v>
      </c>
      <c r="L704">
        <v>-1.9465032153555883</v>
      </c>
      <c r="M704">
        <v>0.91637013602392514</v>
      </c>
      <c r="N704">
        <v>1.2484066764274049</v>
      </c>
      <c r="O704">
        <v>5.6805800000003792E-3</v>
      </c>
      <c r="P704">
        <v>3.1551223157580299</v>
      </c>
      <c r="Q704">
        <v>3.3047819165795023</v>
      </c>
      <c r="R704">
        <v>4.1479067030536942</v>
      </c>
      <c r="S704">
        <v>2.8625390069183965</v>
      </c>
      <c r="T704">
        <v>-0.9538828440517122</v>
      </c>
      <c r="U704">
        <v>99.260965961986017</v>
      </c>
      <c r="V704">
        <v>5.2227155033818695</v>
      </c>
      <c r="W704">
        <v>9.517121481772417E-2</v>
      </c>
      <c r="X704">
        <v>-0.15524682000000006</v>
      </c>
      <c r="Y704">
        <v>0.34059746000000002</v>
      </c>
      <c r="Z704">
        <v>0.36741820999999925</v>
      </c>
    </row>
    <row r="705" spans="1:26">
      <c r="A705" s="54" t="str">
        <f>CONCATENATE(raw[[#This Row],[redis_ls]],raw[[#This Row],[wage_eq]],raw[[#This Row],[flex]],raw[[#This Row],[expo]],raw[[#This Row],[_date_]])</f>
        <v>021051136</v>
      </c>
      <c r="B705" s="1">
        <v>51136</v>
      </c>
      <c r="C705">
        <v>0</v>
      </c>
      <c r="D705">
        <v>2</v>
      </c>
      <c r="E705">
        <v>1</v>
      </c>
      <c r="F705">
        <v>0</v>
      </c>
      <c r="G705">
        <v>0.38608304444185393</v>
      </c>
      <c r="H705">
        <v>68.802469999995083</v>
      </c>
      <c r="I705">
        <v>-6.6002203845484715</v>
      </c>
      <c r="J705">
        <v>1.2001975574847057</v>
      </c>
      <c r="K705">
        <v>4.4755799097097038</v>
      </c>
      <c r="L705">
        <v>-1.9061561198994492</v>
      </c>
      <c r="M705">
        <v>0.8931158777973458</v>
      </c>
      <c r="N705">
        <v>1.2072866040903074</v>
      </c>
      <c r="O705">
        <v>6.2754700000000607E-3</v>
      </c>
      <c r="P705">
        <v>3.0948375529944006</v>
      </c>
      <c r="Q705">
        <v>3.2369483836504287</v>
      </c>
      <c r="R705">
        <v>4.0657779019716456</v>
      </c>
      <c r="S705">
        <v>2.8033860057006921</v>
      </c>
      <c r="T705">
        <v>-1.0386377693884841</v>
      </c>
      <c r="U705">
        <v>100.50279640712638</v>
      </c>
      <c r="V705">
        <v>5.1535197042348324</v>
      </c>
      <c r="W705">
        <v>0.12061267037319912</v>
      </c>
      <c r="X705">
        <v>-0.14501329000000013</v>
      </c>
      <c r="Y705">
        <v>0.33882557000000024</v>
      </c>
      <c r="Z705">
        <v>0.33528389999999963</v>
      </c>
    </row>
    <row r="706" spans="1:26">
      <c r="A706" s="54" t="str">
        <f>CONCATENATE(raw[[#This Row],[redis_ls]],raw[[#This Row],[wage_eq]],raw[[#This Row],[flex]],raw[[#This Row],[expo]],raw[[#This Row],[_date_]])</f>
        <v>021051502</v>
      </c>
      <c r="B706" s="1">
        <v>51502</v>
      </c>
      <c r="C706">
        <v>0</v>
      </c>
      <c r="D706">
        <v>2</v>
      </c>
      <c r="E706">
        <v>1</v>
      </c>
      <c r="F706">
        <v>0</v>
      </c>
      <c r="G706">
        <v>0.36553220859887325</v>
      </c>
      <c r="H706">
        <v>64.272769999995944</v>
      </c>
      <c r="I706">
        <v>-6.4626833592351218</v>
      </c>
      <c r="J706">
        <v>1.1631776391455517</v>
      </c>
      <c r="K706">
        <v>4.3591971796467677</v>
      </c>
      <c r="L706">
        <v>-1.8677951131838344</v>
      </c>
      <c r="M706">
        <v>0.87168004618380923</v>
      </c>
      <c r="N706">
        <v>1.1707052795721928</v>
      </c>
      <c r="O706">
        <v>6.6666100000001283E-3</v>
      </c>
      <c r="P706">
        <v>3.038438070542826</v>
      </c>
      <c r="Q706">
        <v>3.1735179226522803</v>
      </c>
      <c r="R706">
        <v>3.9890838575891596</v>
      </c>
      <c r="S706">
        <v>2.7478424152046488</v>
      </c>
      <c r="T706">
        <v>-1.118091178824987</v>
      </c>
      <c r="U706">
        <v>101.69528759411959</v>
      </c>
      <c r="V706">
        <v>5.0887098458691327</v>
      </c>
      <c r="W706">
        <v>0.14520804432662793</v>
      </c>
      <c r="X706">
        <v>-0.13470636000000002</v>
      </c>
      <c r="Y706">
        <v>0.33727013999999972</v>
      </c>
      <c r="Z706">
        <v>0.30703509999999989</v>
      </c>
    </row>
    <row r="707" spans="1:26">
      <c r="A707" s="54" t="str">
        <f>CONCATENATE(raw[[#This Row],[redis_ls]],raw[[#This Row],[wage_eq]],raw[[#This Row],[flex]],raw[[#This Row],[expo]],raw[[#This Row],[_date_]])</f>
        <v>021051867</v>
      </c>
      <c r="B707" s="1">
        <v>51867</v>
      </c>
      <c r="C707">
        <v>0</v>
      </c>
      <c r="D707">
        <v>2</v>
      </c>
      <c r="E707">
        <v>1</v>
      </c>
      <c r="F707">
        <v>0</v>
      </c>
      <c r="G707">
        <v>0.34624043711823926</v>
      </c>
      <c r="H707">
        <v>59.649819999998726</v>
      </c>
      <c r="I707">
        <v>-6.3281006246838745</v>
      </c>
      <c r="J707">
        <v>1.1306809060750656</v>
      </c>
      <c r="K707">
        <v>4.2409814105086596</v>
      </c>
      <c r="L707">
        <v>-1.8314594105330206</v>
      </c>
      <c r="M707">
        <v>0.85197231301503695</v>
      </c>
      <c r="N707">
        <v>1.1384171141466837</v>
      </c>
      <c r="O707">
        <v>6.8540399999997281E-3</v>
      </c>
      <c r="P707">
        <v>2.9857897166290392</v>
      </c>
      <c r="Q707">
        <v>3.1143039990726429</v>
      </c>
      <c r="R707">
        <v>3.9176552220147709</v>
      </c>
      <c r="S707">
        <v>2.6957576363873637</v>
      </c>
      <c r="T707">
        <v>-1.1927280643865612</v>
      </c>
      <c r="U707">
        <v>102.84422504428994</v>
      </c>
      <c r="V707">
        <v>5.0281752247915978</v>
      </c>
      <c r="W707">
        <v>0.16893770941297515</v>
      </c>
      <c r="X707">
        <v>-0.1242700599999997</v>
      </c>
      <c r="Y707">
        <v>0.33588647000000055</v>
      </c>
      <c r="Z707">
        <v>0.28248410000000013</v>
      </c>
    </row>
    <row r="708" spans="1:26">
      <c r="A708" s="54" t="str">
        <f>CONCATENATE(raw[[#This Row],[redis_ls]],raw[[#This Row],[wage_eq]],raw[[#This Row],[flex]],raw[[#This Row],[expo]],raw[[#This Row],[_date_]])</f>
        <v>021052232</v>
      </c>
      <c r="B708" s="1">
        <v>52232</v>
      </c>
      <c r="C708">
        <v>0</v>
      </c>
      <c r="D708">
        <v>2</v>
      </c>
      <c r="E708">
        <v>1</v>
      </c>
      <c r="F708">
        <v>0</v>
      </c>
      <c r="G708">
        <v>0.32809380807723443</v>
      </c>
      <c r="H708">
        <v>54.906549999999697</v>
      </c>
      <c r="I708">
        <v>-6.1966532050442673</v>
      </c>
      <c r="J708">
        <v>1.1023611744912953</v>
      </c>
      <c r="K708">
        <v>4.1215257942946337</v>
      </c>
      <c r="L708">
        <v>-1.7971446808437874</v>
      </c>
      <c r="M708">
        <v>0.83385767732375715</v>
      </c>
      <c r="N708">
        <v>1.1100872370235715</v>
      </c>
      <c r="O708">
        <v>6.8473499999999188E-3</v>
      </c>
      <c r="P708">
        <v>2.9367017544546403</v>
      </c>
      <c r="Q708">
        <v>3.0590652177169497</v>
      </c>
      <c r="R708">
        <v>3.8512339499422676</v>
      </c>
      <c r="S708">
        <v>2.6469397914568704</v>
      </c>
      <c r="T708">
        <v>-1.2630343683665002</v>
      </c>
      <c r="U708">
        <v>103.95472524340067</v>
      </c>
      <c r="V708">
        <v>4.9717097134105659</v>
      </c>
      <c r="W708">
        <v>0.19178643237693915</v>
      </c>
      <c r="X708">
        <v>-0.11364614999999981</v>
      </c>
      <c r="Y708">
        <v>0.33464149000000043</v>
      </c>
      <c r="Z708">
        <v>0.26136225999999974</v>
      </c>
    </row>
    <row r="709" spans="1:26">
      <c r="A709" s="54" t="str">
        <f>CONCATENATE(raw[[#This Row],[redis_ls]],raw[[#This Row],[wage_eq]],raw[[#This Row],[flex]],raw[[#This Row],[expo]],raw[[#This Row],[_date_]])</f>
        <v>021052597</v>
      </c>
      <c r="B709" s="1">
        <v>52597</v>
      </c>
      <c r="C709">
        <v>0</v>
      </c>
      <c r="D709">
        <v>2</v>
      </c>
      <c r="E709">
        <v>1</v>
      </c>
      <c r="F709">
        <v>0</v>
      </c>
      <c r="G709">
        <v>0.31096156375274298</v>
      </c>
      <c r="H709">
        <v>50.015650000001187</v>
      </c>
      <c r="I709">
        <v>-6.0684996711185875</v>
      </c>
      <c r="J709">
        <v>1.0777980461031733</v>
      </c>
      <c r="K709">
        <v>4.0013498992467644</v>
      </c>
      <c r="L709">
        <v>-1.7648079028284913</v>
      </c>
      <c r="M709">
        <v>0.81716777217410996</v>
      </c>
      <c r="N709">
        <v>1.0853159355518116</v>
      </c>
      <c r="O709">
        <v>6.6647900000008087E-3</v>
      </c>
      <c r="P709">
        <v>2.8909370748149588</v>
      </c>
      <c r="Q709">
        <v>3.0075150230945313</v>
      </c>
      <c r="R709">
        <v>3.789488511011907</v>
      </c>
      <c r="S709">
        <v>2.6011633333390627</v>
      </c>
      <c r="T709">
        <v>-1.3294883254897139</v>
      </c>
      <c r="U709">
        <v>105.03122942227088</v>
      </c>
      <c r="V709">
        <v>4.9190253847048115</v>
      </c>
      <c r="W709">
        <v>0.21374177347099899</v>
      </c>
      <c r="X709">
        <v>-0.10277737999999995</v>
      </c>
      <c r="Y709">
        <v>0.33351144999999927</v>
      </c>
      <c r="Z709">
        <v>0.2433427600000003</v>
      </c>
    </row>
    <row r="710" spans="1:26">
      <c r="A710" s="54" t="str">
        <f>CONCATENATE(raw[[#This Row],[redis_ls]],raw[[#This Row],[wage_eq]],raw[[#This Row],[flex]],raw[[#This Row],[expo]],raw[[#This Row],[_date_]])</f>
        <v>021052963</v>
      </c>
      <c r="B710" s="1">
        <v>52963</v>
      </c>
      <c r="C710">
        <v>0</v>
      </c>
      <c r="D710">
        <v>2</v>
      </c>
      <c r="E710">
        <v>1</v>
      </c>
      <c r="F710">
        <v>0</v>
      </c>
      <c r="G710">
        <v>0.29470557269462017</v>
      </c>
      <c r="H710">
        <v>44.951450000000477</v>
      </c>
      <c r="I710">
        <v>-5.9437732769392904</v>
      </c>
      <c r="J710">
        <v>1.0565245031621817</v>
      </c>
      <c r="K710">
        <v>3.8809079953689984</v>
      </c>
      <c r="L710">
        <v>-1.7343731443356769</v>
      </c>
      <c r="M710">
        <v>0.80171265048598617</v>
      </c>
      <c r="N710">
        <v>1.0636645186312688</v>
      </c>
      <c r="O710">
        <v>6.3315299999991415E-3</v>
      </c>
      <c r="P710">
        <v>2.8482212332009205</v>
      </c>
      <c r="Q710">
        <v>2.9593323599408805</v>
      </c>
      <c r="R710">
        <v>3.732029209940646</v>
      </c>
      <c r="S710">
        <v>2.5581760345700921</v>
      </c>
      <c r="T710">
        <v>-1.3925529817169768</v>
      </c>
      <c r="U710">
        <v>106.07750966129994</v>
      </c>
      <c r="V710">
        <v>4.869766909051898</v>
      </c>
      <c r="W710">
        <v>0.23479226873743819</v>
      </c>
      <c r="X710">
        <v>-9.1611869999999943E-2</v>
      </c>
      <c r="Y710">
        <v>0.33247911000000019</v>
      </c>
      <c r="Z710">
        <v>0.22806393999999994</v>
      </c>
    </row>
    <row r="711" spans="1:26">
      <c r="A711" s="54" t="str">
        <f>CONCATENATE(raw[[#This Row],[redis_ls]],raw[[#This Row],[wage_eq]],raw[[#This Row],[flex]],raw[[#This Row],[expo]],raw[[#This Row],[_date_]])</f>
        <v>021053328</v>
      </c>
      <c r="B711" s="1">
        <v>53328</v>
      </c>
      <c r="C711">
        <v>0</v>
      </c>
      <c r="D711">
        <v>2</v>
      </c>
      <c r="E711">
        <v>1</v>
      </c>
      <c r="F711">
        <v>0</v>
      </c>
      <c r="G711">
        <v>0.27918915159323987</v>
      </c>
      <c r="H711">
        <v>39.692049999997835</v>
      </c>
      <c r="I711">
        <v>-5.8225781396326166</v>
      </c>
      <c r="J711">
        <v>1.0380530210930772</v>
      </c>
      <c r="K711">
        <v>3.7605978723916689</v>
      </c>
      <c r="L711">
        <v>-1.7057363768229417</v>
      </c>
      <c r="M711">
        <v>0.78729232885648148</v>
      </c>
      <c r="N711">
        <v>1.0446794556606687</v>
      </c>
      <c r="O711">
        <v>5.8773099999992473E-3</v>
      </c>
      <c r="P711">
        <v>2.8082516973219951</v>
      </c>
      <c r="Q711">
        <v>2.9141711319004449</v>
      </c>
      <c r="R711">
        <v>3.6784237644000406</v>
      </c>
      <c r="S711">
        <v>2.5177063264347765</v>
      </c>
      <c r="T711">
        <v>-1.4526695001572998</v>
      </c>
      <c r="U711">
        <v>107.09669038979048</v>
      </c>
      <c r="V711">
        <v>4.8235261260289208</v>
      </c>
      <c r="W711">
        <v>0.25492583984609851</v>
      </c>
      <c r="X711">
        <v>-8.01076500000001E-2</v>
      </c>
      <c r="Y711">
        <v>0.33153107999999987</v>
      </c>
      <c r="Z711">
        <v>0.21515096999999983</v>
      </c>
    </row>
    <row r="712" spans="1:26">
      <c r="A712" s="54" t="str">
        <f>CONCATENATE(raw[[#This Row],[redis_ls]],raw[[#This Row],[wage_eq]],raw[[#This Row],[flex]],raw[[#This Row],[expo]],raw[[#This Row],[_date_]])</f>
        <v>021053693</v>
      </c>
      <c r="B712" s="1">
        <v>53693</v>
      </c>
      <c r="C712">
        <v>0</v>
      </c>
      <c r="D712">
        <v>2</v>
      </c>
      <c r="E712">
        <v>1</v>
      </c>
      <c r="F712">
        <v>0</v>
      </c>
      <c r="G712">
        <v>0.26428442073180847</v>
      </c>
      <c r="H712">
        <v>34.221309999993537</v>
      </c>
      <c r="I712">
        <v>-5.7049856734488369</v>
      </c>
      <c r="J712">
        <v>1.0218991362228369</v>
      </c>
      <c r="K712">
        <v>3.6407689294519541</v>
      </c>
      <c r="L712">
        <v>-1.6787711093937396</v>
      </c>
      <c r="M712">
        <v>0.77370725367307269</v>
      </c>
      <c r="N712">
        <v>1.0279118637082307</v>
      </c>
      <c r="O712">
        <v>5.3341000000012295E-3</v>
      </c>
      <c r="P712">
        <v>2.7707082716766696</v>
      </c>
      <c r="Q712">
        <v>2.8716711279092477</v>
      </c>
      <c r="R712">
        <v>3.628212257409924</v>
      </c>
      <c r="S712">
        <v>2.4794715193395822</v>
      </c>
      <c r="T712">
        <v>-1.5102516699881607</v>
      </c>
      <c r="U712">
        <v>108.09128037538875</v>
      </c>
      <c r="V712">
        <v>4.7798568716278522</v>
      </c>
      <c r="W712">
        <v>0.27412886005346859</v>
      </c>
      <c r="X712">
        <v>-6.8236929999999918E-2</v>
      </c>
      <c r="Y712">
        <v>0.33065535000000035</v>
      </c>
      <c r="Z712">
        <v>0.20423443999999999</v>
      </c>
    </row>
    <row r="713" spans="1:26">
      <c r="A713" s="54" t="str">
        <f>CONCATENATE(raw[[#This Row],[redis_ls]],raw[[#This Row],[wage_eq]],raw[[#This Row],[flex]],raw[[#This Row],[expo]],raw[[#This Row],[_date_]])</f>
        <v>021054058</v>
      </c>
      <c r="B713" s="1">
        <v>54058</v>
      </c>
      <c r="C713">
        <v>0</v>
      </c>
      <c r="D713">
        <v>2</v>
      </c>
      <c r="E713">
        <v>1</v>
      </c>
      <c r="F713">
        <v>0</v>
      </c>
      <c r="G713">
        <v>0.24987803543949916</v>
      </c>
      <c r="H713">
        <v>28.530579999998736</v>
      </c>
      <c r="I713">
        <v>-5.5910315306485607</v>
      </c>
      <c r="J713">
        <v>1.0076004494926627</v>
      </c>
      <c r="K713">
        <v>3.5217296586964153</v>
      </c>
      <c r="L713">
        <v>-1.6533337265948855</v>
      </c>
      <c r="M713">
        <v>0.76076698971001555</v>
      </c>
      <c r="N713">
        <v>1.0129355772655835</v>
      </c>
      <c r="O713">
        <v>4.7337600000002533E-3</v>
      </c>
      <c r="P713">
        <v>2.7352611036349783</v>
      </c>
      <c r="Q713">
        <v>2.8314671253740098</v>
      </c>
      <c r="R713">
        <v>3.5809218159238876</v>
      </c>
      <c r="S713">
        <v>2.4431847034486198</v>
      </c>
      <c r="T713">
        <v>-1.5656809616602874</v>
      </c>
      <c r="U713">
        <v>109.06321606875284</v>
      </c>
      <c r="V713">
        <v>4.7382899822339342</v>
      </c>
      <c r="W713">
        <v>0.29238531764512743</v>
      </c>
      <c r="X713">
        <v>-5.5989130000000387E-2</v>
      </c>
      <c r="Y713">
        <v>0.32983955999999898</v>
      </c>
      <c r="Z713">
        <v>0.1949653400000001</v>
      </c>
    </row>
    <row r="714" spans="1:26">
      <c r="A714" s="54" t="str">
        <f>CONCATENATE(raw[[#This Row],[redis_ls]],raw[[#This Row],[wage_eq]],raw[[#This Row],[flex]],raw[[#This Row],[expo]],raw[[#This Row],[_date_]])</f>
        <v>021054424</v>
      </c>
      <c r="B714" s="1">
        <v>54424</v>
      </c>
      <c r="C714">
        <v>0</v>
      </c>
      <c r="D714">
        <v>2</v>
      </c>
      <c r="E714">
        <v>1</v>
      </c>
      <c r="F714">
        <v>0</v>
      </c>
      <c r="G714">
        <v>0.23587506598394814</v>
      </c>
      <c r="H714">
        <v>22.619749999998021</v>
      </c>
      <c r="I714">
        <v>-5.4807139169945724</v>
      </c>
      <c r="J714">
        <v>0.9947314823612885</v>
      </c>
      <c r="K714">
        <v>3.4037536622236964</v>
      </c>
      <c r="L714">
        <v>-1.6292685330821732</v>
      </c>
      <c r="M714">
        <v>0.74829696244813615</v>
      </c>
      <c r="N714">
        <v>0.99935857334048084</v>
      </c>
      <c r="O714">
        <v>4.1060999999995018E-3</v>
      </c>
      <c r="P714">
        <v>2.7015803700311647</v>
      </c>
      <c r="Q714">
        <v>2.7931986497232719</v>
      </c>
      <c r="R714">
        <v>3.5360801435941003</v>
      </c>
      <c r="S714">
        <v>2.4085620579857414</v>
      </c>
      <c r="T714">
        <v>-1.6193026142604761</v>
      </c>
      <c r="U714">
        <v>110.01391226121311</v>
      </c>
      <c r="V714">
        <v>4.6983476060696638</v>
      </c>
      <c r="W714">
        <v>0.30967677933380067</v>
      </c>
      <c r="X714">
        <v>-4.3372799999999434E-2</v>
      </c>
      <c r="Y714">
        <v>0.32906971999999979</v>
      </c>
      <c r="Z714">
        <v>0.18702566999999962</v>
      </c>
    </row>
    <row r="715" spans="1:26">
      <c r="A715" s="54" t="str">
        <f>CONCATENATE(raw[[#This Row],[redis_ls]],raw[[#This Row],[wage_eq]],raw[[#This Row],[flex]],raw[[#This Row],[expo]],raw[[#This Row],[_date_]])</f>
        <v>021054789</v>
      </c>
      <c r="B715" s="1">
        <v>54789</v>
      </c>
      <c r="C715">
        <v>0</v>
      </c>
      <c r="D715">
        <v>2</v>
      </c>
      <c r="E715">
        <v>1</v>
      </c>
      <c r="F715">
        <v>0</v>
      </c>
      <c r="G715">
        <v>0.22220074384060595</v>
      </c>
      <c r="H715">
        <v>16.497859999995853</v>
      </c>
      <c r="I715">
        <v>-5.3739932598489411</v>
      </c>
      <c r="J715">
        <v>0.98291312151359556</v>
      </c>
      <c r="K715">
        <v>3.2870845592158027</v>
      </c>
      <c r="L715">
        <v>-1.6064130830431678</v>
      </c>
      <c r="M715">
        <v>0.73614321976371855</v>
      </c>
      <c r="N715">
        <v>0.98683129417773685</v>
      </c>
      <c r="O715">
        <v>3.477429999999837E-3</v>
      </c>
      <c r="P715">
        <v>2.6693439951151143</v>
      </c>
      <c r="Q715">
        <v>2.756518113082751</v>
      </c>
      <c r="R715">
        <v>3.4932277366608977</v>
      </c>
      <c r="S715">
        <v>2.3753290997977627</v>
      </c>
      <c r="T715">
        <v>-1.6714232878551449</v>
      </c>
      <c r="U715">
        <v>110.94431903066022</v>
      </c>
      <c r="V715">
        <v>4.6595568672871401</v>
      </c>
      <c r="W715">
        <v>0.32598280355806697</v>
      </c>
      <c r="X715">
        <v>-3.0415870000000123E-2</v>
      </c>
      <c r="Y715">
        <v>0.32832975999999986</v>
      </c>
      <c r="Z715">
        <v>0.18013523000000031</v>
      </c>
    </row>
    <row r="716" spans="1:26">
      <c r="A716" s="54" t="str">
        <f>CONCATENATE(raw[[#This Row],[redis_ls]],raw[[#This Row],[wage_eq]],raw[[#This Row],[flex]],raw[[#This Row],[expo]],raw[[#This Row],[_date_]])</f>
        <v>020136526</v>
      </c>
      <c r="B716" s="1">
        <v>36526</v>
      </c>
      <c r="C716">
        <v>0</v>
      </c>
      <c r="D716">
        <v>2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5.2026882370270755E-3</v>
      </c>
      <c r="U716">
        <v>0.2157037194778777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>
      <c r="A717" s="54" t="str">
        <f>CONCATENATE(raw[[#This Row],[redis_ls]],raw[[#This Row],[wage_eq]],raw[[#This Row],[flex]],raw[[#This Row],[expo]],raw[[#This Row],[_date_]])</f>
        <v>020136892</v>
      </c>
      <c r="B717" s="1">
        <v>36892</v>
      </c>
      <c r="C717">
        <v>0</v>
      </c>
      <c r="D717">
        <v>2</v>
      </c>
      <c r="E717">
        <v>0</v>
      </c>
      <c r="F717">
        <v>1</v>
      </c>
      <c r="G717">
        <v>-4.9181975106060705E-3</v>
      </c>
      <c r="H717">
        <v>22.390879999999015</v>
      </c>
      <c r="I717">
        <v>-1.3095808318201674</v>
      </c>
      <c r="J717">
        <v>5.247879000289668E-2</v>
      </c>
      <c r="K717">
        <v>-0.25271272183028382</v>
      </c>
      <c r="L717">
        <v>-0.12498296462762903</v>
      </c>
      <c r="M717">
        <v>-0.16398731160274238</v>
      </c>
      <c r="N717">
        <v>7.3248597653163827E-2</v>
      </c>
      <c r="O717">
        <v>1.8624020000000685E-2</v>
      </c>
      <c r="P717">
        <v>0.45246030988601582</v>
      </c>
      <c r="Q717">
        <v>6.4283189404656937E-2</v>
      </c>
      <c r="R717">
        <v>-0.72360428563652546</v>
      </c>
      <c r="S717">
        <v>0.84518213332533954</v>
      </c>
      <c r="T717">
        <v>0.21401340229261212</v>
      </c>
      <c r="U717">
        <v>0.74412066867655113</v>
      </c>
      <c r="V717">
        <v>1.6845441048585208E-2</v>
      </c>
      <c r="W717">
        <v>-0.38490192362662379</v>
      </c>
      <c r="X717">
        <v>-6.6881059999999992E-2</v>
      </c>
      <c r="Y717">
        <v>6.9776259999999868E-2</v>
      </c>
      <c r="Z717">
        <v>-2.7672180999999997E-2</v>
      </c>
    </row>
    <row r="718" spans="1:26">
      <c r="A718" s="54" t="str">
        <f>CONCATENATE(raw[[#This Row],[redis_ls]],raw[[#This Row],[wage_eq]],raw[[#This Row],[flex]],raw[[#This Row],[expo]],raw[[#This Row],[_date_]])</f>
        <v>020137257</v>
      </c>
      <c r="B718" s="1">
        <v>37257</v>
      </c>
      <c r="C718">
        <v>0</v>
      </c>
      <c r="D718">
        <v>2</v>
      </c>
      <c r="E718">
        <v>0</v>
      </c>
      <c r="F718">
        <v>1</v>
      </c>
      <c r="G718">
        <v>-2.2789446085391685E-2</v>
      </c>
      <c r="H718">
        <v>41.97505000000092</v>
      </c>
      <c r="I718">
        <v>-2.1852424634165146</v>
      </c>
      <c r="J718">
        <v>0.12164115471053893</v>
      </c>
      <c r="K718">
        <v>-0.49350919403690074</v>
      </c>
      <c r="L718">
        <v>-0.29121543934510496</v>
      </c>
      <c r="M718">
        <v>-0.27371785260927872</v>
      </c>
      <c r="N718">
        <v>0.14547540153997396</v>
      </c>
      <c r="O718">
        <v>2.1353840000000457E-2</v>
      </c>
      <c r="P718">
        <v>0.5023097662337328</v>
      </c>
      <c r="Q718">
        <v>0.12718552016817153</v>
      </c>
      <c r="R718">
        <v>-0.6452580617200887</v>
      </c>
      <c r="S718">
        <v>0.89191794224023901</v>
      </c>
      <c r="T718">
        <v>0.33295680643150583</v>
      </c>
      <c r="U718">
        <v>1.6069773382424879</v>
      </c>
      <c r="V718">
        <v>0.17231485142510383</v>
      </c>
      <c r="W718">
        <v>-0.28886216494774519</v>
      </c>
      <c r="X718">
        <v>-0.11949630000000072</v>
      </c>
      <c r="Y718">
        <v>9.1713620000000162E-2</v>
      </c>
      <c r="Z718">
        <v>1.271552000000134E-3</v>
      </c>
    </row>
    <row r="719" spans="1:26">
      <c r="A719" s="54" t="str">
        <f>CONCATENATE(raw[[#This Row],[redis_ls]],raw[[#This Row],[wage_eq]],raw[[#This Row],[flex]],raw[[#This Row],[expo]],raw[[#This Row],[_date_]])</f>
        <v>020137622</v>
      </c>
      <c r="B719" s="1">
        <v>37622</v>
      </c>
      <c r="C719">
        <v>0</v>
      </c>
      <c r="D719">
        <v>2</v>
      </c>
      <c r="E719">
        <v>0</v>
      </c>
      <c r="F719">
        <v>1</v>
      </c>
      <c r="G719">
        <v>-6.1726034854270306E-2</v>
      </c>
      <c r="H719">
        <v>50.779319999997824</v>
      </c>
      <c r="I719">
        <v>-2.7370280331425523</v>
      </c>
      <c r="J719">
        <v>0.17341236490255874</v>
      </c>
      <c r="K719">
        <v>-0.70806149942457264</v>
      </c>
      <c r="L719">
        <v>-0.46616933650603931</v>
      </c>
      <c r="M719">
        <v>-0.33610395652196035</v>
      </c>
      <c r="N719">
        <v>0.18370872637361035</v>
      </c>
      <c r="O719">
        <v>9.2178299999995383E-3</v>
      </c>
      <c r="P719">
        <v>0.56416375285543996</v>
      </c>
      <c r="Q719">
        <v>0.20010160984809122</v>
      </c>
      <c r="R719">
        <v>-0.55462651854052414</v>
      </c>
      <c r="S719">
        <v>0.94552704190291603</v>
      </c>
      <c r="T719">
        <v>0.40306541084997871</v>
      </c>
      <c r="U719">
        <v>2.7834333287757529</v>
      </c>
      <c r="V719">
        <v>0.34012006963830554</v>
      </c>
      <c r="W719">
        <v>-0.20139785412648381</v>
      </c>
      <c r="X719">
        <v>-0.13809255000000048</v>
      </c>
      <c r="Y719">
        <v>9.0845359999999764E-2</v>
      </c>
      <c r="Z719">
        <v>-7.7106629999998746E-3</v>
      </c>
    </row>
    <row r="720" spans="1:26">
      <c r="A720" s="54" t="str">
        <f>CONCATENATE(raw[[#This Row],[redis_ls]],raw[[#This Row],[wage_eq]],raw[[#This Row],[flex]],raw[[#This Row],[expo]],raw[[#This Row],[_date_]])</f>
        <v>020137987</v>
      </c>
      <c r="B720" s="1">
        <v>37987</v>
      </c>
      <c r="C720">
        <v>0</v>
      </c>
      <c r="D720">
        <v>2</v>
      </c>
      <c r="E720">
        <v>0</v>
      </c>
      <c r="F720">
        <v>1</v>
      </c>
      <c r="G720">
        <v>-0.12271236908172334</v>
      </c>
      <c r="H720">
        <v>47.491710000002058</v>
      </c>
      <c r="I720">
        <v>-3.0908481692667467</v>
      </c>
      <c r="J720">
        <v>0.18875915394120923</v>
      </c>
      <c r="K720">
        <v>-0.90040453716055957</v>
      </c>
      <c r="L720">
        <v>-0.63492218318926819</v>
      </c>
      <c r="M720">
        <v>-0.3796472768935133</v>
      </c>
      <c r="N720">
        <v>0.17981693588822178</v>
      </c>
      <c r="O720">
        <v>-8.0021400000004905E-3</v>
      </c>
      <c r="P720">
        <v>0.62814558379793439</v>
      </c>
      <c r="Q720">
        <v>0.27420000140512268</v>
      </c>
      <c r="R720">
        <v>-0.46276321592426672</v>
      </c>
      <c r="S720">
        <v>0.99955364290096327</v>
      </c>
      <c r="T720">
        <v>0.44004665335004578</v>
      </c>
      <c r="U720">
        <v>4.230313291509713</v>
      </c>
      <c r="V720">
        <v>0.48704861960002788</v>
      </c>
      <c r="W720">
        <v>-0.14272745038671486</v>
      </c>
      <c r="X720">
        <v>-0.12264699999999934</v>
      </c>
      <c r="Y720">
        <v>8.045599999999993E-2</v>
      </c>
      <c r="Z720">
        <v>-4.7636365999999958E-2</v>
      </c>
    </row>
    <row r="721" spans="1:26">
      <c r="A721" s="54" t="str">
        <f>CONCATENATE(raw[[#This Row],[redis_ls]],raw[[#This Row],[wage_eq]],raw[[#This Row],[flex]],raw[[#This Row],[expo]],raw[[#This Row],[_date_]])</f>
        <v>020138353</v>
      </c>
      <c r="B721" s="1">
        <v>38353</v>
      </c>
      <c r="C721">
        <v>0</v>
      </c>
      <c r="D721">
        <v>2</v>
      </c>
      <c r="E721">
        <v>0</v>
      </c>
      <c r="F721">
        <v>1</v>
      </c>
      <c r="G721">
        <v>-0.19947313043194859</v>
      </c>
      <c r="H721">
        <v>33.793379999999161</v>
      </c>
      <c r="I721">
        <v>-3.3252402533297643</v>
      </c>
      <c r="J721">
        <v>0.16887598828509987</v>
      </c>
      <c r="K721">
        <v>-1.0758264532873874</v>
      </c>
      <c r="L721">
        <v>-0.78828709604065184</v>
      </c>
      <c r="M721">
        <v>-0.42048715462514874</v>
      </c>
      <c r="N721">
        <v>0.14604645074236533</v>
      </c>
      <c r="O721">
        <v>-2.0427049999999225E-2</v>
      </c>
      <c r="P721">
        <v>0.68427918133686649</v>
      </c>
      <c r="Q721">
        <v>0.33878809299012769</v>
      </c>
      <c r="R721">
        <v>-0.38272525145368608</v>
      </c>
      <c r="S721">
        <v>1.0458267049232139</v>
      </c>
      <c r="T721">
        <v>0.45095082132065034</v>
      </c>
      <c r="U721">
        <v>5.8932532523317427</v>
      </c>
      <c r="V721">
        <v>0.60502539192324178</v>
      </c>
      <c r="W721">
        <v>-0.1057498691507841</v>
      </c>
      <c r="X721">
        <v>-8.0362469999999131E-2</v>
      </c>
      <c r="Y721">
        <v>6.7070359999999926E-2</v>
      </c>
      <c r="Z721">
        <v>-0.10525504300000002</v>
      </c>
    </row>
    <row r="722" spans="1:26">
      <c r="A722" s="54" t="str">
        <f>CONCATENATE(raw[[#This Row],[redis_ls]],raw[[#This Row],[wage_eq]],raw[[#This Row],[flex]],raw[[#This Row],[expo]],raw[[#This Row],[_date_]])</f>
        <v>020138718</v>
      </c>
      <c r="B722" s="1">
        <v>38718</v>
      </c>
      <c r="C722">
        <v>0</v>
      </c>
      <c r="D722">
        <v>2</v>
      </c>
      <c r="E722">
        <v>0</v>
      </c>
      <c r="F722">
        <v>1</v>
      </c>
      <c r="G722">
        <v>-0.28297168314196375</v>
      </c>
      <c r="H722">
        <v>12.655189999997674</v>
      </c>
      <c r="I722">
        <v>-3.4835664955514822</v>
      </c>
      <c r="J722">
        <v>0.12412081511607997</v>
      </c>
      <c r="K722">
        <v>-1.2360738010527506</v>
      </c>
      <c r="L722">
        <v>-0.91945709253269392</v>
      </c>
      <c r="M722">
        <v>-0.46380409274401346</v>
      </c>
      <c r="N722">
        <v>9.575319873529331E-2</v>
      </c>
      <c r="O722">
        <v>-2.538524000000042E-2</v>
      </c>
      <c r="P722">
        <v>0.72589134423790558</v>
      </c>
      <c r="Q722">
        <v>0.38636648742178537</v>
      </c>
      <c r="R722">
        <v>-0.32356433014745223</v>
      </c>
      <c r="S722">
        <v>1.0785032959198748</v>
      </c>
      <c r="T722">
        <v>0.44036681624999297</v>
      </c>
      <c r="U722">
        <v>7.7125347236624231</v>
      </c>
      <c r="V722">
        <v>0.69192799331450061</v>
      </c>
      <c r="W722">
        <v>-8.1665256474228176E-2</v>
      </c>
      <c r="X722">
        <v>-2.0809769999999284E-2</v>
      </c>
      <c r="Y722">
        <v>5.3560610000000231E-2</v>
      </c>
      <c r="Z722">
        <v>-0.16874383500000001</v>
      </c>
    </row>
    <row r="723" spans="1:26">
      <c r="A723" s="54" t="str">
        <f>CONCATENATE(raw[[#This Row],[redis_ls]],raw[[#This Row],[wage_eq]],raw[[#This Row],[flex]],raw[[#This Row],[expo]],raw[[#This Row],[_date_]])</f>
        <v>020139083</v>
      </c>
      <c r="B723" s="1">
        <v>39083</v>
      </c>
      <c r="C723">
        <v>0</v>
      </c>
      <c r="D723">
        <v>2</v>
      </c>
      <c r="E723">
        <v>0</v>
      </c>
      <c r="F723">
        <v>1</v>
      </c>
      <c r="G723">
        <v>-0.36462088068585086</v>
      </c>
      <c r="H723">
        <v>-12.639640000001236</v>
      </c>
      <c r="I723">
        <v>-3.5889556875852713</v>
      </c>
      <c r="J723">
        <v>6.6250436023151948E-2</v>
      </c>
      <c r="K723">
        <v>-1.3800754297929374</v>
      </c>
      <c r="L723">
        <v>-1.0234632409591327</v>
      </c>
      <c r="M723">
        <v>-0.50915693276445406</v>
      </c>
      <c r="N723">
        <v>3.922376221829893E-2</v>
      </c>
      <c r="O723">
        <v>-2.4190949999999822E-2</v>
      </c>
      <c r="P723">
        <v>0.74957848206356203</v>
      </c>
      <c r="Q723">
        <v>0.41318143571771326</v>
      </c>
      <c r="R723">
        <v>-0.28964226538690241</v>
      </c>
      <c r="S723">
        <v>1.0944957688163504</v>
      </c>
      <c r="T723">
        <v>0.41233634914596973</v>
      </c>
      <c r="U723">
        <v>9.6263601105737617</v>
      </c>
      <c r="V723">
        <v>0.74728110234321132</v>
      </c>
      <c r="W723">
        <v>-6.4998203234434282E-2</v>
      </c>
      <c r="X723">
        <v>4.6530640000000401E-2</v>
      </c>
      <c r="Y723">
        <v>4.1268960000000014E-2</v>
      </c>
      <c r="Z723">
        <v>-0.22940323950000002</v>
      </c>
    </row>
    <row r="724" spans="1:26">
      <c r="A724" s="54" t="str">
        <f>CONCATENATE(raw[[#This Row],[redis_ls]],raw[[#This Row],[wage_eq]],raw[[#This Row],[flex]],raw[[#This Row],[expo]],raw[[#This Row],[_date_]])</f>
        <v>020139448</v>
      </c>
      <c r="B724" s="1">
        <v>39448</v>
      </c>
      <c r="C724">
        <v>0</v>
      </c>
      <c r="D724">
        <v>2</v>
      </c>
      <c r="E724">
        <v>0</v>
      </c>
      <c r="F724">
        <v>1</v>
      </c>
      <c r="G724">
        <v>-0.43771072065134087</v>
      </c>
      <c r="H724">
        <v>-39.047210000000632</v>
      </c>
      <c r="I724">
        <v>-3.6539854872802868</v>
      </c>
      <c r="J724">
        <v>5.038033201043568E-3</v>
      </c>
      <c r="K724">
        <v>-1.5057504760034757</v>
      </c>
      <c r="L724">
        <v>-1.0972676541994963</v>
      </c>
      <c r="M724">
        <v>-0.55413988448945739</v>
      </c>
      <c r="N724">
        <v>-1.6464462563092752E-2</v>
      </c>
      <c r="O724">
        <v>-1.92521300000012E-2</v>
      </c>
      <c r="P724">
        <v>0.75442773214424719</v>
      </c>
      <c r="Q724">
        <v>0.41851953826355093</v>
      </c>
      <c r="R724">
        <v>-0.28149776772881108</v>
      </c>
      <c r="S724">
        <v>1.0929594594748071</v>
      </c>
      <c r="T724">
        <v>0.37074323806556286</v>
      </c>
      <c r="U724">
        <v>11.573194172361934</v>
      </c>
      <c r="V724">
        <v>0.77177162293891044</v>
      </c>
      <c r="W724">
        <v>-5.3194395521771742E-2</v>
      </c>
      <c r="X724">
        <v>0.11352382000000064</v>
      </c>
      <c r="Y724">
        <v>3.1013484000000022E-2</v>
      </c>
      <c r="Z724">
        <v>-0.281597457</v>
      </c>
    </row>
    <row r="725" spans="1:26">
      <c r="A725" s="54" t="str">
        <f>CONCATENATE(raw[[#This Row],[redis_ls]],raw[[#This Row],[wage_eq]],raw[[#This Row],[flex]],raw[[#This Row],[expo]],raw[[#This Row],[_date_]])</f>
        <v>020139814</v>
      </c>
      <c r="B725" s="1">
        <v>39814</v>
      </c>
      <c r="C725">
        <v>0</v>
      </c>
      <c r="D725">
        <v>2</v>
      </c>
      <c r="E725">
        <v>0</v>
      </c>
      <c r="F725">
        <v>1</v>
      </c>
      <c r="G725">
        <v>-0.49773105367079129</v>
      </c>
      <c r="H725">
        <v>-64.027500000000146</v>
      </c>
      <c r="I725">
        <v>-3.6860783711567424</v>
      </c>
      <c r="J725">
        <v>-5.2566691231115126E-2</v>
      </c>
      <c r="K725">
        <v>-1.6113234406227028</v>
      </c>
      <c r="L725">
        <v>-1.1398127665967372</v>
      </c>
      <c r="M725">
        <v>-0.59621017751435579</v>
      </c>
      <c r="N725">
        <v>-6.6756435727888253E-2</v>
      </c>
      <c r="O725">
        <v>-1.2708779999999475E-2</v>
      </c>
      <c r="P725">
        <v>0.74128675963038848</v>
      </c>
      <c r="Q725">
        <v>0.40383597839623864</v>
      </c>
      <c r="R725">
        <v>-0.29694881091717473</v>
      </c>
      <c r="S725">
        <v>1.0746871351460685</v>
      </c>
      <c r="T725">
        <v>0.31927640962208237</v>
      </c>
      <c r="U725">
        <v>13.493956127206852</v>
      </c>
      <c r="V725">
        <v>0.76734821606909698</v>
      </c>
      <c r="W725">
        <v>-4.5406134338976667E-2</v>
      </c>
      <c r="X725">
        <v>0.17388101999999961</v>
      </c>
      <c r="Y725">
        <v>2.3438094999999985E-2</v>
      </c>
      <c r="Z725">
        <v>-0.32221721299999995</v>
      </c>
    </row>
    <row r="726" spans="1:26">
      <c r="A726" s="54" t="str">
        <f>CONCATENATE(raw[[#This Row],[redis_ls]],raw[[#This Row],[wage_eq]],raw[[#This Row],[flex]],raw[[#This Row],[expo]],raw[[#This Row],[_date_]])</f>
        <v>020140179</v>
      </c>
      <c r="B726" s="1">
        <v>40179</v>
      </c>
      <c r="C726">
        <v>0</v>
      </c>
      <c r="D726">
        <v>2</v>
      </c>
      <c r="E726">
        <v>0</v>
      </c>
      <c r="F726">
        <v>1</v>
      </c>
      <c r="G726">
        <v>-0.54218603591208447</v>
      </c>
      <c r="H726">
        <v>-85.633399999998801</v>
      </c>
      <c r="I726">
        <v>-3.6902900323068089</v>
      </c>
      <c r="J726">
        <v>-0.10218235243705243</v>
      </c>
      <c r="K726">
        <v>-1.6959368331656788</v>
      </c>
      <c r="L726">
        <v>-1.1519008547751342</v>
      </c>
      <c r="M726">
        <v>-0.63338497300609031</v>
      </c>
      <c r="N726">
        <v>-0.10892375428014356</v>
      </c>
      <c r="O726">
        <v>-6.039719999999249E-3</v>
      </c>
      <c r="P726">
        <v>0.71221550365847541</v>
      </c>
      <c r="Q726">
        <v>0.37201211674879886</v>
      </c>
      <c r="R726">
        <v>-0.33205776519295016</v>
      </c>
      <c r="S726">
        <v>1.0416131149762586</v>
      </c>
      <c r="T726">
        <v>0.2613319653469004</v>
      </c>
      <c r="U726">
        <v>15.334296446293184</v>
      </c>
      <c r="V726">
        <v>0.73717767735492767</v>
      </c>
      <c r="W726">
        <v>-4.1570484281860942E-2</v>
      </c>
      <c r="X726">
        <v>0.22321868999999989</v>
      </c>
      <c r="Y726">
        <v>1.9055676600000002E-2</v>
      </c>
      <c r="Z726">
        <v>-0.35005963999999984</v>
      </c>
    </row>
    <row r="727" spans="1:26">
      <c r="A727" s="54" t="str">
        <f>CONCATENATE(raw[[#This Row],[redis_ls]],raw[[#This Row],[wage_eq]],raw[[#This Row],[flex]],raw[[#This Row],[expo]],raw[[#This Row],[_date_]])</f>
        <v>020140544</v>
      </c>
      <c r="B727" s="1">
        <v>40544</v>
      </c>
      <c r="C727">
        <v>0</v>
      </c>
      <c r="D727">
        <v>2</v>
      </c>
      <c r="E727">
        <v>0</v>
      </c>
      <c r="F727">
        <v>1</v>
      </c>
      <c r="G727">
        <v>-0.57024007345233274</v>
      </c>
      <c r="H727">
        <v>-102.50902999999744</v>
      </c>
      <c r="I727">
        <v>-3.6706750442401792</v>
      </c>
      <c r="J727">
        <v>-0.14141669527116818</v>
      </c>
      <c r="K727">
        <v>-1.7597737612290554</v>
      </c>
      <c r="L727">
        <v>-1.1359394351072472</v>
      </c>
      <c r="M727">
        <v>-0.66438119756234704</v>
      </c>
      <c r="N727">
        <v>-0.14152597908108078</v>
      </c>
      <c r="O727">
        <v>-9.7950000001179038E-5</v>
      </c>
      <c r="P727">
        <v>0.67007933802374353</v>
      </c>
      <c r="Q727">
        <v>0.32677084864276562</v>
      </c>
      <c r="R727">
        <v>-0.38191042623262339</v>
      </c>
      <c r="S727">
        <v>0.99642446213257241</v>
      </c>
      <c r="T727">
        <v>0.19993627920571466</v>
      </c>
      <c r="U727">
        <v>17.046879276458426</v>
      </c>
      <c r="V727">
        <v>0.68541992030812793</v>
      </c>
      <c r="W727">
        <v>-4.1858154606855269E-2</v>
      </c>
      <c r="X727">
        <v>0.25890272999999997</v>
      </c>
      <c r="Y727">
        <v>1.8183221999999982E-2</v>
      </c>
      <c r="Z727">
        <v>-0.36526125000000026</v>
      </c>
    </row>
    <row r="728" spans="1:26">
      <c r="A728" s="54" t="str">
        <f>CONCATENATE(raw[[#This Row],[redis_ls]],raw[[#This Row],[wage_eq]],raw[[#This Row],[flex]],raw[[#This Row],[expo]],raw[[#This Row],[_date_]])</f>
        <v>020140909</v>
      </c>
      <c r="B728" s="1">
        <v>40909</v>
      </c>
      <c r="C728">
        <v>0</v>
      </c>
      <c r="D728">
        <v>2</v>
      </c>
      <c r="E728">
        <v>0</v>
      </c>
      <c r="F728">
        <v>1</v>
      </c>
      <c r="G728">
        <v>-0.58234826949091767</v>
      </c>
      <c r="H728">
        <v>-113.85106000000087</v>
      </c>
      <c r="I728">
        <v>-3.6309194674000511</v>
      </c>
      <c r="J728">
        <v>-0.16929761904638241</v>
      </c>
      <c r="K728">
        <v>-1.8039306447617753</v>
      </c>
      <c r="L728">
        <v>-1.0956081800459483</v>
      </c>
      <c r="M728">
        <v>-0.68853589502697599</v>
      </c>
      <c r="N728">
        <v>-0.16403072754412884</v>
      </c>
      <c r="O728">
        <v>4.7213100000012553E-3</v>
      </c>
      <c r="P728">
        <v>0.61822009373240228</v>
      </c>
      <c r="Q728">
        <v>0.27221647265371907</v>
      </c>
      <c r="R728">
        <v>-0.44123492845198342</v>
      </c>
      <c r="S728">
        <v>0.94224403621250286</v>
      </c>
      <c r="T728">
        <v>0.13769289955452013</v>
      </c>
      <c r="U728">
        <v>18.593438938741123</v>
      </c>
      <c r="V728">
        <v>0.61690618816621079</v>
      </c>
      <c r="W728">
        <v>-4.6374261715009801E-2</v>
      </c>
      <c r="X728">
        <v>0.27981539499999997</v>
      </c>
      <c r="Y728">
        <v>2.0870769999999962E-2</v>
      </c>
      <c r="Z728">
        <v>-0.36883251999999983</v>
      </c>
    </row>
    <row r="729" spans="1:26">
      <c r="A729" s="54" t="str">
        <f>CONCATENATE(raw[[#This Row],[redis_ls]],raw[[#This Row],[wage_eq]],raw[[#This Row],[flex]],raw[[#This Row],[expo]],raw[[#This Row],[_date_]])</f>
        <v>020141275</v>
      </c>
      <c r="B729" s="1">
        <v>41275</v>
      </c>
      <c r="C729">
        <v>0</v>
      </c>
      <c r="D729">
        <v>2</v>
      </c>
      <c r="E729">
        <v>0</v>
      </c>
      <c r="F729">
        <v>1</v>
      </c>
      <c r="G729">
        <v>-0.57992432816854622</v>
      </c>
      <c r="H729">
        <v>-119.35867999999755</v>
      </c>
      <c r="I729">
        <v>-3.5746036645328938</v>
      </c>
      <c r="J729">
        <v>-0.18582931454902418</v>
      </c>
      <c r="K729">
        <v>-1.8302012151977465</v>
      </c>
      <c r="L729">
        <v>-1.0354886253278406</v>
      </c>
      <c r="M729">
        <v>-0.70567291009269173</v>
      </c>
      <c r="N729">
        <v>-0.17656294341871215</v>
      </c>
      <c r="O729">
        <v>8.3085999999996107E-3</v>
      </c>
      <c r="P729">
        <v>0.56016995260015356</v>
      </c>
      <c r="Q729">
        <v>0.21246753173014277</v>
      </c>
      <c r="R729">
        <v>-0.50488701776514322</v>
      </c>
      <c r="S729">
        <v>0.88235753448175913</v>
      </c>
      <c r="T729">
        <v>7.6743198343542929E-2</v>
      </c>
      <c r="U729">
        <v>19.946343313109406</v>
      </c>
      <c r="V729">
        <v>0.53678966455845689</v>
      </c>
      <c r="W729">
        <v>-5.5010152004886237E-2</v>
      </c>
      <c r="X729">
        <v>0.28610946300000017</v>
      </c>
      <c r="Y729">
        <v>2.6870240000000101E-2</v>
      </c>
      <c r="Z729">
        <v>-0.36230310000000054</v>
      </c>
    </row>
    <row r="730" spans="1:26">
      <c r="A730" s="54" t="str">
        <f>CONCATENATE(raw[[#This Row],[redis_ls]],raw[[#This Row],[wage_eq]],raw[[#This Row],[flex]],raw[[#This Row],[expo]],raw[[#This Row],[_date_]])</f>
        <v>020141640</v>
      </c>
      <c r="B730" s="1">
        <v>41640</v>
      </c>
      <c r="C730">
        <v>0</v>
      </c>
      <c r="D730">
        <v>2</v>
      </c>
      <c r="E730">
        <v>0</v>
      </c>
      <c r="F730">
        <v>1</v>
      </c>
      <c r="G730">
        <v>-0.56505272805599249</v>
      </c>
      <c r="H730">
        <v>-119.17905000000246</v>
      </c>
      <c r="I730">
        <v>-3.5052759821033286</v>
      </c>
      <c r="J730">
        <v>-0.19168231536014213</v>
      </c>
      <c r="K730">
        <v>-1.8408521447800363</v>
      </c>
      <c r="L730">
        <v>-0.9606853408911431</v>
      </c>
      <c r="M730">
        <v>-0.71598150333319621</v>
      </c>
      <c r="N730">
        <v>-0.17974170899106579</v>
      </c>
      <c r="O730">
        <v>1.0708689999999743E-2</v>
      </c>
      <c r="P730">
        <v>0.4993951087476578</v>
      </c>
      <c r="Q730">
        <v>0.15137038892663046</v>
      </c>
      <c r="R730">
        <v>-0.56821517926550769</v>
      </c>
      <c r="S730">
        <v>0.81997668338635865</v>
      </c>
      <c r="T730">
        <v>1.8741130124233507E-2</v>
      </c>
      <c r="U730">
        <v>21.089445019411123</v>
      </c>
      <c r="V730">
        <v>0.45020786077287767</v>
      </c>
      <c r="W730">
        <v>-6.7390961206281741E-2</v>
      </c>
      <c r="X730">
        <v>0.27896725999999977</v>
      </c>
      <c r="Y730">
        <v>3.5657409999999973E-2</v>
      </c>
      <c r="Z730">
        <v>-0.34746584999999985</v>
      </c>
    </row>
    <row r="731" spans="1:26">
      <c r="A731" s="54" t="str">
        <f>CONCATENATE(raw[[#This Row],[redis_ls]],raw[[#This Row],[wage_eq]],raw[[#This Row],[flex]],raw[[#This Row],[expo]],raw[[#This Row],[_date_]])</f>
        <v>020142005</v>
      </c>
      <c r="B731" s="1">
        <v>42005</v>
      </c>
      <c r="C731">
        <v>0</v>
      </c>
      <c r="D731">
        <v>2</v>
      </c>
      <c r="E731">
        <v>0</v>
      </c>
      <c r="F731">
        <v>1</v>
      </c>
      <c r="G731">
        <v>-0.54023755157551756</v>
      </c>
      <c r="H731">
        <v>-113.84458999999697</v>
      </c>
      <c r="I731">
        <v>-3.4264251454356187</v>
      </c>
      <c r="J731">
        <v>-0.18798856200266112</v>
      </c>
      <c r="K731">
        <v>-1.8384209223952563</v>
      </c>
      <c r="L731">
        <v>-0.87646071654691182</v>
      </c>
      <c r="M731">
        <v>-0.71992199835667625</v>
      </c>
      <c r="N731">
        <v>-0.17457010163821618</v>
      </c>
      <c r="O731">
        <v>1.2036470000000021E-2</v>
      </c>
      <c r="P731">
        <v>0.43907793019726249</v>
      </c>
      <c r="Q731">
        <v>9.2286223782878096E-2</v>
      </c>
      <c r="R731">
        <v>-0.62730999069937621</v>
      </c>
      <c r="S731">
        <v>0.75804123094385112</v>
      </c>
      <c r="T731">
        <v>-3.5153534493903571E-2</v>
      </c>
      <c r="U731">
        <v>22.018097012286542</v>
      </c>
      <c r="V731">
        <v>0.36198007213010808</v>
      </c>
      <c r="W731">
        <v>-8.2892070883755498E-2</v>
      </c>
      <c r="X731">
        <v>0.26036088999999984</v>
      </c>
      <c r="Y731">
        <v>4.6499259999999848E-2</v>
      </c>
      <c r="Z731">
        <v>-0.32619872999999977</v>
      </c>
    </row>
    <row r="732" spans="1:26">
      <c r="A732" s="54" t="str">
        <f>CONCATENATE(raw[[#This Row],[redis_ls]],raw[[#This Row],[wage_eq]],raw[[#This Row],[flex]],raw[[#This Row],[expo]],raw[[#This Row],[_date_]])</f>
        <v>020142370</v>
      </c>
      <c r="B732" s="1">
        <v>42370</v>
      </c>
      <c r="C732">
        <v>0</v>
      </c>
      <c r="D732">
        <v>2</v>
      </c>
      <c r="E732">
        <v>0</v>
      </c>
      <c r="F732">
        <v>1</v>
      </c>
      <c r="G732">
        <v>-0.50818045378483445</v>
      </c>
      <c r="H732">
        <v>-104.19683000000077</v>
      </c>
      <c r="I732">
        <v>-3.3413994641820155</v>
      </c>
      <c r="J732">
        <v>-0.17620058663351257</v>
      </c>
      <c r="K732">
        <v>-1.8255407240886257</v>
      </c>
      <c r="L732">
        <v>-0.78790312766529036</v>
      </c>
      <c r="M732">
        <v>-0.71815350952133539</v>
      </c>
      <c r="N732">
        <v>-0.16234310540793606</v>
      </c>
      <c r="O732">
        <v>1.2432209999999055E-2</v>
      </c>
      <c r="P732">
        <v>0.38194432730713768</v>
      </c>
      <c r="Q732">
        <v>3.7951110837797231E-2</v>
      </c>
      <c r="R732">
        <v>-0.67914535208506432</v>
      </c>
      <c r="S732">
        <v>0.69906693367218775</v>
      </c>
      <c r="T732">
        <v>-8.4258940287951223E-2</v>
      </c>
      <c r="U732">
        <v>22.738337836785583</v>
      </c>
      <c r="V732">
        <v>0.27635669514014527</v>
      </c>
      <c r="W732">
        <v>-0.10070282278832332</v>
      </c>
      <c r="X732">
        <v>0.2328065499999997</v>
      </c>
      <c r="Y732">
        <v>5.8548560000000124E-2</v>
      </c>
      <c r="Z732">
        <v>-0.30034327999999971</v>
      </c>
    </row>
    <row r="733" spans="1:26">
      <c r="A733" s="54" t="str">
        <f>CONCATENATE(raw[[#This Row],[redis_ls]],raw[[#This Row],[wage_eq]],raw[[#This Row],[flex]],raw[[#This Row],[expo]],raw[[#This Row],[_date_]])</f>
        <v>020142736</v>
      </c>
      <c r="B733" s="1">
        <v>42736</v>
      </c>
      <c r="C733">
        <v>0</v>
      </c>
      <c r="D733">
        <v>2</v>
      </c>
      <c r="E733">
        <v>0</v>
      </c>
      <c r="F733">
        <v>1</v>
      </c>
      <c r="G733">
        <v>-0.47158475249817755</v>
      </c>
      <c r="H733">
        <v>-91.294589999997697</v>
      </c>
      <c r="I733">
        <v>-3.2533028087661786</v>
      </c>
      <c r="J733">
        <v>-0.15797976883628051</v>
      </c>
      <c r="K733">
        <v>-1.8047914688096522</v>
      </c>
      <c r="L733">
        <v>-0.69964669081947761</v>
      </c>
      <c r="M733">
        <v>-0.71147412249034092</v>
      </c>
      <c r="N733">
        <v>-0.14455731566481722</v>
      </c>
      <c r="O733">
        <v>1.2043450000000233E-2</v>
      </c>
      <c r="P733">
        <v>0.33014971325688869</v>
      </c>
      <c r="Q733">
        <v>-9.5952040443991748E-3</v>
      </c>
      <c r="R733">
        <v>-0.72162233004556819</v>
      </c>
      <c r="S733">
        <v>0.64504647395027259</v>
      </c>
      <c r="T733">
        <v>-0.12832951548459315</v>
      </c>
      <c r="U733">
        <v>23.265363803926896</v>
      </c>
      <c r="V733">
        <v>0.19683417294791283</v>
      </c>
      <c r="W733">
        <v>-0.11991836615614648</v>
      </c>
      <c r="X733">
        <v>0.19911308999999988</v>
      </c>
      <c r="Y733">
        <v>7.094371000000016E-2</v>
      </c>
      <c r="Z733">
        <v>-0.27162210000000048</v>
      </c>
    </row>
    <row r="734" spans="1:26">
      <c r="A734" s="54" t="str">
        <f>CONCATENATE(raw[[#This Row],[redis_ls]],raw[[#This Row],[wage_eq]],raw[[#This Row],[flex]],raw[[#This Row],[expo]],raw[[#This Row],[_date_]])</f>
        <v>020143101</v>
      </c>
      <c r="B734" s="1">
        <v>43101</v>
      </c>
      <c r="C734">
        <v>0</v>
      </c>
      <c r="D734">
        <v>2</v>
      </c>
      <c r="E734">
        <v>0</v>
      </c>
      <c r="F734">
        <v>1</v>
      </c>
      <c r="G734">
        <v>-0.43298865809551224</v>
      </c>
      <c r="H734">
        <v>-76.310069999999541</v>
      </c>
      <c r="I734">
        <v>-3.1648909445230577</v>
      </c>
      <c r="J734">
        <v>-0.13509371224893485</v>
      </c>
      <c r="K734">
        <v>-1.7785750645441079</v>
      </c>
      <c r="L734">
        <v>-0.61565634283169413</v>
      </c>
      <c r="M734">
        <v>-0.70076597605885915</v>
      </c>
      <c r="N734">
        <v>-0.1228115511327843</v>
      </c>
      <c r="O734">
        <v>1.1021089999999067E-2</v>
      </c>
      <c r="P734">
        <v>0.28522306235958528</v>
      </c>
      <c r="Q734">
        <v>-4.9019197178745699E-2</v>
      </c>
      <c r="R734">
        <v>-0.75353533963494757</v>
      </c>
      <c r="S734">
        <v>0.59740208140142137</v>
      </c>
      <c r="T734">
        <v>-0.16749330432379583</v>
      </c>
      <c r="U734">
        <v>23.621493858017971</v>
      </c>
      <c r="V734">
        <v>0.12604441476098405</v>
      </c>
      <c r="W734">
        <v>-0.13963593138102137</v>
      </c>
      <c r="X734">
        <v>0.16213527999999963</v>
      </c>
      <c r="Y734">
        <v>8.2895709999999956E-2</v>
      </c>
      <c r="Z734">
        <v>-0.24158241999999996</v>
      </c>
    </row>
    <row r="735" spans="1:26">
      <c r="A735" s="54" t="str">
        <f>CONCATENATE(raw[[#This Row],[redis_ls]],raw[[#This Row],[wage_eq]],raw[[#This Row],[flex]],raw[[#This Row],[expo]],raw[[#This Row],[_date_]])</f>
        <v>020143466</v>
      </c>
      <c r="B735" s="1">
        <v>43466</v>
      </c>
      <c r="C735">
        <v>0</v>
      </c>
      <c r="D735">
        <v>2</v>
      </c>
      <c r="E735">
        <v>0</v>
      </c>
      <c r="F735">
        <v>1</v>
      </c>
      <c r="G735">
        <v>-0.39463188198827215</v>
      </c>
      <c r="H735">
        <v>-60.421880000001693</v>
      </c>
      <c r="I735">
        <v>-3.0784849562825012</v>
      </c>
      <c r="J735">
        <v>-0.10931196476173799</v>
      </c>
      <c r="K735">
        <v>-1.7490162343916538</v>
      </c>
      <c r="L735">
        <v>-0.53908650326416341</v>
      </c>
      <c r="M735">
        <v>-0.68694235891585409</v>
      </c>
      <c r="N735">
        <v>-9.8703156175083961E-2</v>
      </c>
      <c r="O735">
        <v>9.5200099999998011E-3</v>
      </c>
      <c r="P735">
        <v>0.24806748573216186</v>
      </c>
      <c r="Q735">
        <v>-7.9652145241060346E-2</v>
      </c>
      <c r="R735">
        <v>-0.77447903434240128</v>
      </c>
      <c r="S735">
        <v>0.55698727360100619</v>
      </c>
      <c r="T735">
        <v>-0.20217322578931496</v>
      </c>
      <c r="U735">
        <v>23.833871736091574</v>
      </c>
      <c r="V735">
        <v>6.5720146372072463E-2</v>
      </c>
      <c r="W735">
        <v>-0.15904041640005806</v>
      </c>
      <c r="X735">
        <v>0.1245495499999999</v>
      </c>
      <c r="Y735">
        <v>9.3750270000000219E-2</v>
      </c>
      <c r="Z735">
        <v>-0.21155799000000045</v>
      </c>
    </row>
    <row r="736" spans="1:26">
      <c r="A736" s="54" t="str">
        <f>CONCATENATE(raw[[#This Row],[redis_ls]],raw[[#This Row],[wage_eq]],raw[[#This Row],[flex]],raw[[#This Row],[expo]],raw[[#This Row],[_date_]])</f>
        <v>020143831</v>
      </c>
      <c r="B736" s="1">
        <v>43831</v>
      </c>
      <c r="C736">
        <v>0</v>
      </c>
      <c r="D736">
        <v>2</v>
      </c>
      <c r="E736">
        <v>0</v>
      </c>
      <c r="F736">
        <v>1</v>
      </c>
      <c r="G736">
        <v>-0.35836103437656419</v>
      </c>
      <c r="H736">
        <v>-44.716549999997369</v>
      </c>
      <c r="I736">
        <v>-2.9959135713741647</v>
      </c>
      <c r="J736">
        <v>-8.2304942389621605E-2</v>
      </c>
      <c r="K736">
        <v>-1.7178912291045956</v>
      </c>
      <c r="L736">
        <v>-0.47221428517678632</v>
      </c>
      <c r="M736">
        <v>-0.67089674488912676</v>
      </c>
      <c r="N736">
        <v>-7.3726046554434266E-2</v>
      </c>
      <c r="O736">
        <v>7.698299999998881E-3</v>
      </c>
      <c r="P736">
        <v>0.21900592865014001</v>
      </c>
      <c r="Q736">
        <v>-0.10141325167623005</v>
      </c>
      <c r="R736">
        <v>-0.78472043832991112</v>
      </c>
      <c r="S736">
        <v>0.5241279561994272</v>
      </c>
      <c r="T736">
        <v>-0.23300077634815786</v>
      </c>
      <c r="U736">
        <v>23.932151480615538</v>
      </c>
      <c r="V736">
        <v>1.6730566863620844E-2</v>
      </c>
      <c r="W736">
        <v>-0.17746338428358266</v>
      </c>
      <c r="X736">
        <v>8.8671179999999516E-2</v>
      </c>
      <c r="Y736">
        <v>0.10302155000000007</v>
      </c>
      <c r="Z736">
        <v>-0.1826449599999988</v>
      </c>
    </row>
    <row r="737" spans="1:26">
      <c r="A737" s="54" t="str">
        <f>CONCATENATE(raw[[#This Row],[redis_ls]],raw[[#This Row],[wage_eq]],raw[[#This Row],[flex]],raw[[#This Row],[expo]],raw[[#This Row],[_date_]])</f>
        <v>020144197</v>
      </c>
      <c r="B737" s="1">
        <v>44197</v>
      </c>
      <c r="C737">
        <v>0</v>
      </c>
      <c r="D737">
        <v>2</v>
      </c>
      <c r="E737">
        <v>0</v>
      </c>
      <c r="F737">
        <v>1</v>
      </c>
      <c r="G737">
        <v>-0.32557534110781994</v>
      </c>
      <c r="H737">
        <v>-30.109940000002098</v>
      </c>
      <c r="I737">
        <v>-2.9184898227663125</v>
      </c>
      <c r="J737">
        <v>-5.5553112712536379E-2</v>
      </c>
      <c r="K737">
        <v>-1.6865864554527765</v>
      </c>
      <c r="L737">
        <v>-0.41644163816969559</v>
      </c>
      <c r="M737">
        <v>-0.65345718375842132</v>
      </c>
      <c r="N737">
        <v>-4.9186660092614964E-2</v>
      </c>
      <c r="O737">
        <v>5.7127899999995235E-3</v>
      </c>
      <c r="P737">
        <v>0.19786283976270802</v>
      </c>
      <c r="Q737">
        <v>-0.1147078729024642</v>
      </c>
      <c r="R737">
        <v>-0.78505291140661404</v>
      </c>
      <c r="S737">
        <v>0.4986932714633685</v>
      </c>
      <c r="T737">
        <v>-0.26072943722670328</v>
      </c>
      <c r="U737">
        <v>23.946370530609549</v>
      </c>
      <c r="V737">
        <v>-2.0826429938158864E-2</v>
      </c>
      <c r="W737">
        <v>-0.19441413016054732</v>
      </c>
      <c r="X737">
        <v>5.6328140000000415E-2</v>
      </c>
      <c r="Y737">
        <v>0.11039949000000021</v>
      </c>
      <c r="Z737">
        <v>-0.15569017000000018</v>
      </c>
    </row>
    <row r="738" spans="1:26">
      <c r="A738" s="54" t="str">
        <f>CONCATENATE(raw[[#This Row],[redis_ls]],raw[[#This Row],[wage_eq]],raw[[#This Row],[flex]],raw[[#This Row],[expo]],raw[[#This Row],[_date_]])</f>
        <v>020144562</v>
      </c>
      <c r="B738" s="1">
        <v>44562</v>
      </c>
      <c r="C738">
        <v>0</v>
      </c>
      <c r="D738">
        <v>2</v>
      </c>
      <c r="E738">
        <v>0</v>
      </c>
      <c r="F738">
        <v>1</v>
      </c>
      <c r="G738">
        <v>-0.2972120943736889</v>
      </c>
      <c r="H738">
        <v>-17.296099999999569</v>
      </c>
      <c r="I738">
        <v>-2.8470219962590915</v>
      </c>
      <c r="J738">
        <v>-3.0277030540970529E-2</v>
      </c>
      <c r="K738">
        <v>-1.656086929249001</v>
      </c>
      <c r="L738">
        <v>-0.37235509119998289</v>
      </c>
      <c r="M738">
        <v>-0.63534935416315053</v>
      </c>
      <c r="N738">
        <v>-2.614090904257127E-2</v>
      </c>
      <c r="O738">
        <v>3.7110100000001256E-3</v>
      </c>
      <c r="P738">
        <v>0.18406322660484697</v>
      </c>
      <c r="Q738">
        <v>-0.12031482984035113</v>
      </c>
      <c r="R738">
        <v>-0.77664835036981295</v>
      </c>
      <c r="S738">
        <v>0.4801849606126618</v>
      </c>
      <c r="T738">
        <v>-0.28615390635017279</v>
      </c>
      <c r="U738">
        <v>23.905156792857341</v>
      </c>
      <c r="V738">
        <v>-4.7492406784388486E-2</v>
      </c>
      <c r="W738">
        <v>-0.20958300027134058</v>
      </c>
      <c r="X738">
        <v>2.8797810000000257E-2</v>
      </c>
      <c r="Y738">
        <v>0.11573720000000037</v>
      </c>
      <c r="Z738">
        <v>-0.13129155000000114</v>
      </c>
    </row>
    <row r="739" spans="1:26">
      <c r="A739" s="54" t="str">
        <f>CONCATENATE(raw[[#This Row],[redis_ls]],raw[[#This Row],[wage_eq]],raw[[#This Row],[flex]],raw[[#This Row],[expo]],raw[[#This Row],[_date_]])</f>
        <v>020144927</v>
      </c>
      <c r="B739" s="1">
        <v>44927</v>
      </c>
      <c r="C739">
        <v>0</v>
      </c>
      <c r="D739">
        <v>2</v>
      </c>
      <c r="E739">
        <v>0</v>
      </c>
      <c r="F739">
        <v>1</v>
      </c>
      <c r="G739">
        <v>-0.27376680451408619</v>
      </c>
      <c r="H739">
        <v>-6.7260699999969802</v>
      </c>
      <c r="I739">
        <v>-2.7818547652498693</v>
      </c>
      <c r="J739">
        <v>-7.3952391704268372E-3</v>
      </c>
      <c r="K739">
        <v>-1.6269925212262004</v>
      </c>
      <c r="L739">
        <v>-0.33982928724510808</v>
      </c>
      <c r="M739">
        <v>-0.61717110046647372</v>
      </c>
      <c r="N739">
        <v>-5.3643085501930976E-3</v>
      </c>
      <c r="O739">
        <v>1.8219899999991074E-3</v>
      </c>
      <c r="P739">
        <v>0.17674285684334823</v>
      </c>
      <c r="Q739">
        <v>-0.11927308083256039</v>
      </c>
      <c r="R739">
        <v>-0.76091754263797329</v>
      </c>
      <c r="S739">
        <v>0.46783255619131658</v>
      </c>
      <c r="T739">
        <v>-0.31004228083162388</v>
      </c>
      <c r="U739">
        <v>23.8343501497585</v>
      </c>
      <c r="V739">
        <v>-6.429598729267294E-2</v>
      </c>
      <c r="W739">
        <v>-0.22282500582883058</v>
      </c>
      <c r="X739">
        <v>6.8043399999995202E-3</v>
      </c>
      <c r="Y739">
        <v>0.11902599999999985</v>
      </c>
      <c r="Z739">
        <v>-0.10981023000000006</v>
      </c>
    </row>
    <row r="740" spans="1:26">
      <c r="A740" s="54" t="str">
        <f>CONCATENATE(raw[[#This Row],[redis_ls]],raw[[#This Row],[wage_eq]],raw[[#This Row],[flex]],raw[[#This Row],[expo]],raw[[#This Row],[_date_]])</f>
        <v>020145292</v>
      </c>
      <c r="B740" s="1">
        <v>45292</v>
      </c>
      <c r="C740">
        <v>0</v>
      </c>
      <c r="D740">
        <v>2</v>
      </c>
      <c r="E740">
        <v>0</v>
      </c>
      <c r="F740">
        <v>1</v>
      </c>
      <c r="G740">
        <v>-0.25534182681791195</v>
      </c>
      <c r="H740">
        <v>1.3856899999955203</v>
      </c>
      <c r="I740">
        <v>-2.7229334293531915</v>
      </c>
      <c r="J740">
        <v>1.2487432019447908E-2</v>
      </c>
      <c r="K740">
        <v>-1.5995572178762352</v>
      </c>
      <c r="L740">
        <v>-0.31815734333013879</v>
      </c>
      <c r="M740">
        <v>-0.5993804808193004</v>
      </c>
      <c r="N740">
        <v>1.2652481193042853E-2</v>
      </c>
      <c r="O740">
        <v>1.4799999999981495E-4</v>
      </c>
      <c r="P740">
        <v>0.17485274857191868</v>
      </c>
      <c r="Q740">
        <v>-0.11277468375127109</v>
      </c>
      <c r="R740">
        <v>-0.73938655158222177</v>
      </c>
      <c r="S740">
        <v>0.46068888460399915</v>
      </c>
      <c r="T740">
        <v>-0.3330826759219363</v>
      </c>
      <c r="U740">
        <v>23.756060076731323</v>
      </c>
      <c r="V740">
        <v>-7.2596567038241133E-2</v>
      </c>
      <c r="W740">
        <v>-0.23413054011104384</v>
      </c>
      <c r="X740">
        <v>-9.4340999999997788E-3</v>
      </c>
      <c r="Y740">
        <v>0.12036502999999976</v>
      </c>
      <c r="Z740">
        <v>-9.1393539999999607E-2</v>
      </c>
    </row>
    <row r="741" spans="1:26">
      <c r="A741" s="54" t="str">
        <f>CONCATENATE(raw[[#This Row],[redis_ls]],raw[[#This Row],[wage_eq]],raw[[#This Row],[flex]],raw[[#This Row],[expo]],raw[[#This Row],[_date_]])</f>
        <v>020145658</v>
      </c>
      <c r="B741" s="1">
        <v>45658</v>
      </c>
      <c r="C741">
        <v>0</v>
      </c>
      <c r="D741">
        <v>2</v>
      </c>
      <c r="E741">
        <v>0</v>
      </c>
      <c r="F741">
        <v>1</v>
      </c>
      <c r="G741">
        <v>-0.2417136879722892</v>
      </c>
      <c r="H741">
        <v>7.033370000004652</v>
      </c>
      <c r="I741">
        <v>-2.6698828899081595</v>
      </c>
      <c r="J741">
        <v>2.9063031523834937E-2</v>
      </c>
      <c r="K741">
        <v>-1.5737454284831642</v>
      </c>
      <c r="L741">
        <v>-0.30619497536216178</v>
      </c>
      <c r="M741">
        <v>-0.58229652849688396</v>
      </c>
      <c r="N741">
        <v>2.7679460040586079E-2</v>
      </c>
      <c r="O741">
        <v>-1.2407800000002744E-3</v>
      </c>
      <c r="P741">
        <v>0.17725671291046741</v>
      </c>
      <c r="Q741">
        <v>-0.10207075939744348</v>
      </c>
      <c r="R741">
        <v>-0.71359309286866957</v>
      </c>
      <c r="S741">
        <v>0.45771710643838226</v>
      </c>
      <c r="T741">
        <v>-0.35584583143433157</v>
      </c>
      <c r="U741">
        <v>23.6881353586319</v>
      </c>
      <c r="V741">
        <v>-7.39380383138033E-2</v>
      </c>
      <c r="W741">
        <v>-0.24359082673358623</v>
      </c>
      <c r="X741">
        <v>-2.0122940000000256E-2</v>
      </c>
      <c r="Y741">
        <v>0.1199307099999998</v>
      </c>
      <c r="Z741">
        <v>-7.6006789999999436E-2</v>
      </c>
    </row>
    <row r="742" spans="1:26">
      <c r="A742" s="54" t="str">
        <f>CONCATENATE(raw[[#This Row],[redis_ls]],raw[[#This Row],[wage_eq]],raw[[#This Row],[flex]],raw[[#This Row],[expo]],raw[[#This Row],[_date_]])</f>
        <v>020146023</v>
      </c>
      <c r="B742" s="1">
        <v>46023</v>
      </c>
      <c r="C742">
        <v>0</v>
      </c>
      <c r="D742">
        <v>2</v>
      </c>
      <c r="E742">
        <v>0</v>
      </c>
      <c r="F742">
        <v>1</v>
      </c>
      <c r="G742">
        <v>-0.23241077262149412</v>
      </c>
      <c r="H742">
        <v>10.378539999997884</v>
      </c>
      <c r="I742">
        <v>-2.6220927404336236</v>
      </c>
      <c r="J742">
        <v>4.2282210503441497E-2</v>
      </c>
      <c r="K742">
        <v>-1.5492981718410959</v>
      </c>
      <c r="L742">
        <v>-0.30250383533643177</v>
      </c>
      <c r="M742">
        <v>-0.56611080109060241</v>
      </c>
      <c r="N742">
        <v>3.9708627605539171E-2</v>
      </c>
      <c r="O742">
        <v>-2.3075599999991536E-3</v>
      </c>
      <c r="P742">
        <v>0.18281173423411179</v>
      </c>
      <c r="Q742">
        <v>-8.8392824174299278E-2</v>
      </c>
      <c r="R742">
        <v>-0.68500312912582739</v>
      </c>
      <c r="S742">
        <v>0.45786534779437282</v>
      </c>
      <c r="T742">
        <v>-0.37876545293747954</v>
      </c>
      <c r="U742">
        <v>23.643989748302641</v>
      </c>
      <c r="V742">
        <v>-6.9921551013296668E-2</v>
      </c>
      <c r="W742">
        <v>-0.25136523472845118</v>
      </c>
      <c r="X742">
        <v>-2.5790230000000136E-2</v>
      </c>
      <c r="Y742">
        <v>0.11794936999999991</v>
      </c>
      <c r="Z742">
        <v>-6.3470849999999746E-2</v>
      </c>
    </row>
    <row r="743" spans="1:26">
      <c r="A743" s="54" t="str">
        <f>CONCATENATE(raw[[#This Row],[redis_ls]],raw[[#This Row],[wage_eq]],raw[[#This Row],[flex]],raw[[#This Row],[expo]],raw[[#This Row],[_date_]])</f>
        <v>020146388</v>
      </c>
      <c r="B743" s="1">
        <v>46388</v>
      </c>
      <c r="C743">
        <v>0</v>
      </c>
      <c r="D743">
        <v>2</v>
      </c>
      <c r="E743">
        <v>0</v>
      </c>
      <c r="F743">
        <v>1</v>
      </c>
      <c r="G743">
        <v>-0.22679280740615093</v>
      </c>
      <c r="H743">
        <v>11.703059999999823</v>
      </c>
      <c r="I743">
        <v>-2.5788012334654553</v>
      </c>
      <c r="J743">
        <v>5.2301946322041992E-2</v>
      </c>
      <c r="K743">
        <v>-1.5258026700935901</v>
      </c>
      <c r="L743">
        <v>-0.30548548327165026</v>
      </c>
      <c r="M743">
        <v>-0.55090654715415077</v>
      </c>
      <c r="N743">
        <v>4.8903533338373606E-2</v>
      </c>
      <c r="O743">
        <v>-3.0464600000001951E-3</v>
      </c>
      <c r="P743">
        <v>0.1904338782484194</v>
      </c>
      <c r="Q743">
        <v>-7.289006552425592E-2</v>
      </c>
      <c r="R743">
        <v>-0.65494882631915718</v>
      </c>
      <c r="S743">
        <v>0.46012718548706921</v>
      </c>
      <c r="T743">
        <v>-0.40213190704119217</v>
      </c>
      <c r="U743">
        <v>23.632716958888111</v>
      </c>
      <c r="V743">
        <v>-6.2102111487616352E-2</v>
      </c>
      <c r="W743">
        <v>-0.25765245570821271</v>
      </c>
      <c r="X743">
        <v>-2.7181520000001125E-2</v>
      </c>
      <c r="Y743">
        <v>0.11467449000000032</v>
      </c>
      <c r="Z743">
        <v>-5.3502090000000224E-2</v>
      </c>
    </row>
    <row r="744" spans="1:26">
      <c r="A744" s="54" t="str">
        <f>CONCATENATE(raw[[#This Row],[redis_ls]],raw[[#This Row],[wage_eq]],raw[[#This Row],[flex]],raw[[#This Row],[expo]],raw[[#This Row],[_date_]])</f>
        <v>020146753</v>
      </c>
      <c r="B744" s="1">
        <v>46753</v>
      </c>
      <c r="C744">
        <v>0</v>
      </c>
      <c r="D744">
        <v>2</v>
      </c>
      <c r="E744">
        <v>0</v>
      </c>
      <c r="F744">
        <v>1</v>
      </c>
      <c r="G744">
        <v>-0.22412557875235439</v>
      </c>
      <c r="H744">
        <v>11.36311000000569</v>
      </c>
      <c r="I744">
        <v>-2.5391715405245652</v>
      </c>
      <c r="J744">
        <v>5.9427869146011503E-2</v>
      </c>
      <c r="K744">
        <v>-1.5027587143838228</v>
      </c>
      <c r="L744">
        <v>-0.31349870328363227</v>
      </c>
      <c r="M744">
        <v>-0.53668171958018984</v>
      </c>
      <c r="N744">
        <v>5.5548412671746483E-2</v>
      </c>
      <c r="O744">
        <v>-3.4769899999995135E-3</v>
      </c>
      <c r="P744">
        <v>0.19914582764399835</v>
      </c>
      <c r="Q744">
        <v>-5.6584859410468979E-2</v>
      </c>
      <c r="R744">
        <v>-0.6245849831706396</v>
      </c>
      <c r="S744">
        <v>0.4635881821826171</v>
      </c>
      <c r="T744">
        <v>-0.42609809299061219</v>
      </c>
      <c r="U744">
        <v>23.659422102608918</v>
      </c>
      <c r="V744">
        <v>-5.1910807927546543E-2</v>
      </c>
      <c r="W744">
        <v>-0.26266865858567412</v>
      </c>
      <c r="X744">
        <v>-2.5162049999999381E-2</v>
      </c>
      <c r="Y744">
        <v>0.11036878000000028</v>
      </c>
      <c r="Z744">
        <v>-4.5751180000000446E-2</v>
      </c>
    </row>
    <row r="745" spans="1:26">
      <c r="A745" s="54" t="str">
        <f>CONCATENATE(raw[[#This Row],[redis_ls]],raw[[#This Row],[wage_eq]],raw[[#This Row],[flex]],raw[[#This Row],[expo]],raw[[#This Row],[_date_]])</f>
        <v>020147119</v>
      </c>
      <c r="B745" s="1">
        <v>47119</v>
      </c>
      <c r="C745">
        <v>0</v>
      </c>
      <c r="D745">
        <v>2</v>
      </c>
      <c r="E745">
        <v>0</v>
      </c>
      <c r="F745">
        <v>1</v>
      </c>
      <c r="G745">
        <v>-0.22364582369150954</v>
      </c>
      <c r="H745">
        <v>9.7483700000011595</v>
      </c>
      <c r="I745">
        <v>-2.5023572629973678</v>
      </c>
      <c r="J745">
        <v>6.4059231181268217E-2</v>
      </c>
      <c r="K745">
        <v>-1.4796379120487035</v>
      </c>
      <c r="L745">
        <v>-0.32495602646128718</v>
      </c>
      <c r="M745">
        <v>-0.52337263270889611</v>
      </c>
      <c r="N745">
        <v>6.0000598979859099E-2</v>
      </c>
      <c r="O745">
        <v>-3.6369500000008048E-3</v>
      </c>
      <c r="P745">
        <v>0.20810886447446553</v>
      </c>
      <c r="Q745">
        <v>-4.0342592179842818E-2</v>
      </c>
      <c r="R745">
        <v>-0.59486422808666672</v>
      </c>
      <c r="S745">
        <v>0.46745665864393882</v>
      </c>
      <c r="T745">
        <v>-0.45069363430803033</v>
      </c>
      <c r="U745">
        <v>23.725702533531432</v>
      </c>
      <c r="V745">
        <v>-4.0601258911210358E-2</v>
      </c>
      <c r="W745">
        <v>-0.26663040884103983</v>
      </c>
      <c r="X745">
        <v>-2.0633409999999686E-2</v>
      </c>
      <c r="Y745">
        <v>0.10529061000000006</v>
      </c>
      <c r="Z745">
        <v>-3.9837980000000106E-2</v>
      </c>
    </row>
    <row r="746" spans="1:26">
      <c r="A746" s="54" t="str">
        <f>CONCATENATE(raw[[#This Row],[redis_ls]],raw[[#This Row],[wage_eq]],raw[[#This Row],[flex]],raw[[#This Row],[expo]],raw[[#This Row],[_date_]])</f>
        <v>020147484</v>
      </c>
      <c r="B746" s="1">
        <v>47484</v>
      </c>
      <c r="C746">
        <v>0</v>
      </c>
      <c r="D746">
        <v>2</v>
      </c>
      <c r="E746">
        <v>0</v>
      </c>
      <c r="F746">
        <v>1</v>
      </c>
      <c r="G746">
        <v>-0.22461384815575247</v>
      </c>
      <c r="H746">
        <v>7.2490899999975227</v>
      </c>
      <c r="I746">
        <v>-2.4675540687158937</v>
      </c>
      <c r="J746">
        <v>6.6639943718183048E-2</v>
      </c>
      <c r="K746">
        <v>-1.455932337828203</v>
      </c>
      <c r="L746">
        <v>-0.33839881586361642</v>
      </c>
      <c r="M746">
        <v>-0.51087557544530204</v>
      </c>
      <c r="N746">
        <v>6.264980410390919E-2</v>
      </c>
      <c r="O746">
        <v>-3.5749299999998652E-3</v>
      </c>
      <c r="P746">
        <v>0.21664138738377581</v>
      </c>
      <c r="Q746">
        <v>-2.48560531104558E-2</v>
      </c>
      <c r="R746">
        <v>-0.56652534047213488</v>
      </c>
      <c r="S746">
        <v>0.47108252804195505</v>
      </c>
      <c r="T746">
        <v>-0.47584524566992581</v>
      </c>
      <c r="U746">
        <v>23.830219710102195</v>
      </c>
      <c r="V746">
        <v>-2.9217599250808135E-2</v>
      </c>
      <c r="W746">
        <v>-0.26974470380610738</v>
      </c>
      <c r="X746">
        <v>-1.4467869999999772E-2</v>
      </c>
      <c r="Y746">
        <v>9.9683859999999402E-2</v>
      </c>
      <c r="Z746">
        <v>-3.5380679999999498E-2</v>
      </c>
    </row>
    <row r="747" spans="1:26">
      <c r="A747" s="54" t="str">
        <f>CONCATENATE(raw[[#This Row],[redis_ls]],raw[[#This Row],[wage_eq]],raw[[#This Row],[flex]],raw[[#This Row],[expo]],raw[[#This Row],[_date_]])</f>
        <v>020147849</v>
      </c>
      <c r="B747" s="1">
        <v>47849</v>
      </c>
      <c r="C747">
        <v>0</v>
      </c>
      <c r="D747">
        <v>2</v>
      </c>
      <c r="E747">
        <v>0</v>
      </c>
      <c r="F747">
        <v>1</v>
      </c>
      <c r="G747">
        <v>-0.22635315260446376</v>
      </c>
      <c r="H747">
        <v>4.2314699999988079</v>
      </c>
      <c r="I747">
        <v>-2.4340373571244189</v>
      </c>
      <c r="J747">
        <v>6.7619567564025651E-2</v>
      </c>
      <c r="K747">
        <v>-1.4311914177958407</v>
      </c>
      <c r="L747">
        <v>-0.35255055488349063</v>
      </c>
      <c r="M747">
        <v>-0.49906499247279745</v>
      </c>
      <c r="N747">
        <v>6.3887219786962213E-2</v>
      </c>
      <c r="O747">
        <v>-3.3435300000009271E-3</v>
      </c>
      <c r="P747">
        <v>0.22422460525401977</v>
      </c>
      <c r="Q747">
        <v>-1.0640894788704891E-2</v>
      </c>
      <c r="R747">
        <v>-0.54009526614845482</v>
      </c>
      <c r="S747">
        <v>0.47396501675867064</v>
      </c>
      <c r="T747">
        <v>-0.50139886222264618</v>
      </c>
      <c r="U747">
        <v>23.969315049633689</v>
      </c>
      <c r="V747">
        <v>-1.8580675623347531E-2</v>
      </c>
      <c r="W747">
        <v>-0.2722019146060517</v>
      </c>
      <c r="X747">
        <v>-7.4610700000005137E-3</v>
      </c>
      <c r="Y747">
        <v>9.3770540000000235E-2</v>
      </c>
      <c r="Z747">
        <v>-3.201803999999947E-2</v>
      </c>
    </row>
    <row r="748" spans="1:26">
      <c r="A748" s="54" t="str">
        <f>CONCATENATE(raw[[#This Row],[redis_ls]],raw[[#This Row],[wage_eq]],raw[[#This Row],[flex]],raw[[#This Row],[expo]],raw[[#This Row],[_date_]])</f>
        <v>020148214</v>
      </c>
      <c r="B748" s="1">
        <v>48214</v>
      </c>
      <c r="C748">
        <v>0</v>
      </c>
      <c r="D748">
        <v>2</v>
      </c>
      <c r="E748">
        <v>0</v>
      </c>
      <c r="F748">
        <v>1</v>
      </c>
      <c r="G748">
        <v>-0.22827727293582845</v>
      </c>
      <c r="H748">
        <v>1.0209299999987707</v>
      </c>
      <c r="I748">
        <v>-2.4011876443272961</v>
      </c>
      <c r="J748">
        <v>6.742537893897893E-2</v>
      </c>
      <c r="K748">
        <v>-1.4050470603632292</v>
      </c>
      <c r="L748">
        <v>-0.36635042555505093</v>
      </c>
      <c r="M748">
        <v>-0.48780761886417778</v>
      </c>
      <c r="N748">
        <v>6.4082765318929091E-2</v>
      </c>
      <c r="O748">
        <v>-2.9940699999994602E-3</v>
      </c>
      <c r="P748">
        <v>0.23049935910832708</v>
      </c>
      <c r="Q748">
        <v>1.9578076997595062E-3</v>
      </c>
      <c r="R748">
        <v>-0.51590106187840989</v>
      </c>
      <c r="S748">
        <v>0.47575089456082242</v>
      </c>
      <c r="T748">
        <v>-0.52714303019308906</v>
      </c>
      <c r="U748">
        <v>24.137630732850045</v>
      </c>
      <c r="V748">
        <v>-9.2887958606735488E-3</v>
      </c>
      <c r="W748">
        <v>-0.27417132547706835</v>
      </c>
      <c r="X748">
        <v>-3.0121999999993543E-4</v>
      </c>
      <c r="Y748">
        <v>8.7745539999999761E-2</v>
      </c>
      <c r="Z748">
        <v>-2.9424990000000151E-2</v>
      </c>
    </row>
    <row r="749" spans="1:26">
      <c r="A749" s="54" t="str">
        <f>CONCATENATE(raw[[#This Row],[redis_ls]],raw[[#This Row],[wage_eq]],raw[[#This Row],[flex]],raw[[#This Row],[expo]],raw[[#This Row],[_date_]])</f>
        <v>020148580</v>
      </c>
      <c r="B749" s="1">
        <v>48580</v>
      </c>
      <c r="C749">
        <v>0</v>
      </c>
      <c r="D749">
        <v>2</v>
      </c>
      <c r="E749">
        <v>0</v>
      </c>
      <c r="F749">
        <v>1</v>
      </c>
      <c r="G749">
        <v>-0.22990525093036229</v>
      </c>
      <c r="H749">
        <v>-2.1077999999979511</v>
      </c>
      <c r="I749">
        <v>-2.3685031180457505</v>
      </c>
      <c r="J749">
        <v>6.6442880122918879E-2</v>
      </c>
      <c r="K749">
        <v>-1.3772279691166012</v>
      </c>
      <c r="L749">
        <v>-0.37896861685384753</v>
      </c>
      <c r="M749">
        <v>-0.47697274749409768</v>
      </c>
      <c r="N749">
        <v>6.3570278791447166E-2</v>
      </c>
      <c r="O749">
        <v>-2.5728599999996771E-3</v>
      </c>
      <c r="P749">
        <v>0.23525502390178143</v>
      </c>
      <c r="Q749">
        <v>1.2752556466977261E-2</v>
      </c>
      <c r="R749">
        <v>-0.49408963957340291</v>
      </c>
      <c r="S749">
        <v>0.47622549606254339</v>
      </c>
      <c r="T749">
        <v>-0.55283108895011202</v>
      </c>
      <c r="U749">
        <v>24.328706228923846</v>
      </c>
      <c r="V749">
        <v>-1.7296247607490045E-3</v>
      </c>
      <c r="W749">
        <v>-0.2757994635630312</v>
      </c>
      <c r="X749">
        <v>6.4477599999987478E-3</v>
      </c>
      <c r="Y749">
        <v>8.1773029999999969E-2</v>
      </c>
      <c r="Z749">
        <v>-2.7322089999999577E-2</v>
      </c>
    </row>
    <row r="750" spans="1:26">
      <c r="A750" s="54" t="str">
        <f>CONCATENATE(raw[[#This Row],[redis_ls]],raw[[#This Row],[wage_eq]],raw[[#This Row],[flex]],raw[[#This Row],[expo]],raw[[#This Row],[_date_]])</f>
        <v>020148945</v>
      </c>
      <c r="B750" s="1">
        <v>48945</v>
      </c>
      <c r="C750">
        <v>0</v>
      </c>
      <c r="D750">
        <v>2</v>
      </c>
      <c r="E750">
        <v>0</v>
      </c>
      <c r="F750">
        <v>1</v>
      </c>
      <c r="G750">
        <v>-0.23086818534607811</v>
      </c>
      <c r="H750">
        <v>-4.9354900000034831</v>
      </c>
      <c r="I750">
        <v>-2.3356043419125228</v>
      </c>
      <c r="J750">
        <v>6.500512791403068E-2</v>
      </c>
      <c r="K750">
        <v>-1.3475646085806536</v>
      </c>
      <c r="L750">
        <v>-0.38980756607956968</v>
      </c>
      <c r="M750">
        <v>-0.46643913330359776</v>
      </c>
      <c r="N750">
        <v>6.2638916141333212E-2</v>
      </c>
      <c r="O750">
        <v>-2.1191900000008812E-3</v>
      </c>
      <c r="P750">
        <v>0.23841296912776588</v>
      </c>
      <c r="Q750">
        <v>2.1693985968984641E-2</v>
      </c>
      <c r="R750">
        <v>-0.47465289512690356</v>
      </c>
      <c r="S750">
        <v>0.4752981543961976</v>
      </c>
      <c r="T750">
        <v>-0.57820131372797734</v>
      </c>
      <c r="U750">
        <v>24.535526936596817</v>
      </c>
      <c r="V750">
        <v>3.8996017563963647E-3</v>
      </c>
      <c r="W750">
        <v>-0.27720787078617803</v>
      </c>
      <c r="X750">
        <v>1.2352090000000704E-2</v>
      </c>
      <c r="Y750">
        <v>7.5984460000000364E-2</v>
      </c>
      <c r="Z750">
        <v>-2.5480040000000481E-2</v>
      </c>
    </row>
    <row r="751" spans="1:26">
      <c r="A751" s="54" t="str">
        <f>CONCATENATE(raw[[#This Row],[redis_ls]],raw[[#This Row],[wage_eq]],raw[[#This Row],[flex]],raw[[#This Row],[expo]],raw[[#This Row],[_date_]])</f>
        <v>020149310</v>
      </c>
      <c r="B751" s="1">
        <v>49310</v>
      </c>
      <c r="C751">
        <v>0</v>
      </c>
      <c r="D751">
        <v>2</v>
      </c>
      <c r="E751">
        <v>0</v>
      </c>
      <c r="F751">
        <v>1</v>
      </c>
      <c r="G751">
        <v>-0.23090774311673723</v>
      </c>
      <c r="H751">
        <v>-7.2990399999980582</v>
      </c>
      <c r="I751">
        <v>-2.3022308333423114</v>
      </c>
      <c r="J751">
        <v>6.3387641016521279E-2</v>
      </c>
      <c r="K751">
        <v>-1.315987020996634</v>
      </c>
      <c r="L751">
        <v>-0.39849086206258377</v>
      </c>
      <c r="M751">
        <v>-0.45609956157800502</v>
      </c>
      <c r="N751">
        <v>6.1528878714489643E-2</v>
      </c>
      <c r="O751">
        <v>-1.6646300000006109E-3</v>
      </c>
      <c r="P751">
        <v>0.24000649250379702</v>
      </c>
      <c r="Q751">
        <v>2.8848230814526588E-2</v>
      </c>
      <c r="R751">
        <v>-0.4574567264510887</v>
      </c>
      <c r="S751">
        <v>0.47298407760607564</v>
      </c>
      <c r="T751">
        <v>-0.60299465764972471</v>
      </c>
      <c r="U751">
        <v>24.751008685697286</v>
      </c>
      <c r="V751">
        <v>7.5663252113722379E-3</v>
      </c>
      <c r="W751">
        <v>-0.27849342506358621</v>
      </c>
      <c r="X751">
        <v>1.7105869999999024E-2</v>
      </c>
      <c r="Y751">
        <v>7.04779400000001E-2</v>
      </c>
      <c r="Z751">
        <v>-2.37202899999997E-2</v>
      </c>
    </row>
    <row r="752" spans="1:26">
      <c r="A752" s="54" t="str">
        <f>CONCATENATE(raw[[#This Row],[redis_ls]],raw[[#This Row],[wage_eq]],raw[[#This Row],[flex]],raw[[#This Row],[expo]],raw[[#This Row],[_date_]])</f>
        <v>020149675</v>
      </c>
      <c r="B752" s="1">
        <v>49675</v>
      </c>
      <c r="C752">
        <v>0</v>
      </c>
      <c r="D752">
        <v>2</v>
      </c>
      <c r="E752">
        <v>0</v>
      </c>
      <c r="F752">
        <v>1</v>
      </c>
      <c r="G752">
        <v>-0.22986966801752384</v>
      </c>
      <c r="H752">
        <v>-9.0894100000004983</v>
      </c>
      <c r="I752">
        <v>-2.2682314542527005</v>
      </c>
      <c r="J752">
        <v>6.1807849579209595E-2</v>
      </c>
      <c r="K752">
        <v>-1.2825171356718346</v>
      </c>
      <c r="L752">
        <v>-0.40484235066948759</v>
      </c>
      <c r="M752">
        <v>-0.44586357338458615</v>
      </c>
      <c r="N752">
        <v>6.0430765315699908E-2</v>
      </c>
      <c r="O752">
        <v>-1.2332300000000851E-3</v>
      </c>
      <c r="P752">
        <v>0.2401580327249242</v>
      </c>
      <c r="Q752">
        <v>3.4371394666887767E-2</v>
      </c>
      <c r="R752">
        <v>-0.4422718550228133</v>
      </c>
      <c r="S752">
        <v>0.46938373019951296</v>
      </c>
      <c r="T752">
        <v>-0.62696889369313613</v>
      </c>
      <c r="U752">
        <v>24.968405920636826</v>
      </c>
      <c r="V752">
        <v>9.3731014193076945E-3</v>
      </c>
      <c r="W752">
        <v>-0.27972776083771134</v>
      </c>
      <c r="X752">
        <v>2.0522859999999588E-2</v>
      </c>
      <c r="Y752">
        <v>6.5319100000000435E-2</v>
      </c>
      <c r="Z752">
        <v>-2.1913019999998673E-2</v>
      </c>
    </row>
    <row r="753" spans="1:26">
      <c r="A753" s="54" t="str">
        <f>CONCATENATE(raw[[#This Row],[redis_ls]],raw[[#This Row],[wage_eq]],raw[[#This Row],[flex]],raw[[#This Row],[expo]],raw[[#This Row],[_date_]])</f>
        <v>020150041</v>
      </c>
      <c r="B753" s="1">
        <v>50041</v>
      </c>
      <c r="C753">
        <v>0</v>
      </c>
      <c r="D753">
        <v>2</v>
      </c>
      <c r="E753">
        <v>0</v>
      </c>
      <c r="F753">
        <v>1</v>
      </c>
      <c r="G753">
        <v>-0.22769302962037941</v>
      </c>
      <c r="H753">
        <v>-10.247470000002068</v>
      </c>
      <c r="I753">
        <v>-2.2335526679372109</v>
      </c>
      <c r="J753">
        <v>6.0426757352760596E-2</v>
      </c>
      <c r="K753">
        <v>-1.2472572791881964</v>
      </c>
      <c r="L753">
        <v>-0.40885886549359984</v>
      </c>
      <c r="M753">
        <v>-0.43565895964845502</v>
      </c>
      <c r="N753">
        <v>5.9486249399620661E-2</v>
      </c>
      <c r="O753">
        <v>-8.4228999999991228E-4</v>
      </c>
      <c r="P753">
        <v>0.23905635452665663</v>
      </c>
      <c r="Q753">
        <v>3.848444045235766E-2</v>
      </c>
      <c r="R753">
        <v>-0.42880430981745432</v>
      </c>
      <c r="S753">
        <v>0.46466165473155741</v>
      </c>
      <c r="T753">
        <v>-0.64991020462047411</v>
      </c>
      <c r="U753">
        <v>25.181635887397103</v>
      </c>
      <c r="V753">
        <v>9.5273429657316555E-3</v>
      </c>
      <c r="W753">
        <v>-0.28095746623429951</v>
      </c>
      <c r="X753">
        <v>2.2524340000000531E-2</v>
      </c>
      <c r="Y753">
        <v>6.0543209999999736E-2</v>
      </c>
      <c r="Z753">
        <v>-1.9973210000000241E-2</v>
      </c>
    </row>
    <row r="754" spans="1:26">
      <c r="A754" s="54" t="str">
        <f>CONCATENATE(raw[[#This Row],[redis_ls]],raw[[#This Row],[wage_eq]],raw[[#This Row],[flex]],raw[[#This Row],[expo]],raw[[#This Row],[_date_]])</f>
        <v>020150406</v>
      </c>
      <c r="B754" s="1">
        <v>50406</v>
      </c>
      <c r="C754">
        <v>0</v>
      </c>
      <c r="D754">
        <v>2</v>
      </c>
      <c r="E754">
        <v>0</v>
      </c>
      <c r="F754">
        <v>1</v>
      </c>
      <c r="G754">
        <v>-0.22439690386325539</v>
      </c>
      <c r="H754">
        <v>-10.758500000003551</v>
      </c>
      <c r="I754">
        <v>-2.1982222814224017</v>
      </c>
      <c r="J754">
        <v>5.9352942004209375E-2</v>
      </c>
      <c r="K754">
        <v>-1.2103764963708019</v>
      </c>
      <c r="L754">
        <v>-0.4106785871691887</v>
      </c>
      <c r="M754">
        <v>-0.42543245995912971</v>
      </c>
      <c r="N754">
        <v>5.8790871787173238E-2</v>
      </c>
      <c r="O754">
        <v>-5.0335000000012453E-4</v>
      </c>
      <c r="P754">
        <v>0.23693368418793437</v>
      </c>
      <c r="Q754">
        <v>4.1448420596523761E-2</v>
      </c>
      <c r="R754">
        <v>-0.41672414707080163</v>
      </c>
      <c r="S754">
        <v>0.45902467847989126</v>
      </c>
      <c r="T754">
        <v>-0.67164142373441482</v>
      </c>
      <c r="U754">
        <v>25.385514638845752</v>
      </c>
      <c r="V754">
        <v>8.3093843044057536E-3</v>
      </c>
      <c r="W754">
        <v>-0.28220613420915086</v>
      </c>
      <c r="X754">
        <v>2.3124319999999476E-2</v>
      </c>
      <c r="Y754">
        <v>5.6158619999999854E-2</v>
      </c>
      <c r="Z754">
        <v>-1.7855640000000172E-2</v>
      </c>
    </row>
    <row r="755" spans="1:26">
      <c r="A755" s="54" t="str">
        <f>CONCATENATE(raw[[#This Row],[redis_ls]],raw[[#This Row],[wage_eq]],raw[[#This Row],[flex]],raw[[#This Row],[expo]],raw[[#This Row],[_date_]])</f>
        <v>020150771</v>
      </c>
      <c r="B755" s="1">
        <v>50771</v>
      </c>
      <c r="C755">
        <v>0</v>
      </c>
      <c r="D755">
        <v>2</v>
      </c>
      <c r="E755">
        <v>0</v>
      </c>
      <c r="F755">
        <v>1</v>
      </c>
      <c r="G755">
        <v>-0.22006550289969118</v>
      </c>
      <c r="H755">
        <v>-10.645720000000438</v>
      </c>
      <c r="I755">
        <v>-2.1623343210417589</v>
      </c>
      <c r="J755">
        <v>5.8647226814523279E-2</v>
      </c>
      <c r="K755">
        <v>-1.1720955571637437</v>
      </c>
      <c r="L755">
        <v>-0.41054743016298856</v>
      </c>
      <c r="M755">
        <v>-0.4151494996739169</v>
      </c>
      <c r="N755">
        <v>5.8398075711396658E-2</v>
      </c>
      <c r="O755">
        <v>-2.2313999999967749E-4</v>
      </c>
      <c r="P755">
        <v>0.23404419405188559</v>
      </c>
      <c r="Q755">
        <v>4.3541685796633089E-2</v>
      </c>
      <c r="R755">
        <v>-0.40569151618280452</v>
      </c>
      <c r="S755">
        <v>0.45270254779756769</v>
      </c>
      <c r="T755">
        <v>-0.69202711042574139</v>
      </c>
      <c r="U755">
        <v>25.575908213034214</v>
      </c>
      <c r="V755">
        <v>6.0440976470399477E-3</v>
      </c>
      <c r="W755">
        <v>-0.28347638986712109</v>
      </c>
      <c r="X755">
        <v>2.2413139999999387E-2</v>
      </c>
      <c r="Y755">
        <v>5.215096999999988E-2</v>
      </c>
      <c r="Z755">
        <v>-1.5549129999999078E-2</v>
      </c>
    </row>
    <row r="756" spans="1:26">
      <c r="A756" s="54" t="str">
        <f>CONCATENATE(raw[[#This Row],[redis_ls]],raw[[#This Row],[wage_eq]],raw[[#This Row],[flex]],raw[[#This Row],[expo]],raw[[#This Row],[_date_]])</f>
        <v>020151136</v>
      </c>
      <c r="B756" s="1">
        <v>51136</v>
      </c>
      <c r="C756">
        <v>0</v>
      </c>
      <c r="D756">
        <v>2</v>
      </c>
      <c r="E756">
        <v>0</v>
      </c>
      <c r="F756">
        <v>1</v>
      </c>
      <c r="G756">
        <v>-0.21483272794303732</v>
      </c>
      <c r="H756">
        <v>-9.9631899999949383</v>
      </c>
      <c r="I756">
        <v>-2.1260307131267031</v>
      </c>
      <c r="J756">
        <v>5.8328413847763549E-2</v>
      </c>
      <c r="K756">
        <v>-1.1326719732163593</v>
      </c>
      <c r="L756">
        <v>-0.40878539365676314</v>
      </c>
      <c r="M756">
        <v>-0.40479416248897504</v>
      </c>
      <c r="N756">
        <v>5.8323425107209559E-2</v>
      </c>
      <c r="O756">
        <v>-4.459999999872899E-6</v>
      </c>
      <c r="P756">
        <v>0.2306456192384676</v>
      </c>
      <c r="Q756">
        <v>4.5040489494230229E-2</v>
      </c>
      <c r="R756">
        <v>-0.39537879071002147</v>
      </c>
      <c r="S756">
        <v>0.44593011571778529</v>
      </c>
      <c r="T756">
        <v>-0.71097563762383409</v>
      </c>
      <c r="U756">
        <v>25.74980148703019</v>
      </c>
      <c r="V756">
        <v>3.0730478559837238E-3</v>
      </c>
      <c r="W756">
        <v>-0.28475266163112689</v>
      </c>
      <c r="X756">
        <v>2.0540399999999237E-2</v>
      </c>
      <c r="Y756">
        <v>4.8488260000000005E-2</v>
      </c>
      <c r="Z756">
        <v>-1.3070479999999218E-2</v>
      </c>
    </row>
    <row r="757" spans="1:26">
      <c r="A757" s="54" t="str">
        <f>CONCATENATE(raw[[#This Row],[redis_ls]],raw[[#This Row],[wage_eq]],raw[[#This Row],[flex]],raw[[#This Row],[expo]],raw[[#This Row],[_date_]])</f>
        <v>020151502</v>
      </c>
      <c r="B757" s="1">
        <v>51502</v>
      </c>
      <c r="C757">
        <v>0</v>
      </c>
      <c r="D757">
        <v>2</v>
      </c>
      <c r="E757">
        <v>0</v>
      </c>
      <c r="F757">
        <v>1</v>
      </c>
      <c r="G757">
        <v>-0.20886669343493924</v>
      </c>
      <c r="H757">
        <v>-8.788459999996121</v>
      </c>
      <c r="I757">
        <v>-2.0894858513949677</v>
      </c>
      <c r="J757">
        <v>5.8379381137751984E-2</v>
      </c>
      <c r="K757">
        <v>-1.0923853634376424</v>
      </c>
      <c r="L757">
        <v>-0.40575445263263399</v>
      </c>
      <c r="M757">
        <v>-0.39436708004377818</v>
      </c>
      <c r="N757">
        <v>5.8550342411467504E-2</v>
      </c>
      <c r="O757">
        <v>1.5309000000046646E-4</v>
      </c>
      <c r="P757">
        <v>0.22698289881419864</v>
      </c>
      <c r="Q757">
        <v>4.6202189806532346E-2</v>
      </c>
      <c r="R757">
        <v>-0.38548830587391558</v>
      </c>
      <c r="S757">
        <v>0.43893186062564649</v>
      </c>
      <c r="T757">
        <v>-0.72843934669841737</v>
      </c>
      <c r="U757">
        <v>25.905293762080106</v>
      </c>
      <c r="V757">
        <v>-2.6847058388623779E-4</v>
      </c>
      <c r="W757">
        <v>-0.28600492990976667</v>
      </c>
      <c r="X757">
        <v>1.7697730000000578E-2</v>
      </c>
      <c r="Y757">
        <v>4.5126050000000167E-2</v>
      </c>
      <c r="Z757">
        <v>-1.0458259999999997E-2</v>
      </c>
    </row>
    <row r="758" spans="1:26">
      <c r="A758" s="54" t="str">
        <f>CONCATENATE(raw[[#This Row],[redis_ls]],raw[[#This Row],[wage_eq]],raw[[#This Row],[flex]],raw[[#This Row],[expo]],raw[[#This Row],[_date_]])</f>
        <v>020151867</v>
      </c>
      <c r="B758" s="1">
        <v>51867</v>
      </c>
      <c r="C758">
        <v>0</v>
      </c>
      <c r="D758">
        <v>2</v>
      </c>
      <c r="E758">
        <v>0</v>
      </c>
      <c r="F758">
        <v>1</v>
      </c>
      <c r="G758">
        <v>-0.20235504131299598</v>
      </c>
      <c r="H758">
        <v>-7.2150599999949918</v>
      </c>
      <c r="I758">
        <v>-2.0528906825272975</v>
      </c>
      <c r="J758">
        <v>5.875402948725128E-2</v>
      </c>
      <c r="K758">
        <v>-1.0515239918045038</v>
      </c>
      <c r="L758">
        <v>-0.40182976989872055</v>
      </c>
      <c r="M758">
        <v>-0.38388411869844097</v>
      </c>
      <c r="N758">
        <v>5.9036082465491191E-2</v>
      </c>
      <c r="O758">
        <v>2.5262999999997593E-4</v>
      </c>
      <c r="P758">
        <v>0.22327587680537331</v>
      </c>
      <c r="Q758">
        <v>4.7253421318838029E-2</v>
      </c>
      <c r="R758">
        <v>-0.37576499349806225</v>
      </c>
      <c r="S758">
        <v>0.43191060622693733</v>
      </c>
      <c r="T758">
        <v>-0.74441157033245942</v>
      </c>
      <c r="U758">
        <v>26.041534072294816</v>
      </c>
      <c r="V758">
        <v>-3.6707524759926891E-3</v>
      </c>
      <c r="W758">
        <v>-0.28719342040750551</v>
      </c>
      <c r="X758">
        <v>1.4102139999999652E-2</v>
      </c>
      <c r="Y758">
        <v>4.2012640000000517E-2</v>
      </c>
      <c r="Z758">
        <v>-7.766600000000401E-3</v>
      </c>
    </row>
    <row r="759" spans="1:26">
      <c r="A759" s="54" t="str">
        <f>CONCATENATE(raw[[#This Row],[redis_ls]],raw[[#This Row],[wage_eq]],raw[[#This Row],[flex]],raw[[#This Row],[expo]],raw[[#This Row],[_date_]])</f>
        <v>020152232</v>
      </c>
      <c r="B759" s="1">
        <v>52232</v>
      </c>
      <c r="C759">
        <v>0</v>
      </c>
      <c r="D759">
        <v>2</v>
      </c>
      <c r="E759">
        <v>0</v>
      </c>
      <c r="F759">
        <v>1</v>
      </c>
      <c r="G759">
        <v>-0.19549169057454518</v>
      </c>
      <c r="H759">
        <v>-5.3452800000013667</v>
      </c>
      <c r="I759">
        <v>-2.0164388669600353</v>
      </c>
      <c r="J759">
        <v>5.9384420235697455E-2</v>
      </c>
      <c r="K759">
        <v>-1.0103727248975014</v>
      </c>
      <c r="L759">
        <v>-0.39737488745131833</v>
      </c>
      <c r="M759">
        <v>-0.37337354579369819</v>
      </c>
      <c r="N759">
        <v>5.9718694060184596E-2</v>
      </c>
      <c r="O759">
        <v>2.9939000000117622E-4</v>
      </c>
      <c r="P759">
        <v>0.21970996908218243</v>
      </c>
      <c r="Q759">
        <v>4.8381221022975041E-2</v>
      </c>
      <c r="R759">
        <v>-0.36600491242566591</v>
      </c>
      <c r="S759">
        <v>0.42503809256675407</v>
      </c>
      <c r="T759">
        <v>-0.75892294768685753</v>
      </c>
      <c r="U759">
        <v>26.158606124902374</v>
      </c>
      <c r="V759">
        <v>-6.8644853193133848E-3</v>
      </c>
      <c r="W759">
        <v>-0.28827188183910835</v>
      </c>
      <c r="X759">
        <v>9.9806800000004636E-3</v>
      </c>
      <c r="Y759">
        <v>3.9093910000000121E-2</v>
      </c>
      <c r="Z759">
        <v>-5.0592799999998883E-3</v>
      </c>
    </row>
    <row r="760" spans="1:26">
      <c r="A760" s="54" t="str">
        <f>CONCATENATE(raw[[#This Row],[redis_ls]],raw[[#This Row],[wage_eq]],raw[[#This Row],[flex]],raw[[#This Row],[expo]],raw[[#This Row],[_date_]])</f>
        <v>020152597</v>
      </c>
      <c r="B760" s="1">
        <v>52597</v>
      </c>
      <c r="C760">
        <v>0</v>
      </c>
      <c r="D760">
        <v>2</v>
      </c>
      <c r="E760">
        <v>0</v>
      </c>
      <c r="F760">
        <v>1</v>
      </c>
      <c r="G760">
        <v>-0.18846513308785617</v>
      </c>
      <c r="H760">
        <v>-3.2834599999987404</v>
      </c>
      <c r="I760">
        <v>-1.9803150026846628</v>
      </c>
      <c r="J760">
        <v>6.0187970053404705E-2</v>
      </c>
      <c r="K760">
        <v>-0.96920279556440558</v>
      </c>
      <c r="L760">
        <v>-0.39272164549382094</v>
      </c>
      <c r="M760">
        <v>-0.3628734094479058</v>
      </c>
      <c r="N760">
        <v>6.0523292624092839E-2</v>
      </c>
      <c r="O760">
        <v>3.0034000000067618E-4</v>
      </c>
      <c r="P760">
        <v>0.21643096539980533</v>
      </c>
      <c r="Q760">
        <v>4.97284099489681E-2</v>
      </c>
      <c r="R760">
        <v>-0.35605865496030065</v>
      </c>
      <c r="S760">
        <v>0.41845028588678446</v>
      </c>
      <c r="T760">
        <v>-0.77203509257163239</v>
      </c>
      <c r="U760">
        <v>26.25738036030285</v>
      </c>
      <c r="V760">
        <v>-9.6306033081194897E-3</v>
      </c>
      <c r="W760">
        <v>-0.28919258090766009</v>
      </c>
      <c r="X760">
        <v>5.556619999999568E-3</v>
      </c>
      <c r="Y760">
        <v>3.6317410000000216E-2</v>
      </c>
      <c r="Z760">
        <v>-2.4041299999999488E-3</v>
      </c>
    </row>
    <row r="761" spans="1:26">
      <c r="A761" s="54" t="str">
        <f>CONCATENATE(raw[[#This Row],[redis_ls]],raw[[#This Row],[wage_eq]],raw[[#This Row],[flex]],raw[[#This Row],[expo]],raw[[#This Row],[_date_]])</f>
        <v>020152963</v>
      </c>
      <c r="B761" s="1">
        <v>52963</v>
      </c>
      <c r="C761">
        <v>0</v>
      </c>
      <c r="D761">
        <v>2</v>
      </c>
      <c r="E761">
        <v>0</v>
      </c>
      <c r="F761">
        <v>1</v>
      </c>
      <c r="G761">
        <v>-0.1814488262593783</v>
      </c>
      <c r="H761">
        <v>-1.1300499999997555</v>
      </c>
      <c r="I761">
        <v>-1.9446852208499843</v>
      </c>
      <c r="J761">
        <v>6.1074701627461536E-2</v>
      </c>
      <c r="K761">
        <v>-0.92826365653769782</v>
      </c>
      <c r="L761">
        <v>-0.38815548963753166</v>
      </c>
      <c r="M761">
        <v>-0.35242829361934458</v>
      </c>
      <c r="N761">
        <v>6.1369095529739681E-2</v>
      </c>
      <c r="O761">
        <v>2.6368999999915044E-4</v>
      </c>
      <c r="P761">
        <v>0.21354243757785163</v>
      </c>
      <c r="Q761">
        <v>5.139212206617394E-2</v>
      </c>
      <c r="R761">
        <v>-0.34583182111602717</v>
      </c>
      <c r="S761">
        <v>0.4122444906014211</v>
      </c>
      <c r="T761">
        <v>-0.78383476710980338</v>
      </c>
      <c r="U761">
        <v>26.339344775131735</v>
      </c>
      <c r="V761">
        <v>-1.1805637383355272E-2</v>
      </c>
      <c r="W761">
        <v>-0.28990912157148552</v>
      </c>
      <c r="X761">
        <v>1.0379300000001868E-3</v>
      </c>
      <c r="Y761">
        <v>3.363566999999984E-2</v>
      </c>
      <c r="Z761">
        <v>1.3192000000022963E-4</v>
      </c>
    </row>
    <row r="762" spans="1:26">
      <c r="A762" s="54" t="str">
        <f>CONCATENATE(raw[[#This Row],[redis_ls]],raw[[#This Row],[wage_eq]],raw[[#This Row],[flex]],raw[[#This Row],[expo]],raw[[#This Row],[_date_]])</f>
        <v>020153328</v>
      </c>
      <c r="B762" s="1">
        <v>53328</v>
      </c>
      <c r="C762">
        <v>0</v>
      </c>
      <c r="D762">
        <v>2</v>
      </c>
      <c r="E762">
        <v>0</v>
      </c>
      <c r="F762">
        <v>1</v>
      </c>
      <c r="G762">
        <v>-0.17459392609079361</v>
      </c>
      <c r="H762">
        <v>1.0233300000036252</v>
      </c>
      <c r="I762">
        <v>-1.9096900363420377</v>
      </c>
      <c r="J762">
        <v>6.1953823871152558E-2</v>
      </c>
      <c r="K762">
        <v>-0.88777680819933646</v>
      </c>
      <c r="L762">
        <v>-0.38390611209196956</v>
      </c>
      <c r="M762">
        <v>-0.34208595753035809</v>
      </c>
      <c r="N762">
        <v>6.2175292688215755E-2</v>
      </c>
      <c r="O762">
        <v>1.9839000000021478E-4</v>
      </c>
      <c r="P762">
        <v>0.21110639483437055</v>
      </c>
      <c r="Q762">
        <v>5.3425517873129102E-2</v>
      </c>
      <c r="R762">
        <v>-0.3352811572360781</v>
      </c>
      <c r="S762">
        <v>0.40647971826317519</v>
      </c>
      <c r="T762">
        <v>-0.79442668908843439</v>
      </c>
      <c r="U762">
        <v>26.406428965798902</v>
      </c>
      <c r="V762">
        <v>-1.3282990613583401E-2</v>
      </c>
      <c r="W762">
        <v>-0.29038020321684455</v>
      </c>
      <c r="X762">
        <v>-3.3917800000005105E-3</v>
      </c>
      <c r="Y762">
        <v>3.1008619999999681E-2</v>
      </c>
      <c r="Z762">
        <v>2.4870100000004558E-3</v>
      </c>
    </row>
    <row r="763" spans="1:26">
      <c r="A763" s="54" t="str">
        <f>CONCATENATE(raw[[#This Row],[redis_ls]],raw[[#This Row],[wage_eq]],raw[[#This Row],[flex]],raw[[#This Row],[expo]],raw[[#This Row],[_date_]])</f>
        <v>020153693</v>
      </c>
      <c r="B763" s="1">
        <v>53693</v>
      </c>
      <c r="C763">
        <v>0</v>
      </c>
      <c r="D763">
        <v>2</v>
      </c>
      <c r="E763">
        <v>0</v>
      </c>
      <c r="F763">
        <v>1</v>
      </c>
      <c r="G763">
        <v>-0.16802442975558662</v>
      </c>
      <c r="H763">
        <v>3.0976399999999558</v>
      </c>
      <c r="I763">
        <v>-1.8754402761551603</v>
      </c>
      <c r="J763">
        <v>6.273969238097532E-2</v>
      </c>
      <c r="K763">
        <v>-0.84793211478680908</v>
      </c>
      <c r="L763">
        <v>-0.38014210856459618</v>
      </c>
      <c r="M763">
        <v>-0.33189460044895647</v>
      </c>
      <c r="N763">
        <v>6.2866560659191606E-2</v>
      </c>
      <c r="O763">
        <v>1.1361000000070787E-4</v>
      </c>
      <c r="P763">
        <v>0.20914610023430313</v>
      </c>
      <c r="Q763">
        <v>5.5841662818090221E-2</v>
      </c>
      <c r="R763">
        <v>-0.32440923424504886</v>
      </c>
      <c r="S763">
        <v>0.40117935200776333</v>
      </c>
      <c r="T763">
        <v>-0.80392678545682106</v>
      </c>
      <c r="U763">
        <v>26.46083289753134</v>
      </c>
      <c r="V763">
        <v>-1.4010692887844733E-2</v>
      </c>
      <c r="W763">
        <v>-0.29057136532668615</v>
      </c>
      <c r="X763">
        <v>-7.5796699999991501E-3</v>
      </c>
      <c r="Y763">
        <v>2.8405029999999803E-2</v>
      </c>
      <c r="Z763">
        <v>4.6078300000002015E-3</v>
      </c>
    </row>
    <row r="764" spans="1:26">
      <c r="A764" s="54" t="str">
        <f>CONCATENATE(raw[[#This Row],[redis_ls]],raw[[#This Row],[wage_eq]],raw[[#This Row],[flex]],raw[[#This Row],[expo]],raw[[#This Row],[_date_]])</f>
        <v>020154058</v>
      </c>
      <c r="B764" s="1">
        <v>54058</v>
      </c>
      <c r="C764">
        <v>0</v>
      </c>
      <c r="D764">
        <v>2</v>
      </c>
      <c r="E764">
        <v>0</v>
      </c>
      <c r="F764">
        <v>1</v>
      </c>
      <c r="G764">
        <v>-0.16183426992230077</v>
      </c>
      <c r="H764">
        <v>5.0289300000004005</v>
      </c>
      <c r="I764">
        <v>-1.8420144879940481</v>
      </c>
      <c r="J764">
        <v>6.3356655720014921E-2</v>
      </c>
      <c r="K764">
        <v>-0.80888546190924782</v>
      </c>
      <c r="L764">
        <v>-0.37697102990628117</v>
      </c>
      <c r="M764">
        <v>-0.32190006132256643</v>
      </c>
      <c r="N764">
        <v>6.3377064734226884E-2</v>
      </c>
      <c r="O764">
        <v>1.8279999999815111E-5</v>
      </c>
      <c r="P764">
        <v>0.20765091450898332</v>
      </c>
      <c r="Q764">
        <v>5.8618801793897113E-2</v>
      </c>
      <c r="R764">
        <v>-0.31325704088108752</v>
      </c>
      <c r="S764">
        <v>0.39633513151535738</v>
      </c>
      <c r="T764">
        <v>-0.81245617174207085</v>
      </c>
      <c r="U764">
        <v>26.504868577335159</v>
      </c>
      <c r="V764">
        <v>-1.3986267468313329E-2</v>
      </c>
      <c r="W764">
        <v>-0.29045639010544244</v>
      </c>
      <c r="X764">
        <v>-1.1407280000000353E-2</v>
      </c>
      <c r="Y764">
        <v>2.5803159999999992E-2</v>
      </c>
      <c r="Z764">
        <v>6.4518900000004598E-3</v>
      </c>
    </row>
    <row r="765" spans="1:26">
      <c r="A765" s="54" t="str">
        <f>CONCATENATE(raw[[#This Row],[redis_ls]],raw[[#This Row],[wage_eq]],raw[[#This Row],[flex]],raw[[#This Row],[expo]],raw[[#This Row],[_date_]])</f>
        <v>020154424</v>
      </c>
      <c r="B765" s="1">
        <v>54424</v>
      </c>
      <c r="C765">
        <v>0</v>
      </c>
      <c r="D765">
        <v>2</v>
      </c>
      <c r="E765">
        <v>0</v>
      </c>
      <c r="F765">
        <v>1</v>
      </c>
      <c r="G765">
        <v>-0.15608695210496126</v>
      </c>
      <c r="H765">
        <v>6.7696199999991222</v>
      </c>
      <c r="I765">
        <v>-1.8094594293961874</v>
      </c>
      <c r="J765">
        <v>6.3742533083988029E-2</v>
      </c>
      <c r="K765">
        <v>-0.7707592601147284</v>
      </c>
      <c r="L765">
        <v>-0.37444253914439285</v>
      </c>
      <c r="M765">
        <v>-0.31214327996399449</v>
      </c>
      <c r="N765">
        <v>6.3653815706765648E-2</v>
      </c>
      <c r="O765">
        <v>-7.9429999999547363E-5</v>
      </c>
      <c r="P765">
        <v>0.20658189347233513</v>
      </c>
      <c r="Q765">
        <v>6.1707492023566068E-2</v>
      </c>
      <c r="R765">
        <v>-0.30189517676051381</v>
      </c>
      <c r="S765">
        <v>0.39191274882151017</v>
      </c>
      <c r="T765">
        <v>-0.82013485028146205</v>
      </c>
      <c r="U765">
        <v>26.540823374468857</v>
      </c>
      <c r="V765">
        <v>-1.3249253559155516E-2</v>
      </c>
      <c r="W765">
        <v>-0.2900182824832287</v>
      </c>
      <c r="X765">
        <v>-1.4791769999999982E-2</v>
      </c>
      <c r="Y765">
        <v>2.3190630000000101E-2</v>
      </c>
      <c r="Z765">
        <v>7.9890700000001535E-3</v>
      </c>
    </row>
    <row r="766" spans="1:26">
      <c r="A766" s="54" t="str">
        <f>CONCATENATE(raw[[#This Row],[redis_ls]],raw[[#This Row],[wage_eq]],raw[[#This Row],[flex]],raw[[#This Row],[expo]],raw[[#This Row],[_date_]])</f>
        <v>020154789</v>
      </c>
      <c r="B766" s="1">
        <v>54789</v>
      </c>
      <c r="C766">
        <v>0</v>
      </c>
      <c r="D766">
        <v>2</v>
      </c>
      <c r="E766">
        <v>0</v>
      </c>
      <c r="F766">
        <v>1</v>
      </c>
      <c r="G766">
        <v>-0.15081669367371653</v>
      </c>
      <c r="H766">
        <v>8.2886300000027404</v>
      </c>
      <c r="I766">
        <v>-1.7777919134553621</v>
      </c>
      <c r="J766">
        <v>6.3850853763725013E-2</v>
      </c>
      <c r="K766">
        <v>-0.73364386245294844</v>
      </c>
      <c r="L766">
        <v>-0.37255445582239366</v>
      </c>
      <c r="M766">
        <v>-0.3026591874749518</v>
      </c>
      <c r="N766">
        <v>6.3658357162821311E-2</v>
      </c>
      <c r="O766">
        <v>-1.7239999999946187E-4</v>
      </c>
      <c r="P766">
        <v>0.20587855810774158</v>
      </c>
      <c r="Q766">
        <v>6.5037468284145916E-2</v>
      </c>
      <c r="R766">
        <v>-0.29041557287583508</v>
      </c>
      <c r="S766">
        <v>0.38785738561022409</v>
      </c>
      <c r="T766">
        <v>-0.82707771836503241</v>
      </c>
      <c r="U766">
        <v>26.570847033801257</v>
      </c>
      <c r="V766">
        <v>-1.1872891833308863E-2</v>
      </c>
      <c r="W766">
        <v>-0.28924898814308708</v>
      </c>
      <c r="X766">
        <v>-1.7684820000000989E-2</v>
      </c>
      <c r="Y766">
        <v>2.0563779999999837E-2</v>
      </c>
      <c r="Z766">
        <v>9.2020400000003555E-3</v>
      </c>
    </row>
    <row r="767" spans="1:26">
      <c r="A767" s="54" t="str">
        <f>CONCATENATE(raw[[#This Row],[redis_ls]],raw[[#This Row],[wage_eq]],raw[[#This Row],[flex]],raw[[#This Row],[expo]],raw[[#This Row],[_date_]])</f>
        <v>020036526</v>
      </c>
      <c r="B767" s="1">
        <v>36526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3.5299760163587379E-3</v>
      </c>
      <c r="U767">
        <v>0.2202024959955029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s="54" t="str">
        <f>CONCATENATE(raw[[#This Row],[redis_ls]],raw[[#This Row],[wage_eq]],raw[[#This Row],[flex]],raw[[#This Row],[expo]],raw[[#This Row],[_date_]])</f>
        <v>020036892</v>
      </c>
      <c r="B768" s="1">
        <v>36892</v>
      </c>
      <c r="C768">
        <v>0</v>
      </c>
      <c r="D768">
        <v>2</v>
      </c>
      <c r="E768">
        <v>0</v>
      </c>
      <c r="F768">
        <v>0</v>
      </c>
      <c r="G768">
        <v>2.506899180145794E-2</v>
      </c>
      <c r="H768">
        <v>26.857439999999769</v>
      </c>
      <c r="I768">
        <v>-1.2600491113287871</v>
      </c>
      <c r="J768">
        <v>6.0990134834471021E-2</v>
      </c>
      <c r="K768">
        <v>-0.23184360680813532</v>
      </c>
      <c r="L768">
        <v>-3.8680618356956575E-2</v>
      </c>
      <c r="M768">
        <v>-0.16562206391291801</v>
      </c>
      <c r="N768">
        <v>8.5762456448090774E-2</v>
      </c>
      <c r="O768">
        <v>2.2214010000000395E-2</v>
      </c>
      <c r="P768">
        <v>0.45686971612182159</v>
      </c>
      <c r="Q768">
        <v>6.965456295640049E-2</v>
      </c>
      <c r="R768">
        <v>-0.71755879081832896</v>
      </c>
      <c r="S768">
        <v>0.84992491468325326</v>
      </c>
      <c r="T768">
        <v>0.21228746983148472</v>
      </c>
      <c r="U768">
        <v>0.7694154865609093</v>
      </c>
      <c r="V768">
        <v>2.0424284158160333E-2</v>
      </c>
      <c r="W768">
        <v>-0.38724971303722988</v>
      </c>
      <c r="X768">
        <v>-8.02421099999992E-2</v>
      </c>
      <c r="Y768">
        <v>9.3504309999999785E-2</v>
      </c>
      <c r="Z768">
        <v>-1.5590249999999917E-2</v>
      </c>
    </row>
    <row r="769" spans="1:26">
      <c r="A769" s="54" t="str">
        <f>CONCATENATE(raw[[#This Row],[redis_ls]],raw[[#This Row],[wage_eq]],raw[[#This Row],[flex]],raw[[#This Row],[expo]],raw[[#This Row],[_date_]])</f>
        <v>020037257</v>
      </c>
      <c r="B769" s="1">
        <v>37257</v>
      </c>
      <c r="C769">
        <v>0</v>
      </c>
      <c r="D769">
        <v>2</v>
      </c>
      <c r="E769">
        <v>0</v>
      </c>
      <c r="F769">
        <v>0</v>
      </c>
      <c r="G769">
        <v>5.2736092058780493E-2</v>
      </c>
      <c r="H769">
        <v>56.02187000000049</v>
      </c>
      <c r="I769">
        <v>-2.0613670653592431</v>
      </c>
      <c r="J769">
        <v>0.15195436502921655</v>
      </c>
      <c r="K769">
        <v>-0.4324270409597375</v>
      </c>
      <c r="L769">
        <v>-9.2383535392048799E-2</v>
      </c>
      <c r="M769">
        <v>-0.2666034338158596</v>
      </c>
      <c r="N769">
        <v>0.18498657241481364</v>
      </c>
      <c r="O769">
        <v>2.9595550000000026E-2</v>
      </c>
      <c r="P769">
        <v>0.51872284234391053</v>
      </c>
      <c r="Q769">
        <v>0.14740251827991546</v>
      </c>
      <c r="R769">
        <v>-0.62201315806438284</v>
      </c>
      <c r="S769">
        <v>0.90921738578806366</v>
      </c>
      <c r="T769">
        <v>0.33181974207596721</v>
      </c>
      <c r="U769">
        <v>1.6888958830901357</v>
      </c>
      <c r="V769">
        <v>0.18754596925438793</v>
      </c>
      <c r="W769">
        <v>-0.29682092852335584</v>
      </c>
      <c r="X769">
        <v>-0.16035149999999998</v>
      </c>
      <c r="Y769">
        <v>0.14661905000000025</v>
      </c>
      <c r="Z769">
        <v>3.7850120000000077E-2</v>
      </c>
    </row>
    <row r="770" spans="1:26">
      <c r="A770" s="54" t="str">
        <f>CONCATENATE(raw[[#This Row],[redis_ls]],raw[[#This Row],[wage_eq]],raw[[#This Row],[flex]],raw[[#This Row],[expo]],raw[[#This Row],[_date_]])</f>
        <v>020037622</v>
      </c>
      <c r="B770" s="1">
        <v>37622</v>
      </c>
      <c r="C770">
        <v>0</v>
      </c>
      <c r="D770">
        <v>2</v>
      </c>
      <c r="E770">
        <v>0</v>
      </c>
      <c r="F770">
        <v>0</v>
      </c>
      <c r="G770">
        <v>6.8811836743343235E-2</v>
      </c>
      <c r="H770">
        <v>78.606459999999061</v>
      </c>
      <c r="I770">
        <v>-2.5299812976706693</v>
      </c>
      <c r="J770">
        <v>0.23975215826177454</v>
      </c>
      <c r="K770">
        <v>-0.59342917304914256</v>
      </c>
      <c r="L770">
        <v>-0.15251785447931709</v>
      </c>
      <c r="M770">
        <v>-0.30951472658035106</v>
      </c>
      <c r="N770">
        <v>0.26350270221868755</v>
      </c>
      <c r="O770">
        <v>2.1262539999999941E-2</v>
      </c>
      <c r="P770">
        <v>0.60223295770924778</v>
      </c>
      <c r="Q770">
        <v>0.24715217465312023</v>
      </c>
      <c r="R770">
        <v>-0.49988275692427475</v>
      </c>
      <c r="S770">
        <v>0.98514862778795731</v>
      </c>
      <c r="T770">
        <v>0.39978009457135588</v>
      </c>
      <c r="U770">
        <v>2.9841591488505959</v>
      </c>
      <c r="V770">
        <v>0.37906287319056098</v>
      </c>
      <c r="W770">
        <v>-0.21741829222173825</v>
      </c>
      <c r="X770">
        <v>-0.2171643599999995</v>
      </c>
      <c r="Y770">
        <v>0.17948199000000012</v>
      </c>
      <c r="Z770">
        <v>6.3358219999999979E-2</v>
      </c>
    </row>
    <row r="771" spans="1:26">
      <c r="A771" s="54" t="str">
        <f>CONCATENATE(raw[[#This Row],[redis_ls]],raw[[#This Row],[wage_eq]],raw[[#This Row],[flex]],raw[[#This Row],[expo]],raw[[#This Row],[_date_]])</f>
        <v>020037987</v>
      </c>
      <c r="B771" s="1">
        <v>37987</v>
      </c>
      <c r="C771">
        <v>0</v>
      </c>
      <c r="D771">
        <v>2</v>
      </c>
      <c r="E771">
        <v>0</v>
      </c>
      <c r="F771">
        <v>0</v>
      </c>
      <c r="G771">
        <v>6.8151978718189454E-2</v>
      </c>
      <c r="H771">
        <v>92.022069999999076</v>
      </c>
      <c r="I771">
        <v>-2.7999136862463136</v>
      </c>
      <c r="J771">
        <v>0.3041087167085621</v>
      </c>
      <c r="K771">
        <v>-0.7243861368893989</v>
      </c>
      <c r="L771">
        <v>-0.21544430291696726</v>
      </c>
      <c r="M771">
        <v>-0.32374913603403499</v>
      </c>
      <c r="N771">
        <v>0.31116052413999729</v>
      </c>
      <c r="O771">
        <v>6.30998000000077E-3</v>
      </c>
      <c r="P771">
        <v>0.69865165694533715</v>
      </c>
      <c r="Q771">
        <v>0.36141739533639416</v>
      </c>
      <c r="R771">
        <v>-0.36046926946208258</v>
      </c>
      <c r="S771">
        <v>1.0722328803320247</v>
      </c>
      <c r="T771">
        <v>0.42859330578683963</v>
      </c>
      <c r="U771">
        <v>4.6438379936302621</v>
      </c>
      <c r="V771">
        <v>0.56471625977916329</v>
      </c>
      <c r="W771">
        <v>-0.1685371257921342</v>
      </c>
      <c r="X771">
        <v>-0.246699110000001</v>
      </c>
      <c r="Y771">
        <v>0.20342339999999992</v>
      </c>
      <c r="Z771">
        <v>6.5092959999999908E-2</v>
      </c>
    </row>
    <row r="772" spans="1:26">
      <c r="A772" s="54" t="str">
        <f>CONCATENATE(raw[[#This Row],[redis_ls]],raw[[#This Row],[wage_eq]],raw[[#This Row],[flex]],raw[[#This Row],[expo]],raw[[#This Row],[_date_]])</f>
        <v>020038353</v>
      </c>
      <c r="B772" s="1">
        <v>38353</v>
      </c>
      <c r="C772">
        <v>0</v>
      </c>
      <c r="D772">
        <v>2</v>
      </c>
      <c r="E772">
        <v>0</v>
      </c>
      <c r="F772">
        <v>0</v>
      </c>
      <c r="G772">
        <v>5.3389675060966368E-2</v>
      </c>
      <c r="H772">
        <v>96.746070000001055</v>
      </c>
      <c r="I772">
        <v>-2.9542568665491542</v>
      </c>
      <c r="J772">
        <v>0.34404315269691566</v>
      </c>
      <c r="K772">
        <v>-0.83512327771921857</v>
      </c>
      <c r="L772">
        <v>-0.27897089261922359</v>
      </c>
      <c r="M772">
        <v>-0.32663164875235129</v>
      </c>
      <c r="N772">
        <v>0.3380536150657365</v>
      </c>
      <c r="O772">
        <v>-5.3581999999996466E-3</v>
      </c>
      <c r="P772">
        <v>0.79844106291078187</v>
      </c>
      <c r="Q772">
        <v>0.47991079580813611</v>
      </c>
      <c r="R772">
        <v>-0.21628039088059658</v>
      </c>
      <c r="S772">
        <v>1.1625878402086398</v>
      </c>
      <c r="T772">
        <v>0.42283924845343268</v>
      </c>
      <c r="U772">
        <v>6.6493300325411564</v>
      </c>
      <c r="V772">
        <v>0.7382305265993816</v>
      </c>
      <c r="W772">
        <v>-0.14245782285334796</v>
      </c>
      <c r="X772">
        <v>-0.25266927999999939</v>
      </c>
      <c r="Y772">
        <v>0.22373087000000028</v>
      </c>
      <c r="Z772">
        <v>5.3626400000000157E-2</v>
      </c>
    </row>
    <row r="773" spans="1:26">
      <c r="A773" s="54" t="str">
        <f>CONCATENATE(raw[[#This Row],[redis_ls]],raw[[#This Row],[wage_eq]],raw[[#This Row],[flex]],raw[[#This Row],[expo]],raw[[#This Row],[_date_]])</f>
        <v>020038718</v>
      </c>
      <c r="B773" s="1">
        <v>38718</v>
      </c>
      <c r="C773">
        <v>0</v>
      </c>
      <c r="D773">
        <v>2</v>
      </c>
      <c r="E773">
        <v>0</v>
      </c>
      <c r="F773">
        <v>0</v>
      </c>
      <c r="G773">
        <v>3.0226636603947199E-2</v>
      </c>
      <c r="H773">
        <v>94.706229999999778</v>
      </c>
      <c r="I773">
        <v>-3.0395328593395776</v>
      </c>
      <c r="J773">
        <v>0.36738831574825159</v>
      </c>
      <c r="K773">
        <v>-0.93119982144130864</v>
      </c>
      <c r="L773">
        <v>-0.34136596251663764</v>
      </c>
      <c r="M773">
        <v>-0.32489921751982509</v>
      </c>
      <c r="N773">
        <v>0.35530122790563556</v>
      </c>
      <c r="O773">
        <v>-1.0811909999999814E-2</v>
      </c>
      <c r="P773">
        <v>0.89477035760532342</v>
      </c>
      <c r="Q773">
        <v>0.59468351112221818</v>
      </c>
      <c r="R773">
        <v>-7.6946190988491647E-2</v>
      </c>
      <c r="S773">
        <v>1.2500860311652984</v>
      </c>
      <c r="T773">
        <v>0.38543210387922411</v>
      </c>
      <c r="U773">
        <v>8.9790109581442614</v>
      </c>
      <c r="V773">
        <v>0.89817475673008573</v>
      </c>
      <c r="W773">
        <v>-0.12980461528577791</v>
      </c>
      <c r="X773">
        <v>-0.24170574000000056</v>
      </c>
      <c r="Y773">
        <v>0.24215116000000023</v>
      </c>
      <c r="Z773">
        <v>3.8312130000000069E-2</v>
      </c>
    </row>
    <row r="774" spans="1:26">
      <c r="A774" s="54" t="str">
        <f>CONCATENATE(raw[[#This Row],[redis_ls]],raw[[#This Row],[wage_eq]],raw[[#This Row],[flex]],raw[[#This Row],[expo]],raw[[#This Row],[_date_]])</f>
        <v>020039083</v>
      </c>
      <c r="B774" s="1">
        <v>39083</v>
      </c>
      <c r="C774">
        <v>0</v>
      </c>
      <c r="D774">
        <v>2</v>
      </c>
      <c r="E774">
        <v>0</v>
      </c>
      <c r="F774">
        <v>0</v>
      </c>
      <c r="G774">
        <v>4.2589368541845474E-3</v>
      </c>
      <c r="H774">
        <v>88.263269999999466</v>
      </c>
      <c r="I774">
        <v>-3.0814064533051466</v>
      </c>
      <c r="J774">
        <v>0.38321967853449657</v>
      </c>
      <c r="K774">
        <v>-1.0147589090868658</v>
      </c>
      <c r="L774">
        <v>-0.40118830876881839</v>
      </c>
      <c r="M774">
        <v>-0.32003366827647595</v>
      </c>
      <c r="N774">
        <v>0.37080548345902464</v>
      </c>
      <c r="O774">
        <v>-1.1103650000000853E-2</v>
      </c>
      <c r="P774">
        <v>0.98351237708729222</v>
      </c>
      <c r="Q774">
        <v>0.70073731369948433</v>
      </c>
      <c r="R774">
        <v>5.1528311497417434E-2</v>
      </c>
      <c r="S774">
        <v>1.3308251606532817</v>
      </c>
      <c r="T774">
        <v>0.31933273730164746</v>
      </c>
      <c r="U774">
        <v>11.609653426404165</v>
      </c>
      <c r="V774">
        <v>1.0437395563902996</v>
      </c>
      <c r="W774">
        <v>-0.12447787490130757</v>
      </c>
      <c r="X774">
        <v>-0.22074834000000015</v>
      </c>
      <c r="Y774">
        <v>0.25892745999999967</v>
      </c>
      <c r="Z774">
        <v>2.558035000000021E-2</v>
      </c>
    </row>
    <row r="775" spans="1:26">
      <c r="A775" s="54" t="str">
        <f>CONCATENATE(raw[[#This Row],[redis_ls]],raw[[#This Row],[wage_eq]],raw[[#This Row],[flex]],raw[[#This Row],[expo]],raw[[#This Row],[_date_]])</f>
        <v>020039448</v>
      </c>
      <c r="B775" s="1">
        <v>39448</v>
      </c>
      <c r="C775">
        <v>0</v>
      </c>
      <c r="D775">
        <v>2</v>
      </c>
      <c r="E775">
        <v>0</v>
      </c>
      <c r="F775">
        <v>0</v>
      </c>
      <c r="G775">
        <v>-2.0385427115943155E-2</v>
      </c>
      <c r="H775">
        <v>79.598299999997835</v>
      </c>
      <c r="I775">
        <v>-3.0945465043906495</v>
      </c>
      <c r="J775">
        <v>0.39851593933950547</v>
      </c>
      <c r="K775">
        <v>-1.0863537675351975</v>
      </c>
      <c r="L775">
        <v>-0.45730401414789679</v>
      </c>
      <c r="M775">
        <v>-0.31182199622641349</v>
      </c>
      <c r="N775">
        <v>0.38908080288375668</v>
      </c>
      <c r="O775">
        <v>-8.4380299999992081E-3</v>
      </c>
      <c r="P775">
        <v>1.0624836451351483</v>
      </c>
      <c r="Q775">
        <v>0.79539565079602692</v>
      </c>
      <c r="R775">
        <v>0.1660006263217495</v>
      </c>
      <c r="S775">
        <v>1.4026418546209118</v>
      </c>
      <c r="T775">
        <v>0.22775589559709264</v>
      </c>
      <c r="U775">
        <v>14.516610515777195</v>
      </c>
      <c r="V775">
        <v>1.1743284550399524</v>
      </c>
      <c r="W775">
        <v>-0.12321575669587137</v>
      </c>
      <c r="X775">
        <v>-0.19565828999999896</v>
      </c>
      <c r="Y775">
        <v>0.2738745300000005</v>
      </c>
      <c r="Z775">
        <v>1.9005180000000038E-2</v>
      </c>
    </row>
    <row r="776" spans="1:26">
      <c r="A776" s="54" t="str">
        <f>CONCATENATE(raw[[#This Row],[redis_ls]],raw[[#This Row],[wage_eq]],raw[[#This Row],[flex]],raw[[#This Row],[expo]],raw[[#This Row],[_date_]])</f>
        <v>020039814</v>
      </c>
      <c r="B776" s="1">
        <v>39814</v>
      </c>
      <c r="C776">
        <v>0</v>
      </c>
      <c r="D776">
        <v>2</v>
      </c>
      <c r="E776">
        <v>0</v>
      </c>
      <c r="F776">
        <v>0</v>
      </c>
      <c r="G776">
        <v>-4.1302150733513177E-2</v>
      </c>
      <c r="H776">
        <v>70.41475999999966</v>
      </c>
      <c r="I776">
        <v>-3.0879901094134299</v>
      </c>
      <c r="J776">
        <v>0.4173532653733103</v>
      </c>
      <c r="K776">
        <v>-1.1462553974727396</v>
      </c>
      <c r="L776">
        <v>-0.50889965707037188</v>
      </c>
      <c r="M776">
        <v>-0.30004906673434251</v>
      </c>
      <c r="N776">
        <v>0.41199148529131868</v>
      </c>
      <c r="O776">
        <v>-4.7940700000012604E-3</v>
      </c>
      <c r="P776">
        <v>1.1307446163502988</v>
      </c>
      <c r="Q776">
        <v>0.87754487921878344</v>
      </c>
      <c r="R776">
        <v>0.26525316569616653</v>
      </c>
      <c r="S776">
        <v>1.464545179957133</v>
      </c>
      <c r="T776">
        <v>0.11402475161697012</v>
      </c>
      <c r="U776">
        <v>17.673587879044494</v>
      </c>
      <c r="V776">
        <v>1.2897339868087832</v>
      </c>
      <c r="W776">
        <v>-0.12441356176391416</v>
      </c>
      <c r="X776">
        <v>-0.1706755800000001</v>
      </c>
      <c r="Y776">
        <v>0.2868318200000004</v>
      </c>
      <c r="Z776">
        <v>1.9875700000000079E-2</v>
      </c>
    </row>
    <row r="777" spans="1:26">
      <c r="A777" s="54" t="str">
        <f>CONCATENATE(raw[[#This Row],[redis_ls]],raw[[#This Row],[wage_eq]],raw[[#This Row],[flex]],raw[[#This Row],[expo]],raw[[#This Row],[_date_]])</f>
        <v>020040179</v>
      </c>
      <c r="B777" s="1">
        <v>40179</v>
      </c>
      <c r="C777">
        <v>0</v>
      </c>
      <c r="D777">
        <v>2</v>
      </c>
      <c r="E777">
        <v>0</v>
      </c>
      <c r="F777">
        <v>0</v>
      </c>
      <c r="G777">
        <v>-5.7551166532954223E-2</v>
      </c>
      <c r="H777">
        <v>61.859449999999924</v>
      </c>
      <c r="I777">
        <v>-3.0678370189315629</v>
      </c>
      <c r="J777">
        <v>0.44124471430964096</v>
      </c>
      <c r="K777">
        <v>-1.1950632700768904</v>
      </c>
      <c r="L777">
        <v>-0.55546004861480869</v>
      </c>
      <c r="M777">
        <v>-0.28504347751718839</v>
      </c>
      <c r="N777">
        <v>0.43957211837124532</v>
      </c>
      <c r="O777">
        <v>-1.4949999999999686E-3</v>
      </c>
      <c r="P777">
        <v>1.1881179857850199</v>
      </c>
      <c r="Q777">
        <v>0.94704398250682331</v>
      </c>
      <c r="R777">
        <v>0.34925536380667754</v>
      </c>
      <c r="S777">
        <v>1.5162885979789209</v>
      </c>
      <c r="T777">
        <v>-1.8566881034987048E-2</v>
      </c>
      <c r="U777">
        <v>21.052396016732324</v>
      </c>
      <c r="V777">
        <v>1.3901922515960452</v>
      </c>
      <c r="W777">
        <v>-0.12728566891011539</v>
      </c>
      <c r="X777">
        <v>-0.14841250000000028</v>
      </c>
      <c r="Y777">
        <v>0.29779976000000041</v>
      </c>
      <c r="Z777">
        <v>2.7871880000000099E-2</v>
      </c>
    </row>
    <row r="778" spans="1:26">
      <c r="A778" s="54" t="str">
        <f>CONCATENATE(raw[[#This Row],[redis_ls]],raw[[#This Row],[wage_eq]],raw[[#This Row],[flex]],raw[[#This Row],[expo]],raw[[#This Row],[_date_]])</f>
        <v>020040544</v>
      </c>
      <c r="B778" s="1">
        <v>40544</v>
      </c>
      <c r="C778">
        <v>0</v>
      </c>
      <c r="D778">
        <v>2</v>
      </c>
      <c r="E778">
        <v>0</v>
      </c>
      <c r="F778">
        <v>0</v>
      </c>
      <c r="G778">
        <v>-6.922631816663749E-2</v>
      </c>
      <c r="H778">
        <v>54.573720000000321</v>
      </c>
      <c r="I778">
        <v>-3.0385187566564387</v>
      </c>
      <c r="J778">
        <v>0.46986604569687618</v>
      </c>
      <c r="K778">
        <v>-1.2338301587630385</v>
      </c>
      <c r="L778">
        <v>-0.59672294000058246</v>
      </c>
      <c r="M778">
        <v>-0.26765925107726796</v>
      </c>
      <c r="N778">
        <v>0.47074610591242294</v>
      </c>
      <c r="O778">
        <v>7.8625999999915042E-4</v>
      </c>
      <c r="P778">
        <v>1.2348904392737392</v>
      </c>
      <c r="Q778">
        <v>1.0043302663746312</v>
      </c>
      <c r="R778">
        <v>0.41866618419685864</v>
      </c>
      <c r="S778">
        <v>1.558086675757675</v>
      </c>
      <c r="T778">
        <v>-0.16682215275979351</v>
      </c>
      <c r="U778">
        <v>24.622854511224766</v>
      </c>
      <c r="V778">
        <v>1.4762979778400354</v>
      </c>
      <c r="W778">
        <v>-0.13142244603593367</v>
      </c>
      <c r="X778">
        <v>-0.13012924000000009</v>
      </c>
      <c r="Y778">
        <v>0.30693691000000034</v>
      </c>
      <c r="Z778">
        <v>4.1699580000000014E-2</v>
      </c>
    </row>
    <row r="779" spans="1:26">
      <c r="A779" s="54" t="str">
        <f>CONCATENATE(raw[[#This Row],[redis_ls]],raw[[#This Row],[wage_eq]],raw[[#This Row],[flex]],raw[[#This Row],[expo]],raw[[#This Row],[_date_]])</f>
        <v>020040909</v>
      </c>
      <c r="B779" s="1">
        <v>40909</v>
      </c>
      <c r="C779">
        <v>0</v>
      </c>
      <c r="D779">
        <v>2</v>
      </c>
      <c r="E779">
        <v>0</v>
      </c>
      <c r="F779">
        <v>0</v>
      </c>
      <c r="G779">
        <v>-7.7026233291555002E-2</v>
      </c>
      <c r="H779">
        <v>48.805860000000393</v>
      </c>
      <c r="I779">
        <v>-3.0033672811204615</v>
      </c>
      <c r="J779">
        <v>0.50180903608756378</v>
      </c>
      <c r="K779">
        <v>-1.2639393754810824</v>
      </c>
      <c r="L779">
        <v>-0.6326276460489777</v>
      </c>
      <c r="M779">
        <v>-0.24904557476632672</v>
      </c>
      <c r="N779">
        <v>0.50390337850101385</v>
      </c>
      <c r="O779">
        <v>1.8702600000003455E-3</v>
      </c>
      <c r="P779">
        <v>1.2716358468255695</v>
      </c>
      <c r="Q779">
        <v>1.050174769026424</v>
      </c>
      <c r="R779">
        <v>0.47452589539862533</v>
      </c>
      <c r="S779">
        <v>1.5904419749096288</v>
      </c>
      <c r="T779">
        <v>-0.32766111355706506</v>
      </c>
      <c r="U779">
        <v>28.352909539938519</v>
      </c>
      <c r="V779">
        <v>1.5488752921629212</v>
      </c>
      <c r="W779">
        <v>-0.13659205094326277</v>
      </c>
      <c r="X779">
        <v>-0.11611190999999965</v>
      </c>
      <c r="Y779">
        <v>0.31450732000000009</v>
      </c>
      <c r="Z779">
        <v>5.9619510000000209E-2</v>
      </c>
    </row>
    <row r="780" spans="1:26">
      <c r="A780" s="54" t="str">
        <f>CONCATENATE(raw[[#This Row],[redis_ls]],raw[[#This Row],[wage_eq]],raw[[#This Row],[flex]],raw[[#This Row],[expo]],raw[[#This Row],[_date_]])</f>
        <v>020041275</v>
      </c>
      <c r="B780" s="1">
        <v>41275</v>
      </c>
      <c r="C780">
        <v>0</v>
      </c>
      <c r="D780">
        <v>2</v>
      </c>
      <c r="E780">
        <v>0</v>
      </c>
      <c r="F780">
        <v>0</v>
      </c>
      <c r="G780">
        <v>-8.1902854725324215E-2</v>
      </c>
      <c r="H780">
        <v>44.538169999999809</v>
      </c>
      <c r="I780">
        <v>-2.9648720152185226</v>
      </c>
      <c r="J780">
        <v>0.53521318095735015</v>
      </c>
      <c r="K780">
        <v>-1.2869030669854564</v>
      </c>
      <c r="L780">
        <v>-0.66326789981294709</v>
      </c>
      <c r="M780">
        <v>-0.23038981030353289</v>
      </c>
      <c r="N780">
        <v>0.53733133169717728</v>
      </c>
      <c r="O780">
        <v>1.8904299999997209E-3</v>
      </c>
      <c r="P780">
        <v>1.2991094761199085</v>
      </c>
      <c r="Q780">
        <v>1.0855378175112618</v>
      </c>
      <c r="R780">
        <v>0.51807708250639628</v>
      </c>
      <c r="S780">
        <v>1.6140368638724034</v>
      </c>
      <c r="T780">
        <v>-0.49812580811379181</v>
      </c>
      <c r="U780">
        <v>32.208969238885118</v>
      </c>
      <c r="V780">
        <v>1.6088696165819316</v>
      </c>
      <c r="W780">
        <v>-0.14265905648125354</v>
      </c>
      <c r="X780">
        <v>-0.10604255000000035</v>
      </c>
      <c r="Y780">
        <v>0.32082025000000003</v>
      </c>
      <c r="Z780">
        <v>7.984201999999968E-2</v>
      </c>
    </row>
    <row r="781" spans="1:26">
      <c r="A781" s="54" t="str">
        <f>CONCATENATE(raw[[#This Row],[redis_ls]],raw[[#This Row],[wage_eq]],raw[[#This Row],[flex]],raw[[#This Row],[expo]],raw[[#This Row],[_date_]])</f>
        <v>020041640</v>
      </c>
      <c r="B781" s="1">
        <v>41640</v>
      </c>
      <c r="C781">
        <v>0</v>
      </c>
      <c r="D781">
        <v>2</v>
      </c>
      <c r="E781">
        <v>0</v>
      </c>
      <c r="F781">
        <v>0</v>
      </c>
      <c r="G781">
        <v>-8.4813140051009928E-2</v>
      </c>
      <c r="H781">
        <v>41.601500000000669</v>
      </c>
      <c r="I781">
        <v>-2.9248197289522215</v>
      </c>
      <c r="J781">
        <v>0.56822561770266677</v>
      </c>
      <c r="K781">
        <v>-1.3041755038541658</v>
      </c>
      <c r="L781">
        <v>-0.68885365473853044</v>
      </c>
      <c r="M781">
        <v>-0.21271832726996731</v>
      </c>
      <c r="N781">
        <v>0.56950133575230932</v>
      </c>
      <c r="O781">
        <v>1.1378699999994857E-3</v>
      </c>
      <c r="P781">
        <v>1.318182951473168</v>
      </c>
      <c r="Q781">
        <v>1.111486053582067</v>
      </c>
      <c r="R781">
        <v>0.55066655175421975</v>
      </c>
      <c r="S781">
        <v>1.6296689506625661</v>
      </c>
      <c r="T781">
        <v>-0.67538941841350786</v>
      </c>
      <c r="U781">
        <v>36.156437822048268</v>
      </c>
      <c r="V781">
        <v>1.6572819199047517</v>
      </c>
      <c r="W781">
        <v>-0.14954842170664673</v>
      </c>
      <c r="X781">
        <v>-9.9304029999999766E-2</v>
      </c>
      <c r="Y781">
        <v>0.32618018999999998</v>
      </c>
      <c r="Z781">
        <v>0.10078502000000003</v>
      </c>
    </row>
    <row r="782" spans="1:26">
      <c r="A782" s="54" t="str">
        <f>CONCATENATE(raw[[#This Row],[redis_ls]],raw[[#This Row],[wage_eq]],raw[[#This Row],[flex]],raw[[#This Row],[expo]],raw[[#This Row],[_date_]])</f>
        <v>020042005</v>
      </c>
      <c r="B782" s="1">
        <v>42005</v>
      </c>
      <c r="C782">
        <v>0</v>
      </c>
      <c r="D782">
        <v>2</v>
      </c>
      <c r="E782">
        <v>0</v>
      </c>
      <c r="F782">
        <v>0</v>
      </c>
      <c r="G782">
        <v>-8.6570174432853975E-2</v>
      </c>
      <c r="H782">
        <v>39.764080000000831</v>
      </c>
      <c r="I782">
        <v>-2.8844042762450672</v>
      </c>
      <c r="J782">
        <v>0.59928826761279641</v>
      </c>
      <c r="K782">
        <v>-1.3170233209133686</v>
      </c>
      <c r="L782">
        <v>-0.70968178885770783</v>
      </c>
      <c r="M782">
        <v>-0.1967801380481693</v>
      </c>
      <c r="N782">
        <v>0.59922849472855422</v>
      </c>
      <c r="O782">
        <v>-5.3319999999967838E-5</v>
      </c>
      <c r="P782">
        <v>1.3298016008034264</v>
      </c>
      <c r="Q782">
        <v>1.1291449582631286</v>
      </c>
      <c r="R782">
        <v>0.57369397566497948</v>
      </c>
      <c r="S782">
        <v>1.6382081549142891</v>
      </c>
      <c r="T782">
        <v>-0.8567769847056983</v>
      </c>
      <c r="U782">
        <v>40.160401810574456</v>
      </c>
      <c r="V782">
        <v>1.69514171091667</v>
      </c>
      <c r="W782">
        <v>-0.15722319126795226</v>
      </c>
      <c r="X782">
        <v>-9.5198950000000004E-2</v>
      </c>
      <c r="Y782">
        <v>0.33085376000000011</v>
      </c>
      <c r="Z782">
        <v>0.12121052999999951</v>
      </c>
    </row>
    <row r="783" spans="1:26">
      <c r="A783" s="54" t="str">
        <f>CONCATENATE(raw[[#This Row],[redis_ls]],raw[[#This Row],[wage_eq]],raw[[#This Row],[flex]],raw[[#This Row],[expo]],raw[[#This Row],[_date_]])</f>
        <v>020042370</v>
      </c>
      <c r="B783" s="1">
        <v>42370</v>
      </c>
      <c r="C783">
        <v>0</v>
      </c>
      <c r="D783">
        <v>2</v>
      </c>
      <c r="E783">
        <v>0</v>
      </c>
      <c r="F783">
        <v>0</v>
      </c>
      <c r="G783">
        <v>-8.7777812641365305E-2</v>
      </c>
      <c r="H783">
        <v>38.79149999999936</v>
      </c>
      <c r="I783">
        <v>-2.8443361544716383</v>
      </c>
      <c r="J783">
        <v>0.6272777348991676</v>
      </c>
      <c r="K783">
        <v>-1.3264595815701719</v>
      </c>
      <c r="L783">
        <v>-0.72611432878110227</v>
      </c>
      <c r="M783">
        <v>-0.18300896685932155</v>
      </c>
      <c r="N783">
        <v>0.62572877850191055</v>
      </c>
      <c r="O783">
        <v>-1.3799500000008513E-3</v>
      </c>
      <c r="P783">
        <v>1.3349538477982259</v>
      </c>
      <c r="Q783">
        <v>1.1396690990796321</v>
      </c>
      <c r="R783">
        <v>0.58858353607282865</v>
      </c>
      <c r="S783">
        <v>1.6405669941292444</v>
      </c>
      <c r="T783">
        <v>-1.0397966221500687</v>
      </c>
      <c r="U783">
        <v>44.186417805583474</v>
      </c>
      <c r="V783">
        <v>1.7235032085611612</v>
      </c>
      <c r="W783">
        <v>-0.16566544182892162</v>
      </c>
      <c r="X783">
        <v>-9.3084599999999906E-2</v>
      </c>
      <c r="Y783">
        <v>0.33505309000000028</v>
      </c>
      <c r="Z783">
        <v>0.14026582000000037</v>
      </c>
    </row>
    <row r="784" spans="1:26">
      <c r="A784" s="54" t="str">
        <f>CONCATENATE(raw[[#This Row],[redis_ls]],raw[[#This Row],[wage_eq]],raw[[#This Row],[flex]],raw[[#This Row],[expo]],raw[[#This Row],[_date_]])</f>
        <v>020042736</v>
      </c>
      <c r="B784" s="1">
        <v>42736</v>
      </c>
      <c r="C784">
        <v>0</v>
      </c>
      <c r="D784">
        <v>2</v>
      </c>
      <c r="E784">
        <v>0</v>
      </c>
      <c r="F784">
        <v>0</v>
      </c>
      <c r="G784">
        <v>-8.8823928928072338E-2</v>
      </c>
      <c r="H784">
        <v>38.480360000001383</v>
      </c>
      <c r="I784">
        <v>-2.8049561816172019</v>
      </c>
      <c r="J784">
        <v>0.65153371220536549</v>
      </c>
      <c r="K784">
        <v>-1.3332324936774165</v>
      </c>
      <c r="L784">
        <v>-0.7385616351315516</v>
      </c>
      <c r="M784">
        <v>-0.17154351441748261</v>
      </c>
      <c r="N784">
        <v>0.64860410667801904</v>
      </c>
      <c r="O784">
        <v>-2.6086300000005558E-3</v>
      </c>
      <c r="P784">
        <v>1.3346465274705066</v>
      </c>
      <c r="Q784">
        <v>1.1442195911238739</v>
      </c>
      <c r="R784">
        <v>0.59676401095802856</v>
      </c>
      <c r="S784">
        <v>1.6376765882571531</v>
      </c>
      <c r="T784">
        <v>-1.2221767965011288</v>
      </c>
      <c r="U784">
        <v>48.201336375238689</v>
      </c>
      <c r="V784">
        <v>1.7434509747147553</v>
      </c>
      <c r="W784">
        <v>-0.17485917640496229</v>
      </c>
      <c r="X784">
        <v>-9.2438490000000539E-2</v>
      </c>
      <c r="Y784">
        <v>0.33893298000000005</v>
      </c>
      <c r="Z784">
        <v>0.15745890999999956</v>
      </c>
    </row>
    <row r="785" spans="1:26">
      <c r="A785" s="54" t="str">
        <f>CONCATENATE(raw[[#This Row],[redis_ls]],raw[[#This Row],[wage_eq]],raw[[#This Row],[flex]],raw[[#This Row],[expo]],raw[[#This Row],[_date_]])</f>
        <v>020043101</v>
      </c>
      <c r="B785" s="1">
        <v>43101</v>
      </c>
      <c r="C785">
        <v>0</v>
      </c>
      <c r="D785">
        <v>2</v>
      </c>
      <c r="E785">
        <v>0</v>
      </c>
      <c r="F785">
        <v>0</v>
      </c>
      <c r="G785">
        <v>-8.991100825921361E-2</v>
      </c>
      <c r="H785">
        <v>38.67164000000048</v>
      </c>
      <c r="I785">
        <v>-2.7663450202757733</v>
      </c>
      <c r="J785">
        <v>0.67181407172398622</v>
      </c>
      <c r="K785">
        <v>-1.337851056565964</v>
      </c>
      <c r="L785">
        <v>-0.74746843835776788</v>
      </c>
      <c r="M785">
        <v>-0.16228322554111552</v>
      </c>
      <c r="N785">
        <v>0.66778254672694715</v>
      </c>
      <c r="O785">
        <v>-3.5881900000006572E-3</v>
      </c>
      <c r="P785">
        <v>1.3298827317150819</v>
      </c>
      <c r="Q785">
        <v>1.1439430221392044</v>
      </c>
      <c r="R785">
        <v>0.59964872983502282</v>
      </c>
      <c r="S785">
        <v>1.6304649011712025</v>
      </c>
      <c r="T785">
        <v>-1.401903466979304</v>
      </c>
      <c r="U785">
        <v>52.174101511990109</v>
      </c>
      <c r="V785">
        <v>1.7561029909824333</v>
      </c>
      <c r="W785">
        <v>-0.18477562616953103</v>
      </c>
      <c r="X785">
        <v>-9.287371000000072E-2</v>
      </c>
      <c r="Y785">
        <v>0.3425969900000006</v>
      </c>
      <c r="Z785">
        <v>0.17259624000000029</v>
      </c>
    </row>
    <row r="786" spans="1:26">
      <c r="A786" s="54" t="str">
        <f>CONCATENATE(raw[[#This Row],[redis_ls]],raw[[#This Row],[wage_eq]],raw[[#This Row],[flex]],raw[[#This Row],[expo]],raw[[#This Row],[_date_]])</f>
        <v>020043466</v>
      </c>
      <c r="B786" s="1">
        <v>43466</v>
      </c>
      <c r="C786">
        <v>0</v>
      </c>
      <c r="D786">
        <v>2</v>
      </c>
      <c r="E786">
        <v>0</v>
      </c>
      <c r="F786">
        <v>0</v>
      </c>
      <c r="G786">
        <v>-9.1102803510967334E-2</v>
      </c>
      <c r="H786">
        <v>39.25007000000187</v>
      </c>
      <c r="I786">
        <v>-2.728420966545031</v>
      </c>
      <c r="J786">
        <v>0.68821022065377324</v>
      </c>
      <c r="K786">
        <v>-1.340630979230395</v>
      </c>
      <c r="L786">
        <v>-0.75330122582319969</v>
      </c>
      <c r="M786">
        <v>-0.15495845843067624</v>
      </c>
      <c r="N786">
        <v>0.68343933845425031</v>
      </c>
      <c r="O786">
        <v>-4.2444599999996724E-3</v>
      </c>
      <c r="P786">
        <v>1.321640742612229</v>
      </c>
      <c r="Q786">
        <v>1.1399494576913138</v>
      </c>
      <c r="R786">
        <v>0.59861166290939849</v>
      </c>
      <c r="S786">
        <v>1.6198360646095145</v>
      </c>
      <c r="T786">
        <v>-1.5772516108900958</v>
      </c>
      <c r="U786">
        <v>56.07646638783195</v>
      </c>
      <c r="V786">
        <v>1.7626060068103078</v>
      </c>
      <c r="W786">
        <v>-0.19536231128043369</v>
      </c>
      <c r="X786">
        <v>-9.4123369999999512E-2</v>
      </c>
      <c r="Y786">
        <v>0.34610821999999997</v>
      </c>
      <c r="Z786">
        <v>0.18570509000000041</v>
      </c>
    </row>
    <row r="787" spans="1:26">
      <c r="A787" s="54" t="str">
        <f>CONCATENATE(raw[[#This Row],[redis_ls]],raw[[#This Row],[wage_eq]],raw[[#This Row],[flex]],raw[[#This Row],[expo]],raw[[#This Row],[_date_]])</f>
        <v>020043831</v>
      </c>
      <c r="B787" s="1">
        <v>43831</v>
      </c>
      <c r="C787">
        <v>0</v>
      </c>
      <c r="D787">
        <v>2</v>
      </c>
      <c r="E787">
        <v>0</v>
      </c>
      <c r="F787">
        <v>0</v>
      </c>
      <c r="G787">
        <v>-9.2374077601764526E-2</v>
      </c>
      <c r="H787">
        <v>40.135809999999765</v>
      </c>
      <c r="I787">
        <v>-2.6910190599739536</v>
      </c>
      <c r="J787">
        <v>0.70104819037937194</v>
      </c>
      <c r="K787">
        <v>-1.3417463366512172</v>
      </c>
      <c r="L787">
        <v>-0.75653602941636588</v>
      </c>
      <c r="M787">
        <v>-0.14920028565784671</v>
      </c>
      <c r="N787">
        <v>0.69591492483662698</v>
      </c>
      <c r="O787">
        <v>-4.5652300000004198E-3</v>
      </c>
      <c r="P787">
        <v>1.3108536029900808</v>
      </c>
      <c r="Q787">
        <v>1.13328982865184</v>
      </c>
      <c r="R787">
        <v>0.5949602533237508</v>
      </c>
      <c r="S787">
        <v>1.6066506054833063</v>
      </c>
      <c r="T787">
        <v>-1.7468065547946776</v>
      </c>
      <c r="U787">
        <v>59.883580473522692</v>
      </c>
      <c r="V787">
        <v>1.7641212987302701</v>
      </c>
      <c r="W787">
        <v>-0.20653665509074992</v>
      </c>
      <c r="X787">
        <v>-9.6010190000000301E-2</v>
      </c>
      <c r="Y787">
        <v>0.34950102999999966</v>
      </c>
      <c r="Z787">
        <v>0.19695668999999971</v>
      </c>
    </row>
    <row r="788" spans="1:26">
      <c r="A788" s="54" t="str">
        <f>CONCATENATE(raw[[#This Row],[redis_ls]],raw[[#This Row],[wage_eq]],raw[[#This Row],[flex]],raw[[#This Row],[expo]],raw[[#This Row],[_date_]])</f>
        <v>020044197</v>
      </c>
      <c r="B788" s="1">
        <v>44197</v>
      </c>
      <c r="C788">
        <v>0</v>
      </c>
      <c r="D788">
        <v>2</v>
      </c>
      <c r="E788">
        <v>0</v>
      </c>
      <c r="F788">
        <v>0</v>
      </c>
      <c r="G788">
        <v>-9.3653737080634514E-2</v>
      </c>
      <c r="H788">
        <v>41.27303000000029</v>
      </c>
      <c r="I788">
        <v>-2.6539496128943352</v>
      </c>
      <c r="J788">
        <v>0.71079522648902493</v>
      </c>
      <c r="K788">
        <v>-1.3412776101711765</v>
      </c>
      <c r="L788">
        <v>-0.75764633803436787</v>
      </c>
      <c r="M788">
        <v>-0.14459998523891349</v>
      </c>
      <c r="N788">
        <v>0.70564184295749399</v>
      </c>
      <c r="O788">
        <v>-4.5818100000011297E-3</v>
      </c>
      <c r="P788">
        <v>1.2983901900004424</v>
      </c>
      <c r="Q788">
        <v>1.124933988431609</v>
      </c>
      <c r="R788">
        <v>0.58990663036790902</v>
      </c>
      <c r="S788">
        <v>1.5917073062196918</v>
      </c>
      <c r="T788">
        <v>-1.9094725501144771</v>
      </c>
      <c r="U788">
        <v>63.574414605889459</v>
      </c>
      <c r="V788">
        <v>1.7618021314126597</v>
      </c>
      <c r="W788">
        <v>-0.21818389284727902</v>
      </c>
      <c r="X788">
        <v>-9.8412999999999973E-2</v>
      </c>
      <c r="Y788">
        <v>0.35279131999999963</v>
      </c>
      <c r="Z788">
        <v>0.2065999299999996</v>
      </c>
    </row>
    <row r="789" spans="1:26">
      <c r="A789" s="54" t="str">
        <f>CONCATENATE(raw[[#This Row],[redis_ls]],raw[[#This Row],[wage_eq]],raw[[#This Row],[flex]],raw[[#This Row],[expo]],raw[[#This Row],[_date_]])</f>
        <v>020044562</v>
      </c>
      <c r="B789" s="1">
        <v>44562</v>
      </c>
      <c r="C789">
        <v>0</v>
      </c>
      <c r="D789">
        <v>2</v>
      </c>
      <c r="E789">
        <v>0</v>
      </c>
      <c r="F789">
        <v>0</v>
      </c>
      <c r="G789">
        <v>-9.4858093306704472E-2</v>
      </c>
      <c r="H789">
        <v>42.618839999999182</v>
      </c>
      <c r="I789">
        <v>-2.617036565270936</v>
      </c>
      <c r="J789">
        <v>0.71798070049060581</v>
      </c>
      <c r="K789">
        <v>-1.3392511217369063</v>
      </c>
      <c r="L789">
        <v>-0.75709137716224451</v>
      </c>
      <c r="M789">
        <v>-0.14075456967265199</v>
      </c>
      <c r="N789">
        <v>0.71308582371754081</v>
      </c>
      <c r="O789">
        <v>-4.3510100000004881E-3</v>
      </c>
      <c r="P789">
        <v>1.2850385004631981</v>
      </c>
      <c r="Q789">
        <v>1.1157515493803505</v>
      </c>
      <c r="R789">
        <v>0.58454080076735249</v>
      </c>
      <c r="S789">
        <v>1.5757279747689923</v>
      </c>
      <c r="T789">
        <v>-2.0644677332629535</v>
      </c>
      <c r="U789">
        <v>67.132008223712987</v>
      </c>
      <c r="V789">
        <v>1.7567659039020356</v>
      </c>
      <c r="W789">
        <v>-0.23015943333782873</v>
      </c>
      <c r="X789">
        <v>-0.10123751999999986</v>
      </c>
      <c r="Y789">
        <v>0.3559842699999996</v>
      </c>
      <c r="Z789">
        <v>0.21490995999999957</v>
      </c>
    </row>
    <row r="790" spans="1:26">
      <c r="A790" s="54" t="str">
        <f>CONCATENATE(raw[[#This Row],[redis_ls]],raw[[#This Row],[wage_eq]],raw[[#This Row],[flex]],raw[[#This Row],[expo]],raw[[#This Row],[_date_]])</f>
        <v>020044927</v>
      </c>
      <c r="B790" s="1">
        <v>44927</v>
      </c>
      <c r="C790">
        <v>0</v>
      </c>
      <c r="D790">
        <v>2</v>
      </c>
      <c r="E790">
        <v>0</v>
      </c>
      <c r="F790">
        <v>0</v>
      </c>
      <c r="G790">
        <v>-9.5912610016568589E-2</v>
      </c>
      <c r="H790">
        <v>44.134369999999763</v>
      </c>
      <c r="I790">
        <v>-2.5801391039980914</v>
      </c>
      <c r="J790">
        <v>0.72313620656001554</v>
      </c>
      <c r="K790">
        <v>-1.3356678549803491</v>
      </c>
      <c r="L790">
        <v>-0.75530525215361521</v>
      </c>
      <c r="M790">
        <v>-0.13729742765564712</v>
      </c>
      <c r="N790">
        <v>0.71870261848410166</v>
      </c>
      <c r="O790">
        <v>-3.9403399999998756E-3</v>
      </c>
      <c r="P790">
        <v>1.2714924121900228</v>
      </c>
      <c r="Q790">
        <v>1.106497141971774</v>
      </c>
      <c r="R790">
        <v>0.57980826216261772</v>
      </c>
      <c r="S790">
        <v>1.5593457955810353</v>
      </c>
      <c r="T790">
        <v>-2.2113063973911995</v>
      </c>
      <c r="U790">
        <v>70.543539566480163</v>
      </c>
      <c r="V790">
        <v>1.7500650206015322</v>
      </c>
      <c r="W790">
        <v>-0.24229436347877886</v>
      </c>
      <c r="X790">
        <v>-0.10439504000000002</v>
      </c>
      <c r="Y790">
        <v>0.35907927000000051</v>
      </c>
      <c r="Z790">
        <v>0.22215249000000076</v>
      </c>
    </row>
    <row r="791" spans="1:26">
      <c r="A791" s="54" t="str">
        <f>CONCATENATE(raw[[#This Row],[redis_ls]],raw[[#This Row],[wage_eq]],raw[[#This Row],[flex]],raw[[#This Row],[expo]],raw[[#This Row],[_date_]])</f>
        <v>020045292</v>
      </c>
      <c r="B791" s="1">
        <v>45292</v>
      </c>
      <c r="C791">
        <v>0</v>
      </c>
      <c r="D791">
        <v>2</v>
      </c>
      <c r="E791">
        <v>0</v>
      </c>
      <c r="F791">
        <v>0</v>
      </c>
      <c r="G791">
        <v>-9.6763640450758803E-2</v>
      </c>
      <c r="H791">
        <v>45.779050000001007</v>
      </c>
      <c r="I791">
        <v>-2.5431601837307083</v>
      </c>
      <c r="J791">
        <v>0.72675450890549165</v>
      </c>
      <c r="K791">
        <v>-1.3305224671922078</v>
      </c>
      <c r="L791">
        <v>-0.75268739520896188</v>
      </c>
      <c r="M791">
        <v>-0.13391584653058564</v>
      </c>
      <c r="N791">
        <v>0.72290926759506213</v>
      </c>
      <c r="O791">
        <v>-3.4169400000005901E-3</v>
      </c>
      <c r="P791">
        <v>1.2583424127438292</v>
      </c>
      <c r="Q791">
        <v>1.0978010095805901</v>
      </c>
      <c r="R791">
        <v>0.57649467729714576</v>
      </c>
      <c r="S791">
        <v>1.543097957325501</v>
      </c>
      <c r="T791">
        <v>-2.3497709019835944</v>
      </c>
      <c r="U791">
        <v>73.80023198969073</v>
      </c>
      <c r="V791">
        <v>1.742659245560052</v>
      </c>
      <c r="W791">
        <v>-0.25440385783404018</v>
      </c>
      <c r="X791">
        <v>-0.10778991000000016</v>
      </c>
      <c r="Y791">
        <v>0.36207257000000004</v>
      </c>
      <c r="Z791">
        <v>0.22856219000000066</v>
      </c>
    </row>
    <row r="792" spans="1:26">
      <c r="A792" s="54" t="str">
        <f>CONCATENATE(raw[[#This Row],[redis_ls]],raw[[#This Row],[wage_eq]],raw[[#This Row],[flex]],raw[[#This Row],[expo]],raw[[#This Row],[_date_]])</f>
        <v>020045658</v>
      </c>
      <c r="B792" s="1">
        <v>45658</v>
      </c>
      <c r="C792">
        <v>0</v>
      </c>
      <c r="D792">
        <v>2</v>
      </c>
      <c r="E792">
        <v>0</v>
      </c>
      <c r="F792">
        <v>0</v>
      </c>
      <c r="G792">
        <v>-9.7382906365561794E-2</v>
      </c>
      <c r="H792">
        <v>47.5076799999988</v>
      </c>
      <c r="I792">
        <v>-2.5060462928801042</v>
      </c>
      <c r="J792">
        <v>0.72926491784446323</v>
      </c>
      <c r="K792">
        <v>-1.3238143295837057</v>
      </c>
      <c r="L792">
        <v>-0.74959502271322309</v>
      </c>
      <c r="M792">
        <v>-0.13035860421011236</v>
      </c>
      <c r="N792">
        <v>0.72606811144158012</v>
      </c>
      <c r="O792">
        <v>-2.8405900000000317E-3</v>
      </c>
      <c r="P792">
        <v>1.2460708263143161</v>
      </c>
      <c r="Q792">
        <v>1.0901655932359811</v>
      </c>
      <c r="R792">
        <v>0.57521836648941616</v>
      </c>
      <c r="S792">
        <v>1.5274225352824411</v>
      </c>
      <c r="T792">
        <v>-2.4798762162534738</v>
      </c>
      <c r="U792">
        <v>76.897120288800309</v>
      </c>
      <c r="V792">
        <v>1.7353929887113484</v>
      </c>
      <c r="W792">
        <v>-0.26629670285253093</v>
      </c>
      <c r="X792">
        <v>-0.11131476999999973</v>
      </c>
      <c r="Y792">
        <v>0.36495823000000027</v>
      </c>
      <c r="Z792">
        <v>0.23433226999999973</v>
      </c>
    </row>
    <row r="793" spans="1:26">
      <c r="A793" s="54" t="str">
        <f>CONCATENATE(raw[[#This Row],[redis_ls]],raw[[#This Row],[wage_eq]],raw[[#This Row],[flex]],raw[[#This Row],[expo]],raw[[#This Row],[_date_]])</f>
        <v>020046023</v>
      </c>
      <c r="B793" s="1">
        <v>46023</v>
      </c>
      <c r="C793">
        <v>0</v>
      </c>
      <c r="D793">
        <v>2</v>
      </c>
      <c r="E793">
        <v>0</v>
      </c>
      <c r="F793">
        <v>0</v>
      </c>
      <c r="G793">
        <v>-9.7766122366094166E-2</v>
      </c>
      <c r="H793">
        <v>49.27016999999978</v>
      </c>
      <c r="I793">
        <v>-2.4687819580436976</v>
      </c>
      <c r="J793">
        <v>0.73102337543848872</v>
      </c>
      <c r="K793">
        <v>-1.3155525867065698</v>
      </c>
      <c r="L793">
        <v>-0.74633746267650514</v>
      </c>
      <c r="M793">
        <v>-0.12643607057499784</v>
      </c>
      <c r="N793">
        <v>0.72847988752289261</v>
      </c>
      <c r="O793">
        <v>-2.2599300000009093E-3</v>
      </c>
      <c r="P793">
        <v>1.2350515517907557</v>
      </c>
      <c r="Q793">
        <v>1.083967540395725</v>
      </c>
      <c r="R793">
        <v>0.57643086508343266</v>
      </c>
      <c r="S793">
        <v>1.5126596596371611</v>
      </c>
      <c r="T793">
        <v>-2.6018305024604227</v>
      </c>
      <c r="U793">
        <v>79.832708336288775</v>
      </c>
      <c r="V793">
        <v>1.7289786834292498</v>
      </c>
      <c r="W793">
        <v>-0.27778522332191358</v>
      </c>
      <c r="X793">
        <v>-0.11485185999999988</v>
      </c>
      <c r="Y793">
        <v>0.3677283999999989</v>
      </c>
      <c r="Z793">
        <v>0.23961239000000051</v>
      </c>
    </row>
    <row r="794" spans="1:26">
      <c r="A794" s="54" t="str">
        <f>CONCATENATE(raw[[#This Row],[redis_ls]],raw[[#This Row],[wage_eq]],raw[[#This Row],[flex]],raw[[#This Row],[expo]],raw[[#This Row],[_date_]])</f>
        <v>020046388</v>
      </c>
      <c r="B794" s="1">
        <v>46388</v>
      </c>
      <c r="C794">
        <v>0</v>
      </c>
      <c r="D794">
        <v>2</v>
      </c>
      <c r="E794">
        <v>0</v>
      </c>
      <c r="F794">
        <v>0</v>
      </c>
      <c r="G794">
        <v>-9.7928933330315715E-2</v>
      </c>
      <c r="H794">
        <v>51.01307000000088</v>
      </c>
      <c r="I794">
        <v>-2.431381774487773</v>
      </c>
      <c r="J794">
        <v>0.73231005332237142</v>
      </c>
      <c r="K794">
        <v>-1.305757520588513</v>
      </c>
      <c r="L794">
        <v>-0.74317323546765346</v>
      </c>
      <c r="M794">
        <v>-0.12201576720443086</v>
      </c>
      <c r="N794">
        <v>0.73038400214500143</v>
      </c>
      <c r="O794">
        <v>-1.7112999999999157E-3</v>
      </c>
      <c r="P794">
        <v>1.2255537118892379</v>
      </c>
      <c r="Q794">
        <v>1.0794645549976112</v>
      </c>
      <c r="R794">
        <v>0.5804245430994337</v>
      </c>
      <c r="S794">
        <v>1.4990559324169039</v>
      </c>
      <c r="T794">
        <v>-2.7159950275844391</v>
      </c>
      <c r="U794">
        <v>82.608550758482991</v>
      </c>
      <c r="V794">
        <v>1.7239873205288081</v>
      </c>
      <c r="W794">
        <v>-0.28869458225581068</v>
      </c>
      <c r="X794">
        <v>-0.11827803000000019</v>
      </c>
      <c r="Y794">
        <v>0.37037310999999962</v>
      </c>
      <c r="Z794">
        <v>0.24451168000000079</v>
      </c>
    </row>
    <row r="795" spans="1:26">
      <c r="A795" s="54" t="str">
        <f>CONCATENATE(raw[[#This Row],[redis_ls]],raw[[#This Row],[wage_eq]],raw[[#This Row],[flex]],raw[[#This Row],[expo]],raw[[#This Row],[_date_]])</f>
        <v>020046753</v>
      </c>
      <c r="B795" s="1">
        <v>46753</v>
      </c>
      <c r="C795">
        <v>0</v>
      </c>
      <c r="D795">
        <v>2</v>
      </c>
      <c r="E795">
        <v>0</v>
      </c>
      <c r="F795">
        <v>0</v>
      </c>
      <c r="G795">
        <v>-9.7901495034291575E-2</v>
      </c>
      <c r="H795">
        <v>52.68210000000181</v>
      </c>
      <c r="I795">
        <v>-2.3938820920075821</v>
      </c>
      <c r="J795">
        <v>0.73333460310871512</v>
      </c>
      <c r="K795">
        <v>-1.2944597523889656</v>
      </c>
      <c r="L795">
        <v>-0.74030952635300018</v>
      </c>
      <c r="M795">
        <v>-0.11701553767065054</v>
      </c>
      <c r="N795">
        <v>0.73196238288935067</v>
      </c>
      <c r="O795">
        <v>-1.2192199999996878E-3</v>
      </c>
      <c r="P795">
        <v>1.2177486793359726</v>
      </c>
      <c r="Q795">
        <v>1.0768058673138681</v>
      </c>
      <c r="R795">
        <v>0.58734600854255525</v>
      </c>
      <c r="S795">
        <v>1.4867718712971989</v>
      </c>
      <c r="T795">
        <v>-2.8228457895853487</v>
      </c>
      <c r="U795">
        <v>85.228790762789373</v>
      </c>
      <c r="V795">
        <v>1.7208463837013799</v>
      </c>
      <c r="W795">
        <v>-0.29887036762106245</v>
      </c>
      <c r="X795">
        <v>-0.12147158999999998</v>
      </c>
      <c r="Y795">
        <v>0.37288033999999942</v>
      </c>
      <c r="Z795">
        <v>0.24910479999999957</v>
      </c>
    </row>
    <row r="796" spans="1:26">
      <c r="A796" s="54" t="str">
        <f>CONCATENATE(raw[[#This Row],[redis_ls]],raw[[#This Row],[wage_eq]],raw[[#This Row],[flex]],raw[[#This Row],[expo]],raw[[#This Row],[_date_]])</f>
        <v>020047119</v>
      </c>
      <c r="B796" s="1">
        <v>47119</v>
      </c>
      <c r="C796">
        <v>0</v>
      </c>
      <c r="D796">
        <v>2</v>
      </c>
      <c r="E796">
        <v>0</v>
      </c>
      <c r="F796">
        <v>0</v>
      </c>
      <c r="G796">
        <v>-9.7722605614369851E-2</v>
      </c>
      <c r="H796">
        <v>54.225060000000667</v>
      </c>
      <c r="I796">
        <v>-2.3563332294463168</v>
      </c>
      <c r="J796">
        <v>0.73424466711324854</v>
      </c>
      <c r="K796">
        <v>-1.2816986505902794</v>
      </c>
      <c r="L796">
        <v>-0.73790246270004634</v>
      </c>
      <c r="M796">
        <v>-0.11139555120254219</v>
      </c>
      <c r="N796">
        <v>0.73334663017914359</v>
      </c>
      <c r="O796">
        <v>-7.9795999999993095E-4</v>
      </c>
      <c r="P796">
        <v>1.2117196888497217</v>
      </c>
      <c r="Q796">
        <v>1.0760451886293376</v>
      </c>
      <c r="R796">
        <v>0.59721343827170426</v>
      </c>
      <c r="S796">
        <v>1.4758911322534596</v>
      </c>
      <c r="T796">
        <v>-2.9229388191360894</v>
      </c>
      <c r="U796">
        <v>87.699683694303303</v>
      </c>
      <c r="V796">
        <v>1.7198438601629285</v>
      </c>
      <c r="W796">
        <v>-0.30818430527829177</v>
      </c>
      <c r="X796">
        <v>-0.12431936000000011</v>
      </c>
      <c r="Y796">
        <v>0.37523628999999864</v>
      </c>
      <c r="Z796">
        <v>0.25343898000000087</v>
      </c>
    </row>
    <row r="797" spans="1:26">
      <c r="A797" s="54" t="str">
        <f>CONCATENATE(raw[[#This Row],[redis_ls]],raw[[#This Row],[wage_eq]],raw[[#This Row],[flex]],raw[[#This Row],[expo]],raw[[#This Row],[_date_]])</f>
        <v>020047484</v>
      </c>
      <c r="B797" s="1">
        <v>47484</v>
      </c>
      <c r="C797">
        <v>0</v>
      </c>
      <c r="D797">
        <v>2</v>
      </c>
      <c r="E797">
        <v>0</v>
      </c>
      <c r="F797">
        <v>0</v>
      </c>
      <c r="G797">
        <v>-9.743483083114457E-2</v>
      </c>
      <c r="H797">
        <v>55.594659999998839</v>
      </c>
      <c r="I797">
        <v>-2.3187932295603897</v>
      </c>
      <c r="J797">
        <v>0.73513543957961502</v>
      </c>
      <c r="K797">
        <v>-1.2675203935801682</v>
      </c>
      <c r="L797">
        <v>-0.7360607106632111</v>
      </c>
      <c r="M797">
        <v>-0.10515046951385942</v>
      </c>
      <c r="N797">
        <v>0.73462518683240496</v>
      </c>
      <c r="O797">
        <v>-4.5347000000028892E-4</v>
      </c>
      <c r="P797">
        <v>1.2074732045785685</v>
      </c>
      <c r="Q797">
        <v>1.0771551329806561</v>
      </c>
      <c r="R797">
        <v>0.60993639904278751</v>
      </c>
      <c r="S797">
        <v>1.4664310021629046</v>
      </c>
      <c r="T797">
        <v>-3.0168802228501934</v>
      </c>
      <c r="U797">
        <v>90.029127802813008</v>
      </c>
      <c r="V797">
        <v>1.7211380158480338</v>
      </c>
      <c r="W797">
        <v>-0.31653764030992182</v>
      </c>
      <c r="X797">
        <v>-0.12672276999999982</v>
      </c>
      <c r="Y797">
        <v>0.3774258099999997</v>
      </c>
      <c r="Z797">
        <v>0.25754102999999973</v>
      </c>
    </row>
    <row r="798" spans="1:26">
      <c r="A798" s="54" t="str">
        <f>CONCATENATE(raw[[#This Row],[redis_ls]],raw[[#This Row],[wage_eq]],raw[[#This Row],[flex]],raw[[#This Row],[expo]],raw[[#This Row],[_date_]])</f>
        <v>020047849</v>
      </c>
      <c r="B798" s="1">
        <v>47849</v>
      </c>
      <c r="C798">
        <v>0</v>
      </c>
      <c r="D798">
        <v>2</v>
      </c>
      <c r="E798">
        <v>0</v>
      </c>
      <c r="F798">
        <v>0</v>
      </c>
      <c r="G798">
        <v>-9.70805560625565E-2</v>
      </c>
      <c r="H798">
        <v>56.750680000001012</v>
      </c>
      <c r="I798">
        <v>-2.2813229728860462</v>
      </c>
      <c r="J798">
        <v>0.73606009077955559</v>
      </c>
      <c r="K798">
        <v>-1.2519765567717278</v>
      </c>
      <c r="L798">
        <v>-0.73484938423747925</v>
      </c>
      <c r="M798">
        <v>-9.8302178773512772E-2</v>
      </c>
      <c r="N798">
        <v>0.73585137007547985</v>
      </c>
      <c r="O798">
        <v>-1.8550000000089328E-4</v>
      </c>
      <c r="P798">
        <v>1.2049510133004038</v>
      </c>
      <c r="Q798">
        <v>1.0800418624620667</v>
      </c>
      <c r="R798">
        <v>0.62533643046773779</v>
      </c>
      <c r="S798">
        <v>1.4583532420965994</v>
      </c>
      <c r="T798">
        <v>-3.1053010569120909</v>
      </c>
      <c r="U798">
        <v>92.226221623464085</v>
      </c>
      <c r="V798">
        <v>1.7247708902564218</v>
      </c>
      <c r="W798">
        <v>-0.32386246981684907</v>
      </c>
      <c r="X798">
        <v>-0.12860232999999996</v>
      </c>
      <c r="Y798">
        <v>0.37943325999999916</v>
      </c>
      <c r="Z798">
        <v>0.26142336000000016</v>
      </c>
    </row>
    <row r="799" spans="1:26">
      <c r="A799" s="54" t="str">
        <f>CONCATENATE(raw[[#This Row],[redis_ls]],raw[[#This Row],[wage_eq]],raw[[#This Row],[flex]],raw[[#This Row],[expo]],raw[[#This Row],[_date_]])</f>
        <v>020048214</v>
      </c>
      <c r="B799" s="1">
        <v>48214</v>
      </c>
      <c r="C799">
        <v>0</v>
      </c>
      <c r="D799">
        <v>2</v>
      </c>
      <c r="E799">
        <v>0</v>
      </c>
      <c r="F799">
        <v>0</v>
      </c>
      <c r="G799">
        <v>-9.6698922920679387E-2</v>
      </c>
      <c r="H799">
        <v>57.661589999999705</v>
      </c>
      <c r="I799">
        <v>-2.2439828572522802</v>
      </c>
      <c r="J799">
        <v>0.73703858772848907</v>
      </c>
      <c r="K799">
        <v>-1.2351228458732932</v>
      </c>
      <c r="L799">
        <v>-0.73429533506229605</v>
      </c>
      <c r="M799">
        <v>-9.0893237281253203E-2</v>
      </c>
      <c r="N799">
        <v>0.73705033418118848</v>
      </c>
      <c r="O799">
        <v>1.0500000000024379E-5</v>
      </c>
      <c r="P799">
        <v>1.2040427381500463</v>
      </c>
      <c r="Q799">
        <v>1.0845595940587982</v>
      </c>
      <c r="R799">
        <v>0.64316727362756509</v>
      </c>
      <c r="S799">
        <v>1.4515750764294344</v>
      </c>
      <c r="T799">
        <v>-3.1888369605473366</v>
      </c>
      <c r="U799">
        <v>94.300858810237571</v>
      </c>
      <c r="V799">
        <v>1.7306847429027439</v>
      </c>
      <c r="W799">
        <v>-0.33012096002161817</v>
      </c>
      <c r="X799">
        <v>-0.12990027000000012</v>
      </c>
      <c r="Y799">
        <v>0.38124327000000069</v>
      </c>
      <c r="Z799">
        <v>0.26508895000000032</v>
      </c>
    </row>
    <row r="800" spans="1:26">
      <c r="A800" s="54" t="str">
        <f>CONCATENATE(raw[[#This Row],[redis_ls]],raw[[#This Row],[wage_eq]],raw[[#This Row],[flex]],raw[[#This Row],[expo]],raw[[#This Row],[_date_]])</f>
        <v>020048580</v>
      </c>
      <c r="B800" s="1">
        <v>48580</v>
      </c>
      <c r="C800">
        <v>0</v>
      </c>
      <c r="D800">
        <v>2</v>
      </c>
      <c r="E800">
        <v>0</v>
      </c>
      <c r="F800">
        <v>0</v>
      </c>
      <c r="G800">
        <v>-9.6324106401546317E-2</v>
      </c>
      <c r="H800">
        <v>58.305319999999483</v>
      </c>
      <c r="I800">
        <v>-2.2068305932468224</v>
      </c>
      <c r="J800">
        <v>0.73806599952377372</v>
      </c>
      <c r="K800">
        <v>-1.2170184538791706</v>
      </c>
      <c r="L800">
        <v>-0.73439212478795257</v>
      </c>
      <c r="M800">
        <v>-8.2981400409609662E-2</v>
      </c>
      <c r="N800">
        <v>0.73822545319768285</v>
      </c>
      <c r="O800">
        <v>1.4173000000006208E-4</v>
      </c>
      <c r="P800">
        <v>1.2045978334222607</v>
      </c>
      <c r="Q800">
        <v>1.0905240156754203</v>
      </c>
      <c r="R800">
        <v>0.66313383805742809</v>
      </c>
      <c r="S800">
        <v>1.4459794198527831</v>
      </c>
      <c r="T800">
        <v>-3.2681118384405239</v>
      </c>
      <c r="U800">
        <v>96.26336752645615</v>
      </c>
      <c r="V800">
        <v>1.7387393275092311</v>
      </c>
      <c r="W800">
        <v>-0.33530312266870643</v>
      </c>
      <c r="X800">
        <v>-0.13058136600000012</v>
      </c>
      <c r="Y800">
        <v>0.38284151999999905</v>
      </c>
      <c r="Z800">
        <v>0.26853485999999982</v>
      </c>
    </row>
    <row r="801" spans="1:26">
      <c r="A801" s="54" t="str">
        <f>CONCATENATE(raw[[#This Row],[redis_ls]],raw[[#This Row],[wage_eq]],raw[[#This Row],[flex]],raw[[#This Row],[expo]],raw[[#This Row],[_date_]])</f>
        <v>020048945</v>
      </c>
      <c r="B801" s="1">
        <v>48945</v>
      </c>
      <c r="C801">
        <v>0</v>
      </c>
      <c r="D801">
        <v>2</v>
      </c>
      <c r="E801">
        <v>0</v>
      </c>
      <c r="F801">
        <v>0</v>
      </c>
      <c r="G801">
        <v>-9.5984138398352847E-2</v>
      </c>
      <c r="H801">
        <v>58.669399999998859</v>
      </c>
      <c r="I801">
        <v>-2.16991991493245</v>
      </c>
      <c r="J801">
        <v>0.73911953308489764</v>
      </c>
      <c r="K801">
        <v>-1.1977256288864924</v>
      </c>
      <c r="L801">
        <v>-0.73510642990457509</v>
      </c>
      <c r="M801">
        <v>-7.4634886212288087E-2</v>
      </c>
      <c r="N801">
        <v>0.73936346729912561</v>
      </c>
      <c r="O801">
        <v>2.1684000000021797E-4</v>
      </c>
      <c r="P801">
        <v>1.2064369641962003</v>
      </c>
      <c r="Q801">
        <v>1.0977246320024614</v>
      </c>
      <c r="R801">
        <v>0.68490947146768733</v>
      </c>
      <c r="S801">
        <v>1.4414245333898457</v>
      </c>
      <c r="T801">
        <v>-3.3437248668156561</v>
      </c>
      <c r="U801">
        <v>98.12419651241369</v>
      </c>
      <c r="V801">
        <v>1.7487301473877892</v>
      </c>
      <c r="W801">
        <v>-0.33942345022688336</v>
      </c>
      <c r="X801">
        <v>-0.13063224800000001</v>
      </c>
      <c r="Y801">
        <v>0.38421545000000001</v>
      </c>
      <c r="Z801">
        <v>0.27175482999999973</v>
      </c>
    </row>
    <row r="802" spans="1:26">
      <c r="A802" s="54" t="str">
        <f>CONCATENATE(raw[[#This Row],[redis_ls]],raw[[#This Row],[wage_eq]],raw[[#This Row],[flex]],raw[[#This Row],[expo]],raw[[#This Row],[_date_]])</f>
        <v>020049310</v>
      </c>
      <c r="B802" s="1">
        <v>49310</v>
      </c>
      <c r="C802">
        <v>0</v>
      </c>
      <c r="D802">
        <v>2</v>
      </c>
      <c r="E802">
        <v>0</v>
      </c>
      <c r="F802">
        <v>0</v>
      </c>
      <c r="G802">
        <v>-9.5700793130926165E-2</v>
      </c>
      <c r="H802">
        <v>58.750479999998788</v>
      </c>
      <c r="I802">
        <v>-2.1332999185238899</v>
      </c>
      <c r="J802">
        <v>0.74016371165366301</v>
      </c>
      <c r="K802">
        <v>-1.1773093820606206</v>
      </c>
      <c r="L802">
        <v>-0.73638337192304393</v>
      </c>
      <c r="M802">
        <v>-6.5928454734209829E-2</v>
      </c>
      <c r="N802">
        <v>0.74043920814741426</v>
      </c>
      <c r="O802">
        <v>2.4493999999930516E-4</v>
      </c>
      <c r="P802">
        <v>1.2093622033846563</v>
      </c>
      <c r="Q802">
        <v>1.1059355580320895</v>
      </c>
      <c r="R802">
        <v>0.70815092219198572</v>
      </c>
      <c r="S802">
        <v>1.4377525996890128</v>
      </c>
      <c r="T802">
        <v>-3.4162401645169149</v>
      </c>
      <c r="U802">
        <v>99.893648806760041</v>
      </c>
      <c r="V802">
        <v>1.7604054774142508</v>
      </c>
      <c r="W802">
        <v>-0.34251679214509778</v>
      </c>
      <c r="X802">
        <v>-0.13005947099999998</v>
      </c>
      <c r="Y802">
        <v>0.38535478000000095</v>
      </c>
      <c r="Z802">
        <v>0.27474087000000091</v>
      </c>
    </row>
    <row r="803" spans="1:26">
      <c r="A803" s="54" t="str">
        <f>CONCATENATE(raw[[#This Row],[redis_ls]],raw[[#This Row],[wage_eq]],raw[[#This Row],[flex]],raw[[#This Row],[expo]],raw[[#This Row],[_date_]])</f>
        <v>020049675</v>
      </c>
      <c r="B803" s="1">
        <v>49675</v>
      </c>
      <c r="C803">
        <v>0</v>
      </c>
      <c r="D803">
        <v>2</v>
      </c>
      <c r="E803">
        <v>0</v>
      </c>
      <c r="F803">
        <v>0</v>
      </c>
      <c r="G803">
        <v>-9.5489546082905274E-2</v>
      </c>
      <c r="H803">
        <v>58.553400000000693</v>
      </c>
      <c r="I803">
        <v>-2.0970147926986482</v>
      </c>
      <c r="J803">
        <v>0.74115492529174265</v>
      </c>
      <c r="K803">
        <v>-1.1558372570742215</v>
      </c>
      <c r="L803">
        <v>-0.7381517032750029</v>
      </c>
      <c r="M803">
        <v>-5.6940184343257094E-2</v>
      </c>
      <c r="N803">
        <v>0.74141920737325062</v>
      </c>
      <c r="O803">
        <v>2.3499999999981869E-4</v>
      </c>
      <c r="P803">
        <v>1.2131661929439597</v>
      </c>
      <c r="Q803">
        <v>1.1149248448363291</v>
      </c>
      <c r="R803">
        <v>0.73251123959712228</v>
      </c>
      <c r="S803">
        <v>1.4347972747002391</v>
      </c>
      <c r="T803">
        <v>-3.4861784690441988</v>
      </c>
      <c r="U803">
        <v>101.58166029251005</v>
      </c>
      <c r="V803">
        <v>1.7734823797202592</v>
      </c>
      <c r="W803">
        <v>-0.34463401821543949</v>
      </c>
      <c r="X803">
        <v>-0.12888681209999997</v>
      </c>
      <c r="Y803">
        <v>0.3862518199999998</v>
      </c>
      <c r="Z803">
        <v>0.27748419999999996</v>
      </c>
    </row>
    <row r="804" spans="1:26">
      <c r="A804" s="54" t="str">
        <f>CONCATENATE(raw[[#This Row],[redis_ls]],raw[[#This Row],[wage_eq]],raw[[#This Row],[flex]],raw[[#This Row],[expo]],raw[[#This Row],[_date_]])</f>
        <v>020050041</v>
      </c>
      <c r="B804" s="1">
        <v>50041</v>
      </c>
      <c r="C804">
        <v>0</v>
      </c>
      <c r="D804">
        <v>2</v>
      </c>
      <c r="E804">
        <v>0</v>
      </c>
      <c r="F804">
        <v>0</v>
      </c>
      <c r="G804">
        <v>-9.5360107351916135E-2</v>
      </c>
      <c r="H804">
        <v>58.090039999999135</v>
      </c>
      <c r="I804">
        <v>-2.0611036674798466</v>
      </c>
      <c r="J804">
        <v>0.74204525663117415</v>
      </c>
      <c r="K804">
        <v>-1.1333790813009226</v>
      </c>
      <c r="L804">
        <v>-0.74032919934959862</v>
      </c>
      <c r="M804">
        <v>-4.7748591603169466E-2</v>
      </c>
      <c r="N804">
        <v>0.74226512233932507</v>
      </c>
      <c r="O804">
        <v>1.9546000000064678E-4</v>
      </c>
      <c r="P804">
        <v>1.2176398085794071</v>
      </c>
      <c r="Q804">
        <v>1.1244623271319254</v>
      </c>
      <c r="R804">
        <v>0.75765038185784395</v>
      </c>
      <c r="S804">
        <v>1.4323900097860998</v>
      </c>
      <c r="T804">
        <v>-3.5540107696858336</v>
      </c>
      <c r="U804">
        <v>103.19762073227396</v>
      </c>
      <c r="V804">
        <v>1.787660879098496</v>
      </c>
      <c r="W804">
        <v>-0.34583773497586234</v>
      </c>
      <c r="X804">
        <v>-0.12715211099999998</v>
      </c>
      <c r="Y804">
        <v>0.38690158999999946</v>
      </c>
      <c r="Z804">
        <v>0.27997592000000016</v>
      </c>
    </row>
    <row r="805" spans="1:26">
      <c r="A805" s="54" t="str">
        <f>CONCATENATE(raw[[#This Row],[redis_ls]],raw[[#This Row],[wage_eq]],raw[[#This Row],[flex]],raw[[#This Row],[expo]],raw[[#This Row],[_date_]])</f>
        <v>020050406</v>
      </c>
      <c r="B805" s="1">
        <v>50406</v>
      </c>
      <c r="C805">
        <v>0</v>
      </c>
      <c r="D805">
        <v>2</v>
      </c>
      <c r="E805">
        <v>0</v>
      </c>
      <c r="F805">
        <v>0</v>
      </c>
      <c r="G805">
        <v>-9.5316972364511976E-2</v>
      </c>
      <c r="H805">
        <v>57.377939999998489</v>
      </c>
      <c r="I805">
        <v>-2.0256006730570375</v>
      </c>
      <c r="J805">
        <v>0.7427852978690197</v>
      </c>
      <c r="K805">
        <v>-1.1100067361331623</v>
      </c>
      <c r="L805">
        <v>-0.74282684969578794</v>
      </c>
      <c r="M805">
        <v>-3.8430453663829134E-2</v>
      </c>
      <c r="N805">
        <v>0.74293597452534943</v>
      </c>
      <c r="O805">
        <v>1.3400000000024503E-4</v>
      </c>
      <c r="P805">
        <v>1.2225787924968312</v>
      </c>
      <c r="Q805">
        <v>1.1343261320843734</v>
      </c>
      <c r="R805">
        <v>0.78324377285485802</v>
      </c>
      <c r="S805">
        <v>1.4303660031532495</v>
      </c>
      <c r="T805">
        <v>-3.620152824859546</v>
      </c>
      <c r="U805">
        <v>104.75023477792664</v>
      </c>
      <c r="V805">
        <v>1.8026364399554629</v>
      </c>
      <c r="W805">
        <v>-0.34619824218717898</v>
      </c>
      <c r="X805">
        <v>-0.12490396499999995</v>
      </c>
      <c r="Y805">
        <v>0.38730181999999946</v>
      </c>
      <c r="Z805">
        <v>0.28220738000000051</v>
      </c>
    </row>
    <row r="806" spans="1:26">
      <c r="A806" s="54" t="str">
        <f>CONCATENATE(raw[[#This Row],[redis_ls]],raw[[#This Row],[wage_eq]],raw[[#This Row],[flex]],raw[[#This Row],[expo]],raw[[#This Row],[_date_]])</f>
        <v>020050771</v>
      </c>
      <c r="B806" s="1">
        <v>50771</v>
      </c>
      <c r="C806">
        <v>0</v>
      </c>
      <c r="D806">
        <v>2</v>
      </c>
      <c r="E806">
        <v>0</v>
      </c>
      <c r="F806">
        <v>0</v>
      </c>
      <c r="G806">
        <v>-9.5360101551833498E-2</v>
      </c>
      <c r="H806">
        <v>56.438969999999244</v>
      </c>
      <c r="I806">
        <v>-1.990534922247944</v>
      </c>
      <c r="J806">
        <v>0.74332622254034142</v>
      </c>
      <c r="K806">
        <v>-1.0857935812856767</v>
      </c>
      <c r="L806">
        <v>-0.74555279789024764</v>
      </c>
      <c r="M806">
        <v>-2.9058866213416135E-2</v>
      </c>
      <c r="N806">
        <v>0.74339089508808076</v>
      </c>
      <c r="O806">
        <v>5.7489999999438268E-5</v>
      </c>
      <c r="P806">
        <v>1.227788970435828</v>
      </c>
      <c r="Q806">
        <v>1.1443077521650524</v>
      </c>
      <c r="R806">
        <v>0.80898896914116669</v>
      </c>
      <c r="S806">
        <v>1.4285678244305045</v>
      </c>
      <c r="T806">
        <v>-3.6849619571751369</v>
      </c>
      <c r="U806">
        <v>106.24741847111542</v>
      </c>
      <c r="V806">
        <v>1.8181102292439189</v>
      </c>
      <c r="W806">
        <v>-0.34579000885083255</v>
      </c>
      <c r="X806">
        <v>-0.122198521</v>
      </c>
      <c r="Y806">
        <v>0.38745271999999914</v>
      </c>
      <c r="Z806">
        <v>0.28417048999999917</v>
      </c>
    </row>
    <row r="807" spans="1:26">
      <c r="A807" s="54" t="str">
        <f>CONCATENATE(raw[[#This Row],[redis_ls]],raw[[#This Row],[wage_eq]],raw[[#This Row],[flex]],raw[[#This Row],[expo]],raw[[#This Row],[_date_]])</f>
        <v>020051136</v>
      </c>
      <c r="B807" s="1">
        <v>51136</v>
      </c>
      <c r="C807">
        <v>0</v>
      </c>
      <c r="D807">
        <v>2</v>
      </c>
      <c r="E807">
        <v>0</v>
      </c>
      <c r="F807">
        <v>0</v>
      </c>
      <c r="G807">
        <v>-9.5485502780012776E-2</v>
      </c>
      <c r="H807">
        <v>55.297960000003513</v>
      </c>
      <c r="I807">
        <v>-1.9559305776090552</v>
      </c>
      <c r="J807">
        <v>0.74362216768302236</v>
      </c>
      <c r="K807">
        <v>-1.0608139529761251</v>
      </c>
      <c r="L807">
        <v>-0.74841562292652375</v>
      </c>
      <c r="M807">
        <v>-1.9701660238813368E-2</v>
      </c>
      <c r="N807">
        <v>0.7435905993712133</v>
      </c>
      <c r="O807">
        <v>-2.8070000000768314E-5</v>
      </c>
      <c r="P807">
        <v>1.2330904383785368</v>
      </c>
      <c r="Q807">
        <v>1.1542160501805787</v>
      </c>
      <c r="R807">
        <v>0.83461067465815386</v>
      </c>
      <c r="S807">
        <v>1.4268495266163139</v>
      </c>
      <c r="T807">
        <v>-3.7487348206461379</v>
      </c>
      <c r="U807">
        <v>107.69622835127883</v>
      </c>
      <c r="V807">
        <v>1.8337973396931773</v>
      </c>
      <c r="W807">
        <v>-0.3446886906387836</v>
      </c>
      <c r="X807">
        <v>-0.11909651700000007</v>
      </c>
      <c r="Y807">
        <v>0.38735681000000022</v>
      </c>
      <c r="Z807">
        <v>0.28585810999999933</v>
      </c>
    </row>
    <row r="808" spans="1:26">
      <c r="A808" s="54" t="str">
        <f>CONCATENATE(raw[[#This Row],[redis_ls]],raw[[#This Row],[wage_eq]],raw[[#This Row],[flex]],raw[[#This Row],[expo]],raw[[#This Row],[_date_]])</f>
        <v>020051502</v>
      </c>
      <c r="B808" s="1">
        <v>51502</v>
      </c>
      <c r="C808">
        <v>0</v>
      </c>
      <c r="D808">
        <v>2</v>
      </c>
      <c r="E808">
        <v>0</v>
      </c>
      <c r="F808">
        <v>0</v>
      </c>
      <c r="G808">
        <v>-9.5686038466702428E-2</v>
      </c>
      <c r="H808">
        <v>53.981540000000678</v>
      </c>
      <c r="I808">
        <v>-1.9218068736905902</v>
      </c>
      <c r="J808">
        <v>0.74363142789464209</v>
      </c>
      <c r="K808">
        <v>-1.0351425767073041</v>
      </c>
      <c r="L808">
        <v>-0.75132716248050846</v>
      </c>
      <c r="M808">
        <v>-1.0420276428402264E-2</v>
      </c>
      <c r="N808">
        <v>0.74349926070815808</v>
      </c>
      <c r="O808">
        <v>-1.1751000000004286E-4</v>
      </c>
      <c r="P808">
        <v>1.2383204779491841</v>
      </c>
      <c r="Q808">
        <v>1.1638800575827224</v>
      </c>
      <c r="R808">
        <v>0.85986397996931085</v>
      </c>
      <c r="S808">
        <v>1.4250789887793713</v>
      </c>
      <c r="T808">
        <v>-3.8117067402940297</v>
      </c>
      <c r="U808">
        <v>109.10282233315844</v>
      </c>
      <c r="V808">
        <v>1.849433357973429</v>
      </c>
      <c r="W808">
        <v>-0.34296862514323623</v>
      </c>
      <c r="X808">
        <v>-0.11566067800000013</v>
      </c>
      <c r="Y808">
        <v>0.38701852999999953</v>
      </c>
      <c r="Z808">
        <v>0.28726442000000102</v>
      </c>
    </row>
    <row r="809" spans="1:26">
      <c r="A809" s="54" t="str">
        <f>CONCATENATE(raw[[#This Row],[redis_ls]],raw[[#This Row],[wage_eq]],raw[[#This Row],[flex]],raw[[#This Row],[expo]],raw[[#This Row],[_date_]])</f>
        <v>020051867</v>
      </c>
      <c r="B809" s="1">
        <v>51867</v>
      </c>
      <c r="C809">
        <v>0</v>
      </c>
      <c r="D809">
        <v>2</v>
      </c>
      <c r="E809">
        <v>0</v>
      </c>
      <c r="F809">
        <v>0</v>
      </c>
      <c r="G809">
        <v>-9.5951920113601652E-2</v>
      </c>
      <c r="H809">
        <v>52.516999999999825</v>
      </c>
      <c r="I809">
        <v>-1.8881782942782865</v>
      </c>
      <c r="J809">
        <v>0.74331776988987297</v>
      </c>
      <c r="K809">
        <v>-1.0088539390654239</v>
      </c>
      <c r="L809">
        <v>-0.75420482319835669</v>
      </c>
      <c r="M809">
        <v>-1.2689038125790475E-3</v>
      </c>
      <c r="N809">
        <v>0.74308574841954744</v>
      </c>
      <c r="O809">
        <v>-2.0649000000011464E-4</v>
      </c>
      <c r="P809">
        <v>1.2433356795911621</v>
      </c>
      <c r="Q809">
        <v>1.1731508917124378</v>
      </c>
      <c r="R809">
        <v>0.88453664091454609</v>
      </c>
      <c r="S809">
        <v>1.4231400110838788</v>
      </c>
      <c r="T809">
        <v>-3.8740529218674991</v>
      </c>
      <c r="U809">
        <v>110.47244724094681</v>
      </c>
      <c r="V809">
        <v>1.8647790877242221</v>
      </c>
      <c r="W809">
        <v>-0.34070107932138161</v>
      </c>
      <c r="X809">
        <v>-0.11195349999999996</v>
      </c>
      <c r="Y809">
        <v>0.38644390999999917</v>
      </c>
      <c r="Z809">
        <v>0.28838518999999979</v>
      </c>
    </row>
    <row r="810" spans="1:26">
      <c r="A810" s="54" t="str">
        <f>CONCATENATE(raw[[#This Row],[redis_ls]],raw[[#This Row],[wage_eq]],raw[[#This Row],[flex]],raw[[#This Row],[expo]],raw[[#This Row],[_date_]])</f>
        <v>020052232</v>
      </c>
      <c r="B810" s="1">
        <v>52232</v>
      </c>
      <c r="C810">
        <v>0</v>
      </c>
      <c r="D810">
        <v>2</v>
      </c>
      <c r="E810">
        <v>0</v>
      </c>
      <c r="F810">
        <v>0</v>
      </c>
      <c r="G810">
        <v>-9.627148447528544E-2</v>
      </c>
      <c r="H810">
        <v>50.931410000004689</v>
      </c>
      <c r="I810">
        <v>-1.8550546228002118</v>
      </c>
      <c r="J810">
        <v>0.74265145517125042</v>
      </c>
      <c r="K810">
        <v>-0.9820216393626624</v>
      </c>
      <c r="L810">
        <v>-0.75697285339371145</v>
      </c>
      <c r="M810">
        <v>7.7060771447312604E-3</v>
      </c>
      <c r="N810">
        <v>0.74232382129353347</v>
      </c>
      <c r="O810">
        <v>-2.914199999995426E-4</v>
      </c>
      <c r="P810">
        <v>1.2480136539102515</v>
      </c>
      <c r="Q810">
        <v>1.1819027269947879</v>
      </c>
      <c r="R810">
        <v>0.9084497736899344</v>
      </c>
      <c r="S810">
        <v>1.4209329310168606</v>
      </c>
      <c r="T810">
        <v>-3.9358908639658297</v>
      </c>
      <c r="U810">
        <v>111.80944945996801</v>
      </c>
      <c r="V810">
        <v>1.8796237132177707</v>
      </c>
      <c r="W810">
        <v>-0.337952882434156</v>
      </c>
      <c r="X810">
        <v>-0.10803548000000007</v>
      </c>
      <c r="Y810">
        <v>0.38564026000000029</v>
      </c>
      <c r="Z810">
        <v>0.28921823000000041</v>
      </c>
    </row>
    <row r="811" spans="1:26">
      <c r="A811" s="54" t="str">
        <f>CONCATENATE(raw[[#This Row],[redis_ls]],raw[[#This Row],[wage_eq]],raw[[#This Row],[flex]],raw[[#This Row],[expo]],raw[[#This Row],[_date_]])</f>
        <v>020052597</v>
      </c>
      <c r="B811" s="1">
        <v>52597</v>
      </c>
      <c r="C811">
        <v>0</v>
      </c>
      <c r="D811">
        <v>2</v>
      </c>
      <c r="E811">
        <v>0</v>
      </c>
      <c r="F811">
        <v>0</v>
      </c>
      <c r="G811">
        <v>-9.6631601126706546E-2</v>
      </c>
      <c r="H811">
        <v>49.250919999998587</v>
      </c>
      <c r="I811">
        <v>-1.8224416592381831</v>
      </c>
      <c r="J811">
        <v>0.74160940866052627</v>
      </c>
      <c r="K811">
        <v>-0.95471787709254796</v>
      </c>
      <c r="L811">
        <v>-0.75956417792829578</v>
      </c>
      <c r="M811">
        <v>1.6466237226264724E-2</v>
      </c>
      <c r="N811">
        <v>0.74119409718538254</v>
      </c>
      <c r="O811">
        <v>-3.6941000000068058E-4</v>
      </c>
      <c r="P811">
        <v>1.252252516155683</v>
      </c>
      <c r="Q811">
        <v>1.1900330165357298</v>
      </c>
      <c r="R811">
        <v>0.93145777413321529</v>
      </c>
      <c r="S811">
        <v>1.418375527051241</v>
      </c>
      <c r="T811">
        <v>-3.9972842681736065</v>
      </c>
      <c r="U811">
        <v>113.1173089378708</v>
      </c>
      <c r="V811">
        <v>1.8937865777543639</v>
      </c>
      <c r="W811">
        <v>-0.334785404614657</v>
      </c>
      <c r="X811">
        <v>-0.10396362000000009</v>
      </c>
      <c r="Y811">
        <v>0.38461587999999991</v>
      </c>
      <c r="Z811">
        <v>0.28976359000000007</v>
      </c>
    </row>
    <row r="812" spans="1:26">
      <c r="A812" s="54" t="str">
        <f>CONCATENATE(raw[[#This Row],[redis_ls]],raw[[#This Row],[wage_eq]],raw[[#This Row],[flex]],raw[[#This Row],[expo]],raw[[#This Row],[_date_]])</f>
        <v>020052963</v>
      </c>
      <c r="B812" s="1">
        <v>52963</v>
      </c>
      <c r="C812">
        <v>0</v>
      </c>
      <c r="D812">
        <v>2</v>
      </c>
      <c r="E812">
        <v>0</v>
      </c>
      <c r="F812">
        <v>0</v>
      </c>
      <c r="G812">
        <v>-9.7018290400385787E-2</v>
      </c>
      <c r="H812">
        <v>47.500080000005255</v>
      </c>
      <c r="I812">
        <v>-1.7903406160012625</v>
      </c>
      <c r="J812">
        <v>0.74017594218125371</v>
      </c>
      <c r="K812">
        <v>-0.92701295987202004</v>
      </c>
      <c r="L812">
        <v>-0.76192088659157164</v>
      </c>
      <c r="M812">
        <v>2.4981119858025203E-2</v>
      </c>
      <c r="N812">
        <v>0.73968323802398039</v>
      </c>
      <c r="O812">
        <v>-4.3831999999993654E-4</v>
      </c>
      <c r="P812">
        <v>1.2559713070459111</v>
      </c>
      <c r="Q812">
        <v>1.1974620493706345</v>
      </c>
      <c r="R812">
        <v>0.95344732200901561</v>
      </c>
      <c r="S812">
        <v>1.4154028542314512</v>
      </c>
      <c r="T812">
        <v>-4.0582488182533183</v>
      </c>
      <c r="U812">
        <v>114.39868940216095</v>
      </c>
      <c r="V812">
        <v>1.9071179533276084</v>
      </c>
      <c r="W812">
        <v>-0.331254224131039</v>
      </c>
      <c r="X812">
        <v>-9.9790509999999999E-2</v>
      </c>
      <c r="Y812">
        <v>0.38337974999999996</v>
      </c>
      <c r="Z812">
        <v>0.29002373999999914</v>
      </c>
    </row>
    <row r="813" spans="1:26">
      <c r="A813" s="54" t="str">
        <f>CONCATENATE(raw[[#This Row],[redis_ls]],raw[[#This Row],[wage_eq]],raw[[#This Row],[flex]],raw[[#This Row],[expo]],raw[[#This Row],[_date_]])</f>
        <v>020053328</v>
      </c>
      <c r="B813" s="1">
        <v>53328</v>
      </c>
      <c r="C813">
        <v>0</v>
      </c>
      <c r="D813">
        <v>2</v>
      </c>
      <c r="E813">
        <v>0</v>
      </c>
      <c r="F813">
        <v>0</v>
      </c>
      <c r="G813">
        <v>-9.7417217093187514E-2</v>
      </c>
      <c r="H813">
        <v>45.701469999999972</v>
      </c>
      <c r="I813">
        <v>-1.7587497049387668</v>
      </c>
      <c r="J813">
        <v>0.73834253384024162</v>
      </c>
      <c r="K813">
        <v>-0.89897488737198383</v>
      </c>
      <c r="L813">
        <v>-0.76399463083870467</v>
      </c>
      <c r="M813">
        <v>3.3227855621387192E-2</v>
      </c>
      <c r="N813">
        <v>0.73778438153044856</v>
      </c>
      <c r="O813">
        <v>-4.966200000011689E-4</v>
      </c>
      <c r="P813">
        <v>1.259109172100592</v>
      </c>
      <c r="Q813">
        <v>1.2041318960668068</v>
      </c>
      <c r="R813">
        <v>0.97433560281376952</v>
      </c>
      <c r="S813">
        <v>1.4119663906802415</v>
      </c>
      <c r="T813">
        <v>-4.1187578126252617</v>
      </c>
      <c r="U813">
        <v>115.6555040744434</v>
      </c>
      <c r="V813">
        <v>1.9194987115024098</v>
      </c>
      <c r="W813">
        <v>-0.32740880968109565</v>
      </c>
      <c r="X813">
        <v>-9.5563430000000088E-2</v>
      </c>
      <c r="Y813">
        <v>0.38194130000000076</v>
      </c>
      <c r="Z813">
        <v>0.29000370000000081</v>
      </c>
    </row>
    <row r="814" spans="1:26">
      <c r="A814" s="54" t="str">
        <f>CONCATENATE(raw[[#This Row],[redis_ls]],raw[[#This Row],[wage_eq]],raw[[#This Row],[flex]],raw[[#This Row],[expo]],raw[[#This Row],[_date_]])</f>
        <v>020053693</v>
      </c>
      <c r="B814" s="1">
        <v>53693</v>
      </c>
      <c r="C814">
        <v>0</v>
      </c>
      <c r="D814">
        <v>2</v>
      </c>
      <c r="E814">
        <v>0</v>
      </c>
      <c r="F814">
        <v>0</v>
      </c>
      <c r="G814">
        <v>-9.7814209595492585E-2</v>
      </c>
      <c r="H814">
        <v>43.875359999998182</v>
      </c>
      <c r="I814">
        <v>-1.7276640305063151</v>
      </c>
      <c r="J814">
        <v>0.73610739402354408</v>
      </c>
      <c r="K814">
        <v>-0.87066908979067659</v>
      </c>
      <c r="L814">
        <v>-0.76574662390272996</v>
      </c>
      <c r="M814">
        <v>4.1190734319074274E-2</v>
      </c>
      <c r="N814">
        <v>0.73549667126517893</v>
      </c>
      <c r="O814">
        <v>-5.4337000000015401E-4</v>
      </c>
      <c r="P814">
        <v>1.2616242247134979</v>
      </c>
      <c r="Q814">
        <v>1.2100049240733268</v>
      </c>
      <c r="R814">
        <v>0.99406790426033176</v>
      </c>
      <c r="S814">
        <v>1.4080335888595918</v>
      </c>
      <c r="T814">
        <v>-4.1787490581849163</v>
      </c>
      <c r="U814">
        <v>116.88899349648092</v>
      </c>
      <c r="V814">
        <v>1.9308390666843867</v>
      </c>
      <c r="W814">
        <v>-0.3232923897226625</v>
      </c>
      <c r="X814">
        <v>-9.1324029999999973E-2</v>
      </c>
      <c r="Y814">
        <v>0.38031031999999909</v>
      </c>
      <c r="Z814">
        <v>0.28971091999999976</v>
      </c>
    </row>
    <row r="815" spans="1:26">
      <c r="A815" s="54" t="str">
        <f>CONCATENATE(raw[[#This Row],[redis_ls]],raw[[#This Row],[wage_eq]],raw[[#This Row],[flex]],raw[[#This Row],[expo]],raw[[#This Row],[_date_]])</f>
        <v>020054058</v>
      </c>
      <c r="B815" s="1">
        <v>54058</v>
      </c>
      <c r="C815">
        <v>0</v>
      </c>
      <c r="D815">
        <v>2</v>
      </c>
      <c r="E815">
        <v>0</v>
      </c>
      <c r="F815">
        <v>0</v>
      </c>
      <c r="G815">
        <v>-9.8195584661964208E-2</v>
      </c>
      <c r="H815">
        <v>42.039560000004712</v>
      </c>
      <c r="I815">
        <v>-1.6970761986518479</v>
      </c>
      <c r="J815">
        <v>0.73347525518177026</v>
      </c>
      <c r="K815">
        <v>-0.84215822254034567</v>
      </c>
      <c r="L815">
        <v>-0.76714785568343657</v>
      </c>
      <c r="M815">
        <v>4.8860468414591018E-2</v>
      </c>
      <c r="N815">
        <v>0.73282549451521017</v>
      </c>
      <c r="O815">
        <v>-5.7818000000070535E-4</v>
      </c>
      <c r="P815">
        <v>1.2634913083005461</v>
      </c>
      <c r="Q815">
        <v>1.2150619299881704</v>
      </c>
      <c r="R815">
        <v>1.0126149545945262</v>
      </c>
      <c r="S815">
        <v>1.4035860033609682</v>
      </c>
      <c r="T815">
        <v>-4.2381321214399854</v>
      </c>
      <c r="U815">
        <v>118.09980908304949</v>
      </c>
      <c r="V815">
        <v>1.941076912575368</v>
      </c>
      <c r="W815">
        <v>-0.31894228939879365</v>
      </c>
      <c r="X815">
        <v>-8.7108039999999817E-2</v>
      </c>
      <c r="Y815">
        <v>0.37849669000000058</v>
      </c>
      <c r="Z815">
        <v>0.28915518999999973</v>
      </c>
    </row>
    <row r="816" spans="1:26">
      <c r="A816" s="54" t="str">
        <f>CONCATENATE(raw[[#This Row],[redis_ls]],raw[[#This Row],[wage_eq]],raw[[#This Row],[flex]],raw[[#This Row],[expo]],raw[[#This Row],[_date_]])</f>
        <v>020054424</v>
      </c>
      <c r="B816" s="1">
        <v>54424</v>
      </c>
      <c r="C816">
        <v>0</v>
      </c>
      <c r="D816">
        <v>2</v>
      </c>
      <c r="E816">
        <v>0</v>
      </c>
      <c r="F816">
        <v>0</v>
      </c>
      <c r="G816">
        <v>-9.8548545413068567E-2</v>
      </c>
      <c r="H816">
        <v>40.209230000000389</v>
      </c>
      <c r="I816">
        <v>-1.6669765565132333</v>
      </c>
      <c r="J816">
        <v>0.73045641698057384</v>
      </c>
      <c r="K816">
        <v>-0.81350204307004681</v>
      </c>
      <c r="L816">
        <v>-0.76817809500259182</v>
      </c>
      <c r="M816">
        <v>5.6233507779146485E-2</v>
      </c>
      <c r="N816">
        <v>0.72978083685093509</v>
      </c>
      <c r="O816">
        <v>-6.0114000000055512E-4</v>
      </c>
      <c r="P816">
        <v>1.2647010946341464</v>
      </c>
      <c r="Q816">
        <v>1.2192999432546259</v>
      </c>
      <c r="R816">
        <v>1.0299697228176363</v>
      </c>
      <c r="S816">
        <v>1.3986178898067969</v>
      </c>
      <c r="T816">
        <v>-4.2967959663308797</v>
      </c>
      <c r="U816">
        <v>119.28810283742362</v>
      </c>
      <c r="V816">
        <v>1.9501754427314166</v>
      </c>
      <c r="W816">
        <v>-0.31439017132928182</v>
      </c>
      <c r="X816">
        <v>-8.2945239999999976E-2</v>
      </c>
      <c r="Y816">
        <v>0.37651033999999972</v>
      </c>
      <c r="Z816">
        <v>0.28834832000000088</v>
      </c>
    </row>
    <row r="817" spans="1:26">
      <c r="A817" s="54" t="str">
        <f>CONCATENATE(raw[[#This Row],[redis_ls]],raw[[#This Row],[wage_eq]],raw[[#This Row],[flex]],raw[[#This Row],[expo]],raw[[#This Row],[_date_]])</f>
        <v>020054789</v>
      </c>
      <c r="B817" s="1">
        <v>54789</v>
      </c>
      <c r="C817">
        <v>0</v>
      </c>
      <c r="D817">
        <v>2</v>
      </c>
      <c r="E817">
        <v>0</v>
      </c>
      <c r="F817">
        <v>0</v>
      </c>
      <c r="G817">
        <v>-9.8861435917230178E-2</v>
      </c>
      <c r="H817">
        <v>38.397000000004482</v>
      </c>
      <c r="I817">
        <v>-1.6373546149296314</v>
      </c>
      <c r="J817">
        <v>0.72706628144474372</v>
      </c>
      <c r="K817">
        <v>-0.7847573692274068</v>
      </c>
      <c r="L817">
        <v>-0.76882561492618295</v>
      </c>
      <c r="M817">
        <v>6.3311067961335787E-2</v>
      </c>
      <c r="N817">
        <v>0.72637766360887923</v>
      </c>
      <c r="O817">
        <v>-6.1274000000000051E-4</v>
      </c>
      <c r="P817">
        <v>1.2652571970610982</v>
      </c>
      <c r="Q817">
        <v>1.2227300982529998</v>
      </c>
      <c r="R817">
        <v>1.046144100274593</v>
      </c>
      <c r="S817">
        <v>1.3931348927537224</v>
      </c>
      <c r="T817">
        <v>-4.3546151397947597</v>
      </c>
      <c r="U817">
        <v>120.45361855805493</v>
      </c>
      <c r="V817">
        <v>1.9581204584632639</v>
      </c>
      <c r="W817">
        <v>-0.30966228373917604</v>
      </c>
      <c r="X817">
        <v>-7.8859669999999799E-2</v>
      </c>
      <c r="Y817">
        <v>0.37436114999999937</v>
      </c>
      <c r="Z817">
        <v>0.28730386999999968</v>
      </c>
    </row>
    <row r="818" spans="1:26">
      <c r="A818" s="54" t="str">
        <f>CONCATENATE(raw[[#This Row],[redis_ls]],raw[[#This Row],[wage_eq]],raw[[#This Row],[flex]],raw[[#This Row],[expo]],raw[[#This Row],[_date_]])</f>
        <v>011136526</v>
      </c>
      <c r="B818" s="1">
        <v>36526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5.5122246639394135E-3</v>
      </c>
      <c r="U818">
        <v>0.21461386473387023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>
      <c r="A819" s="54" t="str">
        <f>CONCATENATE(raw[[#This Row],[redis_ls]],raw[[#This Row],[wage_eq]],raw[[#This Row],[flex]],raw[[#This Row],[expo]],raw[[#This Row],[_date_]])</f>
        <v>011136892</v>
      </c>
      <c r="B819" s="1">
        <v>36892</v>
      </c>
      <c r="C819">
        <v>0</v>
      </c>
      <c r="D819">
        <v>1</v>
      </c>
      <c r="E819">
        <v>1</v>
      </c>
      <c r="F819">
        <v>1</v>
      </c>
      <c r="G819">
        <v>0.21217373693471764</v>
      </c>
      <c r="H819">
        <v>46.355160000002797</v>
      </c>
      <c r="I819">
        <v>-5.4403858646526748</v>
      </c>
      <c r="J819">
        <v>0.10654173632822506</v>
      </c>
      <c r="K819">
        <v>0.53882553166986202</v>
      </c>
      <c r="L819">
        <v>-0.15987980636456012</v>
      </c>
      <c r="M819">
        <v>-0.32632623063190147</v>
      </c>
      <c r="N819">
        <v>0.15464053146152512</v>
      </c>
      <c r="O819">
        <v>4.3093160000000352E-2</v>
      </c>
      <c r="P819">
        <v>0.46774107691116562</v>
      </c>
      <c r="Q819">
        <v>0.1260506276867801</v>
      </c>
      <c r="R819">
        <v>-0.59980951621559919</v>
      </c>
      <c r="S819">
        <v>0.84934742192692703</v>
      </c>
      <c r="T819">
        <v>0.27387655360999741</v>
      </c>
      <c r="U819">
        <v>0.7383468991344122</v>
      </c>
      <c r="V819">
        <v>4.0866781344672809E-2</v>
      </c>
      <c r="W819">
        <v>-0.42558274378324823</v>
      </c>
      <c r="X819">
        <v>-0.13844068000000015</v>
      </c>
      <c r="Y819">
        <v>0.12397252999999976</v>
      </c>
      <c r="Z819">
        <v>7.0598050000000509E-3</v>
      </c>
    </row>
    <row r="820" spans="1:26">
      <c r="A820" s="54" t="str">
        <f>CONCATENATE(raw[[#This Row],[redis_ls]],raw[[#This Row],[wage_eq]],raw[[#This Row],[flex]],raw[[#This Row],[expo]],raw[[#This Row],[_date_]])</f>
        <v>011137257</v>
      </c>
      <c r="B820" s="1">
        <v>37257</v>
      </c>
      <c r="C820">
        <v>0</v>
      </c>
      <c r="D820">
        <v>1</v>
      </c>
      <c r="E820">
        <v>1</v>
      </c>
      <c r="F820">
        <v>1</v>
      </c>
      <c r="G820">
        <v>0.37568295251677597</v>
      </c>
      <c r="H820">
        <v>97.10475999999835</v>
      </c>
      <c r="I820">
        <v>-8.6890562482747402</v>
      </c>
      <c r="J820">
        <v>0.27824155605504775</v>
      </c>
      <c r="K820">
        <v>1.0166198588056341</v>
      </c>
      <c r="L820">
        <v>-0.4302966332063396</v>
      </c>
      <c r="M820">
        <v>-0.47280428339707692</v>
      </c>
      <c r="N820">
        <v>0.33842438708548972</v>
      </c>
      <c r="O820">
        <v>5.3813020000000045E-2</v>
      </c>
      <c r="P820">
        <v>0.61811097786199642</v>
      </c>
      <c r="Q820">
        <v>0.33121725222979848</v>
      </c>
      <c r="R820">
        <v>-0.31229862060822011</v>
      </c>
      <c r="S820">
        <v>0.97596249190601281</v>
      </c>
      <c r="T820">
        <v>0.52972523738692434</v>
      </c>
      <c r="U820">
        <v>1.589078849063652</v>
      </c>
      <c r="V820">
        <v>0.25160165052704464</v>
      </c>
      <c r="W820">
        <v>-0.44023116415990993</v>
      </c>
      <c r="X820">
        <v>-0.27765676000000017</v>
      </c>
      <c r="Y820">
        <v>0.1700134099999997</v>
      </c>
      <c r="Z820">
        <v>0.12606039400000005</v>
      </c>
    </row>
    <row r="821" spans="1:26">
      <c r="A821" s="54" t="str">
        <f>CONCATENATE(raw[[#This Row],[redis_ls]],raw[[#This Row],[wage_eq]],raw[[#This Row],[flex]],raw[[#This Row],[expo]],raw[[#This Row],[_date_]])</f>
        <v>011137622</v>
      </c>
      <c r="B821" s="1">
        <v>37622</v>
      </c>
      <c r="C821">
        <v>0</v>
      </c>
      <c r="D821">
        <v>1</v>
      </c>
      <c r="E821">
        <v>1</v>
      </c>
      <c r="F821">
        <v>1</v>
      </c>
      <c r="G821">
        <v>0.45719678189073409</v>
      </c>
      <c r="H821">
        <v>133.43999999999869</v>
      </c>
      <c r="I821">
        <v>-10.56309580819793</v>
      </c>
      <c r="J821">
        <v>0.45100023571780223</v>
      </c>
      <c r="K821">
        <v>1.3690171331727452</v>
      </c>
      <c r="L821">
        <v>-0.79070163533992988</v>
      </c>
      <c r="M821">
        <v>-0.48878772228972966</v>
      </c>
      <c r="N821">
        <v>0.49765928006599847</v>
      </c>
      <c r="O821">
        <v>4.1636899999999977E-2</v>
      </c>
      <c r="P821">
        <v>0.8400427672790256</v>
      </c>
      <c r="Q821">
        <v>0.60807772375053304</v>
      </c>
      <c r="R821">
        <v>5.1416194822873074E-2</v>
      </c>
      <c r="S821">
        <v>1.1697230072359677</v>
      </c>
      <c r="T821">
        <v>0.79520121212450778</v>
      </c>
      <c r="U821">
        <v>2.7406496804606828</v>
      </c>
      <c r="V821">
        <v>0.52414067464061631</v>
      </c>
      <c r="W821">
        <v>-0.48985088076664018</v>
      </c>
      <c r="X821">
        <v>-0.36711708000000121</v>
      </c>
      <c r="Y821">
        <v>0.16484457000000008</v>
      </c>
      <c r="Z821">
        <v>0.22537121399999993</v>
      </c>
    </row>
    <row r="822" spans="1:26">
      <c r="A822" s="54" t="str">
        <f>CONCATENATE(raw[[#This Row],[redis_ls]],raw[[#This Row],[wage_eq]],raw[[#This Row],[flex]],raw[[#This Row],[expo]],raw[[#This Row],[_date_]])</f>
        <v>011137987</v>
      </c>
      <c r="B822" s="1">
        <v>37987</v>
      </c>
      <c r="C822">
        <v>0</v>
      </c>
      <c r="D822">
        <v>1</v>
      </c>
      <c r="E822">
        <v>1</v>
      </c>
      <c r="F822">
        <v>1</v>
      </c>
      <c r="G822">
        <v>0.46095885686767701</v>
      </c>
      <c r="H822">
        <v>148.46292999999787</v>
      </c>
      <c r="I822">
        <v>-11.655434835006151</v>
      </c>
      <c r="J822">
        <v>0.59215643732135614</v>
      </c>
      <c r="K822">
        <v>1.6013871711905381</v>
      </c>
      <c r="L822">
        <v>-1.2193607621526104</v>
      </c>
      <c r="M822">
        <v>-0.44364599076730515</v>
      </c>
      <c r="N822">
        <v>0.61328208671229678</v>
      </c>
      <c r="O822">
        <v>1.8820590000000192E-2</v>
      </c>
      <c r="P822">
        <v>1.0999736146331207</v>
      </c>
      <c r="Q822">
        <v>0.92262463943906248</v>
      </c>
      <c r="R822">
        <v>0.45296691980378778</v>
      </c>
      <c r="S822">
        <v>1.401634163311094</v>
      </c>
      <c r="T822">
        <v>1.0609480191282161</v>
      </c>
      <c r="U822">
        <v>4.1427661076471667</v>
      </c>
      <c r="V822">
        <v>0.83003341606555647</v>
      </c>
      <c r="W822">
        <v>-0.55835299275702743</v>
      </c>
      <c r="X822">
        <v>-0.3936685199999998</v>
      </c>
      <c r="Y822">
        <v>0.12633758000000009</v>
      </c>
      <c r="Z822">
        <v>0.28995070900000003</v>
      </c>
    </row>
    <row r="823" spans="1:26">
      <c r="A823" s="54" t="str">
        <f>CONCATENATE(raw[[#This Row],[redis_ls]],raw[[#This Row],[wage_eq]],raw[[#This Row],[flex]],raw[[#This Row],[expo]],raw[[#This Row],[_date_]])</f>
        <v>011138353</v>
      </c>
      <c r="B823" s="1">
        <v>38353</v>
      </c>
      <c r="C823">
        <v>0</v>
      </c>
      <c r="D823">
        <v>1</v>
      </c>
      <c r="E823">
        <v>1</v>
      </c>
      <c r="F823">
        <v>1</v>
      </c>
      <c r="G823">
        <v>0.40284877264229468</v>
      </c>
      <c r="H823">
        <v>141.65315999999802</v>
      </c>
      <c r="I823">
        <v>-12.313591007493784</v>
      </c>
      <c r="J823">
        <v>0.69087821365425572</v>
      </c>
      <c r="K823">
        <v>1.7418216402242059</v>
      </c>
      <c r="L823">
        <v>-1.6898027562096241</v>
      </c>
      <c r="M823">
        <v>-0.38008745402708932</v>
      </c>
      <c r="N823">
        <v>0.68737921943233804</v>
      </c>
      <c r="O823">
        <v>-3.1133700000005038E-3</v>
      </c>
      <c r="P823">
        <v>1.3688969038376575</v>
      </c>
      <c r="Q823">
        <v>1.2421685209591971</v>
      </c>
      <c r="R823">
        <v>0.85507806779814288</v>
      </c>
      <c r="S823">
        <v>1.6439650007751938</v>
      </c>
      <c r="T823">
        <v>1.3122189253103267</v>
      </c>
      <c r="U823">
        <v>5.731909906369359</v>
      </c>
      <c r="V823">
        <v>1.1523138462513183</v>
      </c>
      <c r="W823">
        <v>-0.62103459814472073</v>
      </c>
      <c r="X823">
        <v>-0.36106743000000052</v>
      </c>
      <c r="Y823">
        <v>6.5408640000000004E-2</v>
      </c>
      <c r="Z823">
        <v>0.31923645719999999</v>
      </c>
    </row>
    <row r="824" spans="1:26">
      <c r="A824" s="54" t="str">
        <f>CONCATENATE(raw[[#This Row],[redis_ls]],raw[[#This Row],[wage_eq]],raw[[#This Row],[flex]],raw[[#This Row],[expo]],raw[[#This Row],[_date_]])</f>
        <v>011138718</v>
      </c>
      <c r="B824" s="1">
        <v>38718</v>
      </c>
      <c r="C824">
        <v>0</v>
      </c>
      <c r="D824">
        <v>1</v>
      </c>
      <c r="E824">
        <v>1</v>
      </c>
      <c r="F824">
        <v>1</v>
      </c>
      <c r="G824">
        <v>0.30105993112601315</v>
      </c>
      <c r="H824">
        <v>115.69082999999955</v>
      </c>
      <c r="I824">
        <v>-12.734503149577158</v>
      </c>
      <c r="J824">
        <v>0.74636218219243933</v>
      </c>
      <c r="K824">
        <v>1.8218061501314331</v>
      </c>
      <c r="L824">
        <v>-2.1740440611870082</v>
      </c>
      <c r="M824">
        <v>-0.32154975332409075</v>
      </c>
      <c r="N824">
        <v>0.72396752093690786</v>
      </c>
      <c r="O824">
        <v>-1.991096999999914E-2</v>
      </c>
      <c r="P824">
        <v>1.6252516945112427</v>
      </c>
      <c r="Q824">
        <v>1.5417683691049122</v>
      </c>
      <c r="R824">
        <v>1.2290818253038349</v>
      </c>
      <c r="S824">
        <v>1.875565769245191</v>
      </c>
      <c r="T824">
        <v>1.5365397525941349</v>
      </c>
      <c r="U824">
        <v>7.4372803381304919</v>
      </c>
      <c r="V824">
        <v>1.4716802354993508</v>
      </c>
      <c r="W824">
        <v>-0.66573513480603363</v>
      </c>
      <c r="X824">
        <v>-0.28019085000000055</v>
      </c>
      <c r="Y824">
        <v>-1.0211840000000014E-2</v>
      </c>
      <c r="Z824">
        <v>0.31699133360000004</v>
      </c>
    </row>
    <row r="825" spans="1:26">
      <c r="A825" s="54" t="str">
        <f>CONCATENATE(raw[[#This Row],[redis_ls]],raw[[#This Row],[wage_eq]],raw[[#This Row],[flex]],raw[[#This Row],[expo]],raw[[#This Row],[_date_]])</f>
        <v>011139083</v>
      </c>
      <c r="B825" s="1">
        <v>39083</v>
      </c>
      <c r="C825">
        <v>0</v>
      </c>
      <c r="D825">
        <v>1</v>
      </c>
      <c r="E825">
        <v>1</v>
      </c>
      <c r="F825">
        <v>1</v>
      </c>
      <c r="G825">
        <v>0.17239718286827799</v>
      </c>
      <c r="H825">
        <v>74.642659999997704</v>
      </c>
      <c r="I825">
        <v>-13.027911364421429</v>
      </c>
      <c r="J825">
        <v>0.76156255878969681</v>
      </c>
      <c r="K825">
        <v>1.868593892286996</v>
      </c>
      <c r="L825">
        <v>-2.6458861504367381</v>
      </c>
      <c r="M825">
        <v>-0.2801948865392978</v>
      </c>
      <c r="N825">
        <v>0.72648900775431624</v>
      </c>
      <c r="O825">
        <v>-3.1172719999998655E-2</v>
      </c>
      <c r="P825">
        <v>1.853690077477288</v>
      </c>
      <c r="Q825">
        <v>1.8039548321861831</v>
      </c>
      <c r="R825">
        <v>1.5548777081464626</v>
      </c>
      <c r="S825">
        <v>2.0813828545210411</v>
      </c>
      <c r="T825">
        <v>1.7247712120243008</v>
      </c>
      <c r="U825">
        <v>9.1846422994250396</v>
      </c>
      <c r="V825">
        <v>1.767296441078936</v>
      </c>
      <c r="W825">
        <v>-0.69125809288734796</v>
      </c>
      <c r="X825">
        <v>-0.16419244999999957</v>
      </c>
      <c r="Y825">
        <v>-9.4062079999999992E-2</v>
      </c>
      <c r="Z825">
        <v>0.288624569</v>
      </c>
    </row>
    <row r="826" spans="1:26">
      <c r="A826" s="54" t="str">
        <f>CONCATENATE(raw[[#This Row],[redis_ls]],raw[[#This Row],[wage_eq]],raw[[#This Row],[flex]],raw[[#This Row],[expo]],raw[[#This Row],[_date_]])</f>
        <v>011139448</v>
      </c>
      <c r="B826" s="1">
        <v>39448</v>
      </c>
      <c r="C826">
        <v>0</v>
      </c>
      <c r="D826">
        <v>1</v>
      </c>
      <c r="E826">
        <v>1</v>
      </c>
      <c r="F826">
        <v>1</v>
      </c>
      <c r="G826">
        <v>3.1386921539700019E-2</v>
      </c>
      <c r="H826">
        <v>23.047060000000783</v>
      </c>
      <c r="I826">
        <v>-13.25289391758615</v>
      </c>
      <c r="J826">
        <v>0.74107332040382889</v>
      </c>
      <c r="K826">
        <v>1.9031037451922472</v>
      </c>
      <c r="L826">
        <v>-3.0828108099410501</v>
      </c>
      <c r="M826">
        <v>-0.2614408685875369</v>
      </c>
      <c r="N826">
        <v>0.6987549529927195</v>
      </c>
      <c r="O826">
        <v>-3.7613499999999966E-2</v>
      </c>
      <c r="P826">
        <v>2.0434310817985857</v>
      </c>
      <c r="Q826">
        <v>2.0171334766198257</v>
      </c>
      <c r="R826">
        <v>1.819246256311513</v>
      </c>
      <c r="S826">
        <v>2.2510128403171237</v>
      </c>
      <c r="T826">
        <v>1.8705190323155652</v>
      </c>
      <c r="U826">
        <v>10.899699412115037</v>
      </c>
      <c r="V826">
        <v>2.0198794611055115</v>
      </c>
      <c r="W826">
        <v>-0.70211749932342915</v>
      </c>
      <c r="X826">
        <v>-2.6347609999999994E-2</v>
      </c>
      <c r="Y826">
        <v>-0.18034188400000012</v>
      </c>
      <c r="Z826">
        <v>0.24046083900000001</v>
      </c>
    </row>
    <row r="827" spans="1:26">
      <c r="A827" s="54" t="str">
        <f>CONCATENATE(raw[[#This Row],[redis_ls]],raw[[#This Row],[wage_eq]],raw[[#This Row],[flex]],raw[[#This Row],[expo]],raw[[#This Row],[_date_]])</f>
        <v>011139814</v>
      </c>
      <c r="B827" s="1">
        <v>39814</v>
      </c>
      <c r="C827">
        <v>0</v>
      </c>
      <c r="D827">
        <v>1</v>
      </c>
      <c r="E827">
        <v>1</v>
      </c>
      <c r="F827">
        <v>1</v>
      </c>
      <c r="G827">
        <v>-0.10954576315130859</v>
      </c>
      <c r="H827">
        <v>-34.465159999999742</v>
      </c>
      <c r="I827">
        <v>-13.438533302473965</v>
      </c>
      <c r="J827">
        <v>0.6907653534619973</v>
      </c>
      <c r="K827">
        <v>1.9402949752103549</v>
      </c>
      <c r="L827">
        <v>-3.4667152091504838</v>
      </c>
      <c r="M827">
        <v>-0.26627007846588002</v>
      </c>
      <c r="N827">
        <v>0.64581329191497616</v>
      </c>
      <c r="O827">
        <v>-3.9970549999999994E-2</v>
      </c>
      <c r="P827">
        <v>2.1871807827723577</v>
      </c>
      <c r="Q827">
        <v>2.1742885020553659</v>
      </c>
      <c r="R827">
        <v>2.014413574662699</v>
      </c>
      <c r="S827">
        <v>2.3776327912129469</v>
      </c>
      <c r="T827">
        <v>1.9696049813234362</v>
      </c>
      <c r="U827">
        <v>12.511649855437824</v>
      </c>
      <c r="V827">
        <v>2.2140051915013448</v>
      </c>
      <c r="W827">
        <v>-0.70458356147846679</v>
      </c>
      <c r="X827">
        <v>0.12071128999999944</v>
      </c>
      <c r="Y827">
        <v>-0.26385427500000003</v>
      </c>
      <c r="Z827">
        <v>0.17936410000000003</v>
      </c>
    </row>
    <row r="828" spans="1:26">
      <c r="A828" s="54" t="str">
        <f>CONCATENATE(raw[[#This Row],[redis_ls]],raw[[#This Row],[wage_eq]],raw[[#This Row],[flex]],raw[[#This Row],[expo]],raw[[#This Row],[_date_]])</f>
        <v>011140179</v>
      </c>
      <c r="B828" s="1">
        <v>40179</v>
      </c>
      <c r="C828">
        <v>0</v>
      </c>
      <c r="D828">
        <v>1</v>
      </c>
      <c r="E828">
        <v>1</v>
      </c>
      <c r="F828">
        <v>1</v>
      </c>
      <c r="G828">
        <v>-0.23976287636355842</v>
      </c>
      <c r="H828">
        <v>-93.303560000000289</v>
      </c>
      <c r="I828">
        <v>-13.595838117689052</v>
      </c>
      <c r="J828">
        <v>0.6177697058190823</v>
      </c>
      <c r="K828">
        <v>1.9903608386596883</v>
      </c>
      <c r="L828">
        <v>-3.7840230672903985</v>
      </c>
      <c r="M828">
        <v>-0.29249623507855427</v>
      </c>
      <c r="N828">
        <v>0.57415481024567505</v>
      </c>
      <c r="O828">
        <v>-3.8808279999999473E-2</v>
      </c>
      <c r="P828">
        <v>2.2806312053251343</v>
      </c>
      <c r="Q828">
        <v>2.2722057467673862</v>
      </c>
      <c r="R828">
        <v>2.1371525340793562</v>
      </c>
      <c r="S828">
        <v>2.4574409897831773</v>
      </c>
      <c r="T828">
        <v>2.019936254447896</v>
      </c>
      <c r="U828">
        <v>13.956958560746813</v>
      </c>
      <c r="V828">
        <v>2.3393412778227152</v>
      </c>
      <c r="W828">
        <v>-0.70449683821901532</v>
      </c>
      <c r="X828">
        <v>0.26520567000000023</v>
      </c>
      <c r="Y828">
        <v>-0.34013810130000005</v>
      </c>
      <c r="Z828">
        <v>0.11235055000000001</v>
      </c>
    </row>
    <row r="829" spans="1:26">
      <c r="A829" s="54" t="str">
        <f>CONCATENATE(raw[[#This Row],[redis_ls]],raw[[#This Row],[wage_eq]],raw[[#This Row],[flex]],raw[[#This Row],[expo]],raw[[#This Row],[_date_]])</f>
        <v>011140544</v>
      </c>
      <c r="B829" s="1">
        <v>40544</v>
      </c>
      <c r="C829">
        <v>0</v>
      </c>
      <c r="D829">
        <v>1</v>
      </c>
      <c r="E829">
        <v>1</v>
      </c>
      <c r="F829">
        <v>1</v>
      </c>
      <c r="G829">
        <v>-0.35029897913969599</v>
      </c>
      <c r="H829">
        <v>-148.99952999999732</v>
      </c>
      <c r="I829">
        <v>-13.725005323466434</v>
      </c>
      <c r="J829">
        <v>0.53027300465404714</v>
      </c>
      <c r="K829">
        <v>2.0599138683300211</v>
      </c>
      <c r="L829">
        <v>-4.0255550631110086</v>
      </c>
      <c r="M829">
        <v>-0.335643160624155</v>
      </c>
      <c r="N829">
        <v>0.49140193403360843</v>
      </c>
      <c r="O829">
        <v>-3.4618389999999111E-2</v>
      </c>
      <c r="P829">
        <v>2.3222878448674988</v>
      </c>
      <c r="Q829">
        <v>2.3110191459176255</v>
      </c>
      <c r="R829">
        <v>2.1882249625071681</v>
      </c>
      <c r="S829">
        <v>2.4894011452627485</v>
      </c>
      <c r="T829">
        <v>2.0216213813050388</v>
      </c>
      <c r="U829">
        <v>15.183028335514104</v>
      </c>
      <c r="V829">
        <v>2.3910995817750136</v>
      </c>
      <c r="W829">
        <v>-0.70627660999168507</v>
      </c>
      <c r="X829">
        <v>0.39635137000000009</v>
      </c>
      <c r="Y829">
        <v>-0.40564719980000002</v>
      </c>
      <c r="Z829">
        <v>4.6162240000000021E-2</v>
      </c>
    </row>
    <row r="830" spans="1:26">
      <c r="A830" s="54" t="str">
        <f>CONCATENATE(raw[[#This Row],[redis_ls]],raw[[#This Row],[wage_eq]],raw[[#This Row],[flex]],raw[[#This Row],[expo]],raw[[#This Row],[_date_]])</f>
        <v>011140909</v>
      </c>
      <c r="B830" s="1">
        <v>40909</v>
      </c>
      <c r="C830">
        <v>0</v>
      </c>
      <c r="D830">
        <v>1</v>
      </c>
      <c r="E830">
        <v>1</v>
      </c>
      <c r="F830">
        <v>1</v>
      </c>
      <c r="G830">
        <v>-0.4339739833055245</v>
      </c>
      <c r="H830">
        <v>-197.34230000000025</v>
      </c>
      <c r="I830">
        <v>-13.820202406918092</v>
      </c>
      <c r="J830">
        <v>0.43704077256119245</v>
      </c>
      <c r="K830">
        <v>2.1528493895513368</v>
      </c>
      <c r="L830">
        <v>-4.1863353457460395</v>
      </c>
      <c r="M830">
        <v>-0.38971910133125398</v>
      </c>
      <c r="N830">
        <v>0.40569613250733827</v>
      </c>
      <c r="O830">
        <v>-2.7943999999999192E-2</v>
      </c>
      <c r="P830">
        <v>2.313387291714597</v>
      </c>
      <c r="Q830">
        <v>2.2938571324069734</v>
      </c>
      <c r="R830">
        <v>2.1719201710129088</v>
      </c>
      <c r="S830">
        <v>2.4750667351144839</v>
      </c>
      <c r="T830">
        <v>1.9770942742288744</v>
      </c>
      <c r="U830">
        <v>16.151304444141125</v>
      </c>
      <c r="V830">
        <v>2.3699658495412335</v>
      </c>
      <c r="W830">
        <v>-0.71257196621691277</v>
      </c>
      <c r="X830">
        <v>0.50464226700000003</v>
      </c>
      <c r="Y830">
        <v>-0.45790641099999996</v>
      </c>
      <c r="Z830">
        <v>-1.3157459999999996E-2</v>
      </c>
    </row>
    <row r="831" spans="1:26">
      <c r="A831" s="54" t="str">
        <f>CONCATENATE(raw[[#This Row],[redis_ls]],raw[[#This Row],[wage_eq]],raw[[#This Row],[flex]],raw[[#This Row],[expo]],raw[[#This Row],[_date_]])</f>
        <v>011141275</v>
      </c>
      <c r="B831" s="1">
        <v>41275</v>
      </c>
      <c r="C831">
        <v>0</v>
      </c>
      <c r="D831">
        <v>1</v>
      </c>
      <c r="E831">
        <v>1</v>
      </c>
      <c r="F831">
        <v>1</v>
      </c>
      <c r="G831">
        <v>-0.48563647886382677</v>
      </c>
      <c r="H831">
        <v>-234.60153999999966</v>
      </c>
      <c r="I831">
        <v>-13.872947955231197</v>
      </c>
      <c r="J831">
        <v>0.3467485028703754</v>
      </c>
      <c r="K831">
        <v>2.2708520300856128</v>
      </c>
      <c r="L831">
        <v>-4.26537454653465</v>
      </c>
      <c r="M831">
        <v>-0.44797427064195983</v>
      </c>
      <c r="N831">
        <v>0.32495646706882653</v>
      </c>
      <c r="O831">
        <v>-1.944829000000009E-2</v>
      </c>
      <c r="P831">
        <v>2.2577441125279041</v>
      </c>
      <c r="Q831">
        <v>2.2264434068909322</v>
      </c>
      <c r="R831">
        <v>2.0955422087643116</v>
      </c>
      <c r="S831">
        <v>2.4183424230515449</v>
      </c>
      <c r="T831">
        <v>1.8910779198832328</v>
      </c>
      <c r="U831">
        <v>16.839372968858246</v>
      </c>
      <c r="V831">
        <v>2.2816404917405775</v>
      </c>
      <c r="W831">
        <v>-0.72424613714175967</v>
      </c>
      <c r="X831">
        <v>0.58230385500000004</v>
      </c>
      <c r="Y831">
        <v>-0.49559714300000002</v>
      </c>
      <c r="Z831">
        <v>-6.0643810000000214E-2</v>
      </c>
    </row>
    <row r="832" spans="1:26">
      <c r="A832" s="54" t="str">
        <f>CONCATENATE(raw[[#This Row],[redis_ls]],raw[[#This Row],[wage_eq]],raw[[#This Row],[flex]],raw[[#This Row],[expo]],raw[[#This Row],[_date_]])</f>
        <v>011141640</v>
      </c>
      <c r="B832" s="1">
        <v>41640</v>
      </c>
      <c r="C832">
        <v>0</v>
      </c>
      <c r="D832">
        <v>1</v>
      </c>
      <c r="E832">
        <v>1</v>
      </c>
      <c r="F832">
        <v>1</v>
      </c>
      <c r="G832">
        <v>-0.50241644973152422</v>
      </c>
      <c r="H832">
        <v>-257.81360999999742</v>
      </c>
      <c r="I832">
        <v>-13.874584532969781</v>
      </c>
      <c r="J832">
        <v>0.26724060556719831</v>
      </c>
      <c r="K832">
        <v>2.4136386866112858</v>
      </c>
      <c r="L832">
        <v>-4.2654058745365209</v>
      </c>
      <c r="M832">
        <v>-0.50363785769356184</v>
      </c>
      <c r="N832">
        <v>0.2561354416329209</v>
      </c>
      <c r="O832">
        <v>-9.9207900000009008E-3</v>
      </c>
      <c r="P832">
        <v>2.161452284942289</v>
      </c>
      <c r="Q832">
        <v>2.1166004112253001</v>
      </c>
      <c r="R832">
        <v>1.968793467665364</v>
      </c>
      <c r="S832">
        <v>2.3251243562470325</v>
      </c>
      <c r="T832">
        <v>1.7703144057519493</v>
      </c>
      <c r="U832">
        <v>17.241749696123733</v>
      </c>
      <c r="V832">
        <v>2.1360551560055008</v>
      </c>
      <c r="W832">
        <v>-0.740562446623938</v>
      </c>
      <c r="X832">
        <v>0.62382952300000005</v>
      </c>
      <c r="Y832">
        <v>-0.51854102000000002</v>
      </c>
      <c r="Z832">
        <v>-9.2713030000000224E-2</v>
      </c>
    </row>
    <row r="833" spans="1:26">
      <c r="A833" s="54" t="str">
        <f>CONCATENATE(raw[[#This Row],[redis_ls]],raw[[#This Row],[wage_eq]],raw[[#This Row],[flex]],raw[[#This Row],[expo]],raw[[#This Row],[_date_]])</f>
        <v>011142005</v>
      </c>
      <c r="B833" s="1">
        <v>42005</v>
      </c>
      <c r="C833">
        <v>0</v>
      </c>
      <c r="D833">
        <v>1</v>
      </c>
      <c r="E833">
        <v>1</v>
      </c>
      <c r="F833">
        <v>1</v>
      </c>
      <c r="G833">
        <v>-0.48388525697072859</v>
      </c>
      <c r="H833">
        <v>-265.07328000000052</v>
      </c>
      <c r="I833">
        <v>-13.818056019858249</v>
      </c>
      <c r="J833">
        <v>0.20483823880697027</v>
      </c>
      <c r="K833">
        <v>2.5790690099454228</v>
      </c>
      <c r="L833">
        <v>-4.192538731040985</v>
      </c>
      <c r="M833">
        <v>-0.550593507863395</v>
      </c>
      <c r="N833">
        <v>0.20457620427891676</v>
      </c>
      <c r="O833">
        <v>-2.3430000000018714E-4</v>
      </c>
      <c r="P833">
        <v>2.0324312481144302</v>
      </c>
      <c r="Q833">
        <v>1.9736642812546279</v>
      </c>
      <c r="R833">
        <v>1.8030710263728489</v>
      </c>
      <c r="S833">
        <v>2.2028226505272253</v>
      </c>
      <c r="T833">
        <v>1.6230784660185238</v>
      </c>
      <c r="U833">
        <v>17.369260568201806</v>
      </c>
      <c r="V833">
        <v>1.9463243558120791</v>
      </c>
      <c r="W833">
        <v>-0.75952407409181077</v>
      </c>
      <c r="X833">
        <v>0.62645945000000003</v>
      </c>
      <c r="Y833">
        <v>-0.52757372999999996</v>
      </c>
      <c r="Z833">
        <v>-0.10736088000000005</v>
      </c>
    </row>
    <row r="834" spans="1:26">
      <c r="A834" s="54" t="str">
        <f>CONCATENATE(raw[[#This Row],[redis_ls]],raw[[#This Row],[wage_eq]],raw[[#This Row],[flex]],raw[[#This Row],[expo]],raw[[#This Row],[_date_]])</f>
        <v>011142370</v>
      </c>
      <c r="B834" s="1">
        <v>42370</v>
      </c>
      <c r="C834">
        <v>0</v>
      </c>
      <c r="D834">
        <v>1</v>
      </c>
      <c r="E834">
        <v>1</v>
      </c>
      <c r="F834">
        <v>1</v>
      </c>
      <c r="G834">
        <v>-0.43205174974291216</v>
      </c>
      <c r="H834">
        <v>-255.75818999999683</v>
      </c>
      <c r="I834">
        <v>-13.699088241078361</v>
      </c>
      <c r="J834">
        <v>0.16380035677339144</v>
      </c>
      <c r="K834">
        <v>2.7632458159774442</v>
      </c>
      <c r="L834">
        <v>-4.0558040822300185</v>
      </c>
      <c r="M834">
        <v>-0.58393955698508027</v>
      </c>
      <c r="N834">
        <v>0.17356004519248902</v>
      </c>
      <c r="O834">
        <v>8.7323299999997328E-3</v>
      </c>
      <c r="P834">
        <v>1.8798489012275654</v>
      </c>
      <c r="Q834">
        <v>1.8078510051234398</v>
      </c>
      <c r="R834">
        <v>1.6107236852337836</v>
      </c>
      <c r="S834">
        <v>2.059809294367354</v>
      </c>
      <c r="T834">
        <v>1.4585438636223413</v>
      </c>
      <c r="U834">
        <v>17.247136926502151</v>
      </c>
      <c r="V834">
        <v>1.7275202754331254</v>
      </c>
      <c r="W834">
        <v>-0.77833085664802404</v>
      </c>
      <c r="X834">
        <v>0.59046007000000023</v>
      </c>
      <c r="Y834">
        <v>-0.52432772000000005</v>
      </c>
      <c r="Z834">
        <v>-0.10423797999999998</v>
      </c>
    </row>
    <row r="835" spans="1:26">
      <c r="A835" s="54" t="str">
        <f>CONCATENATE(raw[[#This Row],[redis_ls]],raw[[#This Row],[wage_eq]],raw[[#This Row],[flex]],raw[[#This Row],[expo]],raw[[#This Row],[_date_]])</f>
        <v>011142736</v>
      </c>
      <c r="B835" s="1">
        <v>42736</v>
      </c>
      <c r="C835">
        <v>0</v>
      </c>
      <c r="D835">
        <v>1</v>
      </c>
      <c r="E835">
        <v>1</v>
      </c>
      <c r="F835">
        <v>1</v>
      </c>
      <c r="G835">
        <v>-0.35116336977981666</v>
      </c>
      <c r="H835">
        <v>-230.62212999999974</v>
      </c>
      <c r="I835">
        <v>-13.516836555383637</v>
      </c>
      <c r="J835">
        <v>0.14601851378790442</v>
      </c>
      <c r="K835">
        <v>2.9606943738689884</v>
      </c>
      <c r="L835">
        <v>-3.8665863921999111</v>
      </c>
      <c r="M835">
        <v>-0.60038421450665513</v>
      </c>
      <c r="N835">
        <v>0.16410311039614101</v>
      </c>
      <c r="O835">
        <v>1.618833000000125E-2</v>
      </c>
      <c r="P835">
        <v>1.713477638011951</v>
      </c>
      <c r="Q835">
        <v>1.6296236030838074</v>
      </c>
      <c r="R835">
        <v>1.4043174711884543</v>
      </c>
      <c r="S835">
        <v>1.9048420131290822</v>
      </c>
      <c r="T835">
        <v>1.2860972093472922</v>
      </c>
      <c r="U835">
        <v>16.91211850850376</v>
      </c>
      <c r="V835">
        <v>1.4953880601763725</v>
      </c>
      <c r="W835">
        <v>-0.79389148111123076</v>
      </c>
      <c r="X835">
        <v>0.51910254999999983</v>
      </c>
      <c r="Y835">
        <v>-0.51096295000000003</v>
      </c>
      <c r="Z835">
        <v>-8.4590849999999912E-2</v>
      </c>
    </row>
    <row r="836" spans="1:26">
      <c r="A836" s="54" t="str">
        <f>CONCATENATE(raw[[#This Row],[redis_ls]],raw[[#This Row],[wage_eq]],raw[[#This Row],[flex]],raw[[#This Row],[expo]],raw[[#This Row],[_date_]])</f>
        <v>011143101</v>
      </c>
      <c r="B836" s="1">
        <v>43101</v>
      </c>
      <c r="C836">
        <v>0</v>
      </c>
      <c r="D836">
        <v>1</v>
      </c>
      <c r="E836">
        <v>1</v>
      </c>
      <c r="F836">
        <v>1</v>
      </c>
      <c r="G836">
        <v>-0.24731756945907124</v>
      </c>
      <c r="H836">
        <v>-191.72051999999894</v>
      </c>
      <c r="I836">
        <v>-13.274064445884537</v>
      </c>
      <c r="J836">
        <v>0.1509857915584778</v>
      </c>
      <c r="K836">
        <v>3.1646673415544946</v>
      </c>
      <c r="L836">
        <v>-3.637955232483181</v>
      </c>
      <c r="M836">
        <v>-0.59844096233941935</v>
      </c>
      <c r="N836">
        <v>0.17502416826691292</v>
      </c>
      <c r="O836">
        <v>2.1522520000000211E-2</v>
      </c>
      <c r="P836">
        <v>1.5430451584560467</v>
      </c>
      <c r="Q836">
        <v>1.4491057665044327</v>
      </c>
      <c r="R836">
        <v>1.1959565816997531</v>
      </c>
      <c r="S836">
        <v>1.7465188800796172</v>
      </c>
      <c r="T836">
        <v>1.1146907606111034</v>
      </c>
      <c r="U836">
        <v>16.408965365832962</v>
      </c>
      <c r="V836">
        <v>1.265131006334852</v>
      </c>
      <c r="W836">
        <v>-0.80331841623767497</v>
      </c>
      <c r="X836">
        <v>0.41830617999999986</v>
      </c>
      <c r="Y836">
        <v>-0.48989239999999989</v>
      </c>
      <c r="Z836">
        <v>-5.1070870000000101E-2</v>
      </c>
    </row>
    <row r="837" spans="1:26">
      <c r="A837" s="54" t="str">
        <f>CONCATENATE(raw[[#This Row],[redis_ls]],raw[[#This Row],[wage_eq]],raw[[#This Row],[flex]],raw[[#This Row],[expo]],raw[[#This Row],[_date_]])</f>
        <v>011143466</v>
      </c>
      <c r="B837" s="1">
        <v>43466</v>
      </c>
      <c r="C837">
        <v>0</v>
      </c>
      <c r="D837">
        <v>1</v>
      </c>
      <c r="E837">
        <v>1</v>
      </c>
      <c r="F837">
        <v>1</v>
      </c>
      <c r="G837">
        <v>-0.12792148797936553</v>
      </c>
      <c r="H837">
        <v>-142.17063000000053</v>
      </c>
      <c r="I837">
        <v>-12.976928560236711</v>
      </c>
      <c r="J837">
        <v>0.17603444058029716</v>
      </c>
      <c r="K837">
        <v>3.3675805926583369</v>
      </c>
      <c r="L837">
        <v>-3.3839255319702777</v>
      </c>
      <c r="M837">
        <v>-0.57841349221265936</v>
      </c>
      <c r="N837">
        <v>0.20325649268964074</v>
      </c>
      <c r="O837">
        <v>2.4372509999999459E-2</v>
      </c>
      <c r="P837">
        <v>1.3776391492075657</v>
      </c>
      <c r="Q837">
        <v>1.2755722513529966</v>
      </c>
      <c r="R837">
        <v>0.99668982473115619</v>
      </c>
      <c r="S837">
        <v>1.5928014935510992</v>
      </c>
      <c r="T837">
        <v>0.95230395025691639</v>
      </c>
      <c r="U837">
        <v>15.786794438862373</v>
      </c>
      <c r="V837">
        <v>1.0503795191425302</v>
      </c>
      <c r="W837">
        <v>-0.80432899006741554</v>
      </c>
      <c r="X837">
        <v>0.29598722000000016</v>
      </c>
      <c r="Y837">
        <v>-0.46354260000000014</v>
      </c>
      <c r="Z837">
        <v>-7.4287899999997409E-3</v>
      </c>
    </row>
    <row r="838" spans="1:26">
      <c r="A838" s="54" t="str">
        <f>CONCATENATE(raw[[#This Row],[redis_ls]],raw[[#This Row],[wage_eq]],raw[[#This Row],[flex]],raw[[#This Row],[expo]],raw[[#This Row],[_date_]])</f>
        <v>011143831</v>
      </c>
      <c r="B838" s="1">
        <v>43831</v>
      </c>
      <c r="C838">
        <v>0</v>
      </c>
      <c r="D838">
        <v>1</v>
      </c>
      <c r="E838">
        <v>1</v>
      </c>
      <c r="F838">
        <v>1</v>
      </c>
      <c r="G838">
        <v>-1.0597455724514759E-3</v>
      </c>
      <c r="H838">
        <v>-85.787209999998595</v>
      </c>
      <c r="I838">
        <v>-12.634456923583304</v>
      </c>
      <c r="J838">
        <v>0.21679294917191783</v>
      </c>
      <c r="K838">
        <v>3.5615483262628755</v>
      </c>
      <c r="L838">
        <v>-3.1186870116677978</v>
      </c>
      <c r="M838">
        <v>-0.54218876497972301</v>
      </c>
      <c r="N838">
        <v>0.24433949396325261</v>
      </c>
      <c r="O838">
        <v>2.4657360000000794E-2</v>
      </c>
      <c r="P838">
        <v>1.2252120880310358</v>
      </c>
      <c r="Q838">
        <v>1.1170411376361544</v>
      </c>
      <c r="R838">
        <v>0.81602971043588379</v>
      </c>
      <c r="S838">
        <v>1.4506327244782291</v>
      </c>
      <c r="T838">
        <v>0.805552845454649</v>
      </c>
      <c r="U838">
        <v>15.095606318318765</v>
      </c>
      <c r="V838">
        <v>0.86242184740425998</v>
      </c>
      <c r="W838">
        <v>-0.79550471103624343</v>
      </c>
      <c r="X838">
        <v>0.16121522000000013</v>
      </c>
      <c r="Y838">
        <v>-0.43417421000000006</v>
      </c>
      <c r="Z838">
        <v>4.1871909999999929E-2</v>
      </c>
    </row>
    <row r="839" spans="1:26">
      <c r="A839" s="54" t="str">
        <f>CONCATENATE(raw[[#This Row],[redis_ls]],raw[[#This Row],[wage_eq]],raw[[#This Row],[flex]],raw[[#This Row],[expo]],raw[[#This Row],[_date_]])</f>
        <v>011144197</v>
      </c>
      <c r="B839" s="1">
        <v>44197</v>
      </c>
      <c r="C839">
        <v>0</v>
      </c>
      <c r="D839">
        <v>1</v>
      </c>
      <c r="E839">
        <v>1</v>
      </c>
      <c r="F839">
        <v>1</v>
      </c>
      <c r="G839">
        <v>0.12515846158240862</v>
      </c>
      <c r="H839">
        <v>-26.659019999999146</v>
      </c>
      <c r="I839">
        <v>-12.257814758269237</v>
      </c>
      <c r="J839">
        <v>0.26778419632462747</v>
      </c>
      <c r="K839">
        <v>3.7389629478522535</v>
      </c>
      <c r="L839">
        <v>-2.8558488886078481</v>
      </c>
      <c r="M839">
        <v>-0.4928822426779722</v>
      </c>
      <c r="N839">
        <v>0.29300714655446924</v>
      </c>
      <c r="O839">
        <v>2.2568519999999204E-2</v>
      </c>
      <c r="P839">
        <v>1.0922130297394972</v>
      </c>
      <c r="Q839">
        <v>0.97997348591538636</v>
      </c>
      <c r="R839">
        <v>0.66159401771552773</v>
      </c>
      <c r="S839">
        <v>1.3256590671861135</v>
      </c>
      <c r="T839">
        <v>0.67945902040693618</v>
      </c>
      <c r="U839">
        <v>14.383268165923969</v>
      </c>
      <c r="V839">
        <v>0.70972880555970619</v>
      </c>
      <c r="W839">
        <v>-0.77638548389838968</v>
      </c>
      <c r="X839">
        <v>2.331042999999984E-2</v>
      </c>
      <c r="Y839">
        <v>-0.40377030999999997</v>
      </c>
      <c r="Z839">
        <v>9.2082050000000248E-2</v>
      </c>
    </row>
    <row r="840" spans="1:26">
      <c r="A840" s="54" t="str">
        <f>CONCATENATE(raw[[#This Row],[redis_ls]],raw[[#This Row],[wage_eq]],raw[[#This Row],[flex]],raw[[#This Row],[expo]],raw[[#This Row],[_date_]])</f>
        <v>011144562</v>
      </c>
      <c r="B840" s="1">
        <v>44562</v>
      </c>
      <c r="C840">
        <v>0</v>
      </c>
      <c r="D840">
        <v>1</v>
      </c>
      <c r="E840">
        <v>1</v>
      </c>
      <c r="F840">
        <v>1</v>
      </c>
      <c r="G840">
        <v>0.24320531219998998</v>
      </c>
      <c r="H840">
        <v>31.262040000001434</v>
      </c>
      <c r="I840">
        <v>-11.859451803897414</v>
      </c>
      <c r="J840">
        <v>0.32307460972584856</v>
      </c>
      <c r="K840">
        <v>3.8930548980322</v>
      </c>
      <c r="L840">
        <v>-2.6077476945228439</v>
      </c>
      <c r="M840">
        <v>-0.43439476722462178</v>
      </c>
      <c r="N840">
        <v>0.34378828119434601</v>
      </c>
      <c r="O840">
        <v>1.8524339999999306E-2</v>
      </c>
      <c r="P840">
        <v>0.98336032483505864</v>
      </c>
      <c r="Q840">
        <v>0.86908390984312689</v>
      </c>
      <c r="R840">
        <v>0.53888003948219243</v>
      </c>
      <c r="S840">
        <v>1.2220559768395312</v>
      </c>
      <c r="T840">
        <v>0.57736265677701404</v>
      </c>
      <c r="U840">
        <v>13.693105762896995</v>
      </c>
      <c r="V840">
        <v>0.59776247904390623</v>
      </c>
      <c r="W840">
        <v>-0.74741654757942699</v>
      </c>
      <c r="X840">
        <v>-0.10898690999999999</v>
      </c>
      <c r="Y840">
        <v>-0.37398565000000011</v>
      </c>
      <c r="Z840">
        <v>0.13859308999999986</v>
      </c>
    </row>
    <row r="841" spans="1:26">
      <c r="A841" s="54" t="str">
        <f>CONCATENATE(raw[[#This Row],[redis_ls]],raw[[#This Row],[wage_eq]],raw[[#This Row],[flex]],raw[[#This Row],[expo]],raw[[#This Row],[_date_]])</f>
        <v>011144927</v>
      </c>
      <c r="B841" s="1">
        <v>44927</v>
      </c>
      <c r="C841">
        <v>0</v>
      </c>
      <c r="D841">
        <v>1</v>
      </c>
      <c r="E841">
        <v>1</v>
      </c>
      <c r="F841">
        <v>1</v>
      </c>
      <c r="G841">
        <v>0.34663950066353699</v>
      </c>
      <c r="H841">
        <v>84.499920000002021</v>
      </c>
      <c r="I841">
        <v>-11.452218835552685</v>
      </c>
      <c r="J841">
        <v>0.37689610950766284</v>
      </c>
      <c r="K841">
        <v>4.0183707099471722</v>
      </c>
      <c r="L841">
        <v>-2.3848617237533509</v>
      </c>
      <c r="M841">
        <v>-0.37094604191361125</v>
      </c>
      <c r="N841">
        <v>0.39155342597605447</v>
      </c>
      <c r="O841">
        <v>1.3100650000000269E-2</v>
      </c>
      <c r="P841">
        <v>0.901550212601121</v>
      </c>
      <c r="Q841">
        <v>0.78725712801488434</v>
      </c>
      <c r="R841">
        <v>0.45116782461853688</v>
      </c>
      <c r="S841">
        <v>1.1424517417512936</v>
      </c>
      <c r="T841">
        <v>0.5009545766035961</v>
      </c>
      <c r="U841">
        <v>13.062158989878947</v>
      </c>
      <c r="V841">
        <v>0.52902756108303972</v>
      </c>
      <c r="W841">
        <v>-0.70978297689159309</v>
      </c>
      <c r="X841">
        <v>-0.22817641799999996</v>
      </c>
      <c r="Y841">
        <v>-0.34614189999999984</v>
      </c>
      <c r="Z841">
        <v>0.17732717000000023</v>
      </c>
    </row>
    <row r="842" spans="1:26">
      <c r="A842" s="54" t="str">
        <f>CONCATENATE(raw[[#This Row],[redis_ls]],raw[[#This Row],[wage_eq]],raw[[#This Row],[flex]],raw[[#This Row],[expo]],raw[[#This Row],[_date_]])</f>
        <v>011145292</v>
      </c>
      <c r="B842" s="1">
        <v>45292</v>
      </c>
      <c r="C842">
        <v>0</v>
      </c>
      <c r="D842">
        <v>1</v>
      </c>
      <c r="E842">
        <v>1</v>
      </c>
      <c r="F842">
        <v>1</v>
      </c>
      <c r="G842">
        <v>0.43047630378560964</v>
      </c>
      <c r="H842">
        <v>130.28683000000092</v>
      </c>
      <c r="I842">
        <v>-11.048528306529636</v>
      </c>
      <c r="J842">
        <v>0.42417851339278112</v>
      </c>
      <c r="K842">
        <v>4.1111228896593133</v>
      </c>
      <c r="L842">
        <v>-2.1953676717285098</v>
      </c>
      <c r="M842">
        <v>-0.30664147521174412</v>
      </c>
      <c r="N842">
        <v>0.43195999975831345</v>
      </c>
      <c r="O842">
        <v>6.9511899999999405E-3</v>
      </c>
      <c r="P842">
        <v>0.84788745025816681</v>
      </c>
      <c r="Q842">
        <v>0.73556176402695961</v>
      </c>
      <c r="R842">
        <v>0.39954775718948898</v>
      </c>
      <c r="S842">
        <v>1.0879388581468641</v>
      </c>
      <c r="T842">
        <v>0.45039671404438764</v>
      </c>
      <c r="U842">
        <v>12.520075525889474</v>
      </c>
      <c r="V842">
        <v>0.50330834199963093</v>
      </c>
      <c r="W842">
        <v>-0.66518268907137523</v>
      </c>
      <c r="X842">
        <v>-0.328434065</v>
      </c>
      <c r="Y842">
        <v>-0.3212521000000001</v>
      </c>
      <c r="Z842">
        <v>0.20506091999999976</v>
      </c>
    </row>
    <row r="843" spans="1:26">
      <c r="A843" s="54" t="str">
        <f>CONCATENATE(raw[[#This Row],[redis_ls]],raw[[#This Row],[wage_eq]],raw[[#This Row],[flex]],raw[[#This Row],[expo]],raw[[#This Row],[_date_]])</f>
        <v>011145658</v>
      </c>
      <c r="B843" s="1">
        <v>45658</v>
      </c>
      <c r="C843">
        <v>0</v>
      </c>
      <c r="D843">
        <v>1</v>
      </c>
      <c r="E843">
        <v>1</v>
      </c>
      <c r="F843">
        <v>1</v>
      </c>
      <c r="G843">
        <v>0.49140484303207277</v>
      </c>
      <c r="H843">
        <v>166.6801000000014</v>
      </c>
      <c r="I843">
        <v>-10.659621343882186</v>
      </c>
      <c r="J843">
        <v>0.46094777270300202</v>
      </c>
      <c r="K843">
        <v>4.1693816600570033</v>
      </c>
      <c r="L843">
        <v>-2.0448632097408659</v>
      </c>
      <c r="M843">
        <v>-0.24511826046026419</v>
      </c>
      <c r="N843">
        <v>0.4617653165823743</v>
      </c>
      <c r="O843">
        <v>7.2993999999937387E-4</v>
      </c>
      <c r="P843">
        <v>0.82181757917301201</v>
      </c>
      <c r="Q843">
        <v>0.71335454341709958</v>
      </c>
      <c r="R843">
        <v>0.38305769685980096</v>
      </c>
      <c r="S843">
        <v>1.0581610742513847</v>
      </c>
      <c r="T843">
        <v>0.42450230493320529</v>
      </c>
      <c r="U843">
        <v>12.088568885217876</v>
      </c>
      <c r="V843">
        <v>0.51803199771394137</v>
      </c>
      <c r="W843">
        <v>-0.61558291601671034</v>
      </c>
      <c r="X843">
        <v>-0.40581858500000001</v>
      </c>
      <c r="Y843">
        <v>-0.30005744000000006</v>
      </c>
      <c r="Z843">
        <v>0.21965721999999999</v>
      </c>
    </row>
    <row r="844" spans="1:26">
      <c r="A844" s="54" t="str">
        <f>CONCATENATE(raw[[#This Row],[redis_ls]],raw[[#This Row],[wage_eq]],raw[[#This Row],[flex]],raw[[#This Row],[expo]],raw[[#This Row],[_date_]])</f>
        <v>011146023</v>
      </c>
      <c r="B844" s="1">
        <v>46023</v>
      </c>
      <c r="C844">
        <v>0</v>
      </c>
      <c r="D844">
        <v>1</v>
      </c>
      <c r="E844">
        <v>1</v>
      </c>
      <c r="F844">
        <v>1</v>
      </c>
      <c r="G844">
        <v>0.52785307894260836</v>
      </c>
      <c r="H844">
        <v>192.57638999999836</v>
      </c>
      <c r="I844">
        <v>-10.29498552585143</v>
      </c>
      <c r="J844">
        <v>0.48456830234866466</v>
      </c>
      <c r="K844">
        <v>4.1931010417571191</v>
      </c>
      <c r="L844">
        <v>-1.9362657555139773</v>
      </c>
      <c r="M844">
        <v>-0.18929824257909456</v>
      </c>
      <c r="N844">
        <v>0.47899110748659268</v>
      </c>
      <c r="O844">
        <v>-4.9774600000010438E-3</v>
      </c>
      <c r="P844">
        <v>0.82133697950845796</v>
      </c>
      <c r="Q844">
        <v>0.71846054421824679</v>
      </c>
      <c r="R844">
        <v>0.39891738191339954</v>
      </c>
      <c r="S844">
        <v>1.051467089816116</v>
      </c>
      <c r="T844">
        <v>0.42095402573574248</v>
      </c>
      <c r="U844">
        <v>11.781349491605164</v>
      </c>
      <c r="V844">
        <v>0.56870561526942698</v>
      </c>
      <c r="W844">
        <v>-0.56300245856695241</v>
      </c>
      <c r="X844">
        <v>-0.45827641500000005</v>
      </c>
      <c r="Y844">
        <v>-0.28306466000000002</v>
      </c>
      <c r="Z844">
        <v>0.22018362000000014</v>
      </c>
    </row>
    <row r="845" spans="1:26">
      <c r="A845" s="54" t="str">
        <f>CONCATENATE(raw[[#This Row],[redis_ls]],raw[[#This Row],[wage_eq]],raw[[#This Row],[flex]],raw[[#This Row],[expo]],raw[[#This Row],[_date_]])</f>
        <v>011146388</v>
      </c>
      <c r="B845" s="1">
        <v>46388</v>
      </c>
      <c r="C845">
        <v>0</v>
      </c>
      <c r="D845">
        <v>1</v>
      </c>
      <c r="E845">
        <v>1</v>
      </c>
      <c r="F845">
        <v>1</v>
      </c>
      <c r="G845">
        <v>0.53991173483329824</v>
      </c>
      <c r="H845">
        <v>207.64810999999827</v>
      </c>
      <c r="I845">
        <v>-9.9619536380328064</v>
      </c>
      <c r="J845">
        <v>0.4938169803183623</v>
      </c>
      <c r="K845">
        <v>4.1839875941682259</v>
      </c>
      <c r="L845">
        <v>-1.8698823824462307</v>
      </c>
      <c r="M845">
        <v>-0.14126050382418098</v>
      </c>
      <c r="N845">
        <v>0.48293657475912966</v>
      </c>
      <c r="O845">
        <v>-9.7076499999987353E-3</v>
      </c>
      <c r="P845">
        <v>0.84325709972847829</v>
      </c>
      <c r="Q845">
        <v>0.74741905314712476</v>
      </c>
      <c r="R845">
        <v>0.44283664780166987</v>
      </c>
      <c r="S845">
        <v>1.0651150423178102</v>
      </c>
      <c r="T845">
        <v>0.43654259180065935</v>
      </c>
      <c r="U845">
        <v>11.604429343612965</v>
      </c>
      <c r="V845">
        <v>0.64938533388154696</v>
      </c>
      <c r="W845">
        <v>-0.50933842537036478</v>
      </c>
      <c r="X845">
        <v>-0.48549198199999993</v>
      </c>
      <c r="Y845">
        <v>-0.27057505000000015</v>
      </c>
      <c r="Z845">
        <v>0.20690459</v>
      </c>
    </row>
    <row r="846" spans="1:26">
      <c r="A846" s="54" t="str">
        <f>CONCATENATE(raw[[#This Row],[redis_ls]],raw[[#This Row],[wage_eq]],raw[[#This Row],[flex]],raw[[#This Row],[expo]],raw[[#This Row],[_date_]])</f>
        <v>011146753</v>
      </c>
      <c r="B846" s="1">
        <v>46753</v>
      </c>
      <c r="C846">
        <v>0</v>
      </c>
      <c r="D846">
        <v>1</v>
      </c>
      <c r="E846">
        <v>1</v>
      </c>
      <c r="F846">
        <v>1</v>
      </c>
      <c r="G846">
        <v>0.5291399780378514</v>
      </c>
      <c r="H846">
        <v>212.23050999999759</v>
      </c>
      <c r="I846">
        <v>-9.6654943262777238</v>
      </c>
      <c r="J846">
        <v>0.48880069718277852</v>
      </c>
      <c r="K846">
        <v>4.1452369903508535</v>
      </c>
      <c r="L846">
        <v>-1.8436330364792086</v>
      </c>
      <c r="M846">
        <v>-0.10222834969138006</v>
      </c>
      <c r="N846">
        <v>0.47405450866944143</v>
      </c>
      <c r="O846">
        <v>-1.3154719999999842E-2</v>
      </c>
      <c r="P846">
        <v>0.8835001185784952</v>
      </c>
      <c r="Q846">
        <v>0.79577678466671298</v>
      </c>
      <c r="R846">
        <v>0.50937857983317514</v>
      </c>
      <c r="S846">
        <v>1.0955161205734809</v>
      </c>
      <c r="T846">
        <v>0.46741434556101247</v>
      </c>
      <c r="U846">
        <v>11.556715606812308</v>
      </c>
      <c r="V846">
        <v>0.75314683308251862</v>
      </c>
      <c r="W846">
        <v>-0.45625167036761338</v>
      </c>
      <c r="X846">
        <v>-0.48863590199999996</v>
      </c>
      <c r="Y846">
        <v>-0.26270149000000004</v>
      </c>
      <c r="Z846">
        <v>0.18115045999999996</v>
      </c>
    </row>
    <row r="847" spans="1:26">
      <c r="A847" s="54" t="str">
        <f>CONCATENATE(raw[[#This Row],[redis_ls]],raw[[#This Row],[wage_eq]],raw[[#This Row],[flex]],raw[[#This Row],[expo]],raw[[#This Row],[_date_]])</f>
        <v>011147119</v>
      </c>
      <c r="B847" s="1">
        <v>47119</v>
      </c>
      <c r="C847">
        <v>0</v>
      </c>
      <c r="D847">
        <v>1</v>
      </c>
      <c r="E847">
        <v>1</v>
      </c>
      <c r="F847">
        <v>1</v>
      </c>
      <c r="G847">
        <v>0.49828338762420987</v>
      </c>
      <c r="H847">
        <v>207.18543000000136</v>
      </c>
      <c r="I847">
        <v>-9.4081875468871363</v>
      </c>
      <c r="J847">
        <v>0.47074328784968422</v>
      </c>
      <c r="K847">
        <v>4.0811755222054602</v>
      </c>
      <c r="L847">
        <v>-1.8533979591166316</v>
      </c>
      <c r="M847">
        <v>-7.2651002376766805E-2</v>
      </c>
      <c r="N847">
        <v>0.45372226636932744</v>
      </c>
      <c r="O847">
        <v>-1.5183830000001231E-2</v>
      </c>
      <c r="P847">
        <v>0.93740561381150389</v>
      </c>
      <c r="Q847">
        <v>0.85841140552149753</v>
      </c>
      <c r="R847">
        <v>0.59235278479659037</v>
      </c>
      <c r="S847">
        <v>1.1385004104472962</v>
      </c>
      <c r="T847">
        <v>0.50931778794383042</v>
      </c>
      <c r="U847">
        <v>11.63081925395093</v>
      </c>
      <c r="V847">
        <v>0.87253580704094169</v>
      </c>
      <c r="W847">
        <v>-0.40510812033869303</v>
      </c>
      <c r="X847">
        <v>-0.47005901000000005</v>
      </c>
      <c r="Y847">
        <v>-0.25937436799999997</v>
      </c>
      <c r="Z847">
        <v>0.14508430000000003</v>
      </c>
    </row>
    <row r="848" spans="1:26">
      <c r="A848" s="54" t="str">
        <f>CONCATENATE(raw[[#This Row],[redis_ls]],raw[[#This Row],[wage_eq]],raw[[#This Row],[flex]],raw[[#This Row],[expo]],raw[[#This Row],[_date_]])</f>
        <v>011147484</v>
      </c>
      <c r="B848" s="1">
        <v>47484</v>
      </c>
      <c r="C848">
        <v>0</v>
      </c>
      <c r="D848">
        <v>1</v>
      </c>
      <c r="E848">
        <v>1</v>
      </c>
      <c r="F848">
        <v>1</v>
      </c>
      <c r="G848">
        <v>0.45094149385958016</v>
      </c>
      <c r="H848">
        <v>193.76149999999689</v>
      </c>
      <c r="I848">
        <v>-9.1903606442813253</v>
      </c>
      <c r="J848">
        <v>0.44168694098647432</v>
      </c>
      <c r="K848">
        <v>3.9968507109518603</v>
      </c>
      <c r="L848">
        <v>-1.8934526878470304</v>
      </c>
      <c r="M848">
        <v>-5.2349329809198153E-2</v>
      </c>
      <c r="N848">
        <v>0.42395221932913785</v>
      </c>
      <c r="O848">
        <v>-1.5822390000000408E-2</v>
      </c>
      <c r="P848">
        <v>1.0000317372955037</v>
      </c>
      <c r="Q848">
        <v>0.92986506692989135</v>
      </c>
      <c r="R848">
        <v>0.6852148907532829</v>
      </c>
      <c r="S848">
        <v>1.1895895612709984</v>
      </c>
      <c r="T848">
        <v>0.55784188273708679</v>
      </c>
      <c r="U848">
        <v>11.81402100078024</v>
      </c>
      <c r="V848">
        <v>0.99998406737815682</v>
      </c>
      <c r="W848">
        <v>-0.3569648973312356</v>
      </c>
      <c r="X848">
        <v>-0.43297141999999994</v>
      </c>
      <c r="Y848">
        <v>-0.26034063000000013</v>
      </c>
      <c r="Z848">
        <v>0.10140524000000033</v>
      </c>
    </row>
    <row r="849" spans="1:26">
      <c r="A849" s="54" t="str">
        <f>CONCATENATE(raw[[#This Row],[redis_ls]],raw[[#This Row],[wage_eq]],raw[[#This Row],[flex]],raw[[#This Row],[expo]],raw[[#This Row],[_date_]])</f>
        <v>011147849</v>
      </c>
      <c r="B849" s="1">
        <v>47849</v>
      </c>
      <c r="C849">
        <v>0</v>
      </c>
      <c r="D849">
        <v>1</v>
      </c>
      <c r="E849">
        <v>1</v>
      </c>
      <c r="F849">
        <v>1</v>
      </c>
      <c r="G849">
        <v>0.39122274410376967</v>
      </c>
      <c r="H849">
        <v>173.46399999999994</v>
      </c>
      <c r="I849">
        <v>-9.0103484507676583</v>
      </c>
      <c r="J849">
        <v>0.40415985917494623</v>
      </c>
      <c r="K849">
        <v>3.8976176100880222</v>
      </c>
      <c r="L849">
        <v>-1.956951883710456</v>
      </c>
      <c r="M849">
        <v>-4.0689846247377037E-2</v>
      </c>
      <c r="N849">
        <v>0.38709142420467746</v>
      </c>
      <c r="O849">
        <v>-1.5231429999999768E-2</v>
      </c>
      <c r="P849">
        <v>1.066436367338186</v>
      </c>
      <c r="Q849">
        <v>1.0046686664952453</v>
      </c>
      <c r="R849">
        <v>0.78145070171100617</v>
      </c>
      <c r="S849">
        <v>1.2442610137548549</v>
      </c>
      <c r="T849">
        <v>0.60863847963346096</v>
      </c>
      <c r="U849">
        <v>12.089349822682482</v>
      </c>
      <c r="V849">
        <v>1.1281809010309063</v>
      </c>
      <c r="W849">
        <v>-0.31258969837421047</v>
      </c>
      <c r="X849">
        <v>-0.38113485000000008</v>
      </c>
      <c r="Y849">
        <v>-0.265162599</v>
      </c>
      <c r="Z849">
        <v>5.303523999999997E-2</v>
      </c>
    </row>
    <row r="850" spans="1:26">
      <c r="A850" s="54" t="str">
        <f>CONCATENATE(raw[[#This Row],[redis_ls]],raw[[#This Row],[wage_eq]],raw[[#This Row],[flex]],raw[[#This Row],[expo]],raw[[#This Row],[_date_]])</f>
        <v>011148214</v>
      </c>
      <c r="B850" s="1">
        <v>48214</v>
      </c>
      <c r="C850">
        <v>0</v>
      </c>
      <c r="D850">
        <v>1</v>
      </c>
      <c r="E850">
        <v>1</v>
      </c>
      <c r="F850">
        <v>1</v>
      </c>
      <c r="G850">
        <v>0.32342001484431115</v>
      </c>
      <c r="H850">
        <v>147.9415599999993</v>
      </c>
      <c r="I850">
        <v>-8.8648356333436933</v>
      </c>
      <c r="J850">
        <v>0.36086086165962872</v>
      </c>
      <c r="K850">
        <v>3.788761807846508</v>
      </c>
      <c r="L850">
        <v>-2.0364238074366714</v>
      </c>
      <c r="M850">
        <v>-3.6753950946910585E-2</v>
      </c>
      <c r="N850">
        <v>0.34555501596451599</v>
      </c>
      <c r="O850">
        <v>-1.3662949999999896E-2</v>
      </c>
      <c r="P850">
        <v>1.1319272340337472</v>
      </c>
      <c r="Q850">
        <v>1.0776388782905544</v>
      </c>
      <c r="R850">
        <v>0.87492356123002324</v>
      </c>
      <c r="S850">
        <v>1.2981911099819721</v>
      </c>
      <c r="T850">
        <v>0.65762427493887277</v>
      </c>
      <c r="U850">
        <v>12.436735756165419</v>
      </c>
      <c r="V850">
        <v>1.2503941593900558</v>
      </c>
      <c r="W850">
        <v>-0.27249777746330972</v>
      </c>
      <c r="X850">
        <v>-0.3185866799999999</v>
      </c>
      <c r="Y850">
        <v>-0.27322389099999989</v>
      </c>
      <c r="Z850">
        <v>2.834640000000041E-3</v>
      </c>
    </row>
    <row r="851" spans="1:26">
      <c r="A851" s="54" t="str">
        <f>CONCATENATE(raw[[#This Row],[redis_ls]],raw[[#This Row],[wage_eq]],raw[[#This Row],[flex]],raw[[#This Row],[expo]],raw[[#This Row],[_date_]])</f>
        <v>011148580</v>
      </c>
      <c r="B851" s="1">
        <v>48580</v>
      </c>
      <c r="C851">
        <v>0</v>
      </c>
      <c r="D851">
        <v>1</v>
      </c>
      <c r="E851">
        <v>1</v>
      </c>
      <c r="F851">
        <v>1</v>
      </c>
      <c r="G851">
        <v>0.2517324946497812</v>
      </c>
      <c r="H851">
        <v>118.89199999999983</v>
      </c>
      <c r="I851">
        <v>-8.749239401637265</v>
      </c>
      <c r="J851">
        <v>0.31440123199801828</v>
      </c>
      <c r="K851">
        <v>3.6751900461446052</v>
      </c>
      <c r="L851">
        <v>-2.1242444872301536</v>
      </c>
      <c r="M851">
        <v>-3.9477574269319859E-2</v>
      </c>
      <c r="N851">
        <v>0.30162218239748739</v>
      </c>
      <c r="O851">
        <v>-1.1411889999998759E-2</v>
      </c>
      <c r="P851">
        <v>1.192274338680166</v>
      </c>
      <c r="Q851">
        <v>1.1441319697621299</v>
      </c>
      <c r="R851">
        <v>0.96016980798403484</v>
      </c>
      <c r="S851">
        <v>1.3474648941183442</v>
      </c>
      <c r="T851">
        <v>0.70115554692624649</v>
      </c>
      <c r="U851">
        <v>12.834201511470145</v>
      </c>
      <c r="V851">
        <v>1.3607341306933085</v>
      </c>
      <c r="W851">
        <v>-0.23699399999614901</v>
      </c>
      <c r="X851">
        <v>-0.24940529999999994</v>
      </c>
      <c r="Y851">
        <v>-0.28374807600000002</v>
      </c>
      <c r="Z851">
        <v>-4.6619579999999938E-2</v>
      </c>
    </row>
    <row r="852" spans="1:26">
      <c r="A852" s="54" t="str">
        <f>CONCATENATE(raw[[#This Row],[redis_ls]],raw[[#This Row],[wage_eq]],raw[[#This Row],[flex]],raw[[#This Row],[expo]],raw[[#This Row],[_date_]])</f>
        <v>011148945</v>
      </c>
      <c r="B852" s="1">
        <v>48945</v>
      </c>
      <c r="C852">
        <v>0</v>
      </c>
      <c r="D852">
        <v>1</v>
      </c>
      <c r="E852">
        <v>1</v>
      </c>
      <c r="F852">
        <v>1</v>
      </c>
      <c r="G852">
        <v>0.18004746312065834</v>
      </c>
      <c r="H852">
        <v>87.986399999997957</v>
      </c>
      <c r="I852">
        <v>-8.6581001773673893</v>
      </c>
      <c r="J852">
        <v>0.26712564136659456</v>
      </c>
      <c r="K852">
        <v>3.5612052280698636</v>
      </c>
      <c r="L852">
        <v>-2.2130630833769649</v>
      </c>
      <c r="M852">
        <v>-4.7748607825037759E-2</v>
      </c>
      <c r="N852">
        <v>0.25730778635464358</v>
      </c>
      <c r="O852">
        <v>-8.7712800000000479E-3</v>
      </c>
      <c r="P852">
        <v>1.2438788783230237</v>
      </c>
      <c r="Q852">
        <v>1.2002457515529974</v>
      </c>
      <c r="R852">
        <v>1.0326296956118863</v>
      </c>
      <c r="S852">
        <v>1.3887461219288966</v>
      </c>
      <c r="T852">
        <v>0.73617172049458279</v>
      </c>
      <c r="U852">
        <v>13.259055880701464</v>
      </c>
      <c r="V852">
        <v>1.4543594141864791</v>
      </c>
      <c r="W852">
        <v>-0.20621033319815352</v>
      </c>
      <c r="X852">
        <v>-0.1775193599999999</v>
      </c>
      <c r="Y852">
        <v>-0.29583325699999996</v>
      </c>
      <c r="Z852">
        <v>-9.3176429999999866E-2</v>
      </c>
    </row>
    <row r="853" spans="1:26">
      <c r="A853" s="54" t="str">
        <f>CONCATENATE(raw[[#This Row],[redis_ls]],raw[[#This Row],[wage_eq]],raw[[#This Row],[flex]],raw[[#This Row],[expo]],raw[[#This Row],[_date_]])</f>
        <v>011149310</v>
      </c>
      <c r="B853" s="1">
        <v>49310</v>
      </c>
      <c r="C853">
        <v>0</v>
      </c>
      <c r="D853">
        <v>1</v>
      </c>
      <c r="E853">
        <v>1</v>
      </c>
      <c r="F853">
        <v>1</v>
      </c>
      <c r="G853">
        <v>0.1117845691477326</v>
      </c>
      <c r="H853">
        <v>56.808710000001156</v>
      </c>
      <c r="I853">
        <v>-8.58545455090659</v>
      </c>
      <c r="J853">
        <v>0.22101505122085197</v>
      </c>
      <c r="K853">
        <v>3.450368364626355</v>
      </c>
      <c r="L853">
        <v>-2.2961632872380067</v>
      </c>
      <c r="M853">
        <v>-6.0461615661422385E-2</v>
      </c>
      <c r="N853">
        <v>0.21430460866018741</v>
      </c>
      <c r="O853">
        <v>-5.99779000000078E-3</v>
      </c>
      <c r="P853">
        <v>1.283896146995156</v>
      </c>
      <c r="Q853">
        <v>1.2429607939850484</v>
      </c>
      <c r="R853">
        <v>1.0888073514897956</v>
      </c>
      <c r="S853">
        <v>1.4194014546006217</v>
      </c>
      <c r="T853">
        <v>0.76030327703204836</v>
      </c>
      <c r="U853">
        <v>13.689048348050425</v>
      </c>
      <c r="V853">
        <v>1.5276205668041554</v>
      </c>
      <c r="W853">
        <v>-0.18013414995895483</v>
      </c>
      <c r="X853">
        <v>-0.106558</v>
      </c>
      <c r="Y853">
        <v>-0.30850218000000007</v>
      </c>
      <c r="Z853">
        <v>-0.13517502000000015</v>
      </c>
    </row>
    <row r="854" spans="1:26">
      <c r="A854" s="54" t="str">
        <f>CONCATENATE(raw[[#This Row],[redis_ls]],raw[[#This Row],[wage_eq]],raw[[#This Row],[flex]],raw[[#This Row],[expo]],raw[[#This Row],[_date_]])</f>
        <v>011149675</v>
      </c>
      <c r="B854" s="1">
        <v>49675</v>
      </c>
      <c r="C854">
        <v>0</v>
      </c>
      <c r="D854">
        <v>1</v>
      </c>
      <c r="E854">
        <v>1</v>
      </c>
      <c r="F854">
        <v>1</v>
      </c>
      <c r="G854">
        <v>4.9797086182890027E-2</v>
      </c>
      <c r="H854">
        <v>26.80710999999792</v>
      </c>
      <c r="I854">
        <v>-8.5251777135906934</v>
      </c>
      <c r="J854">
        <v>0.17765962430766891</v>
      </c>
      <c r="K854">
        <v>3.3454378538847251</v>
      </c>
      <c r="L854">
        <v>-2.3677484312985886</v>
      </c>
      <c r="M854">
        <v>-7.6539456538182726E-2</v>
      </c>
      <c r="N854">
        <v>0.17397868077519973</v>
      </c>
      <c r="O854">
        <v>-3.2915399999999817E-3</v>
      </c>
      <c r="P854">
        <v>1.3103116892348554</v>
      </c>
      <c r="Q854">
        <v>1.2702208336178522</v>
      </c>
      <c r="R854">
        <v>1.1263577924480517</v>
      </c>
      <c r="S854">
        <v>1.4375771099368828</v>
      </c>
      <c r="T854">
        <v>0.77193997714879448</v>
      </c>
      <c r="U854">
        <v>14.103439029964093</v>
      </c>
      <c r="V854">
        <v>1.5781416916507141</v>
      </c>
      <c r="W854">
        <v>-0.1586256196001834</v>
      </c>
      <c r="X854">
        <v>-3.9736727999999978E-2</v>
      </c>
      <c r="Y854">
        <v>-0.32076384000000008</v>
      </c>
      <c r="Z854">
        <v>-0.17144482999999974</v>
      </c>
    </row>
    <row r="855" spans="1:26">
      <c r="A855" s="54" t="str">
        <f>CONCATENATE(raw[[#This Row],[redis_ls]],raw[[#This Row],[wage_eq]],raw[[#This Row],[flex]],raw[[#This Row],[expo]],raw[[#This Row],[_date_]])</f>
        <v>011150041</v>
      </c>
      <c r="B855" s="1">
        <v>50041</v>
      </c>
      <c r="C855">
        <v>0</v>
      </c>
      <c r="D855">
        <v>1</v>
      </c>
      <c r="E855">
        <v>1</v>
      </c>
      <c r="F855">
        <v>1</v>
      </c>
      <c r="G855">
        <v>-3.6809913470658984E-3</v>
      </c>
      <c r="H855">
        <v>-0.74606000000130734</v>
      </c>
      <c r="I855">
        <v>-8.4712872918174416</v>
      </c>
      <c r="J855">
        <v>0.13827956081700066</v>
      </c>
      <c r="K855">
        <v>3.248369930136108</v>
      </c>
      <c r="L855">
        <v>-2.4231473801759718</v>
      </c>
      <c r="M855">
        <v>-9.4935749616442688E-2</v>
      </c>
      <c r="N855">
        <v>0.1373958715806145</v>
      </c>
      <c r="O855">
        <v>-7.9055000000022302E-4</v>
      </c>
      <c r="P855">
        <v>1.3219715246154395</v>
      </c>
      <c r="Q855">
        <v>1.2809528502017109</v>
      </c>
      <c r="R855">
        <v>1.1441034136898676</v>
      </c>
      <c r="S855">
        <v>1.4422278238350961</v>
      </c>
      <c r="T855">
        <v>0.77025825607677234</v>
      </c>
      <c r="U855">
        <v>14.483936976422251</v>
      </c>
      <c r="V855">
        <v>1.6048373867553423</v>
      </c>
      <c r="W855">
        <v>-0.14142688491285416</v>
      </c>
      <c r="X855">
        <v>2.022844899999994E-2</v>
      </c>
      <c r="Y855">
        <v>-0.33168008000000004</v>
      </c>
      <c r="Z855">
        <v>-0.2012634900000001</v>
      </c>
    </row>
    <row r="856" spans="1:26">
      <c r="A856" s="54" t="str">
        <f>CONCATENATE(raw[[#This Row],[redis_ls]],raw[[#This Row],[wage_eq]],raw[[#This Row],[flex]],raw[[#This Row],[expo]],raw[[#This Row],[_date_]])</f>
        <v>011150406</v>
      </c>
      <c r="B856" s="1">
        <v>50406</v>
      </c>
      <c r="C856">
        <v>0</v>
      </c>
      <c r="D856">
        <v>1</v>
      </c>
      <c r="E856">
        <v>1</v>
      </c>
      <c r="F856">
        <v>1</v>
      </c>
      <c r="G856">
        <v>-4.7053876682345841E-2</v>
      </c>
      <c r="H856">
        <v>-24.788209999998799</v>
      </c>
      <c r="I856">
        <v>-8.4182073444311492</v>
      </c>
      <c r="J856">
        <v>0.10376876250388634</v>
      </c>
      <c r="K856">
        <v>3.1603611023810041</v>
      </c>
      <c r="L856">
        <v>-2.4589404814695626</v>
      </c>
      <c r="M856">
        <v>-0.11463345872323449</v>
      </c>
      <c r="N856">
        <v>0.10535880044728607</v>
      </c>
      <c r="O856">
        <v>1.4230099999998358E-3</v>
      </c>
      <c r="P856">
        <v>1.3185675568071042</v>
      </c>
      <c r="Q856">
        <v>1.2750324522543544</v>
      </c>
      <c r="R856">
        <v>1.1419865730650125</v>
      </c>
      <c r="S856">
        <v>1.4331007546826813</v>
      </c>
      <c r="T856">
        <v>0.75520576752012847</v>
      </c>
      <c r="U856">
        <v>14.815461336787571</v>
      </c>
      <c r="V856">
        <v>1.6078700693625603</v>
      </c>
      <c r="W856">
        <v>-0.12816654739707944</v>
      </c>
      <c r="X856">
        <v>7.1183532000000049E-2</v>
      </c>
      <c r="Y856">
        <v>-0.34042929999999993</v>
      </c>
      <c r="Z856">
        <v>-0.22429388000000036</v>
      </c>
    </row>
    <row r="857" spans="1:26">
      <c r="A857" s="54" t="str">
        <f>CONCATENATE(raw[[#This Row],[redis_ls]],raw[[#This Row],[wage_eq]],raw[[#This Row],[flex]],raw[[#This Row],[expo]],raw[[#This Row],[_date_]])</f>
        <v>011150771</v>
      </c>
      <c r="B857" s="1">
        <v>50771</v>
      </c>
      <c r="C857">
        <v>0</v>
      </c>
      <c r="D857">
        <v>1</v>
      </c>
      <c r="E857">
        <v>1</v>
      </c>
      <c r="F857">
        <v>1</v>
      </c>
      <c r="G857">
        <v>-7.935783449356526E-2</v>
      </c>
      <c r="H857">
        <v>-44.495230000000447</v>
      </c>
      <c r="I857">
        <v>-8.3609887884978917</v>
      </c>
      <c r="J857">
        <v>7.4741968364722133E-2</v>
      </c>
      <c r="K857">
        <v>3.081916074879465</v>
      </c>
      <c r="L857">
        <v>-2.4730116517412526</v>
      </c>
      <c r="M857">
        <v>-0.13465075721756925</v>
      </c>
      <c r="N857">
        <v>7.8438363707578063E-2</v>
      </c>
      <c r="O857">
        <v>3.3092799999995259E-3</v>
      </c>
      <c r="P857">
        <v>1.3005828771647465</v>
      </c>
      <c r="Q857">
        <v>1.2532017494210956</v>
      </c>
      <c r="R857">
        <v>1.1209674089711852</v>
      </c>
      <c r="S857">
        <v>1.4106794365197128</v>
      </c>
      <c r="T857">
        <v>0.72744633084214083</v>
      </c>
      <c r="U857">
        <v>15.086687883540971</v>
      </c>
      <c r="V857">
        <v>1.5885468785133083</v>
      </c>
      <c r="W857">
        <v>-0.11836728002343477</v>
      </c>
      <c r="X857">
        <v>0.11157953800000002</v>
      </c>
      <c r="Y857">
        <v>-0.34635957999999983</v>
      </c>
      <c r="Z857">
        <v>-0.24051802000000025</v>
      </c>
    </row>
    <row r="858" spans="1:26">
      <c r="A858" s="54" t="str">
        <f>CONCATENATE(raw[[#This Row],[redis_ls]],raw[[#This Row],[wage_eq]],raw[[#This Row],[flex]],raw[[#This Row],[expo]],raw[[#This Row],[_date_]])</f>
        <v>011151136</v>
      </c>
      <c r="B858" s="1">
        <v>51136</v>
      </c>
      <c r="C858">
        <v>0</v>
      </c>
      <c r="D858">
        <v>1</v>
      </c>
      <c r="E858">
        <v>1</v>
      </c>
      <c r="F858">
        <v>1</v>
      </c>
      <c r="G858">
        <v>-0.10023737310256298</v>
      </c>
      <c r="H858">
        <v>-59.303949999997712</v>
      </c>
      <c r="I858">
        <v>-8.2954857322079416</v>
      </c>
      <c r="J858">
        <v>5.1571121391025265E-2</v>
      </c>
      <c r="K858">
        <v>3.0129286133029121</v>
      </c>
      <c r="L858">
        <v>-2.4645312952311982</v>
      </c>
      <c r="M858">
        <v>-0.15405888183745997</v>
      </c>
      <c r="N858">
        <v>5.6992286200885367E-2</v>
      </c>
      <c r="O858">
        <v>4.8549499999994694E-3</v>
      </c>
      <c r="P858">
        <v>1.269200970064821</v>
      </c>
      <c r="Q858">
        <v>1.2169494209484988</v>
      </c>
      <c r="R858">
        <v>1.0828781054754044</v>
      </c>
      <c r="S858">
        <v>1.376092960535269</v>
      </c>
      <c r="T858">
        <v>0.68826854596941711</v>
      </c>
      <c r="U858">
        <v>15.290354468682366</v>
      </c>
      <c r="V858">
        <v>1.5491664498306967</v>
      </c>
      <c r="W858">
        <v>-0.11145771575531427</v>
      </c>
      <c r="X858">
        <v>0.1404959818</v>
      </c>
      <c r="Y858">
        <v>-0.34902540999999998</v>
      </c>
      <c r="Z858">
        <v>-0.2501785799999996</v>
      </c>
    </row>
    <row r="859" spans="1:26">
      <c r="A859" s="54" t="str">
        <f>CONCATENATE(raw[[#This Row],[redis_ls]],raw[[#This Row],[wage_eq]],raw[[#This Row],[flex]],raw[[#This Row],[expo]],raw[[#This Row],[_date_]])</f>
        <v>011151502</v>
      </c>
      <c r="B859" s="1">
        <v>51502</v>
      </c>
      <c r="C859">
        <v>0</v>
      </c>
      <c r="D859">
        <v>1</v>
      </c>
      <c r="E859">
        <v>1</v>
      </c>
      <c r="F859">
        <v>1</v>
      </c>
      <c r="G859">
        <v>-0.10990540993267572</v>
      </c>
      <c r="H859">
        <v>-68.926439999999275</v>
      </c>
      <c r="I859">
        <v>-8.2184846968230367</v>
      </c>
      <c r="J859">
        <v>3.4406342212522922E-2</v>
      </c>
      <c r="K859">
        <v>2.9527684973246648</v>
      </c>
      <c r="L859">
        <v>-2.4338796717383482</v>
      </c>
      <c r="M859">
        <v>-0.17201321378778056</v>
      </c>
      <c r="N859">
        <v>4.1170761215547635E-2</v>
      </c>
      <c r="O859">
        <v>6.059399999999715E-3</v>
      </c>
      <c r="P859">
        <v>1.2261860099177069</v>
      </c>
      <c r="Q859">
        <v>1.1683632831962498</v>
      </c>
      <c r="R859">
        <v>1.0302457589971059</v>
      </c>
      <c r="S859">
        <v>1.3309990412978756</v>
      </c>
      <c r="T859">
        <v>0.63946534609817807</v>
      </c>
      <c r="U859">
        <v>15.423317904970135</v>
      </c>
      <c r="V859">
        <v>1.4928220643234846</v>
      </c>
      <c r="W859">
        <v>-0.10679490608602737</v>
      </c>
      <c r="X859">
        <v>0.15764283400000001</v>
      </c>
      <c r="Y859">
        <v>-0.34820477000000011</v>
      </c>
      <c r="Z859">
        <v>-0.25373178999999957</v>
      </c>
    </row>
    <row r="860" spans="1:26">
      <c r="A860" s="54" t="str">
        <f>CONCATENATE(raw[[#This Row],[redis_ls]],raw[[#This Row],[wage_eq]],raw[[#This Row],[flex]],raw[[#This Row],[expo]],raw[[#This Row],[_date_]])</f>
        <v>011151867</v>
      </c>
      <c r="B860" s="1">
        <v>51867</v>
      </c>
      <c r="C860">
        <v>0</v>
      </c>
      <c r="D860">
        <v>1</v>
      </c>
      <c r="E860">
        <v>1</v>
      </c>
      <c r="F860">
        <v>1</v>
      </c>
      <c r="G860">
        <v>-0.10908864049008482</v>
      </c>
      <c r="H860">
        <v>-73.353150000002643</v>
      </c>
      <c r="I860">
        <v>-8.1277819389487647</v>
      </c>
      <c r="J860">
        <v>2.318435376233996E-2</v>
      </c>
      <c r="K860">
        <v>2.9003717948555385</v>
      </c>
      <c r="L860">
        <v>-2.3825189944182812</v>
      </c>
      <c r="M860">
        <v>-0.18779182994134169</v>
      </c>
      <c r="N860">
        <v>3.0914033927009754E-2</v>
      </c>
      <c r="O860">
        <v>6.9254400000010041E-3</v>
      </c>
      <c r="P860">
        <v>1.1737418299511582</v>
      </c>
      <c r="Q860">
        <v>1.1099656311410522</v>
      </c>
      <c r="R860">
        <v>0.96609671552587706</v>
      </c>
      <c r="S860">
        <v>1.27744944275896</v>
      </c>
      <c r="T860">
        <v>0.58319342674797436</v>
      </c>
      <c r="U860">
        <v>15.486370950869999</v>
      </c>
      <c r="V860">
        <v>1.4231753456592777</v>
      </c>
      <c r="W860">
        <v>-0.1036946975855435</v>
      </c>
      <c r="X860">
        <v>0.16333770400000003</v>
      </c>
      <c r="Y860">
        <v>-0.34389605999999989</v>
      </c>
      <c r="Z860">
        <v>-0.2518103100000002</v>
      </c>
    </row>
    <row r="861" spans="1:26">
      <c r="A861" s="54" t="str">
        <f>CONCATENATE(raw[[#This Row],[redis_ls]],raw[[#This Row],[wage_eq]],raw[[#This Row],[flex]],raw[[#This Row],[expo]],raw[[#This Row],[_date_]])</f>
        <v>011152232</v>
      </c>
      <c r="B861" s="1">
        <v>52232</v>
      </c>
      <c r="C861">
        <v>0</v>
      </c>
      <c r="D861">
        <v>1</v>
      </c>
      <c r="E861">
        <v>1</v>
      </c>
      <c r="F861">
        <v>1</v>
      </c>
      <c r="G861">
        <v>-9.8957161846469077E-2</v>
      </c>
      <c r="H861">
        <v>-72.842420000000857</v>
      </c>
      <c r="I861">
        <v>-8.0222086644024078</v>
      </c>
      <c r="J861">
        <v>1.7630129672618899E-2</v>
      </c>
      <c r="K861">
        <v>2.8543343443277136</v>
      </c>
      <c r="L861">
        <v>-2.3128250029954556</v>
      </c>
      <c r="M861">
        <v>-0.2008345713802151</v>
      </c>
      <c r="N861">
        <v>2.5950187547651993E-2</v>
      </c>
      <c r="O861">
        <v>7.455380000000178E-3</v>
      </c>
      <c r="P861">
        <v>1.1143588852217556</v>
      </c>
      <c r="Q861">
        <v>1.0445418851960486</v>
      </c>
      <c r="R861">
        <v>0.89375409236069903</v>
      </c>
      <c r="S861">
        <v>1.2177464248332326</v>
      </c>
      <c r="T861">
        <v>0.52182312167121658</v>
      </c>
      <c r="U861">
        <v>15.483846961863312</v>
      </c>
      <c r="V861">
        <v>1.3442147783540026</v>
      </c>
      <c r="W861">
        <v>-0.10146970288714696</v>
      </c>
      <c r="X861">
        <v>0.158455598</v>
      </c>
      <c r="Y861">
        <v>-0.33629743000000017</v>
      </c>
      <c r="Z861">
        <v>-0.24519191999999995</v>
      </c>
    </row>
    <row r="862" spans="1:26">
      <c r="A862" s="54" t="str">
        <f>CONCATENATE(raw[[#This Row],[redis_ls]],raw[[#This Row],[wage_eq]],raw[[#This Row],[flex]],raw[[#This Row],[expo]],raw[[#This Row],[_date_]])</f>
        <v>011152597</v>
      </c>
      <c r="B862" s="1">
        <v>52597</v>
      </c>
      <c r="C862">
        <v>0</v>
      </c>
      <c r="D862">
        <v>1</v>
      </c>
      <c r="E862">
        <v>1</v>
      </c>
      <c r="F862">
        <v>1</v>
      </c>
      <c r="G862">
        <v>-8.1038898930463343E-2</v>
      </c>
      <c r="H862">
        <v>-67.895000000004075</v>
      </c>
      <c r="I862">
        <v>-7.9016022342171084</v>
      </c>
      <c r="J862">
        <v>1.7261506731669485E-2</v>
      </c>
      <c r="K862">
        <v>2.8130093444268534</v>
      </c>
      <c r="L862">
        <v>-2.2278884144139033</v>
      </c>
      <c r="M862">
        <v>-0.21077419703977585</v>
      </c>
      <c r="N862">
        <v>2.5800241141582525E-2</v>
      </c>
      <c r="O862">
        <v>7.6519100000005391E-3</v>
      </c>
      <c r="P862">
        <v>1.0506584527723239</v>
      </c>
      <c r="Q862">
        <v>0.97497327374489462</v>
      </c>
      <c r="R862">
        <v>0.81663986184763449</v>
      </c>
      <c r="S862">
        <v>1.1542990505414963</v>
      </c>
      <c r="T862">
        <v>0.45778865918135736</v>
      </c>
      <c r="U862">
        <v>15.423054292822957</v>
      </c>
      <c r="V862">
        <v>1.2600137668760114</v>
      </c>
      <c r="W862">
        <v>-9.9469845497535125E-2</v>
      </c>
      <c r="X862">
        <v>0.14435084199999998</v>
      </c>
      <c r="Y862">
        <v>-0.32577274000000001</v>
      </c>
      <c r="Z862">
        <v>-0.23476875000000008</v>
      </c>
    </row>
    <row r="863" spans="1:26">
      <c r="A863" s="54" t="str">
        <f>CONCATENATE(raw[[#This Row],[redis_ls]],raw[[#This Row],[wage_eq]],raw[[#This Row],[flex]],raw[[#This Row],[expo]],raw[[#This Row],[_date_]])</f>
        <v>011152963</v>
      </c>
      <c r="B863" s="1">
        <v>52963</v>
      </c>
      <c r="C863">
        <v>0</v>
      </c>
      <c r="D863">
        <v>1</v>
      </c>
      <c r="E863">
        <v>1</v>
      </c>
      <c r="F863">
        <v>1</v>
      </c>
      <c r="G863">
        <v>-5.7120779239427932E-2</v>
      </c>
      <c r="H863">
        <v>-59.213819999997213</v>
      </c>
      <c r="I863">
        <v>-7.7667278893720386</v>
      </c>
      <c r="J863">
        <v>2.14033999740737E-2</v>
      </c>
      <c r="K863">
        <v>2.7746086990519725</v>
      </c>
      <c r="L863">
        <v>-2.1312979923030828</v>
      </c>
      <c r="M863">
        <v>-0.21745449748736823</v>
      </c>
      <c r="N863">
        <v>2.9796983817176326E-2</v>
      </c>
      <c r="O863">
        <v>7.5219699999989897E-3</v>
      </c>
      <c r="P863">
        <v>0.98524275755778046</v>
      </c>
      <c r="Q863">
        <v>0.90408031928153054</v>
      </c>
      <c r="R863">
        <v>0.73809198052114944</v>
      </c>
      <c r="S863">
        <v>1.0894882819441065</v>
      </c>
      <c r="T863">
        <v>0.39344895769155563</v>
      </c>
      <c r="U863">
        <v>15.313592295931411</v>
      </c>
      <c r="V863">
        <v>1.1745050616376318</v>
      </c>
      <c r="W863">
        <v>-9.7122354324774562E-2</v>
      </c>
      <c r="X863">
        <v>0.12275387599999998</v>
      </c>
      <c r="Y863">
        <v>-0.31280934000000005</v>
      </c>
      <c r="Z863">
        <v>-0.22151316000000032</v>
      </c>
    </row>
    <row r="864" spans="1:26">
      <c r="A864" s="54" t="str">
        <f>CONCATENATE(raw[[#This Row],[redis_ls]],raw[[#This Row],[wage_eq]],raw[[#This Row],[flex]],raw[[#This Row],[expo]],raw[[#This Row],[_date_]])</f>
        <v>011153328</v>
      </c>
      <c r="B864" s="1">
        <v>53328</v>
      </c>
      <c r="C864">
        <v>0</v>
      </c>
      <c r="D864">
        <v>1</v>
      </c>
      <c r="E864">
        <v>1</v>
      </c>
      <c r="F864">
        <v>1</v>
      </c>
      <c r="G864">
        <v>-2.9140452330844724E-2</v>
      </c>
      <c r="H864">
        <v>-47.651530000002822</v>
      </c>
      <c r="I864">
        <v>-7.6191558556682804</v>
      </c>
      <c r="J864">
        <v>2.9216106853446888E-2</v>
      </c>
      <c r="K864">
        <v>2.737306615310553</v>
      </c>
      <c r="L864">
        <v>-2.0269167225380968</v>
      </c>
      <c r="M864">
        <v>-0.22093051103252437</v>
      </c>
      <c r="N864">
        <v>3.7118704570282546E-2</v>
      </c>
      <c r="O864">
        <v>7.0817799999997599E-3</v>
      </c>
      <c r="P864">
        <v>0.92056026433651184</v>
      </c>
      <c r="Q864">
        <v>0.8344851256941066</v>
      </c>
      <c r="R864">
        <v>0.66120272546077441</v>
      </c>
      <c r="S864">
        <v>1.0255458487377744</v>
      </c>
      <c r="T864">
        <v>0.33096682798730015</v>
      </c>
      <c r="U864">
        <v>15.166604127337813</v>
      </c>
      <c r="V864">
        <v>1.0912830703963872</v>
      </c>
      <c r="W864">
        <v>-9.3962929283508689E-2</v>
      </c>
      <c r="X864">
        <v>9.5649128999999999E-2</v>
      </c>
      <c r="Y864">
        <v>-0.29797301999999992</v>
      </c>
      <c r="Z864">
        <v>-0.20643805999999987</v>
      </c>
    </row>
    <row r="865" spans="1:26">
      <c r="A865" s="54" t="str">
        <f>CONCATENATE(raw[[#This Row],[redis_ls]],raw[[#This Row],[wage_eq]],raw[[#This Row],[flex]],raw[[#This Row],[expo]],raw[[#This Row],[_date_]])</f>
        <v>011153693</v>
      </c>
      <c r="B865" s="1">
        <v>53693</v>
      </c>
      <c r="C865">
        <v>0</v>
      </c>
      <c r="D865">
        <v>1</v>
      </c>
      <c r="E865">
        <v>1</v>
      </c>
      <c r="F865">
        <v>1</v>
      </c>
      <c r="G865">
        <v>9.2551605606061571E-4</v>
      </c>
      <c r="H865">
        <v>-34.14998000000196</v>
      </c>
      <c r="I865">
        <v>-7.4611037922276076</v>
      </c>
      <c r="J865">
        <v>3.9739134094518569E-2</v>
      </c>
      <c r="K865">
        <v>2.6993415719322567</v>
      </c>
      <c r="L865">
        <v>-1.9186624505020511</v>
      </c>
      <c r="M865">
        <v>-0.22145129652544338</v>
      </c>
      <c r="N865">
        <v>4.6837801858279349E-2</v>
      </c>
      <c r="O865">
        <v>6.3609000000006133E-3</v>
      </c>
      <c r="P865">
        <v>0.85879113824505193</v>
      </c>
      <c r="Q865">
        <v>0.76849812469645951</v>
      </c>
      <c r="R865">
        <v>0.58868602517998525</v>
      </c>
      <c r="S865">
        <v>0.96445367023962891</v>
      </c>
      <c r="T865">
        <v>0.27221197025197874</v>
      </c>
      <c r="U865">
        <v>14.994020719548562</v>
      </c>
      <c r="V865">
        <v>1.0134449278012214</v>
      </c>
      <c r="W865">
        <v>-8.9658132111891664E-2</v>
      </c>
      <c r="X865">
        <v>6.514281999999999E-2</v>
      </c>
      <c r="Y865">
        <v>-0.28186462000000001</v>
      </c>
      <c r="Z865">
        <v>-0.19055219999999998</v>
      </c>
    </row>
    <row r="866" spans="1:26">
      <c r="A866" s="54" t="str">
        <f>CONCATENATE(raw[[#This Row],[redis_ls]],raw[[#This Row],[wage_eq]],raw[[#This Row],[flex]],raw[[#This Row],[expo]],raw[[#This Row],[_date_]])</f>
        <v>011154058</v>
      </c>
      <c r="B866" s="1">
        <v>54058</v>
      </c>
      <c r="C866">
        <v>0</v>
      </c>
      <c r="D866">
        <v>1</v>
      </c>
      <c r="E866">
        <v>1</v>
      </c>
      <c r="F866">
        <v>1</v>
      </c>
      <c r="G866">
        <v>3.1170193514107325E-2</v>
      </c>
      <c r="H866">
        <v>-19.676890000002459</v>
      </c>
      <c r="I866">
        <v>-7.2952553500453483</v>
      </c>
      <c r="J866">
        <v>5.1946972239802491E-2</v>
      </c>
      <c r="K866">
        <v>2.6591117481512327</v>
      </c>
      <c r="L866">
        <v>-1.8103034598402457</v>
      </c>
      <c r="M866">
        <v>-0.21942640829504256</v>
      </c>
      <c r="N866">
        <v>5.7978567224914457E-2</v>
      </c>
      <c r="O866">
        <v>5.4041899999995868E-3</v>
      </c>
      <c r="P866">
        <v>0.80175933167261348</v>
      </c>
      <c r="Q866">
        <v>0.70803129028085277</v>
      </c>
      <c r="R866">
        <v>0.52277713527999481</v>
      </c>
      <c r="S866">
        <v>0.90786644940104022</v>
      </c>
      <c r="T866">
        <v>0.21869158622027651</v>
      </c>
      <c r="U866">
        <v>14.807843330295501</v>
      </c>
      <c r="V866">
        <v>0.94347619401866645</v>
      </c>
      <c r="W866">
        <v>-8.4015407704918221E-2</v>
      </c>
      <c r="X866">
        <v>3.3331006000000052E-2</v>
      </c>
      <c r="Y866">
        <v>-0.26508153000000012</v>
      </c>
      <c r="Z866">
        <v>-0.17481239000000023</v>
      </c>
    </row>
    <row r="867" spans="1:26">
      <c r="A867" s="54" t="str">
        <f>CONCATENATE(raw[[#This Row],[redis_ls]],raw[[#This Row],[wage_eq]],raw[[#This Row],[flex]],raw[[#This Row],[expo]],raw[[#This Row],[_date_]])</f>
        <v>011154424</v>
      </c>
      <c r="B867" s="1">
        <v>54424</v>
      </c>
      <c r="C867">
        <v>0</v>
      </c>
      <c r="D867">
        <v>1</v>
      </c>
      <c r="E867">
        <v>1</v>
      </c>
      <c r="F867">
        <v>1</v>
      </c>
      <c r="G867">
        <v>5.9854968418315835E-2</v>
      </c>
      <c r="H867">
        <v>-5.165130000001227</v>
      </c>
      <c r="I867">
        <v>-7.1245682572898321</v>
      </c>
      <c r="J867">
        <v>6.4812211802300901E-2</v>
      </c>
      <c r="K867">
        <v>2.6152579435526402</v>
      </c>
      <c r="L867">
        <v>-1.7052793580958903</v>
      </c>
      <c r="M867">
        <v>-0.2153819027626902</v>
      </c>
      <c r="N867">
        <v>6.9579757410287435E-2</v>
      </c>
      <c r="O867">
        <v>4.2710899999992558E-3</v>
      </c>
      <c r="P867">
        <v>0.75087206145472152</v>
      </c>
      <c r="Q867">
        <v>0.65454031118457046</v>
      </c>
      <c r="R867">
        <v>0.46516635026989661</v>
      </c>
      <c r="S867">
        <v>0.85705890051288591</v>
      </c>
      <c r="T867">
        <v>0.17150902468228146</v>
      </c>
      <c r="U867">
        <v>14.619503178137293</v>
      </c>
      <c r="V867">
        <v>0.8831831339468188</v>
      </c>
      <c r="W867">
        <v>-7.6980286034777912E-2</v>
      </c>
      <c r="X867">
        <v>2.1780800000000163E-3</v>
      </c>
      <c r="Y867">
        <v>-0.24818610999999996</v>
      </c>
      <c r="Z867">
        <v>-0.16007681000000037</v>
      </c>
    </row>
    <row r="868" spans="1:26">
      <c r="A868" s="54" t="str">
        <f>CONCATENATE(raw[[#This Row],[redis_ls]],raw[[#This Row],[wage_eq]],raw[[#This Row],[flex]],raw[[#This Row],[expo]],raw[[#This Row],[_date_]])</f>
        <v>011154789</v>
      </c>
      <c r="B868" s="1">
        <v>54789</v>
      </c>
      <c r="C868">
        <v>0</v>
      </c>
      <c r="D868">
        <v>1</v>
      </c>
      <c r="E868">
        <v>1</v>
      </c>
      <c r="F868">
        <v>1</v>
      </c>
      <c r="G868">
        <v>8.549161697435359E-2</v>
      </c>
      <c r="H868">
        <v>8.5403600000063307</v>
      </c>
      <c r="I868">
        <v>-6.9520832105409163</v>
      </c>
      <c r="J868">
        <v>7.7368777493380669E-2</v>
      </c>
      <c r="K868">
        <v>2.5667294610630886</v>
      </c>
      <c r="L868">
        <v>-1.6065533623153994</v>
      </c>
      <c r="M868">
        <v>-0.20991026881499453</v>
      </c>
      <c r="N868">
        <v>8.0753775246344972E-2</v>
      </c>
      <c r="O868">
        <v>3.032099999999982E-3</v>
      </c>
      <c r="P868">
        <v>0.70708870753330988</v>
      </c>
      <c r="Q868">
        <v>0.60899594786494315</v>
      </c>
      <c r="R868">
        <v>0.4169666376043546</v>
      </c>
      <c r="S868">
        <v>0.81289846042336134</v>
      </c>
      <c r="T868">
        <v>0.13134849343836574</v>
      </c>
      <c r="U868">
        <v>14.439324713619861</v>
      </c>
      <c r="V868">
        <v>0.83367058041310393</v>
      </c>
      <c r="W868">
        <v>-6.8622998661926893E-2</v>
      </c>
      <c r="X868">
        <v>-2.6585698000000005E-2</v>
      </c>
      <c r="Y868">
        <v>-0.23168167000000017</v>
      </c>
      <c r="Z868">
        <v>-0.14706327000000019</v>
      </c>
    </row>
    <row r="869" spans="1:26">
      <c r="A869" s="54" t="str">
        <f>CONCATENATE(raw[[#This Row],[redis_ls]],raw[[#This Row],[wage_eq]],raw[[#This Row],[flex]],raw[[#This Row],[expo]],raw[[#This Row],[_date_]])</f>
        <v>011036526</v>
      </c>
      <c r="B869" s="1">
        <v>36526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3.8736428717323079E-3</v>
      </c>
      <c r="U869">
        <v>0.21921084285785319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>
      <c r="A870" s="54" t="str">
        <f>CONCATENATE(raw[[#This Row],[redis_ls]],raw[[#This Row],[wage_eq]],raw[[#This Row],[flex]],raw[[#This Row],[expo]],raw[[#This Row],[_date_]])</f>
        <v>011036892</v>
      </c>
      <c r="B870" s="1">
        <v>36892</v>
      </c>
      <c r="C870">
        <v>0</v>
      </c>
      <c r="D870">
        <v>1</v>
      </c>
      <c r="E870">
        <v>1</v>
      </c>
      <c r="F870">
        <v>0</v>
      </c>
      <c r="G870">
        <v>0.25083056127097603</v>
      </c>
      <c r="H870">
        <v>52.173089999996591</v>
      </c>
      <c r="I870">
        <v>-5.3801289179695626</v>
      </c>
      <c r="J870">
        <v>0.11789192314781705</v>
      </c>
      <c r="K870">
        <v>0.5663560528816669</v>
      </c>
      <c r="L870">
        <v>-4.9512011042573967E-2</v>
      </c>
      <c r="M870">
        <v>-0.32753740260176301</v>
      </c>
      <c r="N870">
        <v>0.17133549078340859</v>
      </c>
      <c r="O870">
        <v>4.7882269999999227E-2</v>
      </c>
      <c r="P870">
        <v>0.47346710266280567</v>
      </c>
      <c r="Q870">
        <v>0.13314510048936246</v>
      </c>
      <c r="R870">
        <v>-0.59140447571012222</v>
      </c>
      <c r="S870">
        <v>0.85520000312013789</v>
      </c>
      <c r="T870">
        <v>0.27432330823813356</v>
      </c>
      <c r="U870">
        <v>0.76437603278298738</v>
      </c>
      <c r="V870">
        <v>4.6330689580154072E-2</v>
      </c>
      <c r="W870">
        <v>-0.42822905947030865</v>
      </c>
      <c r="X870">
        <v>-0.15585233999999976</v>
      </c>
      <c r="Y870">
        <v>0.15424633999999993</v>
      </c>
      <c r="Z870">
        <v>2.2818601000000084E-2</v>
      </c>
    </row>
    <row r="871" spans="1:26">
      <c r="A871" s="54" t="str">
        <f>CONCATENATE(raw[[#This Row],[redis_ls]],raw[[#This Row],[wage_eq]],raw[[#This Row],[flex]],raw[[#This Row],[expo]],raw[[#This Row],[_date_]])</f>
        <v>011037257</v>
      </c>
      <c r="B871" s="1">
        <v>37257</v>
      </c>
      <c r="C871">
        <v>0</v>
      </c>
      <c r="D871">
        <v>1</v>
      </c>
      <c r="E871">
        <v>1</v>
      </c>
      <c r="F871">
        <v>0</v>
      </c>
      <c r="G871">
        <v>0.48744787789198885</v>
      </c>
      <c r="H871">
        <v>117.60151000000042</v>
      </c>
      <c r="I871">
        <v>-8.5158070576137561</v>
      </c>
      <c r="J871">
        <v>0.32328947151365472</v>
      </c>
      <c r="K871">
        <v>1.1075822616198883</v>
      </c>
      <c r="L871">
        <v>-0.13627630538508573</v>
      </c>
      <c r="M871">
        <v>-0.46040758020765571</v>
      </c>
      <c r="N871">
        <v>0.39788604389372484</v>
      </c>
      <c r="O871">
        <v>6.6690409999999034E-2</v>
      </c>
      <c r="P871">
        <v>0.64189789934883112</v>
      </c>
      <c r="Q871">
        <v>0.36096011005193329</v>
      </c>
      <c r="R871">
        <v>-0.27656066820721525</v>
      </c>
      <c r="S871">
        <v>0.99988032285858175</v>
      </c>
      <c r="T871">
        <v>0.53956807921389238</v>
      </c>
      <c r="U871">
        <v>1.6740686216036194</v>
      </c>
      <c r="V871">
        <v>0.27718378845660308</v>
      </c>
      <c r="W871">
        <v>-0.44979758128742553</v>
      </c>
      <c r="X871">
        <v>-0.33748013000000077</v>
      </c>
      <c r="Y871">
        <v>0.25098997000000017</v>
      </c>
      <c r="Z871">
        <v>0.1801216040000001</v>
      </c>
    </row>
    <row r="872" spans="1:26">
      <c r="A872" s="54" t="str">
        <f>CONCATENATE(raw[[#This Row],[redis_ls]],raw[[#This Row],[wage_eq]],raw[[#This Row],[flex]],raw[[#This Row],[expo]],raw[[#This Row],[_date_]])</f>
        <v>011037622</v>
      </c>
      <c r="B872" s="1">
        <v>37622</v>
      </c>
      <c r="C872">
        <v>0</v>
      </c>
      <c r="D872">
        <v>1</v>
      </c>
      <c r="E872">
        <v>1</v>
      </c>
      <c r="F872">
        <v>0</v>
      </c>
      <c r="G872">
        <v>0.67638289451270595</v>
      </c>
      <c r="H872">
        <v>178.84908999999971</v>
      </c>
      <c r="I872">
        <v>-10.223860686852893</v>
      </c>
      <c r="J872">
        <v>0.56067229709486632</v>
      </c>
      <c r="K872">
        <v>1.5599618602586629</v>
      </c>
      <c r="L872">
        <v>-0.25709500737857161</v>
      </c>
      <c r="M872">
        <v>-0.4408175450481111</v>
      </c>
      <c r="N872">
        <v>0.63240906378398964</v>
      </c>
      <c r="O872">
        <v>6.3980500000000717E-2</v>
      </c>
      <c r="P872">
        <v>0.9010536687802384</v>
      </c>
      <c r="Q872">
        <v>0.68480354964186585</v>
      </c>
      <c r="R872">
        <v>0.14467927801222746</v>
      </c>
      <c r="S872">
        <v>1.2303084827307575</v>
      </c>
      <c r="T872">
        <v>0.82430622649909413</v>
      </c>
      <c r="U872">
        <v>2.9508091044104123</v>
      </c>
      <c r="V872">
        <v>0.59599474701974575</v>
      </c>
      <c r="W872">
        <v>-0.50997030160953027</v>
      </c>
      <c r="X872">
        <v>-0.49698070000000066</v>
      </c>
      <c r="Y872">
        <v>0.31463167999999997</v>
      </c>
      <c r="Z872">
        <v>0.34400772600000007</v>
      </c>
    </row>
    <row r="873" spans="1:26">
      <c r="A873" s="54" t="str">
        <f>CONCATENATE(raw[[#This Row],[redis_ls]],raw[[#This Row],[wage_eq]],raw[[#This Row],[flex]],raw[[#This Row],[expo]],raw[[#This Row],[_date_]])</f>
        <v>011037987</v>
      </c>
      <c r="B873" s="1">
        <v>37987</v>
      </c>
      <c r="C873">
        <v>0</v>
      </c>
      <c r="D873">
        <v>1</v>
      </c>
      <c r="E873">
        <v>1</v>
      </c>
      <c r="F873">
        <v>0</v>
      </c>
      <c r="G873">
        <v>0.81901767419962912</v>
      </c>
      <c r="H873">
        <v>229.17733000000226</v>
      </c>
      <c r="I873">
        <v>-11.094509807789866</v>
      </c>
      <c r="J873">
        <v>0.80288239124035599</v>
      </c>
      <c r="K873">
        <v>1.925131375778899</v>
      </c>
      <c r="L873">
        <v>-0.40855364686240847</v>
      </c>
      <c r="M873">
        <v>-0.33225008427895109</v>
      </c>
      <c r="N873">
        <v>0.85947681917051266</v>
      </c>
      <c r="O873">
        <v>5.0357990000000907E-2</v>
      </c>
      <c r="P873">
        <v>1.2239649844217437</v>
      </c>
      <c r="Q873">
        <v>1.0791880131762355</v>
      </c>
      <c r="R873">
        <v>0.64508967343541723</v>
      </c>
      <c r="S873">
        <v>1.5235051408862832</v>
      </c>
      <c r="T873">
        <v>1.1221678217580688</v>
      </c>
      <c r="U873">
        <v>4.5799536183135814</v>
      </c>
      <c r="V873">
        <v>0.98680241912592059</v>
      </c>
      <c r="W873">
        <v>-0.59124742896520255</v>
      </c>
      <c r="X873">
        <v>-0.62052162000000022</v>
      </c>
      <c r="Y873">
        <v>0.36063982999999972</v>
      </c>
      <c r="Z873">
        <v>0.50042108099999993</v>
      </c>
    </row>
    <row r="874" spans="1:26">
      <c r="A874" s="54" t="str">
        <f>CONCATENATE(raw[[#This Row],[redis_ls]],raw[[#This Row],[wage_eq]],raw[[#This Row],[flex]],raw[[#This Row],[expo]],raw[[#This Row],[_date_]])</f>
        <v>011038353</v>
      </c>
      <c r="B874" s="1">
        <v>38353</v>
      </c>
      <c r="C874">
        <v>0</v>
      </c>
      <c r="D874">
        <v>1</v>
      </c>
      <c r="E874">
        <v>1</v>
      </c>
      <c r="F874">
        <v>0</v>
      </c>
      <c r="G874">
        <v>0.92517910495737432</v>
      </c>
      <c r="H874">
        <v>267.23205000000235</v>
      </c>
      <c r="I874">
        <v>-11.475524753898025</v>
      </c>
      <c r="J874">
        <v>1.0412200876355859</v>
      </c>
      <c r="K874">
        <v>2.2242608503607375</v>
      </c>
      <c r="L874">
        <v>-0.58570935717129347</v>
      </c>
      <c r="M874">
        <v>-0.17347897908297494</v>
      </c>
      <c r="N874">
        <v>1.0818241146159036</v>
      </c>
      <c r="O874">
        <v>3.6049300000000339E-2</v>
      </c>
      <c r="P874">
        <v>1.587621453812238</v>
      </c>
      <c r="Q874">
        <v>1.5189926710618584</v>
      </c>
      <c r="R874">
        <v>1.1974782445694609</v>
      </c>
      <c r="S874">
        <v>1.857051111495478</v>
      </c>
      <c r="T874">
        <v>1.4219354397767336</v>
      </c>
      <c r="U874">
        <v>6.5392299391013653</v>
      </c>
      <c r="V874">
        <v>1.4448706298445302</v>
      </c>
      <c r="W874">
        <v>-0.66685808714744832</v>
      </c>
      <c r="X874">
        <v>-0.70850426000000077</v>
      </c>
      <c r="Y874">
        <v>0.39656780000000003</v>
      </c>
      <c r="Z874">
        <v>0.64700009799999991</v>
      </c>
    </row>
    <row r="875" spans="1:26">
      <c r="A875" s="54" t="str">
        <f>CONCATENATE(raw[[#This Row],[redis_ls]],raw[[#This Row],[wage_eq]],raw[[#This Row],[flex]],raw[[#This Row],[expo]],raw[[#This Row],[_date_]])</f>
        <v>011038718</v>
      </c>
      <c r="B875" s="1">
        <v>38718</v>
      </c>
      <c r="C875">
        <v>0</v>
      </c>
      <c r="D875">
        <v>1</v>
      </c>
      <c r="E875">
        <v>1</v>
      </c>
      <c r="F875">
        <v>0</v>
      </c>
      <c r="G875">
        <v>1.0047349413658369</v>
      </c>
      <c r="H875">
        <v>294.04522999999972</v>
      </c>
      <c r="I875">
        <v>-11.568720104277974</v>
      </c>
      <c r="J875">
        <v>1.2737079454626432</v>
      </c>
      <c r="K875">
        <v>2.4800716900658548</v>
      </c>
      <c r="L875">
        <v>-0.78282679875723016</v>
      </c>
      <c r="M875">
        <v>1.3311017419104232E-2</v>
      </c>
      <c r="N875">
        <v>1.301250077541205</v>
      </c>
      <c r="O875">
        <v>2.440017999999905E-2</v>
      </c>
      <c r="P875">
        <v>1.9755002442444214</v>
      </c>
      <c r="Q875">
        <v>1.9852429596659338</v>
      </c>
      <c r="R875">
        <v>1.7812896481453899</v>
      </c>
      <c r="S875">
        <v>2.2140773298823024</v>
      </c>
      <c r="T875">
        <v>1.7148525939077564</v>
      </c>
      <c r="U875">
        <v>8.8028466162796803</v>
      </c>
      <c r="V875">
        <v>1.9617496632047926</v>
      </c>
      <c r="W875">
        <v>-0.72216447380137883</v>
      </c>
      <c r="X875">
        <v>-0.7663063799999994</v>
      </c>
      <c r="Y875">
        <v>0.42612679999999986</v>
      </c>
      <c r="Z875">
        <v>0.78332150099999998</v>
      </c>
    </row>
    <row r="876" spans="1:26">
      <c r="A876" s="54" t="str">
        <f>CONCATENATE(raw[[#This Row],[redis_ls]],raw[[#This Row],[wage_eq]],raw[[#This Row],[flex]],raw[[#This Row],[expo]],raw[[#This Row],[_date_]])</f>
        <v>011039083</v>
      </c>
      <c r="B876" s="1">
        <v>39083</v>
      </c>
      <c r="C876">
        <v>0</v>
      </c>
      <c r="D876">
        <v>1</v>
      </c>
      <c r="E876">
        <v>1</v>
      </c>
      <c r="F876">
        <v>0</v>
      </c>
      <c r="G876">
        <v>1.0649103826050998</v>
      </c>
      <c r="H876">
        <v>311.37918999999965</v>
      </c>
      <c r="I876">
        <v>-11.493225471663449</v>
      </c>
      <c r="J876">
        <v>1.4992020993053856</v>
      </c>
      <c r="K876">
        <v>2.7105563634066465</v>
      </c>
      <c r="L876">
        <v>-0.99418083358774334</v>
      </c>
      <c r="M876">
        <v>0.2144653607457192</v>
      </c>
      <c r="N876">
        <v>1.5165122151527211</v>
      </c>
      <c r="O876">
        <v>1.5303560000000382E-2</v>
      </c>
      <c r="P876">
        <v>2.3759922541178646</v>
      </c>
      <c r="Q876">
        <v>2.4643038076192614</v>
      </c>
      <c r="R876">
        <v>2.3818158570220849</v>
      </c>
      <c r="S876">
        <v>2.582473953789366</v>
      </c>
      <c r="T876">
        <v>1.9951912841881692</v>
      </c>
      <c r="U876">
        <v>11.34288952673459</v>
      </c>
      <c r="V876">
        <v>2.5251153860619713</v>
      </c>
      <c r="W876">
        <v>-0.75329812717532807</v>
      </c>
      <c r="X876">
        <v>-0.79998002999999984</v>
      </c>
      <c r="Y876">
        <v>0.45144969999999995</v>
      </c>
      <c r="Z876">
        <v>0.90890828000000023</v>
      </c>
    </row>
    <row r="877" spans="1:26">
      <c r="A877" s="54" t="str">
        <f>CONCATENATE(raw[[#This Row],[redis_ls]],raw[[#This Row],[wage_eq]],raw[[#This Row],[flex]],raw[[#This Row],[expo]],raw[[#This Row],[_date_]])</f>
        <v>011039448</v>
      </c>
      <c r="B877" s="1">
        <v>39448</v>
      </c>
      <c r="C877">
        <v>0</v>
      </c>
      <c r="D877">
        <v>1</v>
      </c>
      <c r="E877">
        <v>1</v>
      </c>
      <c r="F877">
        <v>0</v>
      </c>
      <c r="G877">
        <v>1.1102266690538931</v>
      </c>
      <c r="H877">
        <v>320.94156999999905</v>
      </c>
      <c r="I877">
        <v>-11.32127434888549</v>
      </c>
      <c r="J877">
        <v>1.715823201302813</v>
      </c>
      <c r="K877">
        <v>2.9278727662707338</v>
      </c>
      <c r="L877">
        <v>-1.2144897300128243</v>
      </c>
      <c r="M877">
        <v>0.42065136384885626</v>
      </c>
      <c r="N877">
        <v>1.7247673699245514</v>
      </c>
      <c r="O877">
        <v>7.891409999999377E-3</v>
      </c>
      <c r="P877">
        <v>2.7804306006872448</v>
      </c>
      <c r="Q877">
        <v>2.9458911679203892</v>
      </c>
      <c r="R877">
        <v>2.9879591460903798</v>
      </c>
      <c r="S877">
        <v>2.9531571339821205</v>
      </c>
      <c r="T877">
        <v>2.2591280305698236</v>
      </c>
      <c r="U877">
        <v>14.129577859954413</v>
      </c>
      <c r="V877">
        <v>3.1210597609131918</v>
      </c>
      <c r="W877">
        <v>-0.76211348189590966</v>
      </c>
      <c r="X877">
        <v>-0.8145972900000007</v>
      </c>
      <c r="Y877">
        <v>0.47392451000000047</v>
      </c>
      <c r="Z877">
        <v>1.0232133399999999</v>
      </c>
    </row>
    <row r="878" spans="1:26">
      <c r="A878" s="54" t="str">
        <f>CONCATENATE(raw[[#This Row],[redis_ls]],raw[[#This Row],[wage_eq]],raw[[#This Row],[flex]],raw[[#This Row],[expo]],raw[[#This Row],[_date_]])</f>
        <v>011039814</v>
      </c>
      <c r="B878" s="1">
        <v>39814</v>
      </c>
      <c r="C878">
        <v>0</v>
      </c>
      <c r="D878">
        <v>1</v>
      </c>
      <c r="E878">
        <v>1</v>
      </c>
      <c r="F878">
        <v>0</v>
      </c>
      <c r="G878">
        <v>1.143317852693615</v>
      </c>
      <c r="H878">
        <v>324.11819999999716</v>
      </c>
      <c r="I878">
        <v>-11.097882082535405</v>
      </c>
      <c r="J878">
        <v>1.9211731180134306</v>
      </c>
      <c r="K878">
        <v>3.1392768257407999</v>
      </c>
      <c r="L878">
        <v>-1.4390415342741436</v>
      </c>
      <c r="M878">
        <v>0.62501425270233835</v>
      </c>
      <c r="N878">
        <v>1.9229182716774096</v>
      </c>
      <c r="O878">
        <v>1.536700000000224E-3</v>
      </c>
      <c r="P878">
        <v>3.1817252156750575</v>
      </c>
      <c r="Q878">
        <v>3.4215441751301645</v>
      </c>
      <c r="R878">
        <v>3.5904669413073798</v>
      </c>
      <c r="S878">
        <v>3.318762954250376</v>
      </c>
      <c r="T878">
        <v>2.5037086323646651</v>
      </c>
      <c r="U878">
        <v>17.131181296556996</v>
      </c>
      <c r="V878">
        <v>3.7357742877180966</v>
      </c>
      <c r="W878">
        <v>-0.75246158269599572</v>
      </c>
      <c r="X878">
        <v>-0.81393758000000016</v>
      </c>
      <c r="Y878">
        <v>0.49443407000000006</v>
      </c>
      <c r="Z878">
        <v>1.1258473400000002</v>
      </c>
    </row>
    <row r="879" spans="1:26">
      <c r="A879" s="54" t="str">
        <f>CONCATENATE(raw[[#This Row],[redis_ls]],raw[[#This Row],[wage_eq]],raw[[#This Row],[flex]],raw[[#This Row],[expo]],raw[[#This Row],[_date_]])</f>
        <v>011040179</v>
      </c>
      <c r="B879" s="1">
        <v>40179</v>
      </c>
      <c r="C879">
        <v>0</v>
      </c>
      <c r="D879">
        <v>1</v>
      </c>
      <c r="E879">
        <v>1</v>
      </c>
      <c r="F879">
        <v>0</v>
      </c>
      <c r="G879">
        <v>1.1657629627185528</v>
      </c>
      <c r="H879">
        <v>321.96312000000034</v>
      </c>
      <c r="I879">
        <v>-10.851638824906152</v>
      </c>
      <c r="J879">
        <v>2.1128746436890555</v>
      </c>
      <c r="K879">
        <v>3.3485390560185291</v>
      </c>
      <c r="L879">
        <v>-1.6636663528968643</v>
      </c>
      <c r="M879">
        <v>0.82240519307597015</v>
      </c>
      <c r="N879">
        <v>2.108279663887469</v>
      </c>
      <c r="O879">
        <v>-4.0386700000005771E-3</v>
      </c>
      <c r="P879">
        <v>3.573648241055194</v>
      </c>
      <c r="Q879">
        <v>3.8837989550330798</v>
      </c>
      <c r="R879">
        <v>4.1809593463159489</v>
      </c>
      <c r="S879">
        <v>3.6729427578454654</v>
      </c>
      <c r="T879">
        <v>2.7263047764861437</v>
      </c>
      <c r="U879">
        <v>20.313954453640235</v>
      </c>
      <c r="V879">
        <v>4.3563599012897303</v>
      </c>
      <c r="W879">
        <v>-0.72827570953505338</v>
      </c>
      <c r="X879">
        <v>-0.8007248699999997</v>
      </c>
      <c r="Y879">
        <v>0.51343268000000053</v>
      </c>
      <c r="Z879">
        <v>1.2166655199999998</v>
      </c>
    </row>
    <row r="880" spans="1:26">
      <c r="A880" s="54" t="str">
        <f>CONCATENATE(raw[[#This Row],[redis_ls]],raw[[#This Row],[wage_eq]],raw[[#This Row],[flex]],raw[[#This Row],[expo]],raw[[#This Row],[_date_]])</f>
        <v>011040544</v>
      </c>
      <c r="B880" s="1">
        <v>40544</v>
      </c>
      <c r="C880">
        <v>0</v>
      </c>
      <c r="D880">
        <v>1</v>
      </c>
      <c r="E880">
        <v>1</v>
      </c>
      <c r="F880">
        <v>0</v>
      </c>
      <c r="G880">
        <v>1.1786546462794867</v>
      </c>
      <c r="H880">
        <v>315.28219000000172</v>
      </c>
      <c r="I880">
        <v>-10.600740286558963</v>
      </c>
      <c r="J880">
        <v>2.2889131364078663</v>
      </c>
      <c r="K880">
        <v>3.5571786617137446</v>
      </c>
      <c r="L880">
        <v>-1.8846668667000688</v>
      </c>
      <c r="M880">
        <v>1.0090056383098789</v>
      </c>
      <c r="N880">
        <v>2.2787492202229087</v>
      </c>
      <c r="O880">
        <v>-8.9175600000004906E-3</v>
      </c>
      <c r="P880">
        <v>3.9505638222319339</v>
      </c>
      <c r="Q880">
        <v>4.3258888192960976</v>
      </c>
      <c r="R880">
        <v>4.7515664413957825</v>
      </c>
      <c r="S880">
        <v>4.0100957708524732</v>
      </c>
      <c r="T880">
        <v>2.9244811194420572</v>
      </c>
      <c r="U880">
        <v>23.642231826942517</v>
      </c>
      <c r="V880">
        <v>4.9710994270272035</v>
      </c>
      <c r="W880">
        <v>-0.69287255831356198</v>
      </c>
      <c r="X880">
        <v>-0.77698900999999965</v>
      </c>
      <c r="Y880">
        <v>0.53101565000000028</v>
      </c>
      <c r="Z880">
        <v>1.2957220100000004</v>
      </c>
    </row>
    <row r="881" spans="1:26">
      <c r="A881" s="54" t="str">
        <f>CONCATENATE(raw[[#This Row],[redis_ls]],raw[[#This Row],[wage_eq]],raw[[#This Row],[flex]],raw[[#This Row],[expo]],raw[[#This Row],[_date_]])</f>
        <v>011040909</v>
      </c>
      <c r="B881" s="1">
        <v>40909</v>
      </c>
      <c r="C881">
        <v>0</v>
      </c>
      <c r="D881">
        <v>1</v>
      </c>
      <c r="E881">
        <v>1</v>
      </c>
      <c r="F881">
        <v>0</v>
      </c>
      <c r="G881">
        <v>1.1829041611447932</v>
      </c>
      <c r="H881">
        <v>304.72678000000087</v>
      </c>
      <c r="I881">
        <v>-10.356499976304557</v>
      </c>
      <c r="J881">
        <v>2.4477360142041382</v>
      </c>
      <c r="K881">
        <v>3.7653334433164432</v>
      </c>
      <c r="L881">
        <v>-2.0987634633306218</v>
      </c>
      <c r="M881">
        <v>1.182075702870411</v>
      </c>
      <c r="N881">
        <v>2.432747377629374</v>
      </c>
      <c r="O881">
        <v>-1.3128599999999435E-2</v>
      </c>
      <c r="P881">
        <v>4.307397330544549</v>
      </c>
      <c r="Q881">
        <v>4.741737360697873</v>
      </c>
      <c r="R881">
        <v>5.294920191991026</v>
      </c>
      <c r="S881">
        <v>4.3253381704183136</v>
      </c>
      <c r="T881">
        <v>3.0960860676390478</v>
      </c>
      <c r="U881">
        <v>27.078719293036691</v>
      </c>
      <c r="V881">
        <v>5.5695036024050681</v>
      </c>
      <c r="W881">
        <v>-0.64886500346549303</v>
      </c>
      <c r="X881">
        <v>-0.74436903999999937</v>
      </c>
      <c r="Y881">
        <v>0.54701195000000025</v>
      </c>
      <c r="Z881">
        <v>1.3631741499999996</v>
      </c>
    </row>
    <row r="882" spans="1:26">
      <c r="A882" s="54" t="str">
        <f>CONCATENATE(raw[[#This Row],[redis_ls]],raw[[#This Row],[wage_eq]],raw[[#This Row],[flex]],raw[[#This Row],[expo]],raw[[#This Row],[_date_]])</f>
        <v>011041275</v>
      </c>
      <c r="B882" s="1">
        <v>41275</v>
      </c>
      <c r="C882">
        <v>0</v>
      </c>
      <c r="D882">
        <v>1</v>
      </c>
      <c r="E882">
        <v>1</v>
      </c>
      <c r="F882">
        <v>0</v>
      </c>
      <c r="G882">
        <v>1.1793706277261951</v>
      </c>
      <c r="H882">
        <v>290.86538000000292</v>
      </c>
      <c r="I882">
        <v>-10.125519507063697</v>
      </c>
      <c r="J882">
        <v>2.5882105617412332</v>
      </c>
      <c r="K882">
        <v>3.9723020414153876</v>
      </c>
      <c r="L882">
        <v>-2.3030691266434311</v>
      </c>
      <c r="M882">
        <v>1.3397471719591048</v>
      </c>
      <c r="N882">
        <v>2.569101859130507</v>
      </c>
      <c r="O882">
        <v>-1.6711660000000295E-2</v>
      </c>
      <c r="P882">
        <v>4.6397018107593002</v>
      </c>
      <c r="Q882">
        <v>5.1260753146773697</v>
      </c>
      <c r="R882">
        <v>5.8043057135885423</v>
      </c>
      <c r="S882">
        <v>4.6145695769574946</v>
      </c>
      <c r="T882">
        <v>3.2394181571125946</v>
      </c>
      <c r="U882">
        <v>30.584980307724873</v>
      </c>
      <c r="V882">
        <v>6.1423029397693174</v>
      </c>
      <c r="W882">
        <v>-0.59830160889210449</v>
      </c>
      <c r="X882">
        <v>-0.70431252</v>
      </c>
      <c r="Y882">
        <v>0.56108760000000002</v>
      </c>
      <c r="Z882">
        <v>1.4191994400000001</v>
      </c>
    </row>
    <row r="883" spans="1:26">
      <c r="A883" s="54" t="str">
        <f>CONCATENATE(raw[[#This Row],[redis_ls]],raw[[#This Row],[wage_eq]],raw[[#This Row],[flex]],raw[[#This Row],[expo]],raw[[#This Row],[_date_]])</f>
        <v>011041640</v>
      </c>
      <c r="B883" s="1">
        <v>41640</v>
      </c>
      <c r="C883">
        <v>0</v>
      </c>
      <c r="D883">
        <v>1</v>
      </c>
      <c r="E883">
        <v>1</v>
      </c>
      <c r="F883">
        <v>0</v>
      </c>
      <c r="G883">
        <v>1.1688976435202836</v>
      </c>
      <c r="H883">
        <v>274.22833999999784</v>
      </c>
      <c r="I883">
        <v>-9.9111172476607621</v>
      </c>
      <c r="J883">
        <v>2.7095450276833022</v>
      </c>
      <c r="K883">
        <v>4.1768613668898391</v>
      </c>
      <c r="L883">
        <v>-2.4950890222887656</v>
      </c>
      <c r="M883">
        <v>1.4808498718773766</v>
      </c>
      <c r="N883">
        <v>2.6869571320324637</v>
      </c>
      <c r="O883">
        <v>-1.9726569999999055E-2</v>
      </c>
      <c r="P883">
        <v>4.9437446130260909</v>
      </c>
      <c r="Q883">
        <v>5.4745748771883207</v>
      </c>
      <c r="R883">
        <v>6.273852764335075</v>
      </c>
      <c r="S883">
        <v>4.8745481744281172</v>
      </c>
      <c r="T883">
        <v>3.3533741771326175</v>
      </c>
      <c r="U883">
        <v>34.122089429473078</v>
      </c>
      <c r="V883">
        <v>6.6814537291639553</v>
      </c>
      <c r="W883">
        <v>-0.54284188265492084</v>
      </c>
      <c r="X883">
        <v>-0.65818459000000007</v>
      </c>
      <c r="Y883">
        <v>0.57284198999999969</v>
      </c>
      <c r="Z883">
        <v>1.4639531699999997</v>
      </c>
    </row>
    <row r="884" spans="1:26">
      <c r="A884" s="54" t="str">
        <f>CONCATENATE(raw[[#This Row],[redis_ls]],raw[[#This Row],[wage_eq]],raw[[#This Row],[flex]],raw[[#This Row],[expo]],raw[[#This Row],[_date_]])</f>
        <v>011042005</v>
      </c>
      <c r="B884" s="1">
        <v>42005</v>
      </c>
      <c r="C884">
        <v>0</v>
      </c>
      <c r="D884">
        <v>1</v>
      </c>
      <c r="E884">
        <v>1</v>
      </c>
      <c r="F884">
        <v>0</v>
      </c>
      <c r="G884">
        <v>1.1523144354014248</v>
      </c>
      <c r="H884">
        <v>255.33130000000165</v>
      </c>
      <c r="I884">
        <v>-9.7143211291624176</v>
      </c>
      <c r="J884">
        <v>2.811226982852344</v>
      </c>
      <c r="K884">
        <v>4.3774548363338939</v>
      </c>
      <c r="L884">
        <v>-2.6727329616431206</v>
      </c>
      <c r="M884">
        <v>1.6047740556933476</v>
      </c>
      <c r="N884">
        <v>2.7857326446540709</v>
      </c>
      <c r="O884">
        <v>-2.2237270000000087E-2</v>
      </c>
      <c r="P884">
        <v>5.2165747788901262</v>
      </c>
      <c r="Q884">
        <v>5.7839519295947106</v>
      </c>
      <c r="R884">
        <v>6.6987059141790706</v>
      </c>
      <c r="S884">
        <v>5.1029393196808437</v>
      </c>
      <c r="T884">
        <v>3.4375402200886196</v>
      </c>
      <c r="U884">
        <v>37.651410075996729</v>
      </c>
      <c r="V884">
        <v>7.180167670966453</v>
      </c>
      <c r="W884">
        <v>-0.48389426877797348</v>
      </c>
      <c r="X884">
        <v>-0.60731613000000051</v>
      </c>
      <c r="Y884">
        <v>0.58188590999999967</v>
      </c>
      <c r="Z884">
        <v>1.4975680500000004</v>
      </c>
    </row>
    <row r="885" spans="1:26">
      <c r="A885" s="54" t="str">
        <f>CONCATENATE(raw[[#This Row],[redis_ls]],raw[[#This Row],[wage_eq]],raw[[#This Row],[flex]],raw[[#This Row],[expo]],raw[[#This Row],[_date_]])</f>
        <v>011042370</v>
      </c>
      <c r="B885" s="1">
        <v>42370</v>
      </c>
      <c r="C885">
        <v>0</v>
      </c>
      <c r="D885">
        <v>1</v>
      </c>
      <c r="E885">
        <v>1</v>
      </c>
      <c r="F885">
        <v>0</v>
      </c>
      <c r="G885">
        <v>1.1304285355117516</v>
      </c>
      <c r="H885">
        <v>234.6846000000005</v>
      </c>
      <c r="I885">
        <v>-9.5345863206368282</v>
      </c>
      <c r="J885">
        <v>2.8929991775235697</v>
      </c>
      <c r="K885">
        <v>4.5723176996347537</v>
      </c>
      <c r="L885">
        <v>-2.8343292074665016</v>
      </c>
      <c r="M885">
        <v>1.7113662738875712</v>
      </c>
      <c r="N885">
        <v>2.8651169763771023</v>
      </c>
      <c r="O885">
        <v>-2.429418000000072E-2</v>
      </c>
      <c r="P885">
        <v>5.4560609318226705</v>
      </c>
      <c r="Q885">
        <v>6.0520155495672023</v>
      </c>
      <c r="R885">
        <v>7.0751467837280257</v>
      </c>
      <c r="S885">
        <v>5.2983201433156157</v>
      </c>
      <c r="T885">
        <v>3.4922175965586888</v>
      </c>
      <c r="U885">
        <v>41.135447841956974</v>
      </c>
      <c r="V885">
        <v>7.6329525870628467</v>
      </c>
      <c r="W885">
        <v>-0.42270230443985923</v>
      </c>
      <c r="X885">
        <v>-0.5530165700000006</v>
      </c>
      <c r="Y885">
        <v>0.58789736999999986</v>
      </c>
      <c r="Z885">
        <v>1.5201834500000004</v>
      </c>
    </row>
    <row r="886" spans="1:26">
      <c r="A886" s="54" t="str">
        <f>CONCATENATE(raw[[#This Row],[redis_ls]],raw[[#This Row],[wage_eq]],raw[[#This Row],[flex]],raw[[#This Row],[expo]],raw[[#This Row],[_date_]])</f>
        <v>011042736</v>
      </c>
      <c r="B886" s="1">
        <v>42736</v>
      </c>
      <c r="C886">
        <v>0</v>
      </c>
      <c r="D886">
        <v>1</v>
      </c>
      <c r="E886">
        <v>1</v>
      </c>
      <c r="F886">
        <v>0</v>
      </c>
      <c r="G886">
        <v>1.1040202808514588</v>
      </c>
      <c r="H886">
        <v>212.79441000000224</v>
      </c>
      <c r="I886">
        <v>-9.3703281022889158</v>
      </c>
      <c r="J886">
        <v>2.9548634015945874</v>
      </c>
      <c r="K886">
        <v>4.7595755579418642</v>
      </c>
      <c r="L886">
        <v>-2.9786317219335223</v>
      </c>
      <c r="M886">
        <v>1.8008507641268601</v>
      </c>
      <c r="N886">
        <v>2.9250832213199462</v>
      </c>
      <c r="O886">
        <v>-2.5925229999999855E-2</v>
      </c>
      <c r="P886">
        <v>5.6608945646617226</v>
      </c>
      <c r="Q886">
        <v>6.2776618066142209</v>
      </c>
      <c r="R886">
        <v>7.400659642084495</v>
      </c>
      <c r="S886">
        <v>5.4601437553950749</v>
      </c>
      <c r="T886">
        <v>3.5183908277520493</v>
      </c>
      <c r="U886">
        <v>44.53871755330043</v>
      </c>
      <c r="V886">
        <v>8.0356465155025258</v>
      </c>
      <c r="W886">
        <v>-0.36038655783836582</v>
      </c>
      <c r="X886">
        <v>-0.49656792999999977</v>
      </c>
      <c r="Y886">
        <v>0.59065623000000012</v>
      </c>
      <c r="Z886">
        <v>1.5319872700000001</v>
      </c>
    </row>
    <row r="887" spans="1:26">
      <c r="A887" s="54" t="str">
        <f>CONCATENATE(raw[[#This Row],[redis_ls]],raw[[#This Row],[wage_eq]],raw[[#This Row],[flex]],raw[[#This Row],[expo]],raw[[#This Row],[_date_]])</f>
        <v>011043101</v>
      </c>
      <c r="B887" s="1">
        <v>43101</v>
      </c>
      <c r="C887">
        <v>0</v>
      </c>
      <c r="D887">
        <v>1</v>
      </c>
      <c r="E887">
        <v>1</v>
      </c>
      <c r="F887">
        <v>0</v>
      </c>
      <c r="G887">
        <v>1.0738389625617462</v>
      </c>
      <c r="H887">
        <v>190.15879000000132</v>
      </c>
      <c r="I887">
        <v>-9.2193244675052632</v>
      </c>
      <c r="J887">
        <v>2.9970959074578918</v>
      </c>
      <c r="K887">
        <v>4.9373315382858829</v>
      </c>
      <c r="L887">
        <v>-3.1048166758409157</v>
      </c>
      <c r="M887">
        <v>1.8737663908112934</v>
      </c>
      <c r="N887">
        <v>2.9659031969996974</v>
      </c>
      <c r="O887">
        <v>-2.7136719999999726E-2</v>
      </c>
      <c r="P887">
        <v>5.830563661922783</v>
      </c>
      <c r="Q887">
        <v>6.4608178642158176</v>
      </c>
      <c r="R887">
        <v>7.6739411693484527</v>
      </c>
      <c r="S887">
        <v>5.5886666980675237</v>
      </c>
      <c r="T887">
        <v>3.5176518226136988</v>
      </c>
      <c r="U887">
        <v>47.828566227612356</v>
      </c>
      <c r="V887">
        <v>8.3854301762632986</v>
      </c>
      <c r="W887">
        <v>-0.29795673083568008</v>
      </c>
      <c r="X887">
        <v>-0.43920910000000007</v>
      </c>
      <c r="Y887">
        <v>0.59006149999999979</v>
      </c>
      <c r="Z887">
        <v>1.5332553099999999</v>
      </c>
    </row>
    <row r="888" spans="1:26">
      <c r="A888" s="54" t="str">
        <f>CONCATENATE(raw[[#This Row],[redis_ls]],raw[[#This Row],[wage_eq]],raw[[#This Row],[flex]],raw[[#This Row],[expo]],raw[[#This Row],[_date_]])</f>
        <v>011043466</v>
      </c>
      <c r="B888" s="1">
        <v>43466</v>
      </c>
      <c r="C888">
        <v>0</v>
      </c>
      <c r="D888">
        <v>1</v>
      </c>
      <c r="E888">
        <v>1</v>
      </c>
      <c r="F888">
        <v>0</v>
      </c>
      <c r="G888">
        <v>1.0405990566878298</v>
      </c>
      <c r="H888">
        <v>167.26051999999981</v>
      </c>
      <c r="I888">
        <v>-9.079024123631541</v>
      </c>
      <c r="J888">
        <v>3.0202585029291074</v>
      </c>
      <c r="K888">
        <v>5.1037449719076866</v>
      </c>
      <c r="L888">
        <v>-3.2124668782466781</v>
      </c>
      <c r="M888">
        <v>1.930910263652641</v>
      </c>
      <c r="N888">
        <v>2.9881488493648245</v>
      </c>
      <c r="O888">
        <v>-2.7921300000000038E-2</v>
      </c>
      <c r="P888">
        <v>5.9653003608262534</v>
      </c>
      <c r="Q888">
        <v>6.6023452458537246</v>
      </c>
      <c r="R888">
        <v>7.8948588627537619</v>
      </c>
      <c r="S888">
        <v>5.6848510105556249</v>
      </c>
      <c r="T888">
        <v>3.4920953250611397</v>
      </c>
      <c r="U888">
        <v>50.975895209285468</v>
      </c>
      <c r="V888">
        <v>8.680807740428186</v>
      </c>
      <c r="W888">
        <v>-0.23630601436129828</v>
      </c>
      <c r="X888">
        <v>-0.38211413999999988</v>
      </c>
      <c r="Y888">
        <v>0.58613512000000034</v>
      </c>
      <c r="Z888">
        <v>1.5243776000000007</v>
      </c>
    </row>
    <row r="889" spans="1:26">
      <c r="A889" s="54" t="str">
        <f>CONCATENATE(raw[[#This Row],[redis_ls]],raw[[#This Row],[wage_eq]],raw[[#This Row],[flex]],raw[[#This Row],[expo]],raw[[#This Row],[_date_]])</f>
        <v>011043831</v>
      </c>
      <c r="B889" s="1">
        <v>43831</v>
      </c>
      <c r="C889">
        <v>0</v>
      </c>
      <c r="D889">
        <v>1</v>
      </c>
      <c r="E889">
        <v>1</v>
      </c>
      <c r="F889">
        <v>0</v>
      </c>
      <c r="G889">
        <v>1.00497441211711</v>
      </c>
      <c r="H889">
        <v>144.55764999999883</v>
      </c>
      <c r="I889">
        <v>-8.9467830258568526</v>
      </c>
      <c r="J889">
        <v>3.025193037015006</v>
      </c>
      <c r="K889">
        <v>5.2571000991630035</v>
      </c>
      <c r="L889">
        <v>-3.3015446900643064</v>
      </c>
      <c r="M889">
        <v>1.9732827737091618</v>
      </c>
      <c r="N889">
        <v>2.9926752929252842</v>
      </c>
      <c r="O889">
        <v>-2.8268689999999541E-2</v>
      </c>
      <c r="P889">
        <v>6.0660072432216161</v>
      </c>
      <c r="Q889">
        <v>6.7039136619324591</v>
      </c>
      <c r="R889">
        <v>8.0643653998343936</v>
      </c>
      <c r="S889">
        <v>5.7502484536771314</v>
      </c>
      <c r="T889">
        <v>3.4441992824676637</v>
      </c>
      <c r="U889">
        <v>53.955738730975611</v>
      </c>
      <c r="V889">
        <v>8.921550787781829</v>
      </c>
      <c r="W889">
        <v>-0.17619796838946877</v>
      </c>
      <c r="X889">
        <v>-0.32636686999999998</v>
      </c>
      <c r="Y889">
        <v>0.57901614000000001</v>
      </c>
      <c r="Z889">
        <v>1.5058670199999999</v>
      </c>
    </row>
    <row r="890" spans="1:26">
      <c r="A890" s="54" t="str">
        <f>CONCATENATE(raw[[#This Row],[redis_ls]],raw[[#This Row],[wage_eq]],raw[[#This Row],[flex]],raw[[#This Row],[expo]],raw[[#This Row],[_date_]])</f>
        <v>011044197</v>
      </c>
      <c r="B890" s="1">
        <v>44197</v>
      </c>
      <c r="C890">
        <v>0</v>
      </c>
      <c r="D890">
        <v>1</v>
      </c>
      <c r="E890">
        <v>1</v>
      </c>
      <c r="F890">
        <v>0</v>
      </c>
      <c r="G890">
        <v>0.96758930062015303</v>
      </c>
      <c r="H890">
        <v>122.47225999999864</v>
      </c>
      <c r="I890">
        <v>-8.8200445837770651</v>
      </c>
      <c r="J890">
        <v>3.0129973509892771</v>
      </c>
      <c r="K890">
        <v>5.3958616614280253</v>
      </c>
      <c r="L890">
        <v>-3.372355510322389</v>
      </c>
      <c r="M890">
        <v>2.0020319755089666</v>
      </c>
      <c r="N890">
        <v>2.9805843231796025</v>
      </c>
      <c r="O890">
        <v>-2.8175719999999627E-2</v>
      </c>
      <c r="P890">
        <v>6.1341683106131306</v>
      </c>
      <c r="Q890">
        <v>6.767855947007817</v>
      </c>
      <c r="R890">
        <v>8.1843772647589361</v>
      </c>
      <c r="S890">
        <v>5.7868769845698553</v>
      </c>
      <c r="T890">
        <v>3.3767001372466909</v>
      </c>
      <c r="U890">
        <v>56.747667874546707</v>
      </c>
      <c r="V890">
        <v>9.1086051797856005</v>
      </c>
      <c r="W890">
        <v>-0.11825298241849858</v>
      </c>
      <c r="X890">
        <v>-0.27293377000000008</v>
      </c>
      <c r="Y890">
        <v>0.56894839000000008</v>
      </c>
      <c r="Z890">
        <v>1.4783504500000002</v>
      </c>
    </row>
    <row r="891" spans="1:26">
      <c r="A891" s="54" t="str">
        <f>CONCATENATE(raw[[#This Row],[redis_ls]],raw[[#This Row],[wage_eq]],raw[[#This Row],[flex]],raw[[#This Row],[expo]],raw[[#This Row],[_date_]])</f>
        <v>011044562</v>
      </c>
      <c r="B891" s="1">
        <v>44562</v>
      </c>
      <c r="C891">
        <v>0</v>
      </c>
      <c r="D891">
        <v>1</v>
      </c>
      <c r="E891">
        <v>1</v>
      </c>
      <c r="F891">
        <v>0</v>
      </c>
      <c r="G891">
        <v>0.9290081400322503</v>
      </c>
      <c r="H891">
        <v>101.37863000000289</v>
      </c>
      <c r="I891">
        <v>-8.6964734884633863</v>
      </c>
      <c r="J891">
        <v>2.9849817829109782</v>
      </c>
      <c r="K891">
        <v>5.518716208981278</v>
      </c>
      <c r="L891">
        <v>-3.4255042188600426</v>
      </c>
      <c r="M891">
        <v>2.0183981581076482</v>
      </c>
      <c r="N891">
        <v>2.9531735895899081</v>
      </c>
      <c r="O891">
        <v>-2.7653179999999333E-2</v>
      </c>
      <c r="P891">
        <v>6.1717494226462444</v>
      </c>
      <c r="Q891">
        <v>6.797015339030188</v>
      </c>
      <c r="R891">
        <v>8.2576276002900517</v>
      </c>
      <c r="S891">
        <v>5.7970971782124181</v>
      </c>
      <c r="T891">
        <v>3.292472376406641</v>
      </c>
      <c r="U891">
        <v>59.336006686431951</v>
      </c>
      <c r="V891">
        <v>9.2439633332076063</v>
      </c>
      <c r="W891">
        <v>-6.2939419838525801E-2</v>
      </c>
      <c r="X891">
        <v>-0.22263763000000061</v>
      </c>
      <c r="Y891">
        <v>0.55626356000000043</v>
      </c>
      <c r="Z891">
        <v>1.4425468299999995</v>
      </c>
    </row>
    <row r="892" spans="1:26">
      <c r="A892" s="54" t="str">
        <f>CONCATENATE(raw[[#This Row],[redis_ls]],raw[[#This Row],[wage_eq]],raw[[#This Row],[flex]],raw[[#This Row],[expo]],raw[[#This Row],[_date_]])</f>
        <v>011044927</v>
      </c>
      <c r="B892" s="1">
        <v>44927</v>
      </c>
      <c r="C892">
        <v>0</v>
      </c>
      <c r="D892">
        <v>1</v>
      </c>
      <c r="E892">
        <v>1</v>
      </c>
      <c r="F892">
        <v>0</v>
      </c>
      <c r="G892">
        <v>0.8897258607541314</v>
      </c>
      <c r="H892">
        <v>81.592130000000907</v>
      </c>
      <c r="I892">
        <v>-8.5740491997382655</v>
      </c>
      <c r="J892">
        <v>2.9426153060411187</v>
      </c>
      <c r="K892">
        <v>5.6245988633991661</v>
      </c>
      <c r="L892">
        <v>-3.461847328232226</v>
      </c>
      <c r="M892">
        <v>2.0236618488009617</v>
      </c>
      <c r="N892">
        <v>2.9118797945747454</v>
      </c>
      <c r="O892">
        <v>-2.6728460000000065E-2</v>
      </c>
      <c r="P892">
        <v>6.1810936036221342</v>
      </c>
      <c r="Q892">
        <v>6.79459396508586</v>
      </c>
      <c r="R892">
        <v>8.2875034882372809</v>
      </c>
      <c r="S892">
        <v>5.7834944295970248</v>
      </c>
      <c r="T892">
        <v>3.194418320189607</v>
      </c>
      <c r="U892">
        <v>61.709863553856351</v>
      </c>
      <c r="V892">
        <v>9.3305089219862136</v>
      </c>
      <c r="W892">
        <v>-1.0572546998899313E-2</v>
      </c>
      <c r="X892">
        <v>-0.17613495000000021</v>
      </c>
      <c r="Y892">
        <v>0.5413617799999999</v>
      </c>
      <c r="Z892">
        <v>1.3992387000000002</v>
      </c>
    </row>
    <row r="893" spans="1:26">
      <c r="A893" s="54" t="str">
        <f>CONCATENATE(raw[[#This Row],[redis_ls]],raw[[#This Row],[wage_eq]],raw[[#This Row],[flex]],raw[[#This Row],[expo]],raw[[#This Row],[_date_]])</f>
        <v>011045292</v>
      </c>
      <c r="B893" s="1">
        <v>45292</v>
      </c>
      <c r="C893">
        <v>0</v>
      </c>
      <c r="D893">
        <v>1</v>
      </c>
      <c r="E893">
        <v>1</v>
      </c>
      <c r="F893">
        <v>0</v>
      </c>
      <c r="G893">
        <v>0.85016141405753753</v>
      </c>
      <c r="H893">
        <v>63.359959999997955</v>
      </c>
      <c r="I893">
        <v>-8.4511238114807981</v>
      </c>
      <c r="J893">
        <v>2.8874680797787322</v>
      </c>
      <c r="K893">
        <v>5.7127077305993312</v>
      </c>
      <c r="L893">
        <v>-3.4824432119668125</v>
      </c>
      <c r="M893">
        <v>2.0190981214021519</v>
      </c>
      <c r="N893">
        <v>2.8582226493749863</v>
      </c>
      <c r="O893">
        <v>-2.5444050000000829E-2</v>
      </c>
      <c r="P893">
        <v>6.1648162425276487</v>
      </c>
      <c r="Q893">
        <v>6.7640106877125072</v>
      </c>
      <c r="R893">
        <v>8.2778775779444267</v>
      </c>
      <c r="S893">
        <v>5.7487729208479443</v>
      </c>
      <c r="T893">
        <v>3.0853724617691425</v>
      </c>
      <c r="U893">
        <v>63.862993181112039</v>
      </c>
      <c r="V893">
        <v>9.3718420176955419</v>
      </c>
      <c r="W893">
        <v>3.8677822358090808E-2</v>
      </c>
      <c r="X893">
        <v>-0.13390035000000017</v>
      </c>
      <c r="Y893">
        <v>0.52469037999999935</v>
      </c>
      <c r="Z893">
        <v>1.3492442699999996</v>
      </c>
    </row>
    <row r="894" spans="1:26">
      <c r="A894" s="54" t="str">
        <f>CONCATENATE(raw[[#This Row],[redis_ls]],raw[[#This Row],[wage_eq]],raw[[#This Row],[flex]],raw[[#This Row],[expo]],raw[[#This Row],[_date_]])</f>
        <v>011045658</v>
      </c>
      <c r="B894" s="1">
        <v>45658</v>
      </c>
      <c r="C894">
        <v>0</v>
      </c>
      <c r="D894">
        <v>1</v>
      </c>
      <c r="E894">
        <v>1</v>
      </c>
      <c r="F894">
        <v>0</v>
      </c>
      <c r="G894">
        <v>0.81065582334252095</v>
      </c>
      <c r="H894">
        <v>46.855330000002141</v>
      </c>
      <c r="I894">
        <v>-8.3264477570384354</v>
      </c>
      <c r="J894">
        <v>2.821159033000753</v>
      </c>
      <c r="K894">
        <v>5.7825082399622474</v>
      </c>
      <c r="L894">
        <v>-3.4885029768440323</v>
      </c>
      <c r="M894">
        <v>2.0059405468625835</v>
      </c>
      <c r="N894">
        <v>2.7937583282893641</v>
      </c>
      <c r="O894">
        <v>-2.3853040000000603E-2</v>
      </c>
      <c r="P894">
        <v>6.1257047187742053</v>
      </c>
      <c r="Q894">
        <v>6.7087740346996716</v>
      </c>
      <c r="R894">
        <v>8.2329431756408269</v>
      </c>
      <c r="S894">
        <v>5.6956630945803166</v>
      </c>
      <c r="T894">
        <v>2.9680227154273098</v>
      </c>
      <c r="U894">
        <v>65.793514663643066</v>
      </c>
      <c r="V894">
        <v>9.372094416447819</v>
      </c>
      <c r="W894">
        <v>8.4771504605241077E-2</v>
      </c>
      <c r="X894">
        <v>-9.6220430000000176E-2</v>
      </c>
      <c r="Y894">
        <v>0.50672203999999954</v>
      </c>
      <c r="Z894">
        <v>1.2933959500000001</v>
      </c>
    </row>
    <row r="895" spans="1:26">
      <c r="A895" s="54" t="str">
        <f>CONCATENATE(raw[[#This Row],[redis_ls]],raw[[#This Row],[wage_eq]],raw[[#This Row],[flex]],raw[[#This Row],[expo]],raw[[#This Row],[_date_]])</f>
        <v>011046023</v>
      </c>
      <c r="B895" s="1">
        <v>46023</v>
      </c>
      <c r="C895">
        <v>0</v>
      </c>
      <c r="D895">
        <v>1</v>
      </c>
      <c r="E895">
        <v>1</v>
      </c>
      <c r="F895">
        <v>0</v>
      </c>
      <c r="G895">
        <v>0.77147696787944753</v>
      </c>
      <c r="H895">
        <v>32.175970000000234</v>
      </c>
      <c r="I895">
        <v>-8.1991675034857501</v>
      </c>
      <c r="J895">
        <v>2.7453142962745813</v>
      </c>
      <c r="K895">
        <v>5.8337301021013088</v>
      </c>
      <c r="L895">
        <v>-3.4813434380519537</v>
      </c>
      <c r="M895">
        <v>1.985356585762732</v>
      </c>
      <c r="N895">
        <v>2.7200451684203708</v>
      </c>
      <c r="O895">
        <v>-2.2013180000000909E-2</v>
      </c>
      <c r="P895">
        <v>6.0666260736961686</v>
      </c>
      <c r="Q895">
        <v>6.6323740431472489</v>
      </c>
      <c r="R895">
        <v>8.1570609750500456</v>
      </c>
      <c r="S895">
        <v>5.6268465753541719</v>
      </c>
      <c r="T895">
        <v>2.8448509626622487</v>
      </c>
      <c r="U895">
        <v>67.503517738241797</v>
      </c>
      <c r="V895">
        <v>9.3357460226378706</v>
      </c>
      <c r="W895">
        <v>0.12777509075436733</v>
      </c>
      <c r="X895">
        <v>-6.3198659999999865E-2</v>
      </c>
      <c r="Y895">
        <v>0.48793313999999988</v>
      </c>
      <c r="Z895">
        <v>1.2325285399999997</v>
      </c>
    </row>
    <row r="896" spans="1:26">
      <c r="A896" s="54" t="str">
        <f>CONCATENATE(raw[[#This Row],[redis_ls]],raw[[#This Row],[wage_eq]],raw[[#This Row],[flex]],raw[[#This Row],[expo]],raw[[#This Row],[_date_]])</f>
        <v>011046388</v>
      </c>
      <c r="B896" s="1">
        <v>46388</v>
      </c>
      <c r="C896">
        <v>0</v>
      </c>
      <c r="D896">
        <v>1</v>
      </c>
      <c r="E896">
        <v>1</v>
      </c>
      <c r="F896">
        <v>0</v>
      </c>
      <c r="G896">
        <v>0.73282976636619424</v>
      </c>
      <c r="H896">
        <v>19.347289999997884</v>
      </c>
      <c r="I896">
        <v>-8.0687998528641725</v>
      </c>
      <c r="J896">
        <v>2.6615404613087534</v>
      </c>
      <c r="K896">
        <v>5.8663592537529174</v>
      </c>
      <c r="L896">
        <v>-3.462344271838047</v>
      </c>
      <c r="M896">
        <v>1.9584347206865971</v>
      </c>
      <c r="N896">
        <v>2.6386230270439848</v>
      </c>
      <c r="O896">
        <v>-1.9980740000000163E-2</v>
      </c>
      <c r="P896">
        <v>5.990446197046384</v>
      </c>
      <c r="Q896">
        <v>6.5381950525077226</v>
      </c>
      <c r="R896">
        <v>8.0546228820864272</v>
      </c>
      <c r="S896">
        <v>5.5448970011319432</v>
      </c>
      <c r="T896">
        <v>2.7180908499028433</v>
      </c>
      <c r="U896">
        <v>68.998590812467214</v>
      </c>
      <c r="V896">
        <v>9.2674513424211291</v>
      </c>
      <c r="W896">
        <v>0.16783521775023402</v>
      </c>
      <c r="X896">
        <v>-3.4771170000000295E-2</v>
      </c>
      <c r="Y896">
        <v>0.46878305000000037</v>
      </c>
      <c r="Z896">
        <v>1.1674777099999998</v>
      </c>
    </row>
    <row r="897" spans="1:26">
      <c r="A897" s="54" t="str">
        <f>CONCATENATE(raw[[#This Row],[redis_ls]],raw[[#This Row],[wage_eq]],raw[[#This Row],[flex]],raw[[#This Row],[expo]],raw[[#This Row],[_date_]])</f>
        <v>011046753</v>
      </c>
      <c r="B897" s="1">
        <v>46753</v>
      </c>
      <c r="C897">
        <v>0</v>
      </c>
      <c r="D897">
        <v>1</v>
      </c>
      <c r="E897">
        <v>1</v>
      </c>
      <c r="F897">
        <v>0</v>
      </c>
      <c r="G897">
        <v>0.69487116968438567</v>
      </c>
      <c r="H897">
        <v>8.3299799999986135</v>
      </c>
      <c r="I897">
        <v>-7.9351881962710147</v>
      </c>
      <c r="J897">
        <v>2.5714096867186065</v>
      </c>
      <c r="K897">
        <v>5.8806260021662782</v>
      </c>
      <c r="L897">
        <v>-3.4329098630502153</v>
      </c>
      <c r="M897">
        <v>1.9261818881214365</v>
      </c>
      <c r="N897">
        <v>2.5510048337372027</v>
      </c>
      <c r="O897">
        <v>-1.7806160000000126E-2</v>
      </c>
      <c r="P897">
        <v>5.8999615359348612</v>
      </c>
      <c r="Q897">
        <v>6.4294494898363919</v>
      </c>
      <c r="R897">
        <v>7.9299367545043964</v>
      </c>
      <c r="S897">
        <v>5.4522372387376672</v>
      </c>
      <c r="T897">
        <v>2.5897034654325246</v>
      </c>
      <c r="U897">
        <v>70.287302678773628</v>
      </c>
      <c r="V897">
        <v>9.1718838542637506</v>
      </c>
      <c r="W897">
        <v>0.20515086131818183</v>
      </c>
      <c r="X897">
        <v>-1.073213999999989E-2</v>
      </c>
      <c r="Y897">
        <v>0.44969550999999985</v>
      </c>
      <c r="Z897">
        <v>1.09908622</v>
      </c>
    </row>
    <row r="898" spans="1:26">
      <c r="A898" s="54" t="str">
        <f>CONCATENATE(raw[[#This Row],[redis_ls]],raw[[#This Row],[wage_eq]],raw[[#This Row],[flex]],raw[[#This Row],[expo]],raw[[#This Row],[_date_]])</f>
        <v>011047119</v>
      </c>
      <c r="B898" s="1">
        <v>47119</v>
      </c>
      <c r="C898">
        <v>0</v>
      </c>
      <c r="D898">
        <v>1</v>
      </c>
      <c r="E898">
        <v>1</v>
      </c>
      <c r="F898">
        <v>0</v>
      </c>
      <c r="G898">
        <v>0.65772703040392066</v>
      </c>
      <c r="H898">
        <v>-0.96871999999711988</v>
      </c>
      <c r="I898">
        <v>-7.7984466108389157</v>
      </c>
      <c r="J898">
        <v>2.4764560884934061</v>
      </c>
      <c r="K898">
        <v>5.8769897623446088</v>
      </c>
      <c r="L898">
        <v>-3.3944366515344271</v>
      </c>
      <c r="M898">
        <v>1.889528586981104</v>
      </c>
      <c r="N898">
        <v>2.4586748485018406</v>
      </c>
      <c r="O898">
        <v>-1.5531720000000471E-2</v>
      </c>
      <c r="P898">
        <v>5.7978450295435469</v>
      </c>
      <c r="Q898">
        <v>6.3091313830032636</v>
      </c>
      <c r="R898">
        <v>7.7871342111861308</v>
      </c>
      <c r="S898">
        <v>5.35111107113595</v>
      </c>
      <c r="T898">
        <v>2.4613681452708924</v>
      </c>
      <c r="U898">
        <v>71.380667914300318</v>
      </c>
      <c r="V898">
        <v>9.0536047676937024</v>
      </c>
      <c r="W898">
        <v>0.23994691422868364</v>
      </c>
      <c r="X898">
        <v>9.2343700000000611E-3</v>
      </c>
      <c r="Y898">
        <v>0.43104320999999973</v>
      </c>
      <c r="Z898">
        <v>1.0282134800000002</v>
      </c>
    </row>
    <row r="899" spans="1:26">
      <c r="A899" s="54" t="str">
        <f>CONCATENATE(raw[[#This Row],[redis_ls]],raw[[#This Row],[wage_eq]],raw[[#This Row],[flex]],raw[[#This Row],[expo]],raw[[#This Row],[_date_]])</f>
        <v>011047484</v>
      </c>
      <c r="B899" s="1">
        <v>47484</v>
      </c>
      <c r="C899">
        <v>0</v>
      </c>
      <c r="D899">
        <v>1</v>
      </c>
      <c r="E899">
        <v>1</v>
      </c>
      <c r="F899">
        <v>0</v>
      </c>
      <c r="G899">
        <v>0.62150866180070707</v>
      </c>
      <c r="H899">
        <v>-8.681590000000142</v>
      </c>
      <c r="I899">
        <v>-7.6588981346137448</v>
      </c>
      <c r="J899">
        <v>2.3781759068367103</v>
      </c>
      <c r="K899">
        <v>5.8561205324486609</v>
      </c>
      <c r="L899">
        <v>-3.348286354167751</v>
      </c>
      <c r="M899">
        <v>1.8493385219956693</v>
      </c>
      <c r="N899">
        <v>2.3630888915343595</v>
      </c>
      <c r="O899">
        <v>-1.3191749999999502E-2</v>
      </c>
      <c r="P899">
        <v>5.6866054063821281</v>
      </c>
      <c r="Q899">
        <v>6.1799874376940345</v>
      </c>
      <c r="R899">
        <v>7.6301008786527236</v>
      </c>
      <c r="S899">
        <v>5.2435675640056578</v>
      </c>
      <c r="T899">
        <v>2.3344856491959165</v>
      </c>
      <c r="U899">
        <v>72.291617655356546</v>
      </c>
      <c r="V899">
        <v>8.9169584405919942</v>
      </c>
      <c r="W899">
        <v>0.27245196562053486</v>
      </c>
      <c r="X899">
        <v>2.5519170000000077E-2</v>
      </c>
      <c r="Y899">
        <v>0.41313617000000025</v>
      </c>
      <c r="Z899">
        <v>0.95574340999999974</v>
      </c>
    </row>
    <row r="900" spans="1:26">
      <c r="A900" s="54" t="str">
        <f>CONCATENATE(raw[[#This Row],[redis_ls]],raw[[#This Row],[wage_eq]],raw[[#This Row],[flex]],raw[[#This Row],[expo]],raw[[#This Row],[_date_]])</f>
        <v>011047849</v>
      </c>
      <c r="B900" s="1">
        <v>47849</v>
      </c>
      <c r="C900">
        <v>0</v>
      </c>
      <c r="D900">
        <v>1</v>
      </c>
      <c r="E900">
        <v>1</v>
      </c>
      <c r="F900">
        <v>0</v>
      </c>
      <c r="G900">
        <v>0.58632652240080407</v>
      </c>
      <c r="H900">
        <v>-14.967349999998987</v>
      </c>
      <c r="I900">
        <v>-7.5170130146209875</v>
      </c>
      <c r="J900">
        <v>2.2780267800365461</v>
      </c>
      <c r="K900">
        <v>5.8188765076038429</v>
      </c>
      <c r="L900">
        <v>-3.2957652610044352</v>
      </c>
      <c r="M900">
        <v>1.8064188194736985</v>
      </c>
      <c r="N900">
        <v>2.2656709917916462</v>
      </c>
      <c r="O900">
        <v>-1.0814949999998769E-2</v>
      </c>
      <c r="P900">
        <v>5.5685590410372354</v>
      </c>
      <c r="Q900">
        <v>6.0445027286655684</v>
      </c>
      <c r="R900">
        <v>7.4624276956383406</v>
      </c>
      <c r="S900">
        <v>5.1314551435081013</v>
      </c>
      <c r="T900">
        <v>2.2101923017450842</v>
      </c>
      <c r="U900">
        <v>73.034497176656203</v>
      </c>
      <c r="V900">
        <v>8.7659955451210525</v>
      </c>
      <c r="W900">
        <v>0.30288155180133725</v>
      </c>
      <c r="X900">
        <v>3.8553680000000083E-2</v>
      </c>
      <c r="Y900">
        <v>0.39621509000000027</v>
      </c>
      <c r="Z900">
        <v>0.88258548999999986</v>
      </c>
    </row>
    <row r="901" spans="1:26">
      <c r="A901" s="54" t="str">
        <f>CONCATENATE(raw[[#This Row],[redis_ls]],raw[[#This Row],[wage_eq]],raw[[#This Row],[flex]],raw[[#This Row],[expo]],raw[[#This Row],[_date_]])</f>
        <v>011048214</v>
      </c>
      <c r="B901" s="1">
        <v>48214</v>
      </c>
      <c r="C901">
        <v>0</v>
      </c>
      <c r="D901">
        <v>1</v>
      </c>
      <c r="E901">
        <v>1</v>
      </c>
      <c r="F901">
        <v>0</v>
      </c>
      <c r="G901">
        <v>0.55229798950695574</v>
      </c>
      <c r="H901">
        <v>-19.997340000001714</v>
      </c>
      <c r="I901">
        <v>-7.373351771953562</v>
      </c>
      <c r="J901">
        <v>2.1774208343438461</v>
      </c>
      <c r="K901">
        <v>5.7662773398523104</v>
      </c>
      <c r="L901">
        <v>-3.2381077515362566</v>
      </c>
      <c r="M901">
        <v>1.7615280421049428</v>
      </c>
      <c r="N901">
        <v>2.1678026052908361</v>
      </c>
      <c r="O901">
        <v>-8.4277300000004662E-3</v>
      </c>
      <c r="P901">
        <v>5.4458133713136014</v>
      </c>
      <c r="Q901">
        <v>5.9048976369982409</v>
      </c>
      <c r="R901">
        <v>7.2873807479351127</v>
      </c>
      <c r="S901">
        <v>5.0164231098604573</v>
      </c>
      <c r="T901">
        <v>2.0893803223701157</v>
      </c>
      <c r="U901">
        <v>73.624599023454749</v>
      </c>
      <c r="V901">
        <v>8.6044221279957469</v>
      </c>
      <c r="W901">
        <v>0.3314270076788306</v>
      </c>
      <c r="X901">
        <v>4.8779539999999934E-2</v>
      </c>
      <c r="Y901">
        <v>0.38044966999999996</v>
      </c>
      <c r="Z901">
        <v>0.80966636999999997</v>
      </c>
    </row>
    <row r="902" spans="1:26">
      <c r="A902" s="54" t="str">
        <f>CONCATENATE(raw[[#This Row],[redis_ls]],raw[[#This Row],[wage_eq]],raw[[#This Row],[flex]],raw[[#This Row],[expo]],raw[[#This Row],[_date_]])</f>
        <v>011048580</v>
      </c>
      <c r="B902" s="1">
        <v>48580</v>
      </c>
      <c r="C902">
        <v>0</v>
      </c>
      <c r="D902">
        <v>1</v>
      </c>
      <c r="E902">
        <v>1</v>
      </c>
      <c r="F902">
        <v>0</v>
      </c>
      <c r="G902">
        <v>0.51954982167550234</v>
      </c>
      <c r="H902">
        <v>-23.944470000002184</v>
      </c>
      <c r="I902">
        <v>-7.228517074359031</v>
      </c>
      <c r="J902">
        <v>2.0777101824805966</v>
      </c>
      <c r="K902">
        <v>5.6994734469365982</v>
      </c>
      <c r="L902">
        <v>-3.176465203756762</v>
      </c>
      <c r="M902">
        <v>1.7153799269704839</v>
      </c>
      <c r="N902">
        <v>2.0708038018276476</v>
      </c>
      <c r="O902">
        <v>-6.0579399999996508E-3</v>
      </c>
      <c r="P902">
        <v>5.3202585156746141</v>
      </c>
      <c r="Q902">
        <v>5.763132831368889</v>
      </c>
      <c r="R902">
        <v>7.1078860524276699</v>
      </c>
      <c r="S902">
        <v>4.8999284996994907</v>
      </c>
      <c r="T902">
        <v>1.972722590029985</v>
      </c>
      <c r="U902">
        <v>74.077743471152772</v>
      </c>
      <c r="V902">
        <v>8.4355712797767879</v>
      </c>
      <c r="W902">
        <v>0.3582503761936584</v>
      </c>
      <c r="X902">
        <v>5.6624880000000037E-2</v>
      </c>
      <c r="Y902">
        <v>0.36594175999999989</v>
      </c>
      <c r="Z902">
        <v>0.73791058000000009</v>
      </c>
    </row>
    <row r="903" spans="1:26">
      <c r="A903" s="54" t="str">
        <f>CONCATENATE(raw[[#This Row],[redis_ls]],raw[[#This Row],[wage_eq]],raw[[#This Row],[flex]],raw[[#This Row],[expo]],raw[[#This Row],[_date_]])</f>
        <v>011048945</v>
      </c>
      <c r="B903" s="1">
        <v>48945</v>
      </c>
      <c r="C903">
        <v>0</v>
      </c>
      <c r="D903">
        <v>1</v>
      </c>
      <c r="E903">
        <v>1</v>
      </c>
      <c r="F903">
        <v>0</v>
      </c>
      <c r="G903">
        <v>0.48821405981425148</v>
      </c>
      <c r="H903">
        <v>-26.97501999999804</v>
      </c>
      <c r="I903">
        <v>-7.0831165593603469</v>
      </c>
      <c r="J903">
        <v>1.980162744562608</v>
      </c>
      <c r="K903">
        <v>5.6197118525209477</v>
      </c>
      <c r="L903">
        <v>-3.1118988755837185</v>
      </c>
      <c r="M903">
        <v>1.6686416669823956</v>
      </c>
      <c r="N903">
        <v>1.9759063781102038</v>
      </c>
      <c r="O903">
        <v>-3.7374799999989605E-3</v>
      </c>
      <c r="P903">
        <v>5.1935663470943583</v>
      </c>
      <c r="Q903">
        <v>5.6209196828324925</v>
      </c>
      <c r="R903">
        <v>6.9265260027314923</v>
      </c>
      <c r="S903">
        <v>4.7832456694679282</v>
      </c>
      <c r="T903">
        <v>1.8607003399373934</v>
      </c>
      <c r="U903">
        <v>74.409906662152594</v>
      </c>
      <c r="V903">
        <v>8.2623928091574594</v>
      </c>
      <c r="W903">
        <v>0.38348384791804246</v>
      </c>
      <c r="X903">
        <v>6.2488378999999913E-2</v>
      </c>
      <c r="Y903">
        <v>0.35273284000000016</v>
      </c>
      <c r="Z903">
        <v>0.66821233000000024</v>
      </c>
    </row>
    <row r="904" spans="1:26">
      <c r="A904" s="54" t="str">
        <f>CONCATENATE(raw[[#This Row],[redis_ls]],raw[[#This Row],[wage_eq]],raw[[#This Row],[flex]],raw[[#This Row],[expo]],raw[[#This Row],[_date_]])</f>
        <v>011049310</v>
      </c>
      <c r="B904" s="1">
        <v>49310</v>
      </c>
      <c r="C904">
        <v>0</v>
      </c>
      <c r="D904">
        <v>1</v>
      </c>
      <c r="E904">
        <v>1</v>
      </c>
      <c r="F904">
        <v>0</v>
      </c>
      <c r="G904">
        <v>0.45841906980084168</v>
      </c>
      <c r="H904">
        <v>-29.243719999998575</v>
      </c>
      <c r="I904">
        <v>-6.93773716720818</v>
      </c>
      <c r="J904">
        <v>1.8859324177550985</v>
      </c>
      <c r="K904">
        <v>5.5282999958817358</v>
      </c>
      <c r="L904">
        <v>-3.0453753479183776</v>
      </c>
      <c r="M904">
        <v>1.6219275233320785</v>
      </c>
      <c r="N904">
        <v>1.8842218524640852</v>
      </c>
      <c r="O904">
        <v>-1.5035900000001656E-3</v>
      </c>
      <c r="P904">
        <v>5.0671945909251059</v>
      </c>
      <c r="Q904">
        <v>5.479733357649641</v>
      </c>
      <c r="R904">
        <v>6.7455442819162492</v>
      </c>
      <c r="S904">
        <v>4.667476631925771</v>
      </c>
      <c r="T904">
        <v>1.7536292582084334</v>
      </c>
      <c r="U904">
        <v>74.636898572057049</v>
      </c>
      <c r="V904">
        <v>8.0874564540715852</v>
      </c>
      <c r="W904">
        <v>0.40723262887403244</v>
      </c>
      <c r="X904">
        <v>6.6731224000000061E-2</v>
      </c>
      <c r="Y904">
        <v>0.34081432999999994</v>
      </c>
      <c r="Z904">
        <v>0.60140132000000013</v>
      </c>
    </row>
    <row r="905" spans="1:26">
      <c r="A905" s="54" t="str">
        <f>CONCATENATE(raw[[#This Row],[redis_ls]],raw[[#This Row],[wage_eq]],raw[[#This Row],[flex]],raw[[#This Row],[expo]],raw[[#This Row],[_date_]])</f>
        <v>011049675</v>
      </c>
      <c r="B905" s="1">
        <v>49675</v>
      </c>
      <c r="C905">
        <v>0</v>
      </c>
      <c r="D905">
        <v>1</v>
      </c>
      <c r="E905">
        <v>1</v>
      </c>
      <c r="F905">
        <v>0</v>
      </c>
      <c r="G905">
        <v>0.43027783285456422</v>
      </c>
      <c r="H905">
        <v>-30.89176999999836</v>
      </c>
      <c r="I905">
        <v>-6.7929302306925958</v>
      </c>
      <c r="J905">
        <v>1.7960265178735169</v>
      </c>
      <c r="K905">
        <v>5.4265694354559857</v>
      </c>
      <c r="L905">
        <v>-2.9777646680994696</v>
      </c>
      <c r="M905">
        <v>1.5757886977122437</v>
      </c>
      <c r="N905">
        <v>1.7967106143898404</v>
      </c>
      <c r="O905">
        <v>6.0189000000016035E-4</v>
      </c>
      <c r="P905">
        <v>4.9423929132114797</v>
      </c>
      <c r="Q905">
        <v>5.340826061374826</v>
      </c>
      <c r="R905">
        <v>6.5668562629233262</v>
      </c>
      <c r="S905">
        <v>4.5535619796314375</v>
      </c>
      <c r="T905">
        <v>1.6516851896906326</v>
      </c>
      <c r="U905">
        <v>74.774088801850922</v>
      </c>
      <c r="V905">
        <v>7.9129639312058631</v>
      </c>
      <c r="W905">
        <v>0.42957975206847632</v>
      </c>
      <c r="X905">
        <v>6.9675930999999955E-2</v>
      </c>
      <c r="Y905">
        <v>0.33013977</v>
      </c>
      <c r="Z905">
        <v>0.53820766999999947</v>
      </c>
    </row>
    <row r="906" spans="1:26">
      <c r="A906" s="54" t="str">
        <f>CONCATENATE(raw[[#This Row],[redis_ls]],raw[[#This Row],[wage_eq]],raw[[#This Row],[flex]],raw[[#This Row],[expo]],raw[[#This Row],[_date_]])</f>
        <v>011050041</v>
      </c>
      <c r="B906" s="1">
        <v>50041</v>
      </c>
      <c r="C906">
        <v>0</v>
      </c>
      <c r="D906">
        <v>1</v>
      </c>
      <c r="E906">
        <v>1</v>
      </c>
      <c r="F906">
        <v>0</v>
      </c>
      <c r="G906">
        <v>0.4038751001291363</v>
      </c>
      <c r="H906">
        <v>-32.047370000000228</v>
      </c>
      <c r="I906">
        <v>-6.6492054618726426</v>
      </c>
      <c r="J906">
        <v>1.7112749124245985</v>
      </c>
      <c r="K906">
        <v>5.3158415162535722</v>
      </c>
      <c r="L906">
        <v>-2.9098398636653533</v>
      </c>
      <c r="M906">
        <v>1.5307020521256653</v>
      </c>
      <c r="N906">
        <v>1.7141532806490778</v>
      </c>
      <c r="O906">
        <v>2.5348899999999563E-3</v>
      </c>
      <c r="P906">
        <v>4.8202119968074664</v>
      </c>
      <c r="Q906">
        <v>5.205241589297005</v>
      </c>
      <c r="R906">
        <v>6.3920627797633411</v>
      </c>
      <c r="S906">
        <v>4.4422901561439021</v>
      </c>
      <c r="T906">
        <v>1.5549263196899421</v>
      </c>
      <c r="U906">
        <v>74.836178410941216</v>
      </c>
      <c r="V906">
        <v>7.7407659806545182</v>
      </c>
      <c r="W906">
        <v>0.45059163683136561</v>
      </c>
      <c r="X906">
        <v>7.1610088999999988E-2</v>
      </c>
      <c r="Y906">
        <v>0.32063721000000001</v>
      </c>
      <c r="Z906">
        <v>0.4792304499999997</v>
      </c>
    </row>
    <row r="907" spans="1:26">
      <c r="A907" s="54" t="str">
        <f>CONCATENATE(raw[[#This Row],[redis_ls]],raw[[#This Row],[wage_eq]],raw[[#This Row],[flex]],raw[[#This Row],[expo]],raw[[#This Row],[_date_]])</f>
        <v>011050406</v>
      </c>
      <c r="B907" s="1">
        <v>50406</v>
      </c>
      <c r="C907">
        <v>0</v>
      </c>
      <c r="D907">
        <v>1</v>
      </c>
      <c r="E907">
        <v>1</v>
      </c>
      <c r="F907">
        <v>0</v>
      </c>
      <c r="G907">
        <v>0.37925658296666942</v>
      </c>
      <c r="H907">
        <v>-32.82752999999866</v>
      </c>
      <c r="I907">
        <v>-6.507031320910583</v>
      </c>
      <c r="J907">
        <v>1.6323067377301381</v>
      </c>
      <c r="K907">
        <v>5.1973971331336966</v>
      </c>
      <c r="L907">
        <v>-2.8422778414858962</v>
      </c>
      <c r="M907">
        <v>1.4870593661187925</v>
      </c>
      <c r="N907">
        <v>1.6371313999048009</v>
      </c>
      <c r="O907">
        <v>4.2526299999998129E-3</v>
      </c>
      <c r="P907">
        <v>4.7015126135070862</v>
      </c>
      <c r="Q907">
        <v>5.0738268879780168</v>
      </c>
      <c r="R907">
        <v>6.2224657542757189</v>
      </c>
      <c r="S907">
        <v>4.3343066800354046</v>
      </c>
      <c r="T907">
        <v>1.4633136439294869</v>
      </c>
      <c r="U907">
        <v>74.837013203108398</v>
      </c>
      <c r="V907">
        <v>7.5723820087723714</v>
      </c>
      <c r="W907">
        <v>0.47032307484848879</v>
      </c>
      <c r="X907">
        <v>7.2792905000000019E-2</v>
      </c>
      <c r="Y907">
        <v>0.31222038000000008</v>
      </c>
      <c r="Z907">
        <v>0.42491431000000052</v>
      </c>
    </row>
    <row r="908" spans="1:26">
      <c r="A908" s="54" t="str">
        <f>CONCATENATE(raw[[#This Row],[redis_ls]],raw[[#This Row],[wage_eq]],raw[[#This Row],[flex]],raw[[#This Row],[expo]],raw[[#This Row],[_date_]])</f>
        <v>011050771</v>
      </c>
      <c r="B908" s="1">
        <v>50771</v>
      </c>
      <c r="C908">
        <v>0</v>
      </c>
      <c r="D908">
        <v>1</v>
      </c>
      <c r="E908">
        <v>1</v>
      </c>
      <c r="F908">
        <v>0</v>
      </c>
      <c r="G908">
        <v>0.35642120222083573</v>
      </c>
      <c r="H908">
        <v>-33.340830000001006</v>
      </c>
      <c r="I908">
        <v>-6.3668388029423317</v>
      </c>
      <c r="J908">
        <v>1.5595362575804517</v>
      </c>
      <c r="K908">
        <v>5.0724518572733857</v>
      </c>
      <c r="L908">
        <v>-2.7756609705213875</v>
      </c>
      <c r="M908">
        <v>1.445159581387867</v>
      </c>
      <c r="N908">
        <v>1.5660178636313526</v>
      </c>
      <c r="O908">
        <v>5.7177699999994003E-3</v>
      </c>
      <c r="P908">
        <v>4.5869754004668195</v>
      </c>
      <c r="Q908">
        <v>4.9472432688912216</v>
      </c>
      <c r="R908">
        <v>6.0590848051177648</v>
      </c>
      <c r="S908">
        <v>4.230120364086698</v>
      </c>
      <c r="T908">
        <v>1.3767262255599988</v>
      </c>
      <c r="U908">
        <v>74.789434924104654</v>
      </c>
      <c r="V908">
        <v>7.4090200499150605</v>
      </c>
      <c r="W908">
        <v>0.48882106012868576</v>
      </c>
      <c r="X908">
        <v>7.3462347000000011E-2</v>
      </c>
      <c r="Y908">
        <v>0.30479810999999996</v>
      </c>
      <c r="Z908">
        <v>0.37553671000000038</v>
      </c>
    </row>
    <row r="909" spans="1:26">
      <c r="A909" s="54" t="str">
        <f>CONCATENATE(raw[[#This Row],[redis_ls]],raw[[#This Row],[wage_eq]],raw[[#This Row],[flex]],raw[[#This Row],[expo]],raw[[#This Row],[_date_]])</f>
        <v>011051136</v>
      </c>
      <c r="B909" s="1">
        <v>51136</v>
      </c>
      <c r="C909">
        <v>0</v>
      </c>
      <c r="D909">
        <v>1</v>
      </c>
      <c r="E909">
        <v>1</v>
      </c>
      <c r="F909">
        <v>0</v>
      </c>
      <c r="G909">
        <v>0.33531780746183237</v>
      </c>
      <c r="H909">
        <v>-33.689660000000003</v>
      </c>
      <c r="I909">
        <v>-6.2290265538618383</v>
      </c>
      <c r="J909">
        <v>1.4931618735493091</v>
      </c>
      <c r="K909">
        <v>4.9421380020148398</v>
      </c>
      <c r="L909">
        <v>-2.7104789857581468</v>
      </c>
      <c r="M909">
        <v>1.405205203624571</v>
      </c>
      <c r="N909">
        <v>1.5009801106180332</v>
      </c>
      <c r="O909">
        <v>6.9020399999994431E-3</v>
      </c>
      <c r="P909">
        <v>4.4771103310230931</v>
      </c>
      <c r="Q909">
        <v>4.8259780249863438</v>
      </c>
      <c r="R909">
        <v>5.9026745433443883</v>
      </c>
      <c r="S909">
        <v>4.1301105501004409</v>
      </c>
      <c r="T909">
        <v>1.2949756434747828</v>
      </c>
      <c r="U909">
        <v>74.705169789636656</v>
      </c>
      <c r="V909">
        <v>7.2515965223765244</v>
      </c>
      <c r="W909">
        <v>0.50612719372071791</v>
      </c>
      <c r="X909">
        <v>7.3841128999999922E-2</v>
      </c>
      <c r="Y909">
        <v>0.29828102999999995</v>
      </c>
      <c r="Z909">
        <v>0.33120696999999966</v>
      </c>
    </row>
    <row r="910" spans="1:26">
      <c r="A910" s="54" t="str">
        <f>CONCATENATE(raw[[#This Row],[redis_ls]],raw[[#This Row],[wage_eq]],raw[[#This Row],[flex]],raw[[#This Row],[expo]],raw[[#This Row],[_date_]])</f>
        <v>011051502</v>
      </c>
      <c r="B910" s="1">
        <v>51502</v>
      </c>
      <c r="C910">
        <v>0</v>
      </c>
      <c r="D910">
        <v>1</v>
      </c>
      <c r="E910">
        <v>1</v>
      </c>
      <c r="F910">
        <v>0</v>
      </c>
      <c r="G910">
        <v>0.31584706777638694</v>
      </c>
      <c r="H910">
        <v>-33.97182999999859</v>
      </c>
      <c r="I910">
        <v>-6.0939650622753305</v>
      </c>
      <c r="J910">
        <v>1.4331763364094252</v>
      </c>
      <c r="K910">
        <v>4.8074933804349795</v>
      </c>
      <c r="L910">
        <v>-2.6471317470305733</v>
      </c>
      <c r="M910">
        <v>1.3673037006747712</v>
      </c>
      <c r="N910">
        <v>1.4419933734815649</v>
      </c>
      <c r="O910">
        <v>7.7890699999999535E-3</v>
      </c>
      <c r="P910">
        <v>4.3722668714965884</v>
      </c>
      <c r="Q910">
        <v>4.7103531150764821</v>
      </c>
      <c r="R910">
        <v>5.7537419236374676</v>
      </c>
      <c r="S910">
        <v>4.0345332433091796</v>
      </c>
      <c r="T910">
        <v>1.2178167222886449</v>
      </c>
      <c r="U910">
        <v>74.594747548558288</v>
      </c>
      <c r="V910">
        <v>7.1007555818764834</v>
      </c>
      <c r="W910">
        <v>0.52227896802514717</v>
      </c>
      <c r="X910">
        <v>7.4140361000000002E-2</v>
      </c>
      <c r="Y910">
        <v>0.29258557000000007</v>
      </c>
      <c r="Z910">
        <v>0.29187666999999984</v>
      </c>
    </row>
    <row r="911" spans="1:26">
      <c r="A911" s="54" t="str">
        <f>CONCATENATE(raw[[#This Row],[redis_ls]],raw[[#This Row],[wage_eq]],raw[[#This Row],[flex]],raw[[#This Row],[expo]],raw[[#This Row],[_date_]])</f>
        <v>011051867</v>
      </c>
      <c r="B911" s="1">
        <v>51867</v>
      </c>
      <c r="C911">
        <v>0</v>
      </c>
      <c r="D911">
        <v>1</v>
      </c>
      <c r="E911">
        <v>1</v>
      </c>
      <c r="F911">
        <v>0</v>
      </c>
      <c r="G911">
        <v>0.29786735813013276</v>
      </c>
      <c r="H911">
        <v>-34.281119999999646</v>
      </c>
      <c r="I911">
        <v>-5.9619989342142858</v>
      </c>
      <c r="J911">
        <v>1.3793882515975131</v>
      </c>
      <c r="K911">
        <v>4.6694566583707298</v>
      </c>
      <c r="L911">
        <v>-2.58593198740803</v>
      </c>
      <c r="M911">
        <v>1.3314736584285836</v>
      </c>
      <c r="N911">
        <v>1.3888638249659691</v>
      </c>
      <c r="O911">
        <v>8.3758800000000022E-3</v>
      </c>
      <c r="P911">
        <v>4.2726439612459366</v>
      </c>
      <c r="Q911">
        <v>4.6005363264064902</v>
      </c>
      <c r="R911">
        <v>5.612565088092758</v>
      </c>
      <c r="S911">
        <v>3.9435268841469417</v>
      </c>
      <c r="T911">
        <v>1.1449570995026415</v>
      </c>
      <c r="U911">
        <v>74.467452207848055</v>
      </c>
      <c r="V911">
        <v>6.9568884320387658</v>
      </c>
      <c r="W911">
        <v>0.53730938137683815</v>
      </c>
      <c r="X911">
        <v>7.456039099999999E-2</v>
      </c>
      <c r="Y911">
        <v>0.28763570000000027</v>
      </c>
      <c r="Z911">
        <v>0.25735916000000014</v>
      </c>
    </row>
    <row r="912" spans="1:26">
      <c r="A912" s="54" t="str">
        <f>CONCATENATE(raw[[#This Row],[redis_ls]],raw[[#This Row],[wage_eq]],raw[[#This Row],[flex]],raw[[#This Row],[expo]],raw[[#This Row],[_date_]])</f>
        <v>011052232</v>
      </c>
      <c r="B912" s="1">
        <v>52232</v>
      </c>
      <c r="C912">
        <v>0</v>
      </c>
      <c r="D912">
        <v>1</v>
      </c>
      <c r="E912">
        <v>1</v>
      </c>
      <c r="F912">
        <v>0</v>
      </c>
      <c r="G912">
        <v>0.28120442912706878</v>
      </c>
      <c r="H912">
        <v>-34.70654999999897</v>
      </c>
      <c r="I912">
        <v>-5.8334466466302137</v>
      </c>
      <c r="J912">
        <v>1.3314515203123545</v>
      </c>
      <c r="K912">
        <v>4.5288680816805815</v>
      </c>
      <c r="L912">
        <v>-2.5271090841499366</v>
      </c>
      <c r="M912">
        <v>1.2976551048712981</v>
      </c>
      <c r="N912">
        <v>1.3412576424450151</v>
      </c>
      <c r="O912">
        <v>8.6727899999999858E-3</v>
      </c>
      <c r="P912">
        <v>4.1783017478484563</v>
      </c>
      <c r="Q912">
        <v>4.4965515931492561</v>
      </c>
      <c r="R912">
        <v>5.4792126874360969</v>
      </c>
      <c r="S912">
        <v>3.857120143719639</v>
      </c>
      <c r="T912">
        <v>1.0760652073207755</v>
      </c>
      <c r="U912">
        <v>74.331299608721764</v>
      </c>
      <c r="V912">
        <v>6.8201532319710045</v>
      </c>
      <c r="W912">
        <v>0.55124622950928348</v>
      </c>
      <c r="X912">
        <v>7.5288958999999989E-2</v>
      </c>
      <c r="Y912">
        <v>0.28336252000000017</v>
      </c>
      <c r="Z912">
        <v>0.22735561000000043</v>
      </c>
    </row>
    <row r="913" spans="1:26">
      <c r="A913" s="54" t="str">
        <f>CONCATENATE(raw[[#This Row],[redis_ls]],raw[[#This Row],[wage_eq]],raw[[#This Row],[flex]],raw[[#This Row],[expo]],raw[[#This Row],[_date_]])</f>
        <v>011052597</v>
      </c>
      <c r="B913" s="1">
        <v>52597</v>
      </c>
      <c r="C913">
        <v>0</v>
      </c>
      <c r="D913">
        <v>1</v>
      </c>
      <c r="E913">
        <v>1</v>
      </c>
      <c r="F913">
        <v>0</v>
      </c>
      <c r="G913">
        <v>0.26566301900734501</v>
      </c>
      <c r="H913">
        <v>-35.330769999996846</v>
      </c>
      <c r="I913">
        <v>-5.7085979388972641</v>
      </c>
      <c r="J913">
        <v>1.2888998493815196</v>
      </c>
      <c r="K913">
        <v>4.3864746255950715</v>
      </c>
      <c r="L913">
        <v>-2.4708129189245032</v>
      </c>
      <c r="M913">
        <v>1.2657229020962779</v>
      </c>
      <c r="N913">
        <v>1.2987344042133309</v>
      </c>
      <c r="O913">
        <v>8.7020899999998291E-3</v>
      </c>
      <c r="P913">
        <v>4.0891728086435819</v>
      </c>
      <c r="Q913">
        <v>4.3982913106069388</v>
      </c>
      <c r="R913">
        <v>5.3535644803307081</v>
      </c>
      <c r="S913">
        <v>3.7752393534620898</v>
      </c>
      <c r="T913">
        <v>1.010777902240112</v>
      </c>
      <c r="U913">
        <v>74.193040240925583</v>
      </c>
      <c r="V913">
        <v>6.6904960582651052</v>
      </c>
      <c r="W913">
        <v>0.56411105329727818</v>
      </c>
      <c r="X913">
        <v>7.6497286999999997E-2</v>
      </c>
      <c r="Y913">
        <v>0.27970273999999989</v>
      </c>
      <c r="Z913">
        <v>0.20148439000000004</v>
      </c>
    </row>
    <row r="914" spans="1:26">
      <c r="A914" s="54" t="str">
        <f>CONCATENATE(raw[[#This Row],[redis_ls]],raw[[#This Row],[wage_eq]],raw[[#This Row],[flex]],raw[[#This Row],[expo]],raw[[#This Row],[_date_]])</f>
        <v>011052963</v>
      </c>
      <c r="B914" s="1">
        <v>52963</v>
      </c>
      <c r="C914">
        <v>0</v>
      </c>
      <c r="D914">
        <v>1</v>
      </c>
      <c r="E914">
        <v>1</v>
      </c>
      <c r="F914">
        <v>0</v>
      </c>
      <c r="G914">
        <v>0.25103937674137988</v>
      </c>
      <c r="H914">
        <v>-36.227790000000823</v>
      </c>
      <c r="I914">
        <v>-5.5877093811558591</v>
      </c>
      <c r="J914">
        <v>1.251182526807626</v>
      </c>
      <c r="K914">
        <v>4.2429376759096193</v>
      </c>
      <c r="L914">
        <v>-2.4171189520647895</v>
      </c>
      <c r="M914">
        <v>1.2355016801550267</v>
      </c>
      <c r="N914">
        <v>1.2607797088066475</v>
      </c>
      <c r="O914">
        <v>8.4956499999996882E-3</v>
      </c>
      <c r="P914">
        <v>4.0050761999897322</v>
      </c>
      <c r="Q914">
        <v>4.3055299200972064</v>
      </c>
      <c r="R914">
        <v>5.2353330868384118</v>
      </c>
      <c r="S914">
        <v>3.6977184529413343</v>
      </c>
      <c r="T914">
        <v>0.94870732713219219</v>
      </c>
      <c r="U914">
        <v>74.058185268013915</v>
      </c>
      <c r="V914">
        <v>6.5676733940536858</v>
      </c>
      <c r="W914">
        <v>0.57591805330139412</v>
      </c>
      <c r="X914">
        <v>7.8334971999999975E-2</v>
      </c>
      <c r="Y914">
        <v>0.27659638999999947</v>
      </c>
      <c r="Z914">
        <v>0.17931088999999997</v>
      </c>
    </row>
    <row r="915" spans="1:26">
      <c r="A915" s="54" t="str">
        <f>CONCATENATE(raw[[#This Row],[redis_ls]],raw[[#This Row],[wage_eq]],raw[[#This Row],[flex]],raw[[#This Row],[expo]],raw[[#This Row],[_date_]])</f>
        <v>011053328</v>
      </c>
      <c r="B915" s="1">
        <v>53328</v>
      </c>
      <c r="C915">
        <v>0</v>
      </c>
      <c r="D915">
        <v>1</v>
      </c>
      <c r="E915">
        <v>1</v>
      </c>
      <c r="F915">
        <v>0</v>
      </c>
      <c r="G915">
        <v>0.23713304330561513</v>
      </c>
      <c r="H915">
        <v>-37.460509999997157</v>
      </c>
      <c r="I915">
        <v>-5.4709990274803282</v>
      </c>
      <c r="J915">
        <v>1.2176996423909792</v>
      </c>
      <c r="K915">
        <v>4.0988421752732318</v>
      </c>
      <c r="L915">
        <v>-2.366033977461024</v>
      </c>
      <c r="M915">
        <v>1.2067811628774905</v>
      </c>
      <c r="N915">
        <v>1.2268372678334138</v>
      </c>
      <c r="O915">
        <v>8.0918599999993401E-3</v>
      </c>
      <c r="P915">
        <v>3.9257308950166436</v>
      </c>
      <c r="Q915">
        <v>4.2179384220951022</v>
      </c>
      <c r="R915">
        <v>5.1240874188784868</v>
      </c>
      <c r="S915">
        <v>3.624309533890524</v>
      </c>
      <c r="T915">
        <v>0.88944870319138669</v>
      </c>
      <c r="U915">
        <v>73.931053215342786</v>
      </c>
      <c r="V915">
        <v>6.4512763703464593</v>
      </c>
      <c r="W915">
        <v>0.58667355782320296</v>
      </c>
      <c r="X915">
        <v>8.0924662999999966E-2</v>
      </c>
      <c r="Y915">
        <v>0.27398458999999958</v>
      </c>
      <c r="Z915">
        <v>0.16037519000000022</v>
      </c>
    </row>
    <row r="916" spans="1:26">
      <c r="A916" s="54" t="str">
        <f>CONCATENATE(raw[[#This Row],[redis_ls]],raw[[#This Row],[wage_eq]],raw[[#This Row],[flex]],raw[[#This Row],[expo]],raw[[#This Row],[_date_]])</f>
        <v>011053693</v>
      </c>
      <c r="B916" s="1">
        <v>53693</v>
      </c>
      <c r="C916">
        <v>0</v>
      </c>
      <c r="D916">
        <v>1</v>
      </c>
      <c r="E916">
        <v>1</v>
      </c>
      <c r="F916">
        <v>0</v>
      </c>
      <c r="G916">
        <v>0.22375728884691526</v>
      </c>
      <c r="H916">
        <v>-39.078379999999015</v>
      </c>
      <c r="I916">
        <v>-5.3586407145620463</v>
      </c>
      <c r="J916">
        <v>1.1878330747992827</v>
      </c>
      <c r="K916">
        <v>3.9547059474117185</v>
      </c>
      <c r="L916">
        <v>-2.3175024360551855</v>
      </c>
      <c r="M916">
        <v>1.1793304661087411</v>
      </c>
      <c r="N916">
        <v>1.196336217113747</v>
      </c>
      <c r="O916">
        <v>7.5325500000000822E-3</v>
      </c>
      <c r="P916">
        <v>3.8507715694172884</v>
      </c>
      <c r="Q916">
        <v>4.1351007705731746</v>
      </c>
      <c r="R916">
        <v>5.0192764060898565</v>
      </c>
      <c r="S916">
        <v>3.5546949012332574</v>
      </c>
      <c r="T916">
        <v>0.83258727972637114</v>
      </c>
      <c r="U916">
        <v>73.814834131126176</v>
      </c>
      <c r="V916">
        <v>6.3407564626629664</v>
      </c>
      <c r="W916">
        <v>0.59637567609600595</v>
      </c>
      <c r="X916">
        <v>8.4357378999999968E-2</v>
      </c>
      <c r="Y916">
        <v>0.2718075200000003</v>
      </c>
      <c r="Z916">
        <v>0.14421603000000019</v>
      </c>
    </row>
    <row r="917" spans="1:26">
      <c r="A917" s="54" t="str">
        <f>CONCATENATE(raw[[#This Row],[redis_ls]],raw[[#This Row],[wage_eq]],raw[[#This Row],[flex]],raw[[#This Row],[expo]],raw[[#This Row],[_date_]])</f>
        <v>011054058</v>
      </c>
      <c r="B917" s="1">
        <v>54058</v>
      </c>
      <c r="C917">
        <v>0</v>
      </c>
      <c r="D917">
        <v>1</v>
      </c>
      <c r="E917">
        <v>1</v>
      </c>
      <c r="F917">
        <v>0</v>
      </c>
      <c r="G917">
        <v>0.21074709758281962</v>
      </c>
      <c r="H917">
        <v>-41.115539999998873</v>
      </c>
      <c r="I917">
        <v>-5.2507595575960302</v>
      </c>
      <c r="J917">
        <v>1.1609728313170642</v>
      </c>
      <c r="K917">
        <v>3.8109884232374602</v>
      </c>
      <c r="L917">
        <v>-2.2714136996307199</v>
      </c>
      <c r="M917">
        <v>1.1529117921373899</v>
      </c>
      <c r="N917">
        <v>1.1687146059077724</v>
      </c>
      <c r="O917">
        <v>6.8599299999999586E-3</v>
      </c>
      <c r="P917">
        <v>3.7797641730338727</v>
      </c>
      <c r="Q917">
        <v>4.056530587307261</v>
      </c>
      <c r="R917">
        <v>4.9202542407494443</v>
      </c>
      <c r="S917">
        <v>3.488499861107619</v>
      </c>
      <c r="T917">
        <v>0.77770572390212234</v>
      </c>
      <c r="U917">
        <v>73.711668885618977</v>
      </c>
      <c r="V917">
        <v>6.2354523923245031</v>
      </c>
      <c r="W917">
        <v>0.60501483530035483</v>
      </c>
      <c r="X917">
        <v>8.8689136000000016E-2</v>
      </c>
      <c r="Y917">
        <v>0.27000323999999964</v>
      </c>
      <c r="Z917">
        <v>0.13038993000000013</v>
      </c>
    </row>
    <row r="918" spans="1:26">
      <c r="A918" s="54" t="str">
        <f>CONCATENATE(raw[[#This Row],[redis_ls]],raw[[#This Row],[wage_eq]],raw[[#This Row],[flex]],raw[[#This Row],[expo]],raw[[#This Row],[_date_]])</f>
        <v>011054424</v>
      </c>
      <c r="B918" s="1">
        <v>54424</v>
      </c>
      <c r="C918">
        <v>0</v>
      </c>
      <c r="D918">
        <v>1</v>
      </c>
      <c r="E918">
        <v>1</v>
      </c>
      <c r="F918">
        <v>0</v>
      </c>
      <c r="G918">
        <v>0.19796485704659528</v>
      </c>
      <c r="H918">
        <v>-43.589670000001206</v>
      </c>
      <c r="I918">
        <v>-5.147427884096456</v>
      </c>
      <c r="J918">
        <v>1.1365379425292588</v>
      </c>
      <c r="K918">
        <v>3.6680980760425141</v>
      </c>
      <c r="L918">
        <v>-2.2276096473975215</v>
      </c>
      <c r="M918">
        <v>1.1272899598012032</v>
      </c>
      <c r="N918">
        <v>1.1434362359364902</v>
      </c>
      <c r="O918">
        <v>6.1141500000000404E-3</v>
      </c>
      <c r="P918">
        <v>3.712223154687222</v>
      </c>
      <c r="Q918">
        <v>3.9816894827646721</v>
      </c>
      <c r="R918">
        <v>4.8263044250100418</v>
      </c>
      <c r="S918">
        <v>3.4253065629790136</v>
      </c>
      <c r="T918">
        <v>0.72439205684322605</v>
      </c>
      <c r="U918">
        <v>73.622741977838118</v>
      </c>
      <c r="V918">
        <v>6.1346176948293696</v>
      </c>
      <c r="W918">
        <v>0.61257494578079719</v>
      </c>
      <c r="X918">
        <v>9.3939293000000049E-2</v>
      </c>
      <c r="Y918">
        <v>0.26850711000000055</v>
      </c>
      <c r="Z918">
        <v>0.11848518999999988</v>
      </c>
    </row>
    <row r="919" spans="1:26">
      <c r="A919" s="54" t="str">
        <f>CONCATENATE(raw[[#This Row],[redis_ls]],raw[[#This Row],[wage_eq]],raw[[#This Row],[flex]],raw[[#This Row],[expo]],raw[[#This Row],[_date_]])</f>
        <v>011054789</v>
      </c>
      <c r="B919" s="1">
        <v>54789</v>
      </c>
      <c r="C919">
        <v>0</v>
      </c>
      <c r="D919">
        <v>1</v>
      </c>
      <c r="E919">
        <v>1</v>
      </c>
      <c r="F919">
        <v>0</v>
      </c>
      <c r="G919">
        <v>0.18530322979957159</v>
      </c>
      <c r="H919">
        <v>-46.501620000002731</v>
      </c>
      <c r="I919">
        <v>-5.0486636645646126</v>
      </c>
      <c r="J919">
        <v>1.1139908998186732</v>
      </c>
      <c r="K919">
        <v>3.5263986482664489</v>
      </c>
      <c r="L919">
        <v>-2.1858933569274819</v>
      </c>
      <c r="M919">
        <v>1.1022419357090918</v>
      </c>
      <c r="N919">
        <v>1.1200045876091025</v>
      </c>
      <c r="O919">
        <v>5.3313600000007288E-3</v>
      </c>
      <c r="P919">
        <v>3.6476267728700273</v>
      </c>
      <c r="Q919">
        <v>3.9100042465383567</v>
      </c>
      <c r="R919">
        <v>4.7366646007045432</v>
      </c>
      <c r="S919">
        <v>3.3646679826329962</v>
      </c>
      <c r="T919">
        <v>0.6722471888589876</v>
      </c>
      <c r="U919">
        <v>73.54838254212703</v>
      </c>
      <c r="V919">
        <v>6.0374483988189898</v>
      </c>
      <c r="W919">
        <v>0.61903479219380664</v>
      </c>
      <c r="X919">
        <v>0.10009077200000002</v>
      </c>
      <c r="Y919">
        <v>0.26725203999999958</v>
      </c>
      <c r="Z919">
        <v>0.10813113999999999</v>
      </c>
    </row>
    <row r="920" spans="1:26">
      <c r="A920" s="54" t="str">
        <f>CONCATENATE(raw[[#This Row],[redis_ls]],raw[[#This Row],[wage_eq]],raw[[#This Row],[flex]],raw[[#This Row],[expo]],raw[[#This Row],[_date_]])</f>
        <v>010136526</v>
      </c>
      <c r="B920" s="1">
        <v>36526</v>
      </c>
      <c r="C920">
        <v>0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5.2064544503682697E-3</v>
      </c>
      <c r="U920">
        <v>0.21586010219090124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>
      <c r="A921" s="54" t="str">
        <f>CONCATENATE(raw[[#This Row],[redis_ls]],raw[[#This Row],[wage_eq]],raw[[#This Row],[flex]],raw[[#This Row],[expo]],raw[[#This Row],[_date_]])</f>
        <v>010136892</v>
      </c>
      <c r="B921" s="1">
        <v>36892</v>
      </c>
      <c r="C921">
        <v>0</v>
      </c>
      <c r="D921">
        <v>1</v>
      </c>
      <c r="E921">
        <v>0</v>
      </c>
      <c r="F921">
        <v>1</v>
      </c>
      <c r="G921">
        <v>-4.7247138974859659E-3</v>
      </c>
      <c r="H921">
        <v>22.406680000000051</v>
      </c>
      <c r="I921">
        <v>-1.3092525297650148</v>
      </c>
      <c r="J921">
        <v>5.3178606322545896E-2</v>
      </c>
      <c r="K921">
        <v>-0.25257676026827491</v>
      </c>
      <c r="L921">
        <v>-0.1254635950843519</v>
      </c>
      <c r="M921">
        <v>-0.16350227344613666</v>
      </c>
      <c r="N921">
        <v>7.427861138022962E-2</v>
      </c>
      <c r="O921">
        <v>1.8919749999998792E-2</v>
      </c>
      <c r="P921">
        <v>0.45332118682748224</v>
      </c>
      <c r="Q921">
        <v>6.5281744786438445E-2</v>
      </c>
      <c r="R921">
        <v>-0.72243475938157387</v>
      </c>
      <c r="S921">
        <v>0.84601000552870786</v>
      </c>
      <c r="T921">
        <v>0.21482025933448057</v>
      </c>
      <c r="U921">
        <v>0.74463729455909178</v>
      </c>
      <c r="V921">
        <v>1.9537139443381868E-2</v>
      </c>
      <c r="W921">
        <v>-0.38338060762685977</v>
      </c>
      <c r="X921">
        <v>-6.6928250000000689E-2</v>
      </c>
      <c r="Y921">
        <v>6.9757230000000101E-2</v>
      </c>
      <c r="Z921">
        <v>-2.7409777999999954E-2</v>
      </c>
    </row>
    <row r="922" spans="1:26">
      <c r="A922" s="54" t="str">
        <f>CONCATENATE(raw[[#This Row],[redis_ls]],raw[[#This Row],[wage_eq]],raw[[#This Row],[flex]],raw[[#This Row],[expo]],raw[[#This Row],[_date_]])</f>
        <v>010137257</v>
      </c>
      <c r="B922" s="1">
        <v>37257</v>
      </c>
      <c r="C922">
        <v>0</v>
      </c>
      <c r="D922">
        <v>1</v>
      </c>
      <c r="E922">
        <v>0</v>
      </c>
      <c r="F922">
        <v>1</v>
      </c>
      <c r="G922">
        <v>-2.2353043020906238E-2</v>
      </c>
      <c r="H922">
        <v>41.998789999997825</v>
      </c>
      <c r="I922">
        <v>-2.1842686992514682</v>
      </c>
      <c r="J922">
        <v>0.1240668645578813</v>
      </c>
      <c r="K922">
        <v>-0.49313335767866562</v>
      </c>
      <c r="L922">
        <v>-0.29360338604215164</v>
      </c>
      <c r="M922">
        <v>-0.27189487338260543</v>
      </c>
      <c r="N922">
        <v>0.14863012796728636</v>
      </c>
      <c r="O922">
        <v>2.2006169999999603E-2</v>
      </c>
      <c r="P922">
        <v>0.50593891043022587</v>
      </c>
      <c r="Q922">
        <v>0.13140292268514209</v>
      </c>
      <c r="R922">
        <v>-0.64029853168248163</v>
      </c>
      <c r="S922">
        <v>0.89540314313032443</v>
      </c>
      <c r="T922">
        <v>0.33637099943395476</v>
      </c>
      <c r="U922">
        <v>1.6072273013736815</v>
      </c>
      <c r="V922">
        <v>0.18187135132214927</v>
      </c>
      <c r="W922">
        <v>-0.28422687772690081</v>
      </c>
      <c r="X922">
        <v>-0.11956305000000028</v>
      </c>
      <c r="Y922">
        <v>9.1601209999999864E-2</v>
      </c>
      <c r="Z922">
        <v>1.9496699999999728E-3</v>
      </c>
    </row>
    <row r="923" spans="1:26">
      <c r="A923" s="54" t="str">
        <f>CONCATENATE(raw[[#This Row],[redis_ls]],raw[[#This Row],[wage_eq]],raw[[#This Row],[flex]],raw[[#This Row],[expo]],raw[[#This Row],[_date_]])</f>
        <v>010137622</v>
      </c>
      <c r="B923" s="1">
        <v>37622</v>
      </c>
      <c r="C923">
        <v>0</v>
      </c>
      <c r="D923">
        <v>1</v>
      </c>
      <c r="E923">
        <v>0</v>
      </c>
      <c r="F923">
        <v>1</v>
      </c>
      <c r="G923">
        <v>-6.1495180697157537E-2</v>
      </c>
      <c r="H923">
        <v>50.707590000001801</v>
      </c>
      <c r="I923">
        <v>-2.7355571540341406</v>
      </c>
      <c r="J923">
        <v>0.17827146651772097</v>
      </c>
      <c r="K923">
        <v>-0.70766731783428183</v>
      </c>
      <c r="L923">
        <v>-0.47291695459985572</v>
      </c>
      <c r="M923">
        <v>-0.33212399190455377</v>
      </c>
      <c r="N923">
        <v>0.1894443188896533</v>
      </c>
      <c r="O923">
        <v>1.0001729999999098E-2</v>
      </c>
      <c r="P923">
        <v>0.57306468159263879</v>
      </c>
      <c r="Q923">
        <v>0.21045082612345389</v>
      </c>
      <c r="R923">
        <v>-0.54241925053284401</v>
      </c>
      <c r="S923">
        <v>0.95406201460188633</v>
      </c>
      <c r="T923">
        <v>0.41150692818334722</v>
      </c>
      <c r="U923">
        <v>2.7800737906746864</v>
      </c>
      <c r="V923">
        <v>0.36061194106744576</v>
      </c>
      <c r="W923">
        <v>-0.19294750332699007</v>
      </c>
      <c r="X923">
        <v>-0.13787217999999962</v>
      </c>
      <c r="Y923">
        <v>9.0466330000000053E-2</v>
      </c>
      <c r="Z923">
        <v>-6.7999980000000432E-3</v>
      </c>
    </row>
    <row r="924" spans="1:26">
      <c r="A924" s="54" t="str">
        <f>CONCATENATE(raw[[#This Row],[redis_ls]],raw[[#This Row],[wage_eq]],raw[[#This Row],[flex]],raw[[#This Row],[expo]],raw[[#This Row],[_date_]])</f>
        <v>010137987</v>
      </c>
      <c r="B924" s="1">
        <v>37987</v>
      </c>
      <c r="C924">
        <v>0</v>
      </c>
      <c r="D924">
        <v>1</v>
      </c>
      <c r="E924">
        <v>0</v>
      </c>
      <c r="F924">
        <v>1</v>
      </c>
      <c r="G924">
        <v>-0.12372429826070785</v>
      </c>
      <c r="H924">
        <v>47.071640000001935</v>
      </c>
      <c r="I924">
        <v>-3.0897059695717655</v>
      </c>
      <c r="J924">
        <v>0.19601754685096839</v>
      </c>
      <c r="K924">
        <v>-0.90069568389048449</v>
      </c>
      <c r="L924">
        <v>-0.64911853858355961</v>
      </c>
      <c r="M924">
        <v>-0.37308785744942785</v>
      </c>
      <c r="N924">
        <v>0.18771716623764423</v>
      </c>
      <c r="O924">
        <v>-7.4269799999998609E-3</v>
      </c>
      <c r="P924">
        <v>0.64465858294315836</v>
      </c>
      <c r="Q924">
        <v>0.29338989036913343</v>
      </c>
      <c r="R924">
        <v>-0.44005166947248542</v>
      </c>
      <c r="S924">
        <v>1.0153500348802469</v>
      </c>
      <c r="T924">
        <v>0.45587462533787093</v>
      </c>
      <c r="U924">
        <v>4.2144760079538823</v>
      </c>
      <c r="V924">
        <v>0.5211894053316124</v>
      </c>
      <c r="W924">
        <v>-0.13080891803122219</v>
      </c>
      <c r="X924">
        <v>-0.12142076999999973</v>
      </c>
      <c r="Y924">
        <v>7.9509269999999965E-2</v>
      </c>
      <c r="Z924">
        <v>-4.7025910000000025E-2</v>
      </c>
    </row>
    <row r="925" spans="1:26">
      <c r="A925" s="54" t="str">
        <f>CONCATENATE(raw[[#This Row],[redis_ls]],raw[[#This Row],[wage_eq]],raw[[#This Row],[flex]],raw[[#This Row],[expo]],raw[[#This Row],[_date_]])</f>
        <v>010138353</v>
      </c>
      <c r="B925" s="1">
        <v>38353</v>
      </c>
      <c r="C925">
        <v>0</v>
      </c>
      <c r="D925">
        <v>1</v>
      </c>
      <c r="E925">
        <v>0</v>
      </c>
      <c r="F925">
        <v>1</v>
      </c>
      <c r="G925">
        <v>-0.20316499237439389</v>
      </c>
      <c r="H925">
        <v>32.62076000000161</v>
      </c>
      <c r="I925">
        <v>-3.3258092586058718</v>
      </c>
      <c r="J925">
        <v>0.17765541140157826</v>
      </c>
      <c r="K925">
        <v>-1.0779059102857702</v>
      </c>
      <c r="L925">
        <v>-0.81292852888715794</v>
      </c>
      <c r="M925">
        <v>-0.41150927781777868</v>
      </c>
      <c r="N925">
        <v>0.15490581989969776</v>
      </c>
      <c r="O925">
        <v>-2.0352519999999874E-2</v>
      </c>
      <c r="P925">
        <v>0.70982068720637503</v>
      </c>
      <c r="Q925">
        <v>0.36842897995190693</v>
      </c>
      <c r="R925">
        <v>-0.34749782196722423</v>
      </c>
      <c r="S925">
        <v>1.0701729985281627</v>
      </c>
      <c r="T925">
        <v>0.47581336993098855</v>
      </c>
      <c r="U925">
        <v>5.8471420837524324</v>
      </c>
      <c r="V925">
        <v>0.65334570959834082</v>
      </c>
      <c r="W925">
        <v>-9.1481672766091648E-2</v>
      </c>
      <c r="X925">
        <v>-7.7025840000000123E-2</v>
      </c>
      <c r="Y925">
        <v>6.5139900000000042E-2</v>
      </c>
      <c r="Z925">
        <v>-0.10569989299999998</v>
      </c>
    </row>
    <row r="926" spans="1:26">
      <c r="A926" s="54" t="str">
        <f>CONCATENATE(raw[[#This Row],[redis_ls]],raw[[#This Row],[wage_eq]],raw[[#This Row],[flex]],raw[[#This Row],[expo]],raw[[#This Row],[_date_]])</f>
        <v>010138718</v>
      </c>
      <c r="B926" s="1">
        <v>38718</v>
      </c>
      <c r="C926">
        <v>0</v>
      </c>
      <c r="D926">
        <v>1</v>
      </c>
      <c r="E926">
        <v>0</v>
      </c>
      <c r="F926">
        <v>1</v>
      </c>
      <c r="G926">
        <v>-0.29081459839651602</v>
      </c>
      <c r="H926">
        <v>10.231679999997141</v>
      </c>
      <c r="I926">
        <v>-3.4874204454114932</v>
      </c>
      <c r="J926">
        <v>0.13283885790875694</v>
      </c>
      <c r="K926">
        <v>-1.2411619696398812</v>
      </c>
      <c r="L926">
        <v>-0.95659493821520503</v>
      </c>
      <c r="M926">
        <v>-0.45315573633492034</v>
      </c>
      <c r="N926">
        <v>0.10381417523763758</v>
      </c>
      <c r="O926">
        <v>-2.5968540000000095E-2</v>
      </c>
      <c r="P926">
        <v>0.76038910058917608</v>
      </c>
      <c r="Q926">
        <v>0.42631944205007155</v>
      </c>
      <c r="R926">
        <v>-0.27581291057462431</v>
      </c>
      <c r="S926">
        <v>1.1112187577870136</v>
      </c>
      <c r="T926">
        <v>0.4747677052166388</v>
      </c>
      <c r="U926">
        <v>7.6059262886827517</v>
      </c>
      <c r="V926">
        <v>0.7523616604431238</v>
      </c>
      <c r="W926">
        <v>-6.654629328659567E-2</v>
      </c>
      <c r="X926">
        <v>-1.4061910000000288E-2</v>
      </c>
      <c r="Y926">
        <v>5.0185190000000268E-2</v>
      </c>
      <c r="Z926">
        <v>-0.17103672599999997</v>
      </c>
    </row>
    <row r="927" spans="1:26">
      <c r="A927" s="54" t="str">
        <f>CONCATENATE(raw[[#This Row],[redis_ls]],raw[[#This Row],[wage_eq]],raw[[#This Row],[flex]],raw[[#This Row],[expo]],raw[[#This Row],[_date_]])</f>
        <v>010139083</v>
      </c>
      <c r="B927" s="1">
        <v>39083</v>
      </c>
      <c r="C927">
        <v>0</v>
      </c>
      <c r="D927">
        <v>1</v>
      </c>
      <c r="E927">
        <v>0</v>
      </c>
      <c r="F927">
        <v>1</v>
      </c>
      <c r="G927">
        <v>-0.37770131639786042</v>
      </c>
      <c r="H927">
        <v>-16.800940000000992</v>
      </c>
      <c r="I927">
        <v>-3.5973938369128211</v>
      </c>
      <c r="J927">
        <v>7.289284741116564E-2</v>
      </c>
      <c r="K927">
        <v>-1.3891373756853342</v>
      </c>
      <c r="L927">
        <v>-1.0734418991382721</v>
      </c>
      <c r="M927">
        <v>-0.4980397624081756</v>
      </c>
      <c r="N927">
        <v>4.4470322917056215E-2</v>
      </c>
      <c r="O927">
        <v>-2.5435619999999992E-2</v>
      </c>
      <c r="P927">
        <v>0.79119580987698779</v>
      </c>
      <c r="Q927">
        <v>0.46126874142269347</v>
      </c>
      <c r="R927">
        <v>-0.23169429021231425</v>
      </c>
      <c r="S927">
        <v>1.1336712542559857</v>
      </c>
      <c r="T927">
        <v>0.45548531072583387</v>
      </c>
      <c r="U927">
        <v>9.4135914687591296</v>
      </c>
      <c r="V927">
        <v>0.81513164180160302</v>
      </c>
      <c r="W927">
        <v>-5.0584698710409715E-2</v>
      </c>
      <c r="X927">
        <v>5.7881989999999939E-2</v>
      </c>
      <c r="Y927">
        <v>3.606115999999996E-2</v>
      </c>
      <c r="Z927">
        <v>-0.23419052629999998</v>
      </c>
    </row>
    <row r="928" spans="1:26">
      <c r="A928" s="54" t="str">
        <f>CONCATENATE(raw[[#This Row],[redis_ls]],raw[[#This Row],[wage_eq]],raw[[#This Row],[flex]],raw[[#This Row],[expo]],raw[[#This Row],[_date_]])</f>
        <v>010139448</v>
      </c>
      <c r="B928" s="1">
        <v>39448</v>
      </c>
      <c r="C928">
        <v>0</v>
      </c>
      <c r="D928">
        <v>1</v>
      </c>
      <c r="E928">
        <v>0</v>
      </c>
      <c r="F928">
        <v>1</v>
      </c>
      <c r="G928">
        <v>-0.45635857652328582</v>
      </c>
      <c r="H928">
        <v>-45.288339999999152</v>
      </c>
      <c r="I928">
        <v>-3.6675971380343841</v>
      </c>
      <c r="J928">
        <v>7.4839377176116884E-3</v>
      </c>
      <c r="K928">
        <v>-1.5191423907320756</v>
      </c>
      <c r="L928">
        <v>-1.1582116988214208</v>
      </c>
      <c r="M928">
        <v>-0.54399593808188706</v>
      </c>
      <c r="N928">
        <v>-1.6003906434769455E-2</v>
      </c>
      <c r="O928">
        <v>-2.1026139999999471E-2</v>
      </c>
      <c r="P928">
        <v>0.79959561388753819</v>
      </c>
      <c r="Q928">
        <v>0.47060550340152218</v>
      </c>
      <c r="R928">
        <v>-0.21790478641257049</v>
      </c>
      <c r="S928">
        <v>1.1349978260916327</v>
      </c>
      <c r="T928">
        <v>0.42067079748226988</v>
      </c>
      <c r="U928">
        <v>11.191246376199393</v>
      </c>
      <c r="V928">
        <v>0.8400203546731877</v>
      </c>
      <c r="W928">
        <v>-4.090709080857291E-2</v>
      </c>
      <c r="X928">
        <v>0.1302111099999996</v>
      </c>
      <c r="Y928">
        <v>2.3799947000000161E-2</v>
      </c>
      <c r="Z928">
        <v>-0.28922597300000003</v>
      </c>
    </row>
    <row r="929" spans="1:26">
      <c r="A929" s="54" t="str">
        <f>CONCATENATE(raw[[#This Row],[redis_ls]],raw[[#This Row],[wage_eq]],raw[[#This Row],[flex]],raw[[#This Row],[expo]],raw[[#This Row],[_date_]])</f>
        <v>010139814</v>
      </c>
      <c r="B929" s="1">
        <v>39814</v>
      </c>
      <c r="C929">
        <v>0</v>
      </c>
      <c r="D929">
        <v>1</v>
      </c>
      <c r="E929">
        <v>0</v>
      </c>
      <c r="F929">
        <v>1</v>
      </c>
      <c r="G929">
        <v>-0.52126213935643761</v>
      </c>
      <c r="H929">
        <v>-72.40882000000056</v>
      </c>
      <c r="I929">
        <v>-3.7044295913419178</v>
      </c>
      <c r="J929">
        <v>-5.6215540739634751E-2</v>
      </c>
      <c r="K929">
        <v>-1.6285366139621171</v>
      </c>
      <c r="L929">
        <v>-1.2074491264043918</v>
      </c>
      <c r="M929">
        <v>-0.58847879191480379</v>
      </c>
      <c r="N929">
        <v>-7.2715996382710646E-2</v>
      </c>
      <c r="O929">
        <v>-1.4776719999999577E-2</v>
      </c>
      <c r="P929">
        <v>0.78500623957495907</v>
      </c>
      <c r="Q929">
        <v>0.45422245730677435</v>
      </c>
      <c r="R929">
        <v>-0.23400281371926956</v>
      </c>
      <c r="S929">
        <v>1.1146062643999866</v>
      </c>
      <c r="T929">
        <v>0.37314067896279113</v>
      </c>
      <c r="U929">
        <v>12.86217819533395</v>
      </c>
      <c r="V929">
        <v>0.82725191528330022</v>
      </c>
      <c r="W929">
        <v>-3.6454639663985322E-2</v>
      </c>
      <c r="X929">
        <v>0.19585064999999985</v>
      </c>
      <c r="Y929">
        <v>1.4380610000000026E-2</v>
      </c>
      <c r="Z929">
        <v>-0.33262362200000006</v>
      </c>
    </row>
    <row r="930" spans="1:26">
      <c r="A930" s="54" t="str">
        <f>CONCATENATE(raw[[#This Row],[redis_ls]],raw[[#This Row],[wage_eq]],raw[[#This Row],[flex]],raw[[#This Row],[expo]],raw[[#This Row],[_date_]])</f>
        <v>010140179</v>
      </c>
      <c r="B930" s="1">
        <v>40179</v>
      </c>
      <c r="C930">
        <v>0</v>
      </c>
      <c r="D930">
        <v>1</v>
      </c>
      <c r="E930">
        <v>0</v>
      </c>
      <c r="F930">
        <v>1</v>
      </c>
      <c r="G930">
        <v>-0.56879589080169879</v>
      </c>
      <c r="H930">
        <v>-95.819740000002639</v>
      </c>
      <c r="I930">
        <v>-3.7117832846803922</v>
      </c>
      <c r="J930">
        <v>-0.11329748878569079</v>
      </c>
      <c r="K930">
        <v>-1.7154796294082897</v>
      </c>
      <c r="L930">
        <v>-1.219733157235714</v>
      </c>
      <c r="M930">
        <v>-0.6292714646441433</v>
      </c>
      <c r="N930">
        <v>-0.12233812664017574</v>
      </c>
      <c r="O930">
        <v>-8.0992599999996084E-3</v>
      </c>
      <c r="P930">
        <v>0.7485645883481995</v>
      </c>
      <c r="Q930">
        <v>0.41405064453534646</v>
      </c>
      <c r="R930">
        <v>-0.27706006705964237</v>
      </c>
      <c r="S930">
        <v>1.073539859289796</v>
      </c>
      <c r="T930">
        <v>0.31583212688288675</v>
      </c>
      <c r="U930">
        <v>14.356153120276517</v>
      </c>
      <c r="V930">
        <v>0.77908452021422381</v>
      </c>
      <c r="W930">
        <v>-3.6942625748437319E-2</v>
      </c>
      <c r="X930">
        <v>0.24939630999999995</v>
      </c>
      <c r="Y930">
        <v>8.7150942499999995E-3</v>
      </c>
      <c r="Z930">
        <v>-0.36270719000000007</v>
      </c>
    </row>
    <row r="931" spans="1:26">
      <c r="A931" s="54" t="str">
        <f>CONCATENATE(raw[[#This Row],[redis_ls]],raw[[#This Row],[wage_eq]],raw[[#This Row],[flex]],raw[[#This Row],[expo]],raw[[#This Row],[_date_]])</f>
        <v>010140544</v>
      </c>
      <c r="B931" s="1">
        <v>40544</v>
      </c>
      <c r="C931">
        <v>0</v>
      </c>
      <c r="D931">
        <v>1</v>
      </c>
      <c r="E931">
        <v>0</v>
      </c>
      <c r="F931">
        <v>1</v>
      </c>
      <c r="G931">
        <v>-0.59706183124359491</v>
      </c>
      <c r="H931">
        <v>-113.7047100000018</v>
      </c>
      <c r="I931">
        <v>-3.6925969881949627</v>
      </c>
      <c r="J931">
        <v>-0.16059490841439095</v>
      </c>
      <c r="K931">
        <v>-1.7792029798200271</v>
      </c>
      <c r="L931">
        <v>-1.1957353882822375</v>
      </c>
      <c r="M931">
        <v>-0.66467014070066277</v>
      </c>
      <c r="N931">
        <v>-0.16262540689950811</v>
      </c>
      <c r="O931">
        <v>-1.8197699999999983E-3</v>
      </c>
      <c r="P931">
        <v>0.69283721339192805</v>
      </c>
      <c r="Q931">
        <v>0.35357907425082047</v>
      </c>
      <c r="R931">
        <v>-0.34233380260635382</v>
      </c>
      <c r="S931">
        <v>1.0141992154405255</v>
      </c>
      <c r="T931">
        <v>0.25175012287130816</v>
      </c>
      <c r="U931">
        <v>15.61384694204957</v>
      </c>
      <c r="V931">
        <v>0.69971145229836829</v>
      </c>
      <c r="W931">
        <v>-4.2321057258731809E-2</v>
      </c>
      <c r="X931">
        <v>0.28710385999999971</v>
      </c>
      <c r="Y931">
        <v>7.5028930000000174E-3</v>
      </c>
      <c r="Z931">
        <v>-0.37912833000000001</v>
      </c>
    </row>
    <row r="932" spans="1:26">
      <c r="A932" s="54" t="str">
        <f>CONCATENATE(raw[[#This Row],[redis_ls]],raw[[#This Row],[wage_eq]],raw[[#This Row],[flex]],raw[[#This Row],[expo]],raw[[#This Row],[_date_]])</f>
        <v>010140909</v>
      </c>
      <c r="B932" s="1">
        <v>40909</v>
      </c>
      <c r="C932">
        <v>0</v>
      </c>
      <c r="D932">
        <v>1</v>
      </c>
      <c r="E932">
        <v>0</v>
      </c>
      <c r="F932">
        <v>1</v>
      </c>
      <c r="G932">
        <v>-0.60566579542957744</v>
      </c>
      <c r="H932">
        <v>-124.80517999999938</v>
      </c>
      <c r="I932">
        <v>-3.6496629233011224</v>
      </c>
      <c r="J932">
        <v>-0.19620127194842629</v>
      </c>
      <c r="K932">
        <v>-1.8200223949765948</v>
      </c>
      <c r="L932">
        <v>-1.1381209437592577</v>
      </c>
      <c r="M932">
        <v>-0.69347222480542481</v>
      </c>
      <c r="N932">
        <v>-0.19213148040149175</v>
      </c>
      <c r="O932">
        <v>3.6489900000005737E-3</v>
      </c>
      <c r="P932">
        <v>0.62152173729947968</v>
      </c>
      <c r="Q932">
        <v>0.27739513605264943</v>
      </c>
      <c r="R932">
        <v>-0.42391204023248807</v>
      </c>
      <c r="S932">
        <v>0.94004985687488052</v>
      </c>
      <c r="T932">
        <v>0.18387375285049412</v>
      </c>
      <c r="U932">
        <v>16.590843961078484</v>
      </c>
      <c r="V932">
        <v>0.59495830312181752</v>
      </c>
      <c r="W932">
        <v>-5.2448493257595263E-2</v>
      </c>
      <c r="X932">
        <v>0.30683497099999996</v>
      </c>
      <c r="Y932">
        <v>1.1079429000000057E-2</v>
      </c>
      <c r="Z932">
        <v>-0.38245732000000005</v>
      </c>
    </row>
    <row r="933" spans="1:26">
      <c r="A933" s="54" t="str">
        <f>CONCATENATE(raw[[#This Row],[redis_ls]],raw[[#This Row],[wage_eq]],raw[[#This Row],[flex]],raw[[#This Row],[expo]],raw[[#This Row],[_date_]])</f>
        <v>010141275</v>
      </c>
      <c r="B933" s="1">
        <v>41275</v>
      </c>
      <c r="C933">
        <v>0</v>
      </c>
      <c r="D933">
        <v>1</v>
      </c>
      <c r="E933">
        <v>0</v>
      </c>
      <c r="F933">
        <v>1</v>
      </c>
      <c r="G933">
        <v>-0.59551133386276378</v>
      </c>
      <c r="H933">
        <v>-128.45170000000144</v>
      </c>
      <c r="I933">
        <v>-3.586025063212761</v>
      </c>
      <c r="J933">
        <v>-0.21914687387825094</v>
      </c>
      <c r="K933">
        <v>-1.8392349372173822</v>
      </c>
      <c r="L933">
        <v>-1.0513117334663313</v>
      </c>
      <c r="M933">
        <v>-0.71492312164669336</v>
      </c>
      <c r="N933">
        <v>-0.21007954781256943</v>
      </c>
      <c r="O933">
        <v>8.1329599999999114E-3</v>
      </c>
      <c r="P933">
        <v>0.53910693904166695</v>
      </c>
      <c r="Q933">
        <v>0.1907313780303399</v>
      </c>
      <c r="R933">
        <v>-0.51532626553099092</v>
      </c>
      <c r="S933">
        <v>0.85529871717180406</v>
      </c>
      <c r="T933">
        <v>0.11503763281632828</v>
      </c>
      <c r="U933">
        <v>17.26060825864062</v>
      </c>
      <c r="V933">
        <v>0.47184161173796646</v>
      </c>
      <c r="W933">
        <v>-6.69087649724176E-2</v>
      </c>
      <c r="X933">
        <v>0.30799390920000003</v>
      </c>
      <c r="Y933">
        <v>1.9326889999999979E-2</v>
      </c>
      <c r="Z933">
        <v>-0.37388486000000004</v>
      </c>
    </row>
    <row r="934" spans="1:26">
      <c r="A934" s="54" t="str">
        <f>CONCATENATE(raw[[#This Row],[redis_ls]],raw[[#This Row],[wage_eq]],raw[[#This Row],[flex]],raw[[#This Row],[expo]],raw[[#This Row],[_date_]])</f>
        <v>010141640</v>
      </c>
      <c r="B934" s="1">
        <v>41640</v>
      </c>
      <c r="C934">
        <v>0</v>
      </c>
      <c r="D934">
        <v>1</v>
      </c>
      <c r="E934">
        <v>0</v>
      </c>
      <c r="F934">
        <v>1</v>
      </c>
      <c r="G934">
        <v>-0.56859203872567932</v>
      </c>
      <c r="H934">
        <v>-124.58604000000196</v>
      </c>
      <c r="I934">
        <v>-3.5051324082532753</v>
      </c>
      <c r="J934">
        <v>-0.22922621123089293</v>
      </c>
      <c r="K934">
        <v>-1.8389710503399215</v>
      </c>
      <c r="L934">
        <v>-0.94113458869831135</v>
      </c>
      <c r="M934">
        <v>-0.72867384179928774</v>
      </c>
      <c r="N934">
        <v>-0.21633229943973653</v>
      </c>
      <c r="O934">
        <v>1.1569540000000433E-2</v>
      </c>
      <c r="P934">
        <v>0.45049810247430599</v>
      </c>
      <c r="Q934">
        <v>9.9033854223340434E-2</v>
      </c>
      <c r="R934">
        <v>-0.61010552834174225</v>
      </c>
      <c r="S934">
        <v>0.7645465552295061</v>
      </c>
      <c r="T934">
        <v>4.780686208489815E-2</v>
      </c>
      <c r="U934">
        <v>17.61595017684272</v>
      </c>
      <c r="V934">
        <v>0.33803997451107293</v>
      </c>
      <c r="W934">
        <v>-8.4941181938436028E-2</v>
      </c>
      <c r="X934">
        <v>0.291437275</v>
      </c>
      <c r="Y934">
        <v>3.1674589999999836E-2</v>
      </c>
      <c r="Z934">
        <v>-0.35501634000000004</v>
      </c>
    </row>
    <row r="935" spans="1:26">
      <c r="A935" s="54" t="str">
        <f>CONCATENATE(raw[[#This Row],[redis_ls]],raw[[#This Row],[wage_eq]],raw[[#This Row],[flex]],raw[[#This Row],[expo]],raw[[#This Row],[_date_]])</f>
        <v>010142005</v>
      </c>
      <c r="B935" s="1">
        <v>42005</v>
      </c>
      <c r="C935">
        <v>0</v>
      </c>
      <c r="D935">
        <v>1</v>
      </c>
      <c r="E935">
        <v>0</v>
      </c>
      <c r="F935">
        <v>1</v>
      </c>
      <c r="G935">
        <v>-0.52776440142427994</v>
      </c>
      <c r="H935">
        <v>-113.75273000000016</v>
      </c>
      <c r="I935">
        <v>-3.4108278283704441</v>
      </c>
      <c r="J935">
        <v>-0.22692349069286522</v>
      </c>
      <c r="K935">
        <v>-1.8220225207347229</v>
      </c>
      <c r="L935">
        <v>-0.81438487328030496</v>
      </c>
      <c r="M935">
        <v>-0.73475389488326659</v>
      </c>
      <c r="N935">
        <v>-0.21139607789252279</v>
      </c>
      <c r="O935">
        <v>1.3936999999999977E-2</v>
      </c>
      <c r="P935">
        <v>0.36063659019340832</v>
      </c>
      <c r="Q935">
        <v>7.5735883899197276E-3</v>
      </c>
      <c r="R935">
        <v>-0.70223562977623777</v>
      </c>
      <c r="S935">
        <v>0.67244152256582534</v>
      </c>
      <c r="T935">
        <v>-1.5630753592543734E-2</v>
      </c>
      <c r="U935">
        <v>17.668747569844733</v>
      </c>
      <c r="V935">
        <v>0.20132881542889169</v>
      </c>
      <c r="W935">
        <v>-0.10547410272886415</v>
      </c>
      <c r="X935">
        <v>0.25932014999999997</v>
      </c>
      <c r="Y935">
        <v>4.7183119999999815E-2</v>
      </c>
      <c r="Z935">
        <v>-0.3277298099999999</v>
      </c>
    </row>
    <row r="936" spans="1:26">
      <c r="A936" s="54" t="str">
        <f>CONCATENATE(raw[[#This Row],[redis_ls]],raw[[#This Row],[wage_eq]],raw[[#This Row],[flex]],raw[[#This Row],[expo]],raw[[#This Row],[_date_]])</f>
        <v>010142370</v>
      </c>
      <c r="B936" s="1">
        <v>42370</v>
      </c>
      <c r="C936">
        <v>0</v>
      </c>
      <c r="D936">
        <v>1</v>
      </c>
      <c r="E936">
        <v>0</v>
      </c>
      <c r="F936">
        <v>1</v>
      </c>
      <c r="G936">
        <v>-0.47649257243521648</v>
      </c>
      <c r="H936">
        <v>-97.040320000000065</v>
      </c>
      <c r="I936">
        <v>-3.3072234299029613</v>
      </c>
      <c r="J936">
        <v>-0.21336948663479571</v>
      </c>
      <c r="K936">
        <v>-1.7916507656041136</v>
      </c>
      <c r="L936">
        <v>-0.67834409105755888</v>
      </c>
      <c r="M936">
        <v>-0.73354504807764398</v>
      </c>
      <c r="N936">
        <v>-0.19640438126482529</v>
      </c>
      <c r="O936">
        <v>1.5231490000000569E-2</v>
      </c>
      <c r="P936">
        <v>0.27415067777247781</v>
      </c>
      <c r="Q936">
        <v>-7.8875832648450661E-2</v>
      </c>
      <c r="R936">
        <v>-0.78650240682618389</v>
      </c>
      <c r="S936">
        <v>0.58336140889434507</v>
      </c>
      <c r="T936">
        <v>-7.3540071854005795E-2</v>
      </c>
      <c r="U936">
        <v>17.447979089360487</v>
      </c>
      <c r="V936">
        <v>6.9034389216038328E-2</v>
      </c>
      <c r="W936">
        <v>-0.12723767269627873</v>
      </c>
      <c r="X936">
        <v>0.21485101999999984</v>
      </c>
      <c r="Y936">
        <v>6.4683850000000001E-2</v>
      </c>
      <c r="Z936">
        <v>-0.2940699100000006</v>
      </c>
    </row>
    <row r="937" spans="1:26">
      <c r="A937" s="54" t="str">
        <f>CONCATENATE(raw[[#This Row],[redis_ls]],raw[[#This Row],[wage_eq]],raw[[#This Row],[flex]],raw[[#This Row],[expo]],raw[[#This Row],[_date_]])</f>
        <v>010142736</v>
      </c>
      <c r="B937" s="1">
        <v>42736</v>
      </c>
      <c r="C937">
        <v>0</v>
      </c>
      <c r="D937">
        <v>1</v>
      </c>
      <c r="E937">
        <v>0</v>
      </c>
      <c r="F937">
        <v>1</v>
      </c>
      <c r="G937">
        <v>-0.4185704077922181</v>
      </c>
      <c r="H937">
        <v>-75.963729999999487</v>
      </c>
      <c r="I937">
        <v>-3.1985051739615078</v>
      </c>
      <c r="J937">
        <v>-0.19027362675281267</v>
      </c>
      <c r="K937">
        <v>-1.7513770443553511</v>
      </c>
      <c r="L937">
        <v>-0.54029438791390882</v>
      </c>
      <c r="M937">
        <v>-0.72574251877018936</v>
      </c>
      <c r="N937">
        <v>-0.17304138971973027</v>
      </c>
      <c r="O937">
        <v>1.5474429999999539E-2</v>
      </c>
      <c r="P937">
        <v>0.19506643857705175</v>
      </c>
      <c r="Q937">
        <v>-0.15627734689155348</v>
      </c>
      <c r="R937">
        <v>-0.8587093958063674</v>
      </c>
      <c r="S937">
        <v>0.50115058682467239</v>
      </c>
      <c r="T937">
        <v>-0.12467609087605247</v>
      </c>
      <c r="U937">
        <v>16.996386702475075</v>
      </c>
      <c r="V937">
        <v>-5.2437616980827162E-2</v>
      </c>
      <c r="W937">
        <v>-0.14892403800289555</v>
      </c>
      <c r="X937">
        <v>0.16195492999999983</v>
      </c>
      <c r="Y937">
        <v>8.2936479999999937E-2</v>
      </c>
      <c r="Z937">
        <v>-0.25615578000000028</v>
      </c>
    </row>
    <row r="938" spans="1:26">
      <c r="A938" s="54" t="str">
        <f>CONCATENATE(raw[[#This Row],[redis_ls]],raw[[#This Row],[wage_eq]],raw[[#This Row],[flex]],raw[[#This Row],[expo]],raw[[#This Row],[_date_]])</f>
        <v>010143101</v>
      </c>
      <c r="B938" s="1">
        <v>43101</v>
      </c>
      <c r="C938">
        <v>0</v>
      </c>
      <c r="D938">
        <v>1</v>
      </c>
      <c r="E938">
        <v>0</v>
      </c>
      <c r="F938">
        <v>1</v>
      </c>
      <c r="G938">
        <v>-0.35783722393158968</v>
      </c>
      <c r="H938">
        <v>-52.296610000001237</v>
      </c>
      <c r="I938">
        <v>-3.0887073679081278</v>
      </c>
      <c r="J938">
        <v>-0.15980324142140789</v>
      </c>
      <c r="K938">
        <v>-1.7047636645736941</v>
      </c>
      <c r="L938">
        <v>-0.40707064038765228</v>
      </c>
      <c r="M938">
        <v>-0.7122952349698064</v>
      </c>
      <c r="N938">
        <v>-0.1434004037921488</v>
      </c>
      <c r="O938">
        <v>1.47311799999994E-2</v>
      </c>
      <c r="P938">
        <v>0.12660314019659058</v>
      </c>
      <c r="Q938">
        <v>-0.22148523228746608</v>
      </c>
      <c r="R938">
        <v>-0.91578317106882912</v>
      </c>
      <c r="S938">
        <v>0.42892723612772965</v>
      </c>
      <c r="T938">
        <v>-0.16828549919840619</v>
      </c>
      <c r="U938">
        <v>16.366269289838442</v>
      </c>
      <c r="V938">
        <v>-0.15795336023052275</v>
      </c>
      <c r="W938">
        <v>-0.16934983190954878</v>
      </c>
      <c r="X938">
        <v>0.10487454000000021</v>
      </c>
      <c r="Y938">
        <v>0.10077054999999974</v>
      </c>
      <c r="Z938">
        <v>-0.21608986000000024</v>
      </c>
    </row>
    <row r="939" spans="1:26">
      <c r="A939" s="54" t="str">
        <f>CONCATENATE(raw[[#This Row],[redis_ls]],raw[[#This Row],[wage_eq]],raw[[#This Row],[flex]],raw[[#This Row],[expo]],raw[[#This Row],[_date_]])</f>
        <v>010143466</v>
      </c>
      <c r="B939" s="1">
        <v>43466</v>
      </c>
      <c r="C939">
        <v>0</v>
      </c>
      <c r="D939">
        <v>1</v>
      </c>
      <c r="E939">
        <v>0</v>
      </c>
      <c r="F939">
        <v>1</v>
      </c>
      <c r="G939">
        <v>-0.29791081473162784</v>
      </c>
      <c r="H939">
        <v>-27.877619999999297</v>
      </c>
      <c r="I939">
        <v>-2.9814931715352211</v>
      </c>
      <c r="J939">
        <v>-0.12440540288554125</v>
      </c>
      <c r="K939">
        <v>-1.6552002379981889</v>
      </c>
      <c r="L939">
        <v>-0.28468377055439475</v>
      </c>
      <c r="M939">
        <v>-0.6943255677788529</v>
      </c>
      <c r="N939">
        <v>-0.10978998574994181</v>
      </c>
      <c r="O939">
        <v>1.3126000000000804E-2</v>
      </c>
      <c r="P939">
        <v>7.1056482412101829E-2</v>
      </c>
      <c r="Q939">
        <v>-0.27231967548608793</v>
      </c>
      <c r="R939">
        <v>-0.95578516891534626</v>
      </c>
      <c r="S939">
        <v>0.36896724985169271</v>
      </c>
      <c r="T939">
        <v>-0.20407679142916413</v>
      </c>
      <c r="U939">
        <v>15.614969252697431</v>
      </c>
      <c r="V939">
        <v>-0.24385743759620659</v>
      </c>
      <c r="W939">
        <v>-0.18758585317788512</v>
      </c>
      <c r="X939">
        <v>4.7760839999999929E-2</v>
      </c>
      <c r="Y939">
        <v>0.11718849999999975</v>
      </c>
      <c r="Z939">
        <v>-0.1758634600000003</v>
      </c>
    </row>
    <row r="940" spans="1:26">
      <c r="A940" s="54" t="str">
        <f>CONCATENATE(raw[[#This Row],[redis_ls]],raw[[#This Row],[wage_eq]],raw[[#This Row],[flex]],raw[[#This Row],[expo]],raw[[#This Row],[_date_]])</f>
        <v>010143831</v>
      </c>
      <c r="B940" s="1">
        <v>43831</v>
      </c>
      <c r="C940">
        <v>0</v>
      </c>
      <c r="D940">
        <v>1</v>
      </c>
      <c r="E940">
        <v>0</v>
      </c>
      <c r="F940">
        <v>1</v>
      </c>
      <c r="G940">
        <v>-0.24196086799272987</v>
      </c>
      <c r="H940">
        <v>-4.422469999997702</v>
      </c>
      <c r="I940">
        <v>-2.8799704049726982</v>
      </c>
      <c r="J940">
        <v>-8.6594515638782621E-2</v>
      </c>
      <c r="K940">
        <v>-1.6057129455024799</v>
      </c>
      <c r="L940">
        <v>-0.17803783834381415</v>
      </c>
      <c r="M940">
        <v>-0.67303551789678062</v>
      </c>
      <c r="N940">
        <v>-7.4519354530910853E-2</v>
      </c>
      <c r="O940">
        <v>1.0843740000000823E-2</v>
      </c>
      <c r="P940">
        <v>2.9766900150240971E-2</v>
      </c>
      <c r="Q940">
        <v>-0.30756990883820112</v>
      </c>
      <c r="R940">
        <v>-0.97785549330678956</v>
      </c>
      <c r="S940">
        <v>0.32266088379317992</v>
      </c>
      <c r="T940">
        <v>-0.23216972696666893</v>
      </c>
      <c r="U940">
        <v>14.800565569324565</v>
      </c>
      <c r="V940">
        <v>-0.30803170666477975</v>
      </c>
      <c r="W940">
        <v>-0.20302978991670884</v>
      </c>
      <c r="X940">
        <v>-5.6895599999998853E-3</v>
      </c>
      <c r="Y940">
        <v>0.13142226999999992</v>
      </c>
      <c r="Z940">
        <v>-0.13726277999999981</v>
      </c>
    </row>
    <row r="941" spans="1:26">
      <c r="A941" s="54" t="str">
        <f>CONCATENATE(raw[[#This Row],[redis_ls]],raw[[#This Row],[wage_eq]],raw[[#This Row],[flex]],raw[[#This Row],[expo]],raw[[#This Row],[_date_]])</f>
        <v>010144197</v>
      </c>
      <c r="B941" s="1">
        <v>44197</v>
      </c>
      <c r="C941">
        <v>0</v>
      </c>
      <c r="D941">
        <v>1</v>
      </c>
      <c r="E941">
        <v>0</v>
      </c>
      <c r="F941">
        <v>1</v>
      </c>
      <c r="G941">
        <v>-0.19254083733545313</v>
      </c>
      <c r="H941">
        <v>16.628660000002128</v>
      </c>
      <c r="I941">
        <v>-2.7865614418926654</v>
      </c>
      <c r="J941">
        <v>-4.8738736305131702E-2</v>
      </c>
      <c r="K941">
        <v>-1.5588121671049948</v>
      </c>
      <c r="L941">
        <v>-9.075143545483888E-2</v>
      </c>
      <c r="M941">
        <v>-0.64961132987573222</v>
      </c>
      <c r="N941">
        <v>-3.9699501950485327E-2</v>
      </c>
      <c r="O941">
        <v>8.1158799999994646E-3</v>
      </c>
      <c r="P941">
        <v>3.1588624738176918E-3</v>
      </c>
      <c r="Q941">
        <v>-0.32694376988630092</v>
      </c>
      <c r="R941">
        <v>-0.98211046028638949</v>
      </c>
      <c r="S941">
        <v>0.2905338220730691</v>
      </c>
      <c r="T941">
        <v>-0.25303066339912306</v>
      </c>
      <c r="U941">
        <v>13.978158528026196</v>
      </c>
      <c r="V941">
        <v>-0.34982519845753179</v>
      </c>
      <c r="W941">
        <v>-0.21541767894505126</v>
      </c>
      <c r="X941">
        <v>-5.2503920000000065E-2</v>
      </c>
      <c r="Y941">
        <v>0.14294727999999979</v>
      </c>
      <c r="Z941">
        <v>-0.10178458999999945</v>
      </c>
    </row>
    <row r="942" spans="1:26">
      <c r="A942" s="54" t="str">
        <f>CONCATENATE(raw[[#This Row],[redis_ls]],raw[[#This Row],[wage_eq]],raw[[#This Row],[flex]],raw[[#This Row],[expo]],raw[[#This Row],[_date_]])</f>
        <v>010144562</v>
      </c>
      <c r="B942" s="1">
        <v>44562</v>
      </c>
      <c r="C942">
        <v>0</v>
      </c>
      <c r="D942">
        <v>1</v>
      </c>
      <c r="E942">
        <v>0</v>
      </c>
      <c r="F942">
        <v>1</v>
      </c>
      <c r="G942">
        <v>-0.15148855360701541</v>
      </c>
      <c r="H942">
        <v>34.208429999998771</v>
      </c>
      <c r="I942">
        <v>-2.7029366983273517</v>
      </c>
      <c r="J942">
        <v>-1.2878703874730224E-2</v>
      </c>
      <c r="K942">
        <v>-1.5163909100804118</v>
      </c>
      <c r="L942">
        <v>-2.5082777764962039E-2</v>
      </c>
      <c r="M942">
        <v>-0.62513930415782903</v>
      </c>
      <c r="N942">
        <v>-7.090994707725784E-3</v>
      </c>
      <c r="O942">
        <v>5.1950900000000133E-3</v>
      </c>
      <c r="P942">
        <v>-9.1651482413301899E-3</v>
      </c>
      <c r="Q942">
        <v>-0.33097416180306594</v>
      </c>
      <c r="R942">
        <v>-0.96951219656972176</v>
      </c>
      <c r="S942">
        <v>0.27231902541196007</v>
      </c>
      <c r="T942">
        <v>-0.26740316638930173</v>
      </c>
      <c r="U942">
        <v>13.196969145710202</v>
      </c>
      <c r="V942">
        <v>-0.36988617204659624</v>
      </c>
      <c r="W942">
        <v>-0.22478332112144672</v>
      </c>
      <c r="X942">
        <v>-9.0584640000000022E-2</v>
      </c>
      <c r="Y942">
        <v>0.15146514000000005</v>
      </c>
      <c r="Z942">
        <v>-7.0571970000000289E-2</v>
      </c>
    </row>
    <row r="943" spans="1:26">
      <c r="A943" s="54" t="str">
        <f>CONCATENATE(raw[[#This Row],[redis_ls]],raw[[#This Row],[wage_eq]],raw[[#This Row],[flex]],raw[[#This Row],[expo]],raw[[#This Row],[_date_]])</f>
        <v>010144927</v>
      </c>
      <c r="B943" s="1">
        <v>44927</v>
      </c>
      <c r="C943">
        <v>0</v>
      </c>
      <c r="D943">
        <v>1</v>
      </c>
      <c r="E943">
        <v>0</v>
      </c>
      <c r="F943">
        <v>1</v>
      </c>
      <c r="G943">
        <v>-0.11989711593821673</v>
      </c>
      <c r="H943">
        <v>47.658709999999701</v>
      </c>
      <c r="I943">
        <v>-2.6300110268219878</v>
      </c>
      <c r="J943">
        <v>1.939600472249392E-2</v>
      </c>
      <c r="K943">
        <v>-1.4796789166439894</v>
      </c>
      <c r="L943">
        <v>1.8051583229472534E-2</v>
      </c>
      <c r="M943">
        <v>-0.60054405484691875</v>
      </c>
      <c r="N943">
        <v>2.1986809464902279E-2</v>
      </c>
      <c r="O943">
        <v>2.324779999998694E-3</v>
      </c>
      <c r="P943">
        <v>-8.2962035439226867E-3</v>
      </c>
      <c r="Q943">
        <v>-0.32089787994289409</v>
      </c>
      <c r="R943">
        <v>-0.94172302350178372</v>
      </c>
      <c r="S943">
        <v>0.26706553991582282</v>
      </c>
      <c r="T943">
        <v>-0.27623555951366008</v>
      </c>
      <c r="U943">
        <v>12.498324643476355</v>
      </c>
      <c r="V943">
        <v>-0.36993313164009889</v>
      </c>
      <c r="W943">
        <v>-0.23138433557247096</v>
      </c>
      <c r="X943">
        <v>-0.11874196000000015</v>
      </c>
      <c r="Y943">
        <v>0.15686864999999994</v>
      </c>
      <c r="Z943">
        <v>-4.4379179999999574E-2</v>
      </c>
    </row>
    <row r="944" spans="1:26">
      <c r="A944" s="54" t="str">
        <f>CONCATENATE(raw[[#This Row],[redis_ls]],raw[[#This Row],[wage_eq]],raw[[#This Row],[flex]],raw[[#This Row],[expo]],raw[[#This Row],[_date_]])</f>
        <v>010145292</v>
      </c>
      <c r="B944" s="1">
        <v>45292</v>
      </c>
      <c r="C944">
        <v>0</v>
      </c>
      <c r="D944">
        <v>1</v>
      </c>
      <c r="E944">
        <v>0</v>
      </c>
      <c r="F944">
        <v>1</v>
      </c>
      <c r="G944">
        <v>-9.8148229654138053E-2</v>
      </c>
      <c r="H944">
        <v>56.712989999999991</v>
      </c>
      <c r="I944">
        <v>-2.5679951893955222</v>
      </c>
      <c r="J944">
        <v>4.7001796268086871E-2</v>
      </c>
      <c r="K944">
        <v>-1.4492515445183041</v>
      </c>
      <c r="L944">
        <v>3.8980260462428973E-2</v>
      </c>
      <c r="M944">
        <v>-0.57655544046618656</v>
      </c>
      <c r="N944">
        <v>4.6680229872286816E-2</v>
      </c>
      <c r="O944">
        <v>-2.8846999999970757E-4</v>
      </c>
      <c r="P944">
        <v>4.1294865678720427E-3</v>
      </c>
      <c r="Q944">
        <v>-0.29851702827566884</v>
      </c>
      <c r="R944">
        <v>-0.9009523535674302</v>
      </c>
      <c r="S944">
        <v>0.27327033090303043</v>
      </c>
      <c r="T944">
        <v>-0.28061293068335491</v>
      </c>
      <c r="U944">
        <v>11.914477590905669</v>
      </c>
      <c r="V944">
        <v>-0.35249900369134224</v>
      </c>
      <c r="W944">
        <v>-0.23561647639993577</v>
      </c>
      <c r="X944">
        <v>-0.13662775799999999</v>
      </c>
      <c r="Y944">
        <v>0.15920099000000018</v>
      </c>
      <c r="Z944">
        <v>-2.3569660000000159E-2</v>
      </c>
    </row>
    <row r="945" spans="1:26">
      <c r="A945" s="54" t="str">
        <f>CONCATENATE(raw[[#This Row],[redis_ls]],raw[[#This Row],[wage_eq]],raw[[#This Row],[flex]],raw[[#This Row],[expo]],raw[[#This Row],[_date_]])</f>
        <v>010145658</v>
      </c>
      <c r="B945" s="1">
        <v>45658</v>
      </c>
      <c r="C945">
        <v>0</v>
      </c>
      <c r="D945">
        <v>1</v>
      </c>
      <c r="E945">
        <v>0</v>
      </c>
      <c r="F945">
        <v>1</v>
      </c>
      <c r="G945">
        <v>-8.5994776881881396E-2</v>
      </c>
      <c r="H945">
        <v>61.440380000000005</v>
      </c>
      <c r="I945">
        <v>-2.5164891601772377</v>
      </c>
      <c r="J945">
        <v>6.9351353079194489E-2</v>
      </c>
      <c r="K945">
        <v>-1.4250861506694967</v>
      </c>
      <c r="L945">
        <v>3.9121607834213812E-2</v>
      </c>
      <c r="M945">
        <v>-0.55370438207885675</v>
      </c>
      <c r="N945">
        <v>6.6569600088817182E-2</v>
      </c>
      <c r="O945">
        <v>-2.494220000000269E-3</v>
      </c>
      <c r="P945">
        <v>2.6084531843739711E-2</v>
      </c>
      <c r="Q945">
        <v>-0.2660510873595312</v>
      </c>
      <c r="R945">
        <v>-0.84980342158097466</v>
      </c>
      <c r="S945">
        <v>0.28902170610105582</v>
      </c>
      <c r="T945">
        <v>-0.28169042333596739</v>
      </c>
      <c r="U945">
        <v>11.468137569271143</v>
      </c>
      <c r="V945">
        <v>-0.32067562015576367</v>
      </c>
      <c r="W945">
        <v>-0.23793185758181901</v>
      </c>
      <c r="X945">
        <v>-0.14460197730000002</v>
      </c>
      <c r="Y945">
        <v>0.15861769999999994</v>
      </c>
      <c r="Z945">
        <v>-8.1464199999999043E-3</v>
      </c>
    </row>
    <row r="946" spans="1:26">
      <c r="A946" s="54" t="str">
        <f>CONCATENATE(raw[[#This Row],[redis_ls]],raw[[#This Row],[wage_eq]],raw[[#This Row],[flex]],raw[[#This Row],[expo]],raw[[#This Row],[_date_]])</f>
        <v>010146023</v>
      </c>
      <c r="B946" s="1">
        <v>46023</v>
      </c>
      <c r="C946">
        <v>0</v>
      </c>
      <c r="D946">
        <v>1</v>
      </c>
      <c r="E946">
        <v>0</v>
      </c>
      <c r="F946">
        <v>1</v>
      </c>
      <c r="G946">
        <v>-8.2675026654277506E-2</v>
      </c>
      <c r="H946">
        <v>62.169020000001183</v>
      </c>
      <c r="I946">
        <v>-2.4746017474815751</v>
      </c>
      <c r="J946">
        <v>8.6292035783608334E-2</v>
      </c>
      <c r="K946">
        <v>-1.4066544104425649</v>
      </c>
      <c r="L946">
        <v>2.0789091195827503E-2</v>
      </c>
      <c r="M946">
        <v>-0.53234216914689325</v>
      </c>
      <c r="N946">
        <v>8.1598777881852769E-2</v>
      </c>
      <c r="O946">
        <v>-4.206480000000512E-3</v>
      </c>
      <c r="P946">
        <v>5.5298992829166949E-2</v>
      </c>
      <c r="Q946">
        <v>-0.22598910833763197</v>
      </c>
      <c r="R946">
        <v>-0.79112175124447237</v>
      </c>
      <c r="S946">
        <v>0.31214351456649858</v>
      </c>
      <c r="T946">
        <v>-0.28063187572655579</v>
      </c>
      <c r="U946">
        <v>11.172560778843966</v>
      </c>
      <c r="V946">
        <v>-0.27787693541009295</v>
      </c>
      <c r="W946">
        <v>-0.23877503637550479</v>
      </c>
      <c r="X946">
        <v>-0.14356553299999997</v>
      </c>
      <c r="Y946">
        <v>0.15535641</v>
      </c>
      <c r="Z946">
        <v>2.1912399999997334E-3</v>
      </c>
    </row>
    <row r="947" spans="1:26">
      <c r="A947" s="54" t="str">
        <f>CONCATENATE(raw[[#This Row],[redis_ls]],raw[[#This Row],[wage_eq]],raw[[#This Row],[flex]],raw[[#This Row],[expo]],raw[[#This Row],[_date_]])</f>
        <v>010146388</v>
      </c>
      <c r="B947" s="1">
        <v>46388</v>
      </c>
      <c r="C947">
        <v>0</v>
      </c>
      <c r="D947">
        <v>1</v>
      </c>
      <c r="E947">
        <v>0</v>
      </c>
      <c r="F947">
        <v>1</v>
      </c>
      <c r="G947">
        <v>-8.7042386740820987E-2</v>
      </c>
      <c r="H947">
        <v>59.405640000000858</v>
      </c>
      <c r="I947">
        <v>-2.4410808731681555</v>
      </c>
      <c r="J947">
        <v>9.8013447006772836E-2</v>
      </c>
      <c r="K947">
        <v>-1.3930369788857644</v>
      </c>
      <c r="L947">
        <v>-1.3025196765414915E-2</v>
      </c>
      <c r="M947">
        <v>-0.51267477792880101</v>
      </c>
      <c r="N947">
        <v>9.1984882159645842E-2</v>
      </c>
      <c r="O947">
        <v>-5.4013399999996992E-3</v>
      </c>
      <c r="P947">
        <v>8.9398855642253139E-2</v>
      </c>
      <c r="Q947">
        <v>-0.18094484409565403</v>
      </c>
      <c r="R947">
        <v>-0.72784798114436944</v>
      </c>
      <c r="S947">
        <v>0.34033294499107303</v>
      </c>
      <c r="T947">
        <v>-0.27855202071979113</v>
      </c>
      <c r="U947">
        <v>11.032051675742327</v>
      </c>
      <c r="V947">
        <v>-0.22763088621382543</v>
      </c>
      <c r="W947">
        <v>-0.2385420814906225</v>
      </c>
      <c r="X947">
        <v>-0.13478916799999993</v>
      </c>
      <c r="Y947">
        <v>0.14971515000000002</v>
      </c>
      <c r="Z947">
        <v>7.974159999999883E-3</v>
      </c>
    </row>
    <row r="948" spans="1:26">
      <c r="A948" s="54" t="str">
        <f>CONCATENATE(raw[[#This Row],[redis_ls]],raw[[#This Row],[wage_eq]],raw[[#This Row],[flex]],raw[[#This Row],[expo]],raw[[#This Row],[_date_]])</f>
        <v>010146753</v>
      </c>
      <c r="B948" s="1">
        <v>46753</v>
      </c>
      <c r="C948">
        <v>0</v>
      </c>
      <c r="D948">
        <v>1</v>
      </c>
      <c r="E948">
        <v>0</v>
      </c>
      <c r="F948">
        <v>1</v>
      </c>
      <c r="G948">
        <v>-9.7694625047439754E-2</v>
      </c>
      <c r="H948">
        <v>53.762510000000475</v>
      </c>
      <c r="I948">
        <v>-2.4144412862543763</v>
      </c>
      <c r="J948">
        <v>0.10494333611612561</v>
      </c>
      <c r="K948">
        <v>-1.3830470747731138</v>
      </c>
      <c r="L948">
        <v>-5.8873487066446462E-2</v>
      </c>
      <c r="M948">
        <v>-0.49480152427102686</v>
      </c>
      <c r="N948">
        <v>9.8125935577719758E-2</v>
      </c>
      <c r="O948">
        <v>-6.1060799999998472E-3</v>
      </c>
      <c r="P948">
        <v>0.12602944010091655</v>
      </c>
      <c r="Q948">
        <v>-0.13352168098950123</v>
      </c>
      <c r="R948">
        <v>-0.66287969059792839</v>
      </c>
      <c r="S948">
        <v>0.37128665746610778</v>
      </c>
      <c r="T948">
        <v>-0.27646441767268382</v>
      </c>
      <c r="U948">
        <v>11.042752091022368</v>
      </c>
      <c r="V948">
        <v>-0.17340322893477644</v>
      </c>
      <c r="W948">
        <v>-0.23756094134894656</v>
      </c>
      <c r="X948">
        <v>-0.11975901999999994</v>
      </c>
      <c r="Y948">
        <v>0.14203879199999986</v>
      </c>
      <c r="Z948">
        <v>9.8839600000000943E-3</v>
      </c>
    </row>
    <row r="949" spans="1:26">
      <c r="A949" s="54" t="str">
        <f>CONCATENATE(raw[[#This Row],[redis_ls]],raw[[#This Row],[wage_eq]],raw[[#This Row],[flex]],raw[[#This Row],[expo]],raw[[#This Row],[_date_]])</f>
        <v>010147119</v>
      </c>
      <c r="B949" s="1">
        <v>47119</v>
      </c>
      <c r="C949">
        <v>0</v>
      </c>
      <c r="D949">
        <v>1</v>
      </c>
      <c r="E949">
        <v>0</v>
      </c>
      <c r="F949">
        <v>1</v>
      </c>
      <c r="G949">
        <v>-0.11309222430087029</v>
      </c>
      <c r="H949">
        <v>45.898740000000544</v>
      </c>
      <c r="I949">
        <v>-2.3930796345625449</v>
      </c>
      <c r="J949">
        <v>0.10765066768412268</v>
      </c>
      <c r="K949">
        <v>-1.3753503534302491</v>
      </c>
      <c r="L949">
        <v>-0.1130699718348116</v>
      </c>
      <c r="M949">
        <v>-0.47874944779563444</v>
      </c>
      <c r="N949">
        <v>0.10052186654454509</v>
      </c>
      <c r="O949">
        <v>-6.3832799999996581E-3</v>
      </c>
      <c r="P949">
        <v>0.16296157691226831</v>
      </c>
      <c r="Q949">
        <v>-8.61890954553024E-2</v>
      </c>
      <c r="R949">
        <v>-0.59894163395118882</v>
      </c>
      <c r="S949">
        <v>0.402811236088918</v>
      </c>
      <c r="T949">
        <v>-0.27523713193425836</v>
      </c>
      <c r="U949">
        <v>11.193630206213378</v>
      </c>
      <c r="V949">
        <v>-0.11845264912617726</v>
      </c>
      <c r="W949">
        <v>-0.23609304841720746</v>
      </c>
      <c r="X949">
        <v>-0.10005044000000012</v>
      </c>
      <c r="Y949">
        <v>0.13271037000000002</v>
      </c>
      <c r="Z949">
        <v>8.6784600000000545E-3</v>
      </c>
    </row>
    <row r="950" spans="1:26">
      <c r="A950" s="54" t="str">
        <f>CONCATENATE(raw[[#This Row],[redis_ls]],raw[[#This Row],[wage_eq]],raw[[#This Row],[flex]],raw[[#This Row],[expo]],raw[[#This Row],[_date_]])</f>
        <v>010147484</v>
      </c>
      <c r="B950" s="1">
        <v>47484</v>
      </c>
      <c r="C950">
        <v>0</v>
      </c>
      <c r="D950">
        <v>1</v>
      </c>
      <c r="E950">
        <v>0</v>
      </c>
      <c r="F950">
        <v>1</v>
      </c>
      <c r="G950">
        <v>-0.13165858791702734</v>
      </c>
      <c r="H950">
        <v>36.477240000000165</v>
      </c>
      <c r="I950">
        <v>-2.3753712590336096</v>
      </c>
      <c r="J950">
        <v>0.10676783847642923</v>
      </c>
      <c r="K950">
        <v>-1.3685724384007392</v>
      </c>
      <c r="L950">
        <v>-0.17189451733901073</v>
      </c>
      <c r="M950">
        <v>-0.46449734061899672</v>
      </c>
      <c r="N950">
        <v>9.971528616552483E-2</v>
      </c>
      <c r="O950">
        <v>-6.3136599999999432E-3</v>
      </c>
      <c r="P950">
        <v>0.19818091911354418</v>
      </c>
      <c r="Q950">
        <v>-4.1176766770367745E-2</v>
      </c>
      <c r="R950">
        <v>-0.53847207785903128</v>
      </c>
      <c r="S950">
        <v>0.43291635819475704</v>
      </c>
      <c r="T950">
        <v>-0.27555809600376957</v>
      </c>
      <c r="U950">
        <v>11.467610079342494</v>
      </c>
      <c r="V950">
        <v>-6.5714257301174861E-2</v>
      </c>
      <c r="W950">
        <v>-0.23434521965973731</v>
      </c>
      <c r="X950">
        <v>-7.7233269999999951E-2</v>
      </c>
      <c r="Y950">
        <v>0.12214458299999992</v>
      </c>
      <c r="Z950">
        <v>5.1299700000000115E-3</v>
      </c>
    </row>
    <row r="951" spans="1:26">
      <c r="A951" s="54" t="str">
        <f>CONCATENATE(raw[[#This Row],[redis_ls]],raw[[#This Row],[wage_eq]],raw[[#This Row],[flex]],raw[[#This Row],[expo]],raw[[#This Row],[_date_]])</f>
        <v>010147849</v>
      </c>
      <c r="B951" s="1">
        <v>47849</v>
      </c>
      <c r="C951">
        <v>0</v>
      </c>
      <c r="D951">
        <v>1</v>
      </c>
      <c r="E951">
        <v>0</v>
      </c>
      <c r="F951">
        <v>1</v>
      </c>
      <c r="G951">
        <v>-0.15185987291533865</v>
      </c>
      <c r="H951">
        <v>26.136470000001282</v>
      </c>
      <c r="I951">
        <v>-2.3597466247903043</v>
      </c>
      <c r="J951">
        <v>0.10293790072501974</v>
      </c>
      <c r="K951">
        <v>-1.3613879936410722</v>
      </c>
      <c r="L951">
        <v>-0.23177519664183688</v>
      </c>
      <c r="M951">
        <v>-0.45198734954250419</v>
      </c>
      <c r="N951">
        <v>9.6256364246105619E-2</v>
      </c>
      <c r="O951">
        <v>-5.9805199999998782E-3</v>
      </c>
      <c r="P951">
        <v>0.22995931718761131</v>
      </c>
      <c r="Q951">
        <v>-3.8569789992948245E-4</v>
      </c>
      <c r="R951">
        <v>-0.48352590075954049</v>
      </c>
      <c r="S951">
        <v>0.45988902398452769</v>
      </c>
      <c r="T951">
        <v>-0.27791308526556868</v>
      </c>
      <c r="U951">
        <v>11.842809502860652</v>
      </c>
      <c r="V951">
        <v>-1.7707863373317423E-2</v>
      </c>
      <c r="W951">
        <v>-0.23248768463339786</v>
      </c>
      <c r="X951">
        <v>-5.2806159999999741E-2</v>
      </c>
      <c r="Y951">
        <v>0.11078016900000001</v>
      </c>
      <c r="Z951">
        <v>-1.9529999999851055E-5</v>
      </c>
    </row>
    <row r="952" spans="1:26">
      <c r="A952" s="54" t="str">
        <f>CONCATENATE(raw[[#This Row],[redis_ls]],raw[[#This Row],[wage_eq]],raw[[#This Row],[flex]],raw[[#This Row],[expo]],raw[[#This Row],[_date_]])</f>
        <v>010148214</v>
      </c>
      <c r="B952" s="1">
        <v>48214</v>
      </c>
      <c r="C952">
        <v>0</v>
      </c>
      <c r="D952">
        <v>1</v>
      </c>
      <c r="E952">
        <v>0</v>
      </c>
      <c r="F952">
        <v>1</v>
      </c>
      <c r="G952">
        <v>-0.1722651791519092</v>
      </c>
      <c r="H952">
        <v>15.473230000003241</v>
      </c>
      <c r="I952">
        <v>-2.3447491191297853</v>
      </c>
      <c r="J952">
        <v>9.6786851340713298E-2</v>
      </c>
      <c r="K952">
        <v>-1.3525889237917754</v>
      </c>
      <c r="L952">
        <v>-0.28944603537400804</v>
      </c>
      <c r="M952">
        <v>-0.44112540964684754</v>
      </c>
      <c r="N952">
        <v>9.0688148576578698E-2</v>
      </c>
      <c r="O952">
        <v>-5.4583099999991336E-3</v>
      </c>
      <c r="P952">
        <v>0.2569085525759407</v>
      </c>
      <c r="Q952">
        <v>3.4678100943086321E-2</v>
      </c>
      <c r="R952">
        <v>-0.43570028501335178</v>
      </c>
      <c r="S952">
        <v>0.48234917189369231</v>
      </c>
      <c r="T952">
        <v>-0.282576879997265</v>
      </c>
      <c r="U952">
        <v>12.293864605620918</v>
      </c>
      <c r="V952">
        <v>2.3530581443487186E-2</v>
      </c>
      <c r="W952">
        <v>-0.23067291267705459</v>
      </c>
      <c r="X952">
        <v>-2.8153859999999892E-2</v>
      </c>
      <c r="Y952">
        <v>9.9068905000000013E-2</v>
      </c>
      <c r="Z952">
        <v>-6.0858099999998305E-3</v>
      </c>
    </row>
    <row r="953" spans="1:26">
      <c r="A953" s="54" t="str">
        <f>CONCATENATE(raw[[#This Row],[redis_ls]],raw[[#This Row],[wage_eq]],raw[[#This Row],[flex]],raw[[#This Row],[expo]],raw[[#This Row],[_date_]])</f>
        <v>010148580</v>
      </c>
      <c r="B953" s="1">
        <v>48580</v>
      </c>
      <c r="C953">
        <v>0</v>
      </c>
      <c r="D953">
        <v>1</v>
      </c>
      <c r="E953">
        <v>0</v>
      </c>
      <c r="F953">
        <v>1</v>
      </c>
      <c r="G953">
        <v>-0.19159070291770997</v>
      </c>
      <c r="H953">
        <v>5.0327700000016193</v>
      </c>
      <c r="I953">
        <v>-2.3290773556911448</v>
      </c>
      <c r="J953">
        <v>8.8915935244515687E-2</v>
      </c>
      <c r="K953">
        <v>-1.3411326461154172</v>
      </c>
      <c r="L953">
        <v>-0.34207679164213189</v>
      </c>
      <c r="M953">
        <v>-0.43177523526366501</v>
      </c>
      <c r="N953">
        <v>8.3545644895210991E-2</v>
      </c>
      <c r="O953">
        <v>-4.8062099999995889E-3</v>
      </c>
      <c r="P953">
        <v>0.27801696403051412</v>
      </c>
      <c r="Q953">
        <v>6.2946898414728558E-2</v>
      </c>
      <c r="R953">
        <v>-0.39608608160353054</v>
      </c>
      <c r="S953">
        <v>0.49928661090103965</v>
      </c>
      <c r="T953">
        <v>-0.28961768121176235</v>
      </c>
      <c r="U953">
        <v>12.793323474298578</v>
      </c>
      <c r="V953">
        <v>5.6496952012130564E-2</v>
      </c>
      <c r="W953">
        <v>-0.22904676844383021</v>
      </c>
      <c r="X953">
        <v>-4.5198600000000838E-3</v>
      </c>
      <c r="Y953">
        <v>8.746001199999992E-2</v>
      </c>
      <c r="Z953">
        <v>-1.2455880000000058E-2</v>
      </c>
    </row>
    <row r="954" spans="1:26">
      <c r="A954" s="54" t="str">
        <f>CONCATENATE(raw[[#This Row],[redis_ls]],raw[[#This Row],[wage_eq]],raw[[#This Row],[flex]],raw[[#This Row],[expo]],raw[[#This Row],[_date_]])</f>
        <v>010148945</v>
      </c>
      <c r="B954" s="1">
        <v>48945</v>
      </c>
      <c r="C954">
        <v>0</v>
      </c>
      <c r="D954">
        <v>1</v>
      </c>
      <c r="E954">
        <v>0</v>
      </c>
      <c r="F954">
        <v>1</v>
      </c>
      <c r="G954">
        <v>-0.20873167499634304</v>
      </c>
      <c r="H954">
        <v>-4.6975499999971362</v>
      </c>
      <c r="I954">
        <v>-2.3116170382966095</v>
      </c>
      <c r="J954">
        <v>7.9905736462437815E-2</v>
      </c>
      <c r="K954">
        <v>-1.326172836888706</v>
      </c>
      <c r="L954">
        <v>-0.38737160897506229</v>
      </c>
      <c r="M954">
        <v>-0.4237507999248602</v>
      </c>
      <c r="N954">
        <v>7.5361608036916827E-2</v>
      </c>
      <c r="O954">
        <v>-4.0669199999995853E-3</v>
      </c>
      <c r="P954">
        <v>0.29266778118841597</v>
      </c>
      <c r="Q954">
        <v>8.3810625499602942E-2</v>
      </c>
      <c r="R954">
        <v>-0.36524756042851658</v>
      </c>
      <c r="S954">
        <v>0.51007875958062332</v>
      </c>
      <c r="T954">
        <v>-0.29891387123537339</v>
      </c>
      <c r="U954">
        <v>13.313079308568888</v>
      </c>
      <c r="V954">
        <v>8.0245957585067806E-2</v>
      </c>
      <c r="W954">
        <v>-0.22775263752805586</v>
      </c>
      <c r="X954">
        <v>1.7012260000000105E-2</v>
      </c>
      <c r="Y954">
        <v>7.638028000000012E-2</v>
      </c>
      <c r="Z954">
        <v>-1.8592549999999972E-2</v>
      </c>
    </row>
    <row r="955" spans="1:26">
      <c r="A955" s="54" t="str">
        <f>CONCATENATE(raw[[#This Row],[redis_ls]],raw[[#This Row],[wage_eq]],raw[[#This Row],[flex]],raw[[#This Row],[expo]],raw[[#This Row],[_date_]])</f>
        <v>010149310</v>
      </c>
      <c r="B955" s="1">
        <v>49310</v>
      </c>
      <c r="C955">
        <v>0</v>
      </c>
      <c r="D955">
        <v>1</v>
      </c>
      <c r="E955">
        <v>0</v>
      </c>
      <c r="F955">
        <v>1</v>
      </c>
      <c r="G955">
        <v>-0.2227864073324759</v>
      </c>
      <c r="H955">
        <v>-13.29432000000088</v>
      </c>
      <c r="I955">
        <v>-2.2914646179331588</v>
      </c>
      <c r="J955">
        <v>7.0322894324648111E-2</v>
      </c>
      <c r="K955">
        <v>-1.3070766882226414</v>
      </c>
      <c r="L955">
        <v>-0.42363699856485804</v>
      </c>
      <c r="M955">
        <v>-0.41681275415802466</v>
      </c>
      <c r="N955">
        <v>6.6669925541651409E-2</v>
      </c>
      <c r="O955">
        <v>-3.269460000000779E-3</v>
      </c>
      <c r="P955">
        <v>0.30063980399268608</v>
      </c>
      <c r="Q955">
        <v>9.71121692649346E-2</v>
      </c>
      <c r="R955">
        <v>-0.34323119085740705</v>
      </c>
      <c r="S955">
        <v>0.51448995845153611</v>
      </c>
      <c r="T955">
        <v>-0.3101813392732522</v>
      </c>
      <c r="U955">
        <v>13.825801097127766</v>
      </c>
      <c r="V955">
        <v>9.4395447211792494E-2</v>
      </c>
      <c r="W955">
        <v>-0.22692773435850633</v>
      </c>
      <c r="X955">
        <v>3.5534830000000066E-2</v>
      </c>
      <c r="Y955">
        <v>6.6211450000000158E-2</v>
      </c>
      <c r="Z955">
        <v>-2.4035210000000057E-2</v>
      </c>
    </row>
    <row r="956" spans="1:26">
      <c r="A956" s="54" t="str">
        <f>CONCATENATE(raw[[#This Row],[redis_ls]],raw[[#This Row],[wage_eq]],raw[[#This Row],[flex]],raw[[#This Row],[expo]],raw[[#This Row],[_date_]])</f>
        <v>010149675</v>
      </c>
      <c r="B956" s="1">
        <v>49675</v>
      </c>
      <c r="C956">
        <v>0</v>
      </c>
      <c r="D956">
        <v>1</v>
      </c>
      <c r="E956">
        <v>0</v>
      </c>
      <c r="F956">
        <v>1</v>
      </c>
      <c r="G956">
        <v>-0.23307423702034757</v>
      </c>
      <c r="H956">
        <v>-20.405279999999038</v>
      </c>
      <c r="I956">
        <v>-2.267946651162156</v>
      </c>
      <c r="J956">
        <v>6.0722312170136128E-2</v>
      </c>
      <c r="K956">
        <v>-1.2834321486382527</v>
      </c>
      <c r="L956">
        <v>-0.44981571496925943</v>
      </c>
      <c r="M956">
        <v>-0.41067219820245526</v>
      </c>
      <c r="N956">
        <v>5.8002452941541272E-2</v>
      </c>
      <c r="O956">
        <v>-2.4345400000000406E-3</v>
      </c>
      <c r="P956">
        <v>0.3020893148549586</v>
      </c>
      <c r="Q956">
        <v>0.1031183380447942</v>
      </c>
      <c r="R956">
        <v>-0.32960279627157751</v>
      </c>
      <c r="S956">
        <v>0.51265324225833186</v>
      </c>
      <c r="T956">
        <v>-0.32300777467827446</v>
      </c>
      <c r="U956">
        <v>14.306301507236174</v>
      </c>
      <c r="V956">
        <v>9.9107821876875946E-2</v>
      </c>
      <c r="W956">
        <v>-0.22669090433204975</v>
      </c>
      <c r="X956">
        <v>5.0332273000000018E-2</v>
      </c>
      <c r="Y956">
        <v>5.7267390000000085E-2</v>
      </c>
      <c r="Z956">
        <v>-2.8401420000000177E-2</v>
      </c>
    </row>
    <row r="957" spans="1:26">
      <c r="A957" s="54" t="str">
        <f>CONCATENATE(raw[[#This Row],[redis_ls]],raw[[#This Row],[wage_eq]],raw[[#This Row],[flex]],raw[[#This Row],[expo]],raw[[#This Row],[_date_]])</f>
        <v>010150041</v>
      </c>
      <c r="B957" s="1">
        <v>50041</v>
      </c>
      <c r="C957">
        <v>0</v>
      </c>
      <c r="D957">
        <v>1</v>
      </c>
      <c r="E957">
        <v>0</v>
      </c>
      <c r="F957">
        <v>1</v>
      </c>
      <c r="G957">
        <v>-0.2391489444628192</v>
      </c>
      <c r="H957">
        <v>-25.758630000000267</v>
      </c>
      <c r="I957">
        <v>-2.2406327033879792</v>
      </c>
      <c r="J957">
        <v>5.1640419612253297E-2</v>
      </c>
      <c r="K957">
        <v>-1.2550481934202384</v>
      </c>
      <c r="L957">
        <v>-0.46548928309212423</v>
      </c>
      <c r="M957">
        <v>-0.40500348513217155</v>
      </c>
      <c r="N957">
        <v>4.9874718116971195E-2</v>
      </c>
      <c r="O957">
        <v>-1.5806499999992951E-3</v>
      </c>
      <c r="P957">
        <v>0.29751523996075502</v>
      </c>
      <c r="Q957">
        <v>0.10247133252849761</v>
      </c>
      <c r="R957">
        <v>-0.32351039546082427</v>
      </c>
      <c r="S957">
        <v>0.50503419588163734</v>
      </c>
      <c r="T957">
        <v>-0.33689205497845487</v>
      </c>
      <c r="U957">
        <v>14.732768808407638</v>
      </c>
      <c r="V957">
        <v>9.5048179739554151E-2</v>
      </c>
      <c r="W957">
        <v>-0.22712775296517274</v>
      </c>
      <c r="X957">
        <v>6.0898024000000023E-2</v>
      </c>
      <c r="Y957">
        <v>4.977460999999999E-2</v>
      </c>
      <c r="Z957">
        <v>-3.139086999999971E-2</v>
      </c>
    </row>
    <row r="958" spans="1:26">
      <c r="A958" s="54" t="str">
        <f>CONCATENATE(raw[[#This Row],[redis_ls]],raw[[#This Row],[wage_eq]],raw[[#This Row],[flex]],raw[[#This Row],[expo]],raw[[#This Row],[_date_]])</f>
        <v>010150406</v>
      </c>
      <c r="B958" s="1">
        <v>50406</v>
      </c>
      <c r="C958">
        <v>0</v>
      </c>
      <c r="D958">
        <v>1</v>
      </c>
      <c r="E958">
        <v>0</v>
      </c>
      <c r="F958">
        <v>1</v>
      </c>
      <c r="G958">
        <v>-0.24080581686730662</v>
      </c>
      <c r="H958">
        <v>-29.173259999999573</v>
      </c>
      <c r="I958">
        <v>-2.2093426492030166</v>
      </c>
      <c r="J958">
        <v>4.3577046642462314E-2</v>
      </c>
      <c r="K958">
        <v>-1.2219493555290617</v>
      </c>
      <c r="L958">
        <v>-0.47084747173535835</v>
      </c>
      <c r="M958">
        <v>-0.39946372710825129</v>
      </c>
      <c r="N958">
        <v>4.2762746047109168E-2</v>
      </c>
      <c r="O958">
        <v>-7.2908000000038165E-4</v>
      </c>
      <c r="P958">
        <v>0.28770768872496966</v>
      </c>
      <c r="Q958">
        <v>9.612158551399741E-2</v>
      </c>
      <c r="R958">
        <v>-0.32376728783023445</v>
      </c>
      <c r="S958">
        <v>0.49238110031772919</v>
      </c>
      <c r="T958">
        <v>-0.35128430800487331</v>
      </c>
      <c r="U958">
        <v>15.087783873957793</v>
      </c>
      <c r="V958">
        <v>8.3317239248170694E-2</v>
      </c>
      <c r="W958">
        <v>-0.22827529723322693</v>
      </c>
      <c r="X958">
        <v>6.6950458000000032E-2</v>
      </c>
      <c r="Y958">
        <v>4.385872999999995E-2</v>
      </c>
      <c r="Z958">
        <v>-3.2792150000000159E-2</v>
      </c>
    </row>
    <row r="959" spans="1:26">
      <c r="A959" s="54" t="str">
        <f>CONCATENATE(raw[[#This Row],[redis_ls]],raw[[#This Row],[wage_eq]],raw[[#This Row],[flex]],raw[[#This Row],[expo]],raw[[#This Row],[_date_]])</f>
        <v>010150771</v>
      </c>
      <c r="B959" s="1">
        <v>50771</v>
      </c>
      <c r="C959">
        <v>0</v>
      </c>
      <c r="D959">
        <v>1</v>
      </c>
      <c r="E959">
        <v>0</v>
      </c>
      <c r="F959">
        <v>1</v>
      </c>
      <c r="G959">
        <v>-0.23808065835485559</v>
      </c>
      <c r="H959">
        <v>-30.568240000000515</v>
      </c>
      <c r="I959">
        <v>-2.1741438451602257</v>
      </c>
      <c r="J959">
        <v>3.696963326431657E-2</v>
      </c>
      <c r="K959">
        <v>-1.1843647608852259</v>
      </c>
      <c r="L959">
        <v>-0.4666305310461305</v>
      </c>
      <c r="M959">
        <v>-0.39371838949732174</v>
      </c>
      <c r="N959">
        <v>3.7073682149424414E-2</v>
      </c>
      <c r="O959">
        <v>9.3190000000076267E-5</v>
      </c>
      <c r="P959">
        <v>0.27368352755465786</v>
      </c>
      <c r="Q959">
        <v>8.5249124264885623E-2</v>
      </c>
      <c r="R959">
        <v>-0.32894883763998628</v>
      </c>
      <c r="S959">
        <v>0.47566140712695937</v>
      </c>
      <c r="T959">
        <v>-0.36562589935213996</v>
      </c>
      <c r="U959">
        <v>15.359050694677734</v>
      </c>
      <c r="V959">
        <v>6.5364481723872991E-2</v>
      </c>
      <c r="W959">
        <v>-0.23011112868256411</v>
      </c>
      <c r="X959">
        <v>6.8443820160000002E-2</v>
      </c>
      <c r="Y959">
        <v>3.9539590000000138E-2</v>
      </c>
      <c r="Z959">
        <v>-3.2490049999999576E-2</v>
      </c>
    </row>
    <row r="960" spans="1:26">
      <c r="A960" s="54" t="str">
        <f>CONCATENATE(raw[[#This Row],[redis_ls]],raw[[#This Row],[wage_eq]],raw[[#This Row],[flex]],raw[[#This Row],[expo]],raw[[#This Row],[_date_]])</f>
        <v>010151136</v>
      </c>
      <c r="B960" s="1">
        <v>51136</v>
      </c>
      <c r="C960">
        <v>0</v>
      </c>
      <c r="D960">
        <v>1</v>
      </c>
      <c r="E960">
        <v>0</v>
      </c>
      <c r="F960">
        <v>1</v>
      </c>
      <c r="G960">
        <v>-0.23123878340373105</v>
      </c>
      <c r="H960">
        <v>-29.969030000000203</v>
      </c>
      <c r="I960">
        <v>-2.1353373514974239</v>
      </c>
      <c r="J960">
        <v>3.2162983573758019E-2</v>
      </c>
      <c r="K960">
        <v>-1.1427111904726894</v>
      </c>
      <c r="L960">
        <v>-0.45404372733024445</v>
      </c>
      <c r="M960">
        <v>-0.38746740922529499</v>
      </c>
      <c r="N960">
        <v>3.311578070905874E-2</v>
      </c>
      <c r="O960">
        <v>8.5333999999964716E-4</v>
      </c>
      <c r="P960">
        <v>0.25661252409536761</v>
      </c>
      <c r="Q960">
        <v>7.1177260233024064E-2</v>
      </c>
      <c r="R960">
        <v>-0.33749591332494777</v>
      </c>
      <c r="S960">
        <v>0.45599139987506643</v>
      </c>
      <c r="T960">
        <v>-0.37938408867755902</v>
      </c>
      <c r="U960">
        <v>15.539787281216455</v>
      </c>
      <c r="V960">
        <v>4.28843615637442E-2</v>
      </c>
      <c r="W960">
        <v>-0.23254918611013142</v>
      </c>
      <c r="X960">
        <v>6.5569810999999964E-2</v>
      </c>
      <c r="Y960">
        <v>3.6735540000000164E-2</v>
      </c>
      <c r="Z960">
        <v>-3.0471320000000079E-2</v>
      </c>
    </row>
    <row r="961" spans="1:26">
      <c r="A961" s="54" t="str">
        <f>CONCATENATE(raw[[#This Row],[redis_ls]],raw[[#This Row],[wage_eq]],raw[[#This Row],[flex]],raw[[#This Row],[expo]],raw[[#This Row],[_date_]])</f>
        <v>010151502</v>
      </c>
      <c r="B961" s="1">
        <v>51502</v>
      </c>
      <c r="C961">
        <v>0</v>
      </c>
      <c r="D961">
        <v>1</v>
      </c>
      <c r="E961">
        <v>0</v>
      </c>
      <c r="F961">
        <v>1</v>
      </c>
      <c r="G961">
        <v>-0.22075208138371272</v>
      </c>
      <c r="H961">
        <v>-27.50796999999875</v>
      </c>
      <c r="I961">
        <v>-2.0934314581514624</v>
      </c>
      <c r="J961">
        <v>2.9381682963536271E-2</v>
      </c>
      <c r="K961">
        <v>-1.0975692134917336</v>
      </c>
      <c r="L961">
        <v>-0.43465459212769231</v>
      </c>
      <c r="M961">
        <v>-0.3804679052747395</v>
      </c>
      <c r="N961">
        <v>3.107327540212701E-2</v>
      </c>
      <c r="O961">
        <v>1.5151599999999044E-3</v>
      </c>
      <c r="P961">
        <v>0.23773921172121071</v>
      </c>
      <c r="Q961">
        <v>5.5285381148517665E-2</v>
      </c>
      <c r="R961">
        <v>-0.34781679917788022</v>
      </c>
      <c r="S961">
        <v>0.43456081125698987</v>
      </c>
      <c r="T961">
        <v>-0.39208211683837702</v>
      </c>
      <c r="U961">
        <v>15.628751214484126</v>
      </c>
      <c r="V961">
        <v>1.7701571325878795E-2</v>
      </c>
      <c r="W961">
        <v>-0.23544433556457189</v>
      </c>
      <c r="X961">
        <v>5.8745941000000038E-2</v>
      </c>
      <c r="Y961">
        <v>3.5276550000000115E-2</v>
      </c>
      <c r="Z961">
        <v>-2.6825810000000172E-2</v>
      </c>
    </row>
    <row r="962" spans="1:26">
      <c r="A962" s="54" t="str">
        <f>CONCATENATE(raw[[#This Row],[redis_ls]],raw[[#This Row],[wage_eq]],raw[[#This Row],[flex]],raw[[#This Row],[expo]],raw[[#This Row],[_date_]])</f>
        <v>010151867</v>
      </c>
      <c r="B962" s="1">
        <v>51867</v>
      </c>
      <c r="C962">
        <v>0</v>
      </c>
      <c r="D962">
        <v>1</v>
      </c>
      <c r="E962">
        <v>0</v>
      </c>
      <c r="F962">
        <v>1</v>
      </c>
      <c r="G962">
        <v>-0.20726460462688889</v>
      </c>
      <c r="H962">
        <v>-23.417240000002494</v>
      </c>
      <c r="I962">
        <v>-2.0491031740964338</v>
      </c>
      <c r="J962">
        <v>2.8710546781329782E-2</v>
      </c>
      <c r="K962">
        <v>-1.0496520187909475</v>
      </c>
      <c r="L962">
        <v>-0.41027580559377386</v>
      </c>
      <c r="M962">
        <v>-0.37255246780915074</v>
      </c>
      <c r="N962">
        <v>3.0991362153764968E-2</v>
      </c>
      <c r="O962">
        <v>2.043250000000052E-3</v>
      </c>
      <c r="P962">
        <v>0.2183053826569914</v>
      </c>
      <c r="Q962">
        <v>3.8925925291910524E-2</v>
      </c>
      <c r="R962">
        <v>-0.3583811965584105</v>
      </c>
      <c r="S962">
        <v>0.41255980675500847</v>
      </c>
      <c r="T962">
        <v>-0.40332187450616841</v>
      </c>
      <c r="U962">
        <v>15.62991051111764</v>
      </c>
      <c r="V962">
        <v>-8.3451107284249204E-3</v>
      </c>
      <c r="W962">
        <v>-0.23860505883533945</v>
      </c>
      <c r="X962">
        <v>4.8588470999999953E-2</v>
      </c>
      <c r="Y962">
        <v>3.4924190000000174E-2</v>
      </c>
      <c r="Z962">
        <v>-2.1741399999999911E-2</v>
      </c>
    </row>
    <row r="963" spans="1:26">
      <c r="A963" s="54" t="str">
        <f>CONCATENATE(raw[[#This Row],[redis_ls]],raw[[#This Row],[wage_eq]],raw[[#This Row],[flex]],raw[[#This Row],[expo]],raw[[#This Row],[_date_]])</f>
        <v>010152232</v>
      </c>
      <c r="B963" s="1">
        <v>52232</v>
      </c>
      <c r="C963">
        <v>0</v>
      </c>
      <c r="D963">
        <v>1</v>
      </c>
      <c r="E963">
        <v>0</v>
      </c>
      <c r="F963">
        <v>1</v>
      </c>
      <c r="G963">
        <v>-0.19154785189897661</v>
      </c>
      <c r="H963">
        <v>-18.013730000006035</v>
      </c>
      <c r="I963">
        <v>-2.0031491248201028</v>
      </c>
      <c r="J963">
        <v>3.0086275329410661E-2</v>
      </c>
      <c r="K963">
        <v>-0.99976781384458757</v>
      </c>
      <c r="L963">
        <v>-0.3828432950239935</v>
      </c>
      <c r="M963">
        <v>-0.36363809809468739</v>
      </c>
      <c r="N963">
        <v>3.2774136813151777E-2</v>
      </c>
      <c r="O963">
        <v>2.4081100000003519E-3</v>
      </c>
      <c r="P963">
        <v>0.19947873361911839</v>
      </c>
      <c r="Q963">
        <v>2.3350459893389797E-2</v>
      </c>
      <c r="R963">
        <v>-0.36780102977108653</v>
      </c>
      <c r="S963">
        <v>0.39111024605329447</v>
      </c>
      <c r="T963">
        <v>-0.4127993857681922</v>
      </c>
      <c r="U963">
        <v>15.551799378456899</v>
      </c>
      <c r="V963">
        <v>-3.3512780680422516E-2</v>
      </c>
      <c r="W963">
        <v>-0.24181177080815353</v>
      </c>
      <c r="X963">
        <v>3.5870242999999982E-2</v>
      </c>
      <c r="Y963">
        <v>3.5395649999999876E-2</v>
      </c>
      <c r="Z963">
        <v>-1.5491819999999962E-2</v>
      </c>
    </row>
    <row r="964" spans="1:26">
      <c r="A964" s="54" t="str">
        <f>CONCATENATE(raw[[#This Row],[redis_ls]],raw[[#This Row],[wage_eq]],raw[[#This Row],[flex]],raw[[#This Row],[expo]],raw[[#This Row],[_date_]])</f>
        <v>010152597</v>
      </c>
      <c r="B964" s="1">
        <v>52597</v>
      </c>
      <c r="C964">
        <v>0</v>
      </c>
      <c r="D964">
        <v>1</v>
      </c>
      <c r="E964">
        <v>0</v>
      </c>
      <c r="F964">
        <v>1</v>
      </c>
      <c r="G964">
        <v>-0.1744489630145063</v>
      </c>
      <c r="H964">
        <v>-11.676399999996647</v>
      </c>
      <c r="I964">
        <v>-1.9564314073769906</v>
      </c>
      <c r="J964">
        <v>3.3304748619356062E-2</v>
      </c>
      <c r="K964">
        <v>-0.94877698178845726</v>
      </c>
      <c r="L964">
        <v>-0.35429698547858601</v>
      </c>
      <c r="M964">
        <v>-0.35372729464687724</v>
      </c>
      <c r="N964">
        <v>3.6196131122800956E-2</v>
      </c>
      <c r="O964">
        <v>2.5906500000005828E-3</v>
      </c>
      <c r="P964">
        <v>0.18229184116287378</v>
      </c>
      <c r="Q964">
        <v>9.6491460954029051E-3</v>
      </c>
      <c r="R964">
        <v>-0.37489398808524532</v>
      </c>
      <c r="S964">
        <v>0.37120808853361442</v>
      </c>
      <c r="T964">
        <v>-0.42031275972477244</v>
      </c>
      <c r="U964">
        <v>15.406631267372628</v>
      </c>
      <c r="V964">
        <v>-5.6251009601082647E-2</v>
      </c>
      <c r="W964">
        <v>-0.24483882289411119</v>
      </c>
      <c r="X964">
        <v>2.1466353000000084E-2</v>
      </c>
      <c r="Y964">
        <v>3.6388649999999703E-2</v>
      </c>
      <c r="Z964">
        <v>-8.4176099999999643E-3</v>
      </c>
    </row>
    <row r="965" spans="1:26">
      <c r="A965" s="54" t="str">
        <f>CONCATENATE(raw[[#This Row],[redis_ls]],raw[[#This Row],[wage_eq]],raw[[#This Row],[flex]],raw[[#This Row],[expo]],raw[[#This Row],[_date_]])</f>
        <v>010152963</v>
      </c>
      <c r="B965" s="1">
        <v>52963</v>
      </c>
      <c r="C965">
        <v>0</v>
      </c>
      <c r="D965">
        <v>1</v>
      </c>
      <c r="E965">
        <v>0</v>
      </c>
      <c r="F965">
        <v>1</v>
      </c>
      <c r="G965">
        <v>-0.15683579215145516</v>
      </c>
      <c r="H965">
        <v>-4.8186399999976857</v>
      </c>
      <c r="I965">
        <v>-1.9098205904704124</v>
      </c>
      <c r="J965">
        <v>3.804096205741736E-2</v>
      </c>
      <c r="K965">
        <v>-0.89754695742556567</v>
      </c>
      <c r="L965">
        <v>-0.32647061079691397</v>
      </c>
      <c r="M965">
        <v>-0.34290121383770966</v>
      </c>
      <c r="N965">
        <v>4.0926412471664619E-2</v>
      </c>
      <c r="O965">
        <v>2.5855500000004916E-3</v>
      </c>
      <c r="P965">
        <v>0.16759453662191781</v>
      </c>
      <c r="Q965">
        <v>-1.2953542420035546E-3</v>
      </c>
      <c r="R965">
        <v>-0.37872856881659978</v>
      </c>
      <c r="S965">
        <v>0.35367702816657687</v>
      </c>
      <c r="T965">
        <v>-0.42576400705782724</v>
      </c>
      <c r="U965">
        <v>15.209252936043093</v>
      </c>
      <c r="V965">
        <v>-7.5278019143998343E-2</v>
      </c>
      <c r="W965">
        <v>-0.24747548160293231</v>
      </c>
      <c r="X965">
        <v>6.292676000000004E-3</v>
      </c>
      <c r="Y965">
        <v>3.7604740000000275E-2</v>
      </c>
      <c r="Z965">
        <v>-9.0199999999984737E-4</v>
      </c>
    </row>
    <row r="966" spans="1:26">
      <c r="A966" s="54" t="str">
        <f>CONCATENATE(raw[[#This Row],[redis_ls]],raw[[#This Row],[wage_eq]],raw[[#This Row],[flex]],raw[[#This Row],[expo]],raw[[#This Row],[_date_]])</f>
        <v>010153328</v>
      </c>
      <c r="B966" s="1">
        <v>53328</v>
      </c>
      <c r="C966">
        <v>0</v>
      </c>
      <c r="D966">
        <v>1</v>
      </c>
      <c r="E966">
        <v>0</v>
      </c>
      <c r="F966">
        <v>1</v>
      </c>
      <c r="G966">
        <v>-0.13954342853998991</v>
      </c>
      <c r="H966">
        <v>2.1417599999986123</v>
      </c>
      <c r="I966">
        <v>-1.8641419560557204</v>
      </c>
      <c r="J966">
        <v>4.3880448287736407E-2</v>
      </c>
      <c r="K966">
        <v>-0.84690774639705202</v>
      </c>
      <c r="L966">
        <v>-0.30099731862208712</v>
      </c>
      <c r="M966">
        <v>-0.33130601023513284</v>
      </c>
      <c r="N966">
        <v>4.6561518273069424E-2</v>
      </c>
      <c r="O966">
        <v>2.4024200000000162E-3</v>
      </c>
      <c r="P966">
        <v>0.15602176085778297</v>
      </c>
      <c r="Q966">
        <v>-8.8371724973224097E-3</v>
      </c>
      <c r="R966">
        <v>-0.37865019802395539</v>
      </c>
      <c r="S966">
        <v>0.33913771881797228</v>
      </c>
      <c r="T966">
        <v>-0.42915458393065764</v>
      </c>
      <c r="U966">
        <v>14.976034171510101</v>
      </c>
      <c r="V966">
        <v>-8.9632732171884832E-2</v>
      </c>
      <c r="W966">
        <v>-0.24954364728049239</v>
      </c>
      <c r="X966">
        <v>-8.7564929999998931E-3</v>
      </c>
      <c r="Y966">
        <v>3.8768550000000193E-2</v>
      </c>
      <c r="Z966">
        <v>6.6564599999999197E-3</v>
      </c>
    </row>
    <row r="967" spans="1:26">
      <c r="A967" s="54" t="str">
        <f>CONCATENATE(raw[[#This Row],[redis_ls]],raw[[#This Row],[wage_eq]],raw[[#This Row],[flex]],raw[[#This Row],[expo]],raw[[#This Row],[_date_]])</f>
        <v>010153693</v>
      </c>
      <c r="B967" s="1">
        <v>53693</v>
      </c>
      <c r="C967">
        <v>0</v>
      </c>
      <c r="D967">
        <v>1</v>
      </c>
      <c r="E967">
        <v>0</v>
      </c>
      <c r="F967">
        <v>1</v>
      </c>
      <c r="G967">
        <v>-0.12332613064557352</v>
      </c>
      <c r="H967">
        <v>8.8115699999980279</v>
      </c>
      <c r="I967">
        <v>-1.8201286083667112</v>
      </c>
      <c r="J967">
        <v>5.0357605834516761E-2</v>
      </c>
      <c r="K967">
        <v>-0.7976113253272521</v>
      </c>
      <c r="L967">
        <v>-0.27923549856513352</v>
      </c>
      <c r="M967">
        <v>-0.31913550067917962</v>
      </c>
      <c r="N967">
        <v>5.2661997971492625E-2</v>
      </c>
      <c r="O967">
        <v>2.064910000000586E-3</v>
      </c>
      <c r="P967">
        <v>0.14797792517855513</v>
      </c>
      <c r="Q967">
        <v>-1.2580655988025935E-2</v>
      </c>
      <c r="R967">
        <v>-0.37428924978993861</v>
      </c>
      <c r="S967">
        <v>0.32799093380446731</v>
      </c>
      <c r="T967">
        <v>-0.43057664782593097</v>
      </c>
      <c r="U967">
        <v>14.723777901339318</v>
      </c>
      <c r="V967">
        <v>-9.8701709587045716E-2</v>
      </c>
      <c r="W967">
        <v>-0.2509101774663236</v>
      </c>
      <c r="X967">
        <v>-2.286547299999997E-2</v>
      </c>
      <c r="Y967">
        <v>3.9642209999999831E-2</v>
      </c>
      <c r="Z967">
        <v>1.3871580000000133E-2</v>
      </c>
    </row>
    <row r="968" spans="1:26">
      <c r="A968" s="54" t="str">
        <f>CONCATENATE(raw[[#This Row],[redis_ls]],raw[[#This Row],[wage_eq]],raw[[#This Row],[flex]],raw[[#This Row],[expo]],raw[[#This Row],[_date_]])</f>
        <v>010154058</v>
      </c>
      <c r="B968" s="1">
        <v>54058</v>
      </c>
      <c r="C968">
        <v>0</v>
      </c>
      <c r="D968">
        <v>1</v>
      </c>
      <c r="E968">
        <v>0</v>
      </c>
      <c r="F968">
        <v>1</v>
      </c>
      <c r="G968">
        <v>-0.10881845388635014</v>
      </c>
      <c r="H968">
        <v>14.846759999993083</v>
      </c>
      <c r="I968">
        <v>-1.7783847834273114</v>
      </c>
      <c r="J968">
        <v>5.6995369722234734E-2</v>
      </c>
      <c r="K968">
        <v>-0.75029804996852301</v>
      </c>
      <c r="L968">
        <v>-0.26221704556911307</v>
      </c>
      <c r="M968">
        <v>-0.30661192990273367</v>
      </c>
      <c r="N968">
        <v>5.8789702827799495E-2</v>
      </c>
      <c r="O968">
        <v>1.6078200000005372E-3</v>
      </c>
      <c r="P968">
        <v>0.14363542740676305</v>
      </c>
      <c r="Q968">
        <v>-1.237846681910737E-2</v>
      </c>
      <c r="R968">
        <v>-0.36555339112895879</v>
      </c>
      <c r="S968">
        <v>0.32041552253267991</v>
      </c>
      <c r="T968">
        <v>-0.43020087322418465</v>
      </c>
      <c r="U968">
        <v>14.468723480658996</v>
      </c>
      <c r="V968">
        <v>-0.10222148191164626</v>
      </c>
      <c r="W968">
        <v>-0.25149319544361948</v>
      </c>
      <c r="X968">
        <v>-3.5343688999999942E-2</v>
      </c>
      <c r="Y968">
        <v>4.0034519999999907E-2</v>
      </c>
      <c r="Z968">
        <v>2.0395019999999708E-2</v>
      </c>
    </row>
    <row r="969" spans="1:26">
      <c r="A969" s="54" t="str">
        <f>CONCATENATE(raw[[#This Row],[redis_ls]],raw[[#This Row],[wage_eq]],raw[[#This Row],[flex]],raw[[#This Row],[expo]],raw[[#This Row],[_date_]])</f>
        <v>010154424</v>
      </c>
      <c r="B969" s="1">
        <v>54424</v>
      </c>
      <c r="C969">
        <v>0</v>
      </c>
      <c r="D969">
        <v>1</v>
      </c>
      <c r="E969">
        <v>0</v>
      </c>
      <c r="F969">
        <v>1</v>
      </c>
      <c r="G969">
        <v>-9.6507513329280314E-2</v>
      </c>
      <c r="H969">
        <v>19.971120000001974</v>
      </c>
      <c r="I969">
        <v>-1.7393605869685191</v>
      </c>
      <c r="J969">
        <v>6.3342309681702069E-2</v>
      </c>
      <c r="K969">
        <v>-0.70547143238661736</v>
      </c>
      <c r="L969">
        <v>-0.2506189704585382</v>
      </c>
      <c r="M969">
        <v>-0.29396741561338313</v>
      </c>
      <c r="N969">
        <v>6.4539980794453555E-2</v>
      </c>
      <c r="O969">
        <v>1.0731099999994331E-3</v>
      </c>
      <c r="P969">
        <v>0.14294728397914458</v>
      </c>
      <c r="Q969">
        <v>-8.3169762799650826E-3</v>
      </c>
      <c r="R969">
        <v>-0.35260682252657993</v>
      </c>
      <c r="S969">
        <v>0.31637913693569608</v>
      </c>
      <c r="T969">
        <v>-0.42826146929241249</v>
      </c>
      <c r="U969">
        <v>14.225697167180652</v>
      </c>
      <c r="V969">
        <v>-0.10025973840467328</v>
      </c>
      <c r="W969">
        <v>-0.25126119193357166</v>
      </c>
      <c r="X969">
        <v>-4.5658261999999977E-2</v>
      </c>
      <c r="Y969">
        <v>3.9805350000000211E-2</v>
      </c>
      <c r="Z969">
        <v>2.5937310000000158E-2</v>
      </c>
    </row>
    <row r="970" spans="1:26">
      <c r="A970" s="54" t="str">
        <f>CONCATENATE(raw[[#This Row],[redis_ls]],raw[[#This Row],[wage_eq]],raw[[#This Row],[flex]],raw[[#This Row],[expo]],raw[[#This Row],[_date_]])</f>
        <v>010154789</v>
      </c>
      <c r="B970" s="1">
        <v>54789</v>
      </c>
      <c r="C970">
        <v>0</v>
      </c>
      <c r="D970">
        <v>1</v>
      </c>
      <c r="E970">
        <v>0</v>
      </c>
      <c r="F970">
        <v>1</v>
      </c>
      <c r="G970">
        <v>-8.6717533076940967E-2</v>
      </c>
      <c r="H970">
        <v>23.987339999999676</v>
      </c>
      <c r="I970">
        <v>-1.7033399534676308</v>
      </c>
      <c r="J970">
        <v>6.9003137812706505E-2</v>
      </c>
      <c r="K970">
        <v>-0.66348441698242944</v>
      </c>
      <c r="L970">
        <v>-0.24475830474363081</v>
      </c>
      <c r="M970">
        <v>-0.28142688441309405</v>
      </c>
      <c r="N970">
        <v>6.9566820365607462E-2</v>
      </c>
      <c r="O970">
        <v>5.0503000000035048E-4</v>
      </c>
      <c r="P970">
        <v>0.14567045018005764</v>
      </c>
      <c r="Q970">
        <v>-6.9069004199340256E-4</v>
      </c>
      <c r="R970">
        <v>-0.335838460015081</v>
      </c>
      <c r="S970">
        <v>0.31565935966388903</v>
      </c>
      <c r="T970">
        <v>-0.42503985464336091</v>
      </c>
      <c r="U970">
        <v>14.00744162699208</v>
      </c>
      <c r="V970">
        <v>-9.3178733104715139E-2</v>
      </c>
      <c r="W970">
        <v>-0.2502284543900557</v>
      </c>
      <c r="X970">
        <v>-5.3451334000000031E-2</v>
      </c>
      <c r="Y970">
        <v>3.8866180000000222E-2</v>
      </c>
      <c r="Z970">
        <v>3.0282749999999831E-2</v>
      </c>
    </row>
    <row r="971" spans="1:26">
      <c r="A971" s="54" t="str">
        <f>CONCATENATE(raw[[#This Row],[redis_ls]],raw[[#This Row],[wage_eq]],raw[[#This Row],[flex]],raw[[#This Row],[expo]],raw[[#This Row],[_date_]])</f>
        <v>010036526</v>
      </c>
      <c r="B971" s="1">
        <v>36526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3.5354701563461433E-3</v>
      </c>
      <c r="U971">
        <v>0.22054535214603987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>
      <c r="A972" s="54" t="str">
        <f>CONCATENATE(raw[[#This Row],[redis_ls]],raw[[#This Row],[wage_eq]],raw[[#This Row],[flex]],raw[[#This Row],[expo]],raw[[#This Row],[_date_]])</f>
        <v>010036892</v>
      </c>
      <c r="B972" s="1">
        <v>36892</v>
      </c>
      <c r="C972">
        <v>0</v>
      </c>
      <c r="D972">
        <v>1</v>
      </c>
      <c r="E972">
        <v>0</v>
      </c>
      <c r="F972">
        <v>0</v>
      </c>
      <c r="G972">
        <v>2.5448153703955256E-2</v>
      </c>
      <c r="H972">
        <v>26.899309999997058</v>
      </c>
      <c r="I972">
        <v>-1.2594970787614734</v>
      </c>
      <c r="J972">
        <v>6.1876995591791939E-2</v>
      </c>
      <c r="K972">
        <v>-0.23157975183714097</v>
      </c>
      <c r="L972">
        <v>-3.8859344078012725E-2</v>
      </c>
      <c r="M972">
        <v>-0.16506165051805022</v>
      </c>
      <c r="N972">
        <v>8.7066554444859001E-2</v>
      </c>
      <c r="O972">
        <v>2.2588049999999749E-2</v>
      </c>
      <c r="P972">
        <v>0.4579261891437314</v>
      </c>
      <c r="Q972">
        <v>7.0878577207267313E-2</v>
      </c>
      <c r="R972">
        <v>-0.71613494899526176</v>
      </c>
      <c r="S972">
        <v>0.85094591180334689</v>
      </c>
      <c r="T972">
        <v>0.21328859603684247</v>
      </c>
      <c r="U972">
        <v>0.77130674326573168</v>
      </c>
      <c r="V972">
        <v>2.3675572181369731E-2</v>
      </c>
      <c r="W972">
        <v>-0.38546041213174398</v>
      </c>
      <c r="X972">
        <v>-8.0367230000000234E-2</v>
      </c>
      <c r="Y972">
        <v>9.3596250000000172E-2</v>
      </c>
      <c r="Z972">
        <v>-1.5217439999999985E-2</v>
      </c>
    </row>
    <row r="973" spans="1:26">
      <c r="A973" s="54" t="str">
        <f>CONCATENATE(raw[[#This Row],[redis_ls]],raw[[#This Row],[wage_eq]],raw[[#This Row],[flex]],raw[[#This Row],[expo]],raw[[#This Row],[_date_]])</f>
        <v>010037257</v>
      </c>
      <c r="B973" s="1">
        <v>37257</v>
      </c>
      <c r="C973">
        <v>0</v>
      </c>
      <c r="D973">
        <v>1</v>
      </c>
      <c r="E973">
        <v>0</v>
      </c>
      <c r="F973">
        <v>0</v>
      </c>
      <c r="G973">
        <v>5.4096467429043393E-2</v>
      </c>
      <c r="H973">
        <v>56.191679999999906</v>
      </c>
      <c r="I973">
        <v>-2.0592107064904108</v>
      </c>
      <c r="J973">
        <v>0.15533955700435254</v>
      </c>
      <c r="K973">
        <v>-0.43135215244677338</v>
      </c>
      <c r="L973">
        <v>-9.3320392851525824E-2</v>
      </c>
      <c r="M973">
        <v>-0.26434108967332559</v>
      </c>
      <c r="N973">
        <v>0.18943928690084988</v>
      </c>
      <c r="O973">
        <v>3.0550990000000056E-2</v>
      </c>
      <c r="P973">
        <v>0.52344252846072692</v>
      </c>
      <c r="Q973">
        <v>0.1528929899583531</v>
      </c>
      <c r="R973">
        <v>-0.61559104845272383</v>
      </c>
      <c r="S973">
        <v>0.91377244638048971</v>
      </c>
      <c r="T973">
        <v>0.33629546254596576</v>
      </c>
      <c r="U973">
        <v>1.6947780787111899</v>
      </c>
      <c r="V973">
        <v>0.19985329161917864</v>
      </c>
      <c r="W973">
        <v>-0.29103820938570779</v>
      </c>
      <c r="X973">
        <v>-0.16084743999999901</v>
      </c>
      <c r="Y973">
        <v>0.14707537000000007</v>
      </c>
      <c r="Z973">
        <v>3.9074889999999966E-2</v>
      </c>
    </row>
    <row r="974" spans="1:26">
      <c r="A974" s="54" t="str">
        <f>CONCATENATE(raw[[#This Row],[redis_ls]],raw[[#This Row],[wage_eq]],raw[[#This Row],[flex]],raw[[#This Row],[expo]],raw[[#This Row],[_date_]])</f>
        <v>010037622</v>
      </c>
      <c r="B974" s="1">
        <v>37622</v>
      </c>
      <c r="C974">
        <v>0</v>
      </c>
      <c r="D974">
        <v>1</v>
      </c>
      <c r="E974">
        <v>0</v>
      </c>
      <c r="F974">
        <v>0</v>
      </c>
      <c r="G974">
        <v>7.1686285382099868E-2</v>
      </c>
      <c r="H974">
        <v>78.995619999997871</v>
      </c>
      <c r="I974">
        <v>-2.5250093440937094</v>
      </c>
      <c r="J974">
        <v>0.2474846877643655</v>
      </c>
      <c r="K974">
        <v>-0.59088651574951134</v>
      </c>
      <c r="L974">
        <v>-0.15533360497379523</v>
      </c>
      <c r="M974">
        <v>-0.30408687838208159</v>
      </c>
      <c r="N974">
        <v>0.27289570538369112</v>
      </c>
      <c r="O974">
        <v>2.274723000000034E-2</v>
      </c>
      <c r="P974">
        <v>0.61463463936632934</v>
      </c>
      <c r="Q974">
        <v>0.26161349653384125</v>
      </c>
      <c r="R974">
        <v>-0.48291005133728193</v>
      </c>
      <c r="S974">
        <v>0.99711005565550348</v>
      </c>
      <c r="T974">
        <v>0.41157810485985546</v>
      </c>
      <c r="U974">
        <v>2.9977464162033396</v>
      </c>
      <c r="V974">
        <v>0.40755821474420806</v>
      </c>
      <c r="W974">
        <v>-0.20613151804789176</v>
      </c>
      <c r="X974">
        <v>-0.2182755699999997</v>
      </c>
      <c r="Y974">
        <v>0.18077947000000005</v>
      </c>
      <c r="Z974">
        <v>6.5863239999999934E-2</v>
      </c>
    </row>
    <row r="975" spans="1:26">
      <c r="A975" s="54" t="str">
        <f>CONCATENATE(raw[[#This Row],[redis_ls]],raw[[#This Row],[wage_eq]],raw[[#This Row],[flex]],raw[[#This Row],[expo]],raw[[#This Row],[_date_]])</f>
        <v>010037987</v>
      </c>
      <c r="B975" s="1">
        <v>37987</v>
      </c>
      <c r="C975">
        <v>0</v>
      </c>
      <c r="D975">
        <v>1</v>
      </c>
      <c r="E975">
        <v>0</v>
      </c>
      <c r="F975">
        <v>0</v>
      </c>
      <c r="G975">
        <v>7.2825104207230318E-2</v>
      </c>
      <c r="H975">
        <v>92.679220000001806</v>
      </c>
      <c r="I975">
        <v>-2.791043283159278</v>
      </c>
      <c r="J975">
        <v>0.31792648176871552</v>
      </c>
      <c r="K975">
        <v>-0.71977973390037198</v>
      </c>
      <c r="L975">
        <v>-0.22180835845546643</v>
      </c>
      <c r="M975">
        <v>-0.31362486274774115</v>
      </c>
      <c r="N975">
        <v>0.32702712990797522</v>
      </c>
      <c r="O975">
        <v>8.1420999999998189E-3</v>
      </c>
      <c r="P975">
        <v>0.72363618786979167</v>
      </c>
      <c r="Q975">
        <v>0.39060178054841632</v>
      </c>
      <c r="R975">
        <v>-0.32610711647551582</v>
      </c>
      <c r="S975">
        <v>1.0963066016270062</v>
      </c>
      <c r="T975">
        <v>0.45240099256456112</v>
      </c>
      <c r="U975">
        <v>4.6697809894290732</v>
      </c>
      <c r="V975">
        <v>0.61682118563954891</v>
      </c>
      <c r="W975">
        <v>-0.15125081357938441</v>
      </c>
      <c r="X975">
        <v>-0.24853358999999964</v>
      </c>
      <c r="Y975">
        <v>0.20619023000000014</v>
      </c>
      <c r="Z975">
        <v>6.926472000000003E-2</v>
      </c>
    </row>
    <row r="976" spans="1:26">
      <c r="A976" s="54" t="str">
        <f>CONCATENATE(raw[[#This Row],[redis_ls]],raw[[#This Row],[wage_eq]],raw[[#This Row],[flex]],raw[[#This Row],[expo]],raw[[#This Row],[_date_]])</f>
        <v>010038353</v>
      </c>
      <c r="B976" s="1">
        <v>38353</v>
      </c>
      <c r="C976">
        <v>0</v>
      </c>
      <c r="D976">
        <v>1</v>
      </c>
      <c r="E976">
        <v>0</v>
      </c>
      <c r="F976">
        <v>0</v>
      </c>
      <c r="G976">
        <v>5.9877167900523887E-2</v>
      </c>
      <c r="H976">
        <v>97.646690000001399</v>
      </c>
      <c r="I976">
        <v>-2.9406613489474709</v>
      </c>
      <c r="J976">
        <v>0.36545960738540995</v>
      </c>
      <c r="K976">
        <v>-0.82798199231853831</v>
      </c>
      <c r="L976">
        <v>-0.29098596208892991</v>
      </c>
      <c r="M976">
        <v>-0.31035923964970458</v>
      </c>
      <c r="N976">
        <v>0.36170667319399552</v>
      </c>
      <c r="O976">
        <v>-3.3567100000006511E-3</v>
      </c>
      <c r="P976">
        <v>0.84113975512263295</v>
      </c>
      <c r="Q976">
        <v>0.52984734173289194</v>
      </c>
      <c r="R976">
        <v>-0.15728327896973315</v>
      </c>
      <c r="S976">
        <v>1.2036676619783249</v>
      </c>
      <c r="T976">
        <v>0.46352575757446779</v>
      </c>
      <c r="U976">
        <v>6.6925896060987311</v>
      </c>
      <c r="V976">
        <v>0.82091436186584321</v>
      </c>
      <c r="W976">
        <v>-0.11953209252331121</v>
      </c>
      <c r="X976">
        <v>-0.25512468999999982</v>
      </c>
      <c r="Y976">
        <v>0.22864580999999962</v>
      </c>
      <c r="Z976">
        <v>5.9901360000000001E-2</v>
      </c>
    </row>
    <row r="977" spans="1:26">
      <c r="A977" s="54" t="str">
        <f>CONCATENATE(raw[[#This Row],[redis_ls]],raw[[#This Row],[wage_eq]],raw[[#This Row],[flex]],raw[[#This Row],[expo]],raw[[#This Row],[_date_]])</f>
        <v>010038718</v>
      </c>
      <c r="B977" s="1">
        <v>38718</v>
      </c>
      <c r="C977">
        <v>0</v>
      </c>
      <c r="D977">
        <v>1</v>
      </c>
      <c r="E977">
        <v>0</v>
      </c>
      <c r="F977">
        <v>0</v>
      </c>
      <c r="G977">
        <v>3.8356764164126922E-2</v>
      </c>
      <c r="H977">
        <v>95.747910000001866</v>
      </c>
      <c r="I977">
        <v>-3.0206361547591487</v>
      </c>
      <c r="J977">
        <v>0.39773062044567986</v>
      </c>
      <c r="K977">
        <v>-0.92113399622860692</v>
      </c>
      <c r="L977">
        <v>-0.36137389423447352</v>
      </c>
      <c r="M977">
        <v>-0.30115820243433733</v>
      </c>
      <c r="N977">
        <v>0.38794024929043047</v>
      </c>
      <c r="O977">
        <v>-8.7547799999990183E-3</v>
      </c>
      <c r="P977">
        <v>0.95995346436743567</v>
      </c>
      <c r="Q977">
        <v>0.67097151972657088</v>
      </c>
      <c r="R977">
        <v>1.3520155755797347E-2</v>
      </c>
      <c r="S977">
        <v>1.3126691482197028</v>
      </c>
      <c r="T977">
        <v>0.44746220941325188</v>
      </c>
      <c r="U977">
        <v>9.0440493498595398</v>
      </c>
      <c r="V977">
        <v>1.017476554682184</v>
      </c>
      <c r="W977">
        <v>-0.1020973220127841</v>
      </c>
      <c r="X977">
        <v>-0.24447127000000041</v>
      </c>
      <c r="Y977">
        <v>0.24983262999999992</v>
      </c>
      <c r="Z977">
        <v>4.7263260000000168E-2</v>
      </c>
    </row>
    <row r="978" spans="1:26">
      <c r="A978" s="54" t="str">
        <f>CONCATENATE(raw[[#This Row],[redis_ls]],raw[[#This Row],[wage_eq]],raw[[#This Row],[flex]],raw[[#This Row],[expo]],raw[[#This Row],[_date_]])</f>
        <v>010039083</v>
      </c>
      <c r="B978" s="1">
        <v>39083</v>
      </c>
      <c r="C978">
        <v>0</v>
      </c>
      <c r="D978">
        <v>1</v>
      </c>
      <c r="E978">
        <v>0</v>
      </c>
      <c r="F978">
        <v>0</v>
      </c>
      <c r="G978">
        <v>1.3780852558076262E-2</v>
      </c>
      <c r="H978">
        <v>89.280630000001111</v>
      </c>
      <c r="I978">
        <v>-3.056816961829234</v>
      </c>
      <c r="J978">
        <v>0.42370009818348819</v>
      </c>
      <c r="K978">
        <v>-1.0013639725760082</v>
      </c>
      <c r="L978">
        <v>-0.43154811730428122</v>
      </c>
      <c r="M978">
        <v>-0.28764585196612291</v>
      </c>
      <c r="N978">
        <v>0.41358364276049553</v>
      </c>
      <c r="O978">
        <v>-9.0447600000001516E-3</v>
      </c>
      <c r="P978">
        <v>1.0751520353058819</v>
      </c>
      <c r="Q978">
        <v>0.80801938173495902</v>
      </c>
      <c r="R978">
        <v>0.17926565454153831</v>
      </c>
      <c r="S978">
        <v>1.4185831891090128</v>
      </c>
      <c r="T978">
        <v>0.40635811750546758</v>
      </c>
      <c r="U978">
        <v>11.699540151653288</v>
      </c>
      <c r="V978">
        <v>1.2044968593053262</v>
      </c>
      <c r="W978">
        <v>-9.2981722727381033E-2</v>
      </c>
      <c r="X978">
        <v>-0.22335809999999984</v>
      </c>
      <c r="Y978">
        <v>0.26984228999999971</v>
      </c>
      <c r="Z978">
        <v>3.7943930000000278E-2</v>
      </c>
    </row>
    <row r="979" spans="1:26">
      <c r="A979" s="54" t="str">
        <f>CONCATENATE(raw[[#This Row],[redis_ls]],raw[[#This Row],[wage_eq]],raw[[#This Row],[flex]],raw[[#This Row],[expo]],raw[[#This Row],[_date_]])</f>
        <v>010039448</v>
      </c>
      <c r="B979" s="1">
        <v>39448</v>
      </c>
      <c r="C979">
        <v>0</v>
      </c>
      <c r="D979">
        <v>1</v>
      </c>
      <c r="E979">
        <v>0</v>
      </c>
      <c r="F979">
        <v>0</v>
      </c>
      <c r="G979">
        <v>-9.7194643819409343E-3</v>
      </c>
      <c r="H979">
        <v>80.386180000001332</v>
      </c>
      <c r="I979">
        <v>-3.063993876777249</v>
      </c>
      <c r="J979">
        <v>0.45025999723795618</v>
      </c>
      <c r="K979">
        <v>-1.0691208965366461</v>
      </c>
      <c r="L979">
        <v>-0.50018510143089445</v>
      </c>
      <c r="M979">
        <v>-0.26976567317922306</v>
      </c>
      <c r="N979">
        <v>0.44309178271690897</v>
      </c>
      <c r="O979">
        <v>-6.4072499999998089E-3</v>
      </c>
      <c r="P979">
        <v>1.1834961633154117</v>
      </c>
      <c r="Q979">
        <v>0.93704385056379014</v>
      </c>
      <c r="R979">
        <v>0.33539512295495122</v>
      </c>
      <c r="S979">
        <v>1.5181742151036959</v>
      </c>
      <c r="T979">
        <v>0.34241164163362203</v>
      </c>
      <c r="U979">
        <v>14.632112745672465</v>
      </c>
      <c r="V979">
        <v>1.380058966669151</v>
      </c>
      <c r="W979">
        <v>-8.8784542741560113E-2</v>
      </c>
      <c r="X979">
        <v>-0.19756115999999962</v>
      </c>
      <c r="Y979">
        <v>0.28828234999999991</v>
      </c>
      <c r="Z979">
        <v>3.563355000000025E-2</v>
      </c>
    </row>
    <row r="980" spans="1:26">
      <c r="A980" s="54" t="str">
        <f>CONCATENATE(raw[[#This Row],[redis_ls]],raw[[#This Row],[wage_eq]],raw[[#This Row],[flex]],raw[[#This Row],[expo]],raw[[#This Row],[_date_]])</f>
        <v>010039814</v>
      </c>
      <c r="B980" s="1">
        <v>39814</v>
      </c>
      <c r="C980">
        <v>0</v>
      </c>
      <c r="D980">
        <v>1</v>
      </c>
      <c r="E980">
        <v>0</v>
      </c>
      <c r="F980">
        <v>0</v>
      </c>
      <c r="G980">
        <v>-2.9701561582717861E-2</v>
      </c>
      <c r="H980">
        <v>70.749959999997373</v>
      </c>
      <c r="I980">
        <v>-3.0512969092853059</v>
      </c>
      <c r="J980">
        <v>0.48135728183908988</v>
      </c>
      <c r="K980">
        <v>-1.1245273764278529</v>
      </c>
      <c r="L980">
        <v>-0.56611782704301117</v>
      </c>
      <c r="M980">
        <v>-0.24749533638913634</v>
      </c>
      <c r="N980">
        <v>0.47818588037134013</v>
      </c>
      <c r="O980">
        <v>-2.8336199999992595E-3</v>
      </c>
      <c r="P980">
        <v>1.2828942866093929</v>
      </c>
      <c r="Q980">
        <v>1.0555414985751632</v>
      </c>
      <c r="R980">
        <v>0.4791120795590853</v>
      </c>
      <c r="S980">
        <v>1.6092948319480049</v>
      </c>
      <c r="T980">
        <v>0.25790255788735728</v>
      </c>
      <c r="U980">
        <v>17.812282538267809</v>
      </c>
      <c r="V980">
        <v>1.5426235090679308</v>
      </c>
      <c r="W980">
        <v>-8.7603911320266459E-2</v>
      </c>
      <c r="X980">
        <v>-0.1712944600000002</v>
      </c>
      <c r="Y980">
        <v>0.30476743999999989</v>
      </c>
      <c r="Z980">
        <v>4.1632549999999838E-2</v>
      </c>
    </row>
    <row r="981" spans="1:26">
      <c r="A981" s="54" t="str">
        <f>CONCATENATE(raw[[#This Row],[redis_ls]],raw[[#This Row],[wage_eq]],raw[[#This Row],[flex]],raw[[#This Row],[expo]],raw[[#This Row],[_date_]])</f>
        <v>010040179</v>
      </c>
      <c r="B981" s="1">
        <v>40179</v>
      </c>
      <c r="C981">
        <v>0</v>
      </c>
      <c r="D981">
        <v>1</v>
      </c>
      <c r="E981">
        <v>0</v>
      </c>
      <c r="F981">
        <v>0</v>
      </c>
      <c r="G981">
        <v>-4.5193716564972952E-2</v>
      </c>
      <c r="H981">
        <v>61.515570000003208</v>
      </c>
      <c r="I981">
        <v>-3.0249268972800225</v>
      </c>
      <c r="J981">
        <v>0.51827909157171614</v>
      </c>
      <c r="K981">
        <v>-1.1680459706837398</v>
      </c>
      <c r="L981">
        <v>-0.62836846355828202</v>
      </c>
      <c r="M981">
        <v>-0.22140973119884055</v>
      </c>
      <c r="N981">
        <v>0.51863820640996039</v>
      </c>
      <c r="O981">
        <v>3.2069999999911891E-4</v>
      </c>
      <c r="P981">
        <v>1.372042442881205</v>
      </c>
      <c r="Q981">
        <v>1.1620125344699472</v>
      </c>
      <c r="R981">
        <v>0.60881525471239151</v>
      </c>
      <c r="S981">
        <v>1.69058208620807</v>
      </c>
      <c r="T981">
        <v>0.1551862027165285</v>
      </c>
      <c r="U981">
        <v>21.207826385203422</v>
      </c>
      <c r="V981">
        <v>1.6911509393636281</v>
      </c>
      <c r="W981">
        <v>-8.8301756567776835E-2</v>
      </c>
      <c r="X981">
        <v>-0.14718080999999994</v>
      </c>
      <c r="Y981">
        <v>0.31908707000000008</v>
      </c>
      <c r="Z981">
        <v>5.5502890000000416E-2</v>
      </c>
    </row>
    <row r="982" spans="1:26">
      <c r="A982" s="54" t="str">
        <f>CONCATENATE(raw[[#This Row],[redis_ls]],raw[[#This Row],[wage_eq]],raw[[#This Row],[flex]],raw[[#This Row],[expo]],raw[[#This Row],[_date_]])</f>
        <v>010040544</v>
      </c>
      <c r="B982" s="1">
        <v>40544</v>
      </c>
      <c r="C982">
        <v>0</v>
      </c>
      <c r="D982">
        <v>1</v>
      </c>
      <c r="E982">
        <v>0</v>
      </c>
      <c r="F982">
        <v>0</v>
      </c>
      <c r="G982">
        <v>-5.6289101212014803E-2</v>
      </c>
      <c r="H982">
        <v>53.328239999998914</v>
      </c>
      <c r="I982">
        <v>-2.9894456058865204</v>
      </c>
      <c r="J982">
        <v>0.56035903735156545</v>
      </c>
      <c r="K982">
        <v>-1.2006485595765004</v>
      </c>
      <c r="L982">
        <v>-0.6861580240345444</v>
      </c>
      <c r="M982">
        <v>-0.19266377894899822</v>
      </c>
      <c r="N982">
        <v>0.56299310827907512</v>
      </c>
      <c r="O982">
        <v>2.3510800000001164E-3</v>
      </c>
      <c r="P982">
        <v>1.4502084088334088</v>
      </c>
      <c r="Q982">
        <v>1.2556665553698387</v>
      </c>
      <c r="R982">
        <v>0.72371700082631829</v>
      </c>
      <c r="S982">
        <v>1.7612555881458825</v>
      </c>
      <c r="T982">
        <v>3.670454124278244E-2</v>
      </c>
      <c r="U982">
        <v>24.783745195793028</v>
      </c>
      <c r="V982">
        <v>1.8250569574293163</v>
      </c>
      <c r="W982">
        <v>-9.0136433737975086E-2</v>
      </c>
      <c r="X982">
        <v>-0.1265052700000005</v>
      </c>
      <c r="Y982">
        <v>0.33122320999999999</v>
      </c>
      <c r="Z982">
        <v>7.5711879999999787E-2</v>
      </c>
    </row>
    <row r="983" spans="1:26">
      <c r="A983" s="54" t="str">
        <f>CONCATENATE(raw[[#This Row],[redis_ls]],raw[[#This Row],[wage_eq]],raw[[#This Row],[flex]],raw[[#This Row],[expo]],raw[[#This Row],[_date_]])</f>
        <v>010040909</v>
      </c>
      <c r="B983" s="1">
        <v>40909</v>
      </c>
      <c r="C983">
        <v>0</v>
      </c>
      <c r="D983">
        <v>1</v>
      </c>
      <c r="E983">
        <v>0</v>
      </c>
      <c r="F983">
        <v>0</v>
      </c>
      <c r="G983">
        <v>-6.3720461939154038E-2</v>
      </c>
      <c r="H983">
        <v>46.441749999998137</v>
      </c>
      <c r="I983">
        <v>-2.9483455421156046</v>
      </c>
      <c r="J983">
        <v>0.60574687498227142</v>
      </c>
      <c r="K983">
        <v>-1.2237168018629174</v>
      </c>
      <c r="L983">
        <v>-0.73890243632162012</v>
      </c>
      <c r="M983">
        <v>-0.16274485133948025</v>
      </c>
      <c r="N983">
        <v>0.60917967635760739</v>
      </c>
      <c r="O983">
        <v>3.0620000000008973E-3</v>
      </c>
      <c r="P983">
        <v>1.5170975441704426</v>
      </c>
      <c r="Q983">
        <v>1.33623378379637</v>
      </c>
      <c r="R983">
        <v>0.82360225572861712</v>
      </c>
      <c r="S983">
        <v>1.8209866028602528</v>
      </c>
      <c r="T983">
        <v>-9.499837368792674E-2</v>
      </c>
      <c r="U983">
        <v>28.502455285067253</v>
      </c>
      <c r="V983">
        <v>1.9441045019265912</v>
      </c>
      <c r="W983">
        <v>-9.2610230739686994E-2</v>
      </c>
      <c r="X983">
        <v>-0.10957908999999905</v>
      </c>
      <c r="Y983">
        <v>0.34130690999999991</v>
      </c>
      <c r="Z983">
        <v>0.10019489000000006</v>
      </c>
    </row>
    <row r="984" spans="1:26">
      <c r="A984" s="54" t="str">
        <f>CONCATENATE(raw[[#This Row],[redis_ls]],raw[[#This Row],[wage_eq]],raw[[#This Row],[flex]],raw[[#This Row],[expo]],raw[[#This Row],[_date_]])</f>
        <v>010041275</v>
      </c>
      <c r="B984" s="1">
        <v>41275</v>
      </c>
      <c r="C984">
        <v>0</v>
      </c>
      <c r="D984">
        <v>1</v>
      </c>
      <c r="E984">
        <v>0</v>
      </c>
      <c r="F984">
        <v>0</v>
      </c>
      <c r="G984">
        <v>-6.8498205746903018E-2</v>
      </c>
      <c r="H984">
        <v>40.843370000002324</v>
      </c>
      <c r="I984">
        <v>-2.9042924062644526</v>
      </c>
      <c r="J984">
        <v>0.652081935051263</v>
      </c>
      <c r="K984">
        <v>-1.238841577001959</v>
      </c>
      <c r="L984">
        <v>-0.78620182420470197</v>
      </c>
      <c r="M984">
        <v>-0.13318730119391553</v>
      </c>
      <c r="N984">
        <v>0.65499115438112376</v>
      </c>
      <c r="O984">
        <v>2.593120000000948E-3</v>
      </c>
      <c r="P984">
        <v>1.5727645939903168</v>
      </c>
      <c r="Q984">
        <v>1.4038429024639587</v>
      </c>
      <c r="R984">
        <v>0.90867926853577252</v>
      </c>
      <c r="S984">
        <v>1.8698063841889434</v>
      </c>
      <c r="T984">
        <v>-0.23727795406397467</v>
      </c>
      <c r="U984">
        <v>32.324222500550825</v>
      </c>
      <c r="V984">
        <v>2.0483054412873347</v>
      </c>
      <c r="W984">
        <v>-9.5408143217379227E-2</v>
      </c>
      <c r="X984">
        <v>-9.6105850000000048E-2</v>
      </c>
      <c r="Y984">
        <v>0.34955819000000027</v>
      </c>
      <c r="Z984">
        <v>0.12679634999999967</v>
      </c>
    </row>
    <row r="985" spans="1:26">
      <c r="A985" s="54" t="str">
        <f>CONCATENATE(raw[[#This Row],[redis_ls]],raw[[#This Row],[wage_eq]],raw[[#This Row],[flex]],raw[[#This Row],[expo]],raw[[#This Row],[_date_]])</f>
        <v>010041640</v>
      </c>
      <c r="B985" s="1">
        <v>41640</v>
      </c>
      <c r="C985">
        <v>0</v>
      </c>
      <c r="D985">
        <v>1</v>
      </c>
      <c r="E985">
        <v>0</v>
      </c>
      <c r="F985">
        <v>0</v>
      </c>
      <c r="G985">
        <v>-7.1643960852485478E-2</v>
      </c>
      <c r="H985">
        <v>36.369099999999889</v>
      </c>
      <c r="I985">
        <v>-2.8592434739512007</v>
      </c>
      <c r="J985">
        <v>0.69700591478936147</v>
      </c>
      <c r="K985">
        <v>-1.2476216986481825</v>
      </c>
      <c r="L985">
        <v>-0.82782709474438221</v>
      </c>
      <c r="M985">
        <v>-0.1053412638213902</v>
      </c>
      <c r="N985">
        <v>0.69842363480159264</v>
      </c>
      <c r="O985">
        <v>1.2627299999998232E-3</v>
      </c>
      <c r="P985">
        <v>1.6175477353515433</v>
      </c>
      <c r="Q985">
        <v>1.4589384906855463</v>
      </c>
      <c r="R985">
        <v>0.97948718925429112</v>
      </c>
      <c r="S985">
        <v>1.908037434133325</v>
      </c>
      <c r="T985">
        <v>-0.38741629542654588</v>
      </c>
      <c r="U985">
        <v>36.207825541741776</v>
      </c>
      <c r="V985">
        <v>2.1378602911904299</v>
      </c>
      <c r="W985">
        <v>-9.8363683334146135E-2</v>
      </c>
      <c r="X985">
        <v>-8.5489900000000618E-2</v>
      </c>
      <c r="Y985">
        <v>0.35623065000000009</v>
      </c>
      <c r="Z985">
        <v>0.15357411000000015</v>
      </c>
    </row>
    <row r="986" spans="1:26">
      <c r="A986" s="54" t="str">
        <f>CONCATENATE(raw[[#This Row],[redis_ls]],raw[[#This Row],[wage_eq]],raw[[#This Row],[flex]],raw[[#This Row],[expo]],raw[[#This Row],[_date_]])</f>
        <v>010042005</v>
      </c>
      <c r="B986" s="1">
        <v>42005</v>
      </c>
      <c r="C986">
        <v>0</v>
      </c>
      <c r="D986">
        <v>1</v>
      </c>
      <c r="E986">
        <v>0</v>
      </c>
      <c r="F986">
        <v>0</v>
      </c>
      <c r="G986">
        <v>-7.4024062320054984E-2</v>
      </c>
      <c r="H986">
        <v>32.794969999999012</v>
      </c>
      <c r="I986">
        <v>-2.8145361299407701</v>
      </c>
      <c r="J986">
        <v>0.73850073869825561</v>
      </c>
      <c r="K986">
        <v>-1.2515107058265307</v>
      </c>
      <c r="L986">
        <v>-0.86370535908817381</v>
      </c>
      <c r="M986">
        <v>-8.0229140090559703E-2</v>
      </c>
      <c r="N986">
        <v>0.73787890110450505</v>
      </c>
      <c r="O986">
        <v>-5.534500000001219E-4</v>
      </c>
      <c r="P986">
        <v>1.6520150253576782</v>
      </c>
      <c r="Q986">
        <v>1.5022204243411164</v>
      </c>
      <c r="R986">
        <v>1.0368358127084809</v>
      </c>
      <c r="S986">
        <v>1.9362372318867838</v>
      </c>
      <c r="T986">
        <v>-0.5426729405687114</v>
      </c>
      <c r="U986">
        <v>40.111407631838802</v>
      </c>
      <c r="V986">
        <v>2.2131344437442912</v>
      </c>
      <c r="W986">
        <v>-0.10142697886751373</v>
      </c>
      <c r="X986">
        <v>-7.7062549999999674E-2</v>
      </c>
      <c r="Y986">
        <v>0.36157050999999985</v>
      </c>
      <c r="Z986">
        <v>0.17897425000000036</v>
      </c>
    </row>
    <row r="987" spans="1:26">
      <c r="A987" s="54" t="str">
        <f>CONCATENATE(raw[[#This Row],[redis_ls]],raw[[#This Row],[wage_eq]],raw[[#This Row],[flex]],raw[[#This Row],[expo]],raw[[#This Row],[_date_]])</f>
        <v>010042370</v>
      </c>
      <c r="B987" s="1">
        <v>42370</v>
      </c>
      <c r="C987">
        <v>0</v>
      </c>
      <c r="D987">
        <v>1</v>
      </c>
      <c r="E987">
        <v>0</v>
      </c>
      <c r="F987">
        <v>0</v>
      </c>
      <c r="G987">
        <v>-7.62711942211447E-2</v>
      </c>
      <c r="H987">
        <v>29.899679999998625</v>
      </c>
      <c r="I987">
        <v>-2.7709828433158834</v>
      </c>
      <c r="J987">
        <v>0.77506791284505105</v>
      </c>
      <c r="K987">
        <v>-1.2517265624326535</v>
      </c>
      <c r="L987">
        <v>-0.89390469095740333</v>
      </c>
      <c r="M987">
        <v>-5.8489441375864093E-2</v>
      </c>
      <c r="N987">
        <v>0.77225179216489082</v>
      </c>
      <c r="O987">
        <v>-2.5048700000002144E-3</v>
      </c>
      <c r="P987">
        <v>1.6769183054662795</v>
      </c>
      <c r="Q987">
        <v>1.5345948130980558</v>
      </c>
      <c r="R987">
        <v>1.0817614083173721</v>
      </c>
      <c r="S987">
        <v>1.9551492995525832</v>
      </c>
      <c r="T987">
        <v>-0.70035217294671659</v>
      </c>
      <c r="U987">
        <v>43.993465057898248</v>
      </c>
      <c r="V987">
        <v>2.2746582955340822</v>
      </c>
      <c r="W987">
        <v>-0.10462992384815406</v>
      </c>
      <c r="X987">
        <v>-7.0224220000000837E-2</v>
      </c>
      <c r="Y987">
        <v>0.36579245000000066</v>
      </c>
      <c r="Z987">
        <v>0.20189788000000014</v>
      </c>
    </row>
    <row r="988" spans="1:26">
      <c r="A988" s="54" t="str">
        <f>CONCATENATE(raw[[#This Row],[redis_ls]],raw[[#This Row],[wage_eq]],raw[[#This Row],[flex]],raw[[#This Row],[expo]],raw[[#This Row],[_date_]])</f>
        <v>010042736</v>
      </c>
      <c r="B988" s="1">
        <v>42736</v>
      </c>
      <c r="C988">
        <v>0</v>
      </c>
      <c r="D988">
        <v>1</v>
      </c>
      <c r="E988">
        <v>0</v>
      </c>
      <c r="F988">
        <v>0</v>
      </c>
      <c r="G988">
        <v>-7.8771661144005911E-2</v>
      </c>
      <c r="H988">
        <v>27.500319999999192</v>
      </c>
      <c r="I988">
        <v>-2.7289775034086916</v>
      </c>
      <c r="J988">
        <v>0.80578129717003844</v>
      </c>
      <c r="K988">
        <v>-1.2492190524925006</v>
      </c>
      <c r="L988">
        <v>-0.91861781002218201</v>
      </c>
      <c r="M988">
        <v>-4.0389393583784017E-2</v>
      </c>
      <c r="N988">
        <v>0.8009292262814105</v>
      </c>
      <c r="O988">
        <v>-4.3130100000010607E-3</v>
      </c>
      <c r="P988">
        <v>1.6931514417481308</v>
      </c>
      <c r="Q988">
        <v>1.5571292474187981</v>
      </c>
      <c r="R988">
        <v>1.1154873956374045</v>
      </c>
      <c r="S988">
        <v>1.96565843011407</v>
      </c>
      <c r="T988">
        <v>-0.85787777259044296</v>
      </c>
      <c r="U988">
        <v>47.81390069093603</v>
      </c>
      <c r="V988">
        <v>2.3231355837279644</v>
      </c>
      <c r="W988">
        <v>-0.10805107721734153</v>
      </c>
      <c r="X988">
        <v>-6.4514079999999918E-2</v>
      </c>
      <c r="Y988">
        <v>0.36907051000000035</v>
      </c>
      <c r="Z988">
        <v>0.22168867000000037</v>
      </c>
    </row>
    <row r="989" spans="1:26">
      <c r="A989" s="54" t="str">
        <f>CONCATENATE(raw[[#This Row],[redis_ls]],raw[[#This Row],[wage_eq]],raw[[#This Row],[flex]],raw[[#This Row],[expo]],raw[[#This Row],[_date_]])</f>
        <v>010043101</v>
      </c>
      <c r="B989" s="1">
        <v>43101</v>
      </c>
      <c r="C989">
        <v>0</v>
      </c>
      <c r="D989">
        <v>1</v>
      </c>
      <c r="E989">
        <v>0</v>
      </c>
      <c r="F989">
        <v>0</v>
      </c>
      <c r="G989">
        <v>-8.1696000252540202E-2</v>
      </c>
      <c r="H989">
        <v>25.466300000000047</v>
      </c>
      <c r="I989">
        <v>-2.6886061028426056</v>
      </c>
      <c r="J989">
        <v>0.83024936202045208</v>
      </c>
      <c r="K989">
        <v>-1.2446802711096661</v>
      </c>
      <c r="L989">
        <v>-0.93814486699519417</v>
      </c>
      <c r="M989">
        <v>-2.5882596381399114E-2</v>
      </c>
      <c r="N989">
        <v>0.82373228938268372</v>
      </c>
      <c r="O989">
        <v>-5.7898700000003078E-3</v>
      </c>
      <c r="P989">
        <v>1.7017111170270383</v>
      </c>
      <c r="Q989">
        <v>1.5710086005017887</v>
      </c>
      <c r="R989">
        <v>1.1393832177813978</v>
      </c>
      <c r="S989">
        <v>1.9687484701164326</v>
      </c>
      <c r="T989">
        <v>-1.0128668339811964</v>
      </c>
      <c r="U989">
        <v>51.535069822727777</v>
      </c>
      <c r="V989">
        <v>2.3594480805609885</v>
      </c>
      <c r="W989">
        <v>-0.11178381880379007</v>
      </c>
      <c r="X989">
        <v>-5.9625760000000388E-2</v>
      </c>
      <c r="Y989">
        <v>0.37154011000000015</v>
      </c>
      <c r="Z989">
        <v>0.23807079999999953</v>
      </c>
    </row>
    <row r="990" spans="1:26">
      <c r="A990" s="54" t="str">
        <f>CONCATENATE(raw[[#This Row],[redis_ls]],raw[[#This Row],[wage_eq]],raw[[#This Row],[flex]],raw[[#This Row],[expo]],raw[[#This Row],[_date_]])</f>
        <v>010043466</v>
      </c>
      <c r="B990" s="1">
        <v>43466</v>
      </c>
      <c r="C990">
        <v>0</v>
      </c>
      <c r="D990">
        <v>1</v>
      </c>
      <c r="E990">
        <v>0</v>
      </c>
      <c r="F990">
        <v>0</v>
      </c>
      <c r="G990">
        <v>-8.505116031273241E-2</v>
      </c>
      <c r="H990">
        <v>23.71784999999727</v>
      </c>
      <c r="I990">
        <v>-2.6497507585681146</v>
      </c>
      <c r="J990">
        <v>0.84852551209080307</v>
      </c>
      <c r="K990">
        <v>-1.2385815070811046</v>
      </c>
      <c r="L990">
        <v>-0.95287465057259935</v>
      </c>
      <c r="M990">
        <v>-1.4688307314281168E-2</v>
      </c>
      <c r="N990">
        <v>0.84082725204093212</v>
      </c>
      <c r="O990">
        <v>-6.8361099999997288E-3</v>
      </c>
      <c r="P990">
        <v>1.7036591376094368</v>
      </c>
      <c r="Q990">
        <v>1.5774900928840818</v>
      </c>
      <c r="R990">
        <v>1.154918271919203</v>
      </c>
      <c r="S990">
        <v>1.9654618536341539</v>
      </c>
      <c r="T990">
        <v>-1.1631948467670794</v>
      </c>
      <c r="U990">
        <v>55.122743416089072</v>
      </c>
      <c r="V990">
        <v>2.3846488408714395</v>
      </c>
      <c r="W990">
        <v>-0.11590981297626701</v>
      </c>
      <c r="X990">
        <v>-5.5388170000000153E-2</v>
      </c>
      <c r="Y990">
        <v>0.37330620000000025</v>
      </c>
      <c r="Z990">
        <v>0.25106255999999966</v>
      </c>
    </row>
    <row r="991" spans="1:26">
      <c r="A991" s="54" t="str">
        <f>CONCATENATE(raw[[#This Row],[redis_ls]],raw[[#This Row],[wage_eq]],raw[[#This Row],[flex]],raw[[#This Row],[expo]],raw[[#This Row],[_date_]])</f>
        <v>010043831</v>
      </c>
      <c r="B991" s="1">
        <v>43831</v>
      </c>
      <c r="C991">
        <v>0</v>
      </c>
      <c r="D991">
        <v>1</v>
      </c>
      <c r="E991">
        <v>0</v>
      </c>
      <c r="F991">
        <v>0</v>
      </c>
      <c r="G991">
        <v>-8.8738422251166682E-2</v>
      </c>
      <c r="H991">
        <v>22.215650000001915</v>
      </c>
      <c r="I991">
        <v>-2.6121790121527599</v>
      </c>
      <c r="J991">
        <v>0.8609945377654471</v>
      </c>
      <c r="K991">
        <v>-1.2312213017359963</v>
      </c>
      <c r="L991">
        <v>-0.96326492653523443</v>
      </c>
      <c r="M991">
        <v>-6.3741932001204482E-3</v>
      </c>
      <c r="N991">
        <v>0.85262779760226781</v>
      </c>
      <c r="O991">
        <v>-7.4269299999998872E-3</v>
      </c>
      <c r="P991">
        <v>1.7000859390077894</v>
      </c>
      <c r="Q991">
        <v>1.5778581973187711</v>
      </c>
      <c r="R991">
        <v>1.1636112773808049</v>
      </c>
      <c r="S991">
        <v>1.9568613948959479</v>
      </c>
      <c r="T991">
        <v>-1.3070466372426259</v>
      </c>
      <c r="U991">
        <v>58.546926674568908</v>
      </c>
      <c r="V991">
        <v>2.3999412513039386</v>
      </c>
      <c r="W991">
        <v>-0.12048010313875368</v>
      </c>
      <c r="X991">
        <v>-5.1728659999999982E-2</v>
      </c>
      <c r="Y991">
        <v>0.37445342999999975</v>
      </c>
      <c r="Z991">
        <v>0.26088548999999989</v>
      </c>
    </row>
    <row r="992" spans="1:26">
      <c r="A992" s="54" t="str">
        <f>CONCATENATE(raw[[#This Row],[redis_ls]],raw[[#This Row],[wage_eq]],raw[[#This Row],[flex]],raw[[#This Row],[expo]],raw[[#This Row],[_date_]])</f>
        <v>010044197</v>
      </c>
      <c r="B992" s="1">
        <v>44197</v>
      </c>
      <c r="C992">
        <v>0</v>
      </c>
      <c r="D992">
        <v>1</v>
      </c>
      <c r="E992">
        <v>0</v>
      </c>
      <c r="F992">
        <v>0</v>
      </c>
      <c r="G992">
        <v>-9.2605693740477335E-2</v>
      </c>
      <c r="H992">
        <v>20.946540000000823</v>
      </c>
      <c r="I992">
        <v>-2.5756130512346598</v>
      </c>
      <c r="J992">
        <v>0.8682583463208271</v>
      </c>
      <c r="K992">
        <v>-1.2227739860085518</v>
      </c>
      <c r="L992">
        <v>-0.96982189349670289</v>
      </c>
      <c r="M992">
        <v>-4.3055135947600576E-4</v>
      </c>
      <c r="N992">
        <v>0.85970263256107682</v>
      </c>
      <c r="O992">
        <v>-7.5925500000004198E-3</v>
      </c>
      <c r="P992">
        <v>1.6920759110420347</v>
      </c>
      <c r="Q992">
        <v>1.5733810690804484</v>
      </c>
      <c r="R992">
        <v>1.1669773226176128</v>
      </c>
      <c r="S992">
        <v>1.9439951895962482</v>
      </c>
      <c r="T992">
        <v>-1.4429495079169907</v>
      </c>
      <c r="U992">
        <v>61.782483649217809</v>
      </c>
      <c r="V992">
        <v>2.4066448252178629</v>
      </c>
      <c r="W992">
        <v>-0.12550337846931603</v>
      </c>
      <c r="X992">
        <v>-4.8631740000000534E-2</v>
      </c>
      <c r="Y992">
        <v>0.37505524999999973</v>
      </c>
      <c r="Z992">
        <v>0.26788157999999979</v>
      </c>
    </row>
    <row r="993" spans="1:26">
      <c r="A993" s="54" t="str">
        <f>CONCATENATE(raw[[#This Row],[redis_ls]],raw[[#This Row],[wage_eq]],raw[[#This Row],[flex]],raw[[#This Row],[expo]],raw[[#This Row],[_date_]])</f>
        <v>010044562</v>
      </c>
      <c r="B993" s="1">
        <v>44562</v>
      </c>
      <c r="C993">
        <v>0</v>
      </c>
      <c r="D993">
        <v>1</v>
      </c>
      <c r="E993">
        <v>0</v>
      </c>
      <c r="F993">
        <v>0</v>
      </c>
      <c r="G993">
        <v>-9.6488899260738226E-2</v>
      </c>
      <c r="H993">
        <v>19.909419999999955</v>
      </c>
      <c r="I993">
        <v>-2.5397784534727963</v>
      </c>
      <c r="J993">
        <v>0.87103510702219999</v>
      </c>
      <c r="K993">
        <v>-1.2133320351967347</v>
      </c>
      <c r="L993">
        <v>-0.97307958291347196</v>
      </c>
      <c r="M993">
        <v>3.6703819691785711E-3</v>
      </c>
      <c r="N993">
        <v>0.86269697534693268</v>
      </c>
      <c r="O993">
        <v>-7.3979799999998597E-3</v>
      </c>
      <c r="P993">
        <v>1.6806756690582514</v>
      </c>
      <c r="Q993">
        <v>1.5652708518747005</v>
      </c>
      <c r="R993">
        <v>1.1664764631577285</v>
      </c>
      <c r="S993">
        <v>1.9278656816583695</v>
      </c>
      <c r="T993">
        <v>-1.5697873573747856</v>
      </c>
      <c r="U993">
        <v>64.809539132357401</v>
      </c>
      <c r="V993">
        <v>2.4061506890546314</v>
      </c>
      <c r="W993">
        <v>-0.13094186374396077</v>
      </c>
      <c r="X993">
        <v>-4.6102020000000216E-2</v>
      </c>
      <c r="Y993">
        <v>0.37518007999999964</v>
      </c>
      <c r="Z993">
        <v>0.27244609000000031</v>
      </c>
    </row>
    <row r="994" spans="1:26">
      <c r="A994" s="54" t="str">
        <f>CONCATENATE(raw[[#This Row],[redis_ls]],raw[[#This Row],[wage_eq]],raw[[#This Row],[flex]],raw[[#This Row],[expo]],raw[[#This Row],[_date_]])</f>
        <v>010044927</v>
      </c>
      <c r="B994" s="1">
        <v>44927</v>
      </c>
      <c r="C994">
        <v>0</v>
      </c>
      <c r="D994">
        <v>1</v>
      </c>
      <c r="E994">
        <v>0</v>
      </c>
      <c r="F994">
        <v>0</v>
      </c>
      <c r="G994">
        <v>-0.10024025009586213</v>
      </c>
      <c r="H994">
        <v>19.103449999998702</v>
      </c>
      <c r="I994">
        <v>-2.5044339217881295</v>
      </c>
      <c r="J994">
        <v>0.87007842836612781</v>
      </c>
      <c r="K994">
        <v>-1.2029389380565636</v>
      </c>
      <c r="L994">
        <v>-0.9735803142653543</v>
      </c>
      <c r="M994">
        <v>6.4320408288409681E-3</v>
      </c>
      <c r="N994">
        <v>0.86227222586852115</v>
      </c>
      <c r="O994">
        <v>-6.9252399999997216E-3</v>
      </c>
      <c r="P994">
        <v>1.6668661939605034</v>
      </c>
      <c r="Q994">
        <v>1.5546501940061352</v>
      </c>
      <c r="R994">
        <v>1.1634675265533412</v>
      </c>
      <c r="S994">
        <v>1.9094040976895599</v>
      </c>
      <c r="T994">
        <v>-1.6867966862668671</v>
      </c>
      <c r="U994">
        <v>67.613650414569165</v>
      </c>
      <c r="V994">
        <v>2.3998719043784922</v>
      </c>
      <c r="W994">
        <v>-0.13671358659967936</v>
      </c>
      <c r="X994">
        <v>-4.4136410000000098E-2</v>
      </c>
      <c r="Y994">
        <v>0.37489441000000057</v>
      </c>
      <c r="Z994">
        <v>0.27497845999999992</v>
      </c>
    </row>
    <row r="995" spans="1:26">
      <c r="A995" s="54" t="str">
        <f>CONCATENATE(raw[[#This Row],[redis_ls]],raw[[#This Row],[wage_eq]],raw[[#This Row],[flex]],raw[[#This Row],[expo]],raw[[#This Row],[_date_]])</f>
        <v>010045292</v>
      </c>
      <c r="B995" s="1">
        <v>45292</v>
      </c>
      <c r="C995">
        <v>0</v>
      </c>
      <c r="D995">
        <v>1</v>
      </c>
      <c r="E995">
        <v>0</v>
      </c>
      <c r="F995">
        <v>0</v>
      </c>
      <c r="G995">
        <v>-0.10374419636561827</v>
      </c>
      <c r="H995">
        <v>18.520150000000285</v>
      </c>
      <c r="I995">
        <v>-2.4693858522719769</v>
      </c>
      <c r="J995">
        <v>0.86611922625969839</v>
      </c>
      <c r="K995">
        <v>-1.1916124029788477</v>
      </c>
      <c r="L995">
        <v>-0.97185656307419155</v>
      </c>
      <c r="M995">
        <v>8.3064874704108504E-3</v>
      </c>
      <c r="N995">
        <v>0.85906326107327846</v>
      </c>
      <c r="O995">
        <v>-6.259359999999381E-3</v>
      </c>
      <c r="P995">
        <v>1.6515401870462076</v>
      </c>
      <c r="Q995">
        <v>1.5425261205653129</v>
      </c>
      <c r="R995">
        <v>1.1591705714615541</v>
      </c>
      <c r="S995">
        <v>1.8894508460952864</v>
      </c>
      <c r="T995">
        <v>-1.79354676828406</v>
      </c>
      <c r="U995">
        <v>70.185758854365503</v>
      </c>
      <c r="V995">
        <v>2.38919251988019</v>
      </c>
      <c r="W995">
        <v>-0.14269980987040576</v>
      </c>
      <c r="X995">
        <v>-4.2707070000000402E-2</v>
      </c>
      <c r="Y995">
        <v>0.37426289999999973</v>
      </c>
      <c r="Z995">
        <v>0.27585096999999947</v>
      </c>
    </row>
    <row r="996" spans="1:26">
      <c r="A996" s="54" t="str">
        <f>CONCATENATE(raw[[#This Row],[redis_ls]],raw[[#This Row],[wage_eq]],raw[[#This Row],[flex]],raw[[#This Row],[expo]],raw[[#This Row],[_date_]])</f>
        <v>010045658</v>
      </c>
      <c r="B996" s="1">
        <v>45658</v>
      </c>
      <c r="C996">
        <v>0</v>
      </c>
      <c r="D996">
        <v>1</v>
      </c>
      <c r="E996">
        <v>0</v>
      </c>
      <c r="F996">
        <v>0</v>
      </c>
      <c r="G996">
        <v>-0.10692345728789965</v>
      </c>
      <c r="H996">
        <v>18.139149999999063</v>
      </c>
      <c r="I996">
        <v>-2.4344914481891577</v>
      </c>
      <c r="J996">
        <v>0.8598287587719744</v>
      </c>
      <c r="K996">
        <v>-1.1793589303170871</v>
      </c>
      <c r="L996">
        <v>-0.96841506250078258</v>
      </c>
      <c r="M996">
        <v>9.680981991877502E-3</v>
      </c>
      <c r="N996">
        <v>0.85365286157754738</v>
      </c>
      <c r="O996">
        <v>-5.4787500000000322E-3</v>
      </c>
      <c r="P996">
        <v>1.6354852380104479</v>
      </c>
      <c r="Q996">
        <v>1.5297724825293457</v>
      </c>
      <c r="R996">
        <v>1.1546399108774308</v>
      </c>
      <c r="S996">
        <v>1.8687422033031087</v>
      </c>
      <c r="T996">
        <v>-1.8899080534657053</v>
      </c>
      <c r="U996">
        <v>72.521946767281079</v>
      </c>
      <c r="V996">
        <v>2.3754212530645802</v>
      </c>
      <c r="W996">
        <v>-0.14875621275084461</v>
      </c>
      <c r="X996">
        <v>-4.1754620000000048E-2</v>
      </c>
      <c r="Y996">
        <v>0.37334675999999983</v>
      </c>
      <c r="Z996">
        <v>0.27539254000000096</v>
      </c>
    </row>
    <row r="997" spans="1:26">
      <c r="A997" s="54" t="str">
        <f>CONCATENATE(raw[[#This Row],[redis_ls]],raw[[#This Row],[wage_eq]],raw[[#This Row],[flex]],raw[[#This Row],[expo]],raw[[#This Row],[_date_]])</f>
        <v>010046023</v>
      </c>
      <c r="B997" s="1">
        <v>46023</v>
      </c>
      <c r="C997">
        <v>0</v>
      </c>
      <c r="D997">
        <v>1</v>
      </c>
      <c r="E997">
        <v>0</v>
      </c>
      <c r="F997">
        <v>0</v>
      </c>
      <c r="G997">
        <v>-0.1097374786352634</v>
      </c>
      <c r="H997">
        <v>17.927589999999327</v>
      </c>
      <c r="I997">
        <v>-2.3996545836742378</v>
      </c>
      <c r="J997">
        <v>0.85179931001722053</v>
      </c>
      <c r="K997">
        <v>-1.1661819323313116</v>
      </c>
      <c r="L997">
        <v>-0.96372464932875657</v>
      </c>
      <c r="M997">
        <v>1.087392154917044E-2</v>
      </c>
      <c r="N997">
        <v>0.84655859209350481</v>
      </c>
      <c r="O997">
        <v>-4.6494500000007766E-3</v>
      </c>
      <c r="P997">
        <v>1.6193731482982532</v>
      </c>
      <c r="Q997">
        <v>1.5171205830163403</v>
      </c>
      <c r="R997">
        <v>1.150748326165818</v>
      </c>
      <c r="S997">
        <v>1.8479029595034779</v>
      </c>
      <c r="T997">
        <v>-1.9760126872357286</v>
      </c>
      <c r="U997">
        <v>74.6230359832945</v>
      </c>
      <c r="V997">
        <v>2.3597514787958351</v>
      </c>
      <c r="W997">
        <v>-0.15472558925437863</v>
      </c>
      <c r="X997">
        <v>-4.1189760000000242E-2</v>
      </c>
      <c r="Y997">
        <v>0.37220119999999968</v>
      </c>
      <c r="Z997">
        <v>0.27388414999999916</v>
      </c>
    </row>
    <row r="998" spans="1:26">
      <c r="A998" s="54" t="str">
        <f>CONCATENATE(raw[[#This Row],[redis_ls]],raw[[#This Row],[wage_eq]],raw[[#This Row],[flex]],raw[[#This Row],[expo]],raw[[#This Row],[_date_]])</f>
        <v>010046388</v>
      </c>
      <c r="B998" s="1">
        <v>46388</v>
      </c>
      <c r="C998">
        <v>0</v>
      </c>
      <c r="D998">
        <v>1</v>
      </c>
      <c r="E998">
        <v>0</v>
      </c>
      <c r="F998">
        <v>0</v>
      </c>
      <c r="G998">
        <v>-0.11217622857335741</v>
      </c>
      <c r="H998">
        <v>17.842070000002423</v>
      </c>
      <c r="I998">
        <v>-2.3648177667011328</v>
      </c>
      <c r="J998">
        <v>0.84253845815394079</v>
      </c>
      <c r="K998">
        <v>-1.1520850446114395</v>
      </c>
      <c r="L998">
        <v>-0.95820639874362179</v>
      </c>
      <c r="M998">
        <v>1.2137702625469871E-2</v>
      </c>
      <c r="N998">
        <v>0.83823000993765717</v>
      </c>
      <c r="O998">
        <v>-3.8227200000004458E-3</v>
      </c>
      <c r="P998">
        <v>1.6037551359369351</v>
      </c>
      <c r="Q998">
        <v>1.5051573754074621</v>
      </c>
      <c r="R998">
        <v>1.1481823900585164</v>
      </c>
      <c r="S998">
        <v>1.8274446829936952</v>
      </c>
      <c r="T998">
        <v>-2.0522113045560619</v>
      </c>
      <c r="U998">
        <v>76.494069547597903</v>
      </c>
      <c r="V998">
        <v>2.3432315503150614</v>
      </c>
      <c r="W998">
        <v>-0.16045090919268867</v>
      </c>
      <c r="X998">
        <v>-4.0900569999999942E-2</v>
      </c>
      <c r="Y998">
        <v>0.3708729799999998</v>
      </c>
      <c r="Z998">
        <v>0.2715619999999988</v>
      </c>
    </row>
    <row r="999" spans="1:26">
      <c r="A999" s="54" t="str">
        <f>CONCATENATE(raw[[#This Row],[redis_ls]],raw[[#This Row],[wage_eq]],raw[[#This Row],[flex]],raw[[#This Row],[expo]],raw[[#This Row],[_date_]])</f>
        <v>010046753</v>
      </c>
      <c r="B999" s="1">
        <v>46753</v>
      </c>
      <c r="C999">
        <v>0</v>
      </c>
      <c r="D999">
        <v>1</v>
      </c>
      <c r="E999">
        <v>0</v>
      </c>
      <c r="F999">
        <v>0</v>
      </c>
      <c r="G999">
        <v>-0.11425229120241021</v>
      </c>
      <c r="H999">
        <v>17.832399999999325</v>
      </c>
      <c r="I999">
        <v>-2.3299526059648912</v>
      </c>
      <c r="J999">
        <v>0.83247169165339141</v>
      </c>
      <c r="K999">
        <v>-1.1370729096903398</v>
      </c>
      <c r="L999">
        <v>-0.9522269000407424</v>
      </c>
      <c r="M999">
        <v>1.3665231081216866E-2</v>
      </c>
      <c r="N999">
        <v>0.82905151072332206</v>
      </c>
      <c r="O999">
        <v>-3.0350900000003511E-3</v>
      </c>
      <c r="P999">
        <v>1.5890624928236452</v>
      </c>
      <c r="Q999">
        <v>1.4943298506242098</v>
      </c>
      <c r="R999">
        <v>1.1474469248970331</v>
      </c>
      <c r="S999">
        <v>1.8077683649583509</v>
      </c>
      <c r="T999">
        <v>-2.1190296736308456</v>
      </c>
      <c r="U999">
        <v>78.14371721239101</v>
      </c>
      <c r="V999">
        <v>2.3267451943927542</v>
      </c>
      <c r="W999">
        <v>-0.16578701185546718</v>
      </c>
      <c r="X999">
        <v>-4.0763019999999831E-2</v>
      </c>
      <c r="Y999">
        <v>0.36939856999999993</v>
      </c>
      <c r="Z999">
        <v>0.26862482999999993</v>
      </c>
    </row>
    <row r="1000" spans="1:26">
      <c r="A1000" s="54" t="str">
        <f>CONCATENATE(raw[[#This Row],[redis_ls]],raw[[#This Row],[wage_eq]],raw[[#This Row],[flex]],raw[[#This Row],[expo]],raw[[#This Row],[_date_]])</f>
        <v>010047119</v>
      </c>
      <c r="B1000" s="1">
        <v>47119</v>
      </c>
      <c r="C1000">
        <v>0</v>
      </c>
      <c r="D1000">
        <v>1</v>
      </c>
      <c r="E1000">
        <v>0</v>
      </c>
      <c r="F1000">
        <v>0</v>
      </c>
      <c r="G1000">
        <v>-0.11599213063747671</v>
      </c>
      <c r="H1000">
        <v>17.84603000000061</v>
      </c>
      <c r="I1000">
        <v>-2.2950508870628883</v>
      </c>
      <c r="J1000">
        <v>0.82195097139505791</v>
      </c>
      <c r="K1000">
        <v>-1.121150551487482</v>
      </c>
      <c r="L1000">
        <v>-0.94609591380712121</v>
      </c>
      <c r="M1000">
        <v>1.5598238979497303E-2</v>
      </c>
      <c r="N1000">
        <v>0.81934831299075306</v>
      </c>
      <c r="O1000">
        <v>-2.3100400000003463E-3</v>
      </c>
      <c r="P1000">
        <v>1.5756117604776687</v>
      </c>
      <c r="Q1000">
        <v>1.4849543721754177</v>
      </c>
      <c r="R1000">
        <v>1.1488770564193063</v>
      </c>
      <c r="S1000">
        <v>1.7891708133244366</v>
      </c>
      <c r="T1000">
        <v>-2.1771275267064127</v>
      </c>
      <c r="U1000">
        <v>79.583644703594757</v>
      </c>
      <c r="V1000">
        <v>2.3110027356542551</v>
      </c>
      <c r="W1000">
        <v>-0.17060971791786894</v>
      </c>
      <c r="X1000">
        <v>-4.0652290000000105E-2</v>
      </c>
      <c r="Y1000">
        <v>0.36780336999999996</v>
      </c>
      <c r="Z1000">
        <v>0.26524233000000119</v>
      </c>
    </row>
    <row r="1001" spans="1:26">
      <c r="A1001" s="54" t="str">
        <f>CONCATENATE(raw[[#This Row],[redis_ls]],raw[[#This Row],[wage_eq]],raw[[#This Row],[flex]],raw[[#This Row],[expo]],raw[[#This Row],[_date_]])</f>
        <v>010047484</v>
      </c>
      <c r="B1001" s="1">
        <v>47484</v>
      </c>
      <c r="C1001">
        <v>0</v>
      </c>
      <c r="D1001">
        <v>1</v>
      </c>
      <c r="E1001">
        <v>0</v>
      </c>
      <c r="F1001">
        <v>0</v>
      </c>
      <c r="G1001">
        <v>-0.11742878043415894</v>
      </c>
      <c r="H1001">
        <v>17.832480000000942</v>
      </c>
      <c r="I1001">
        <v>-2.2601172403852621</v>
      </c>
      <c r="J1001">
        <v>0.81126408878096079</v>
      </c>
      <c r="K1001">
        <v>-1.104322830973814</v>
      </c>
      <c r="L1001">
        <v>-0.94006530205162919</v>
      </c>
      <c r="M1001">
        <v>1.803566544991142E-2</v>
      </c>
      <c r="N1001">
        <v>0.80939358534857231</v>
      </c>
      <c r="O1001">
        <v>-1.6605299999999934E-3</v>
      </c>
      <c r="P1001">
        <v>1.563613232460348</v>
      </c>
      <c r="Q1001">
        <v>1.4772292935963494</v>
      </c>
      <c r="R1001">
        <v>1.1526553455078359</v>
      </c>
      <c r="S1001">
        <v>1.7718536853660094</v>
      </c>
      <c r="T1001">
        <v>-2.227261221569854</v>
      </c>
      <c r="U1001">
        <v>80.827877067854772</v>
      </c>
      <c r="V1001">
        <v>2.2965416188894139</v>
      </c>
      <c r="W1001">
        <v>-0.1748220906409248</v>
      </c>
      <c r="X1001">
        <v>-4.045303000000007E-2</v>
      </c>
      <c r="Y1001">
        <v>0.36610198000000049</v>
      </c>
      <c r="Z1001">
        <v>0.26156260000000098</v>
      </c>
    </row>
    <row r="1002" spans="1:26">
      <c r="A1002" s="54" t="str">
        <f>CONCATENATE(raw[[#This Row],[redis_ls]],raw[[#This Row],[wage_eq]],raw[[#This Row],[flex]],raw[[#This Row],[expo]],raw[[#This Row],[_date_]])</f>
        <v>010047849</v>
      </c>
      <c r="B1002" s="1">
        <v>47849</v>
      </c>
      <c r="C1002">
        <v>0</v>
      </c>
      <c r="D1002">
        <v>1</v>
      </c>
      <c r="E1002">
        <v>0</v>
      </c>
      <c r="F1002">
        <v>0</v>
      </c>
      <c r="G1002">
        <v>-0.11859601743118287</v>
      </c>
      <c r="H1002">
        <v>17.747059999997873</v>
      </c>
      <c r="I1002">
        <v>-2.2251636352149551</v>
      </c>
      <c r="J1002">
        <v>0.80064403135917672</v>
      </c>
      <c r="K1002">
        <v>-1.0865940816318198</v>
      </c>
      <c r="L1002">
        <v>-0.93433061700580744</v>
      </c>
      <c r="M1002">
        <v>2.1041055332160497E-2</v>
      </c>
      <c r="N1002">
        <v>0.79941434346364471</v>
      </c>
      <c r="O1002">
        <v>-1.0919000000012002E-3</v>
      </c>
      <c r="P1002">
        <v>1.5531821348490071</v>
      </c>
      <c r="Q1002">
        <v>1.4712495765174305</v>
      </c>
      <c r="R1002">
        <v>1.1588321621643471</v>
      </c>
      <c r="S1002">
        <v>1.7559336343825116</v>
      </c>
      <c r="T1002">
        <v>-2.2702513667917867</v>
      </c>
      <c r="U1002">
        <v>81.892182946902508</v>
      </c>
      <c r="V1002">
        <v>2.2837349435207877</v>
      </c>
      <c r="W1002">
        <v>-0.17835748572303523</v>
      </c>
      <c r="X1002">
        <v>-4.006733999999991E-2</v>
      </c>
      <c r="Y1002">
        <v>0.3642994699999999</v>
      </c>
      <c r="Z1002">
        <v>0.2577173000000002</v>
      </c>
    </row>
    <row r="1003" spans="1:26">
      <c r="A1003" s="54" t="str">
        <f>CONCATENATE(raw[[#This Row],[redis_ls]],raw[[#This Row],[wage_eq]],raw[[#This Row],[flex]],raw[[#This Row],[expo]],raw[[#This Row],[_date_]])</f>
        <v>010048214</v>
      </c>
      <c r="B1003" s="1">
        <v>48214</v>
      </c>
      <c r="C1003">
        <v>0</v>
      </c>
      <c r="D1003">
        <v>1</v>
      </c>
      <c r="E1003">
        <v>0</v>
      </c>
      <c r="F1003">
        <v>0</v>
      </c>
      <c r="G1003">
        <v>-0.1195247209938799</v>
      </c>
      <c r="H1003">
        <v>17.553599999999278</v>
      </c>
      <c r="I1003">
        <v>-2.1902062715175363</v>
      </c>
      <c r="J1003">
        <v>0.79027686588419854</v>
      </c>
      <c r="K1003">
        <v>-1.0679686174132286</v>
      </c>
      <c r="L1003">
        <v>-0.9290350316877749</v>
      </c>
      <c r="M1003">
        <v>2.4648962458617696E-2</v>
      </c>
      <c r="N1003">
        <v>0.78959626099901481</v>
      </c>
      <c r="O1003">
        <v>-6.0442999999937852E-4</v>
      </c>
      <c r="P1003">
        <v>1.5443511274165544</v>
      </c>
      <c r="Q1003">
        <v>1.4670221622175905</v>
      </c>
      <c r="R1003">
        <v>1.1673472880108671</v>
      </c>
      <c r="S1003">
        <v>1.7414542388297871</v>
      </c>
      <c r="T1003">
        <v>-2.3069545089305699</v>
      </c>
      <c r="U1003">
        <v>82.793498418285921</v>
      </c>
      <c r="V1003">
        <v>2.27280583217635</v>
      </c>
      <c r="W1003">
        <v>-0.18117970067418332</v>
      </c>
      <c r="X1003">
        <v>-3.9419959999999893E-2</v>
      </c>
      <c r="Y1003">
        <v>0.36239332999999996</v>
      </c>
      <c r="Z1003">
        <v>0.25382425000000097</v>
      </c>
    </row>
    <row r="1004" spans="1:26">
      <c r="A1004" s="54" t="str">
        <f>CONCATENATE(raw[[#This Row],[redis_ls]],raw[[#This Row],[wage_eq]],raw[[#This Row],[flex]],raw[[#This Row],[expo]],raw[[#This Row],[_date_]])</f>
        <v>010048580</v>
      </c>
      <c r="B1004" s="1">
        <v>48580</v>
      </c>
      <c r="C1004">
        <v>0</v>
      </c>
      <c r="D1004">
        <v>1</v>
      </c>
      <c r="E1004">
        <v>0</v>
      </c>
      <c r="F1004">
        <v>0</v>
      </c>
      <c r="G1004">
        <v>-0.12024106038930338</v>
      </c>
      <c r="H1004">
        <v>17.225950000000012</v>
      </c>
      <c r="I1004">
        <v>-2.1552639911682658</v>
      </c>
      <c r="J1004">
        <v>0.78030686499470647</v>
      </c>
      <c r="K1004">
        <v>-1.0484519350405175</v>
      </c>
      <c r="L1004">
        <v>-0.92427345129967309</v>
      </c>
      <c r="M1004">
        <v>2.8869549663146366E-2</v>
      </c>
      <c r="N1004">
        <v>0.7800866139554552</v>
      </c>
      <c r="O1004">
        <v>-1.9557000000003377E-4</v>
      </c>
      <c r="P1004">
        <v>1.5370833937252693</v>
      </c>
      <c r="Q1004">
        <v>1.4644814264802575</v>
      </c>
      <c r="R1004">
        <v>1.1780513844930063</v>
      </c>
      <c r="S1004">
        <v>1.7283973348065418</v>
      </c>
      <c r="T1004">
        <v>-2.3382393788415445</v>
      </c>
      <c r="U1004">
        <v>83.549401994273566</v>
      </c>
      <c r="V1004">
        <v>2.2638458936212524</v>
      </c>
      <c r="W1004">
        <v>-0.183280746068748</v>
      </c>
      <c r="X1004">
        <v>-3.8460549999999941E-2</v>
      </c>
      <c r="Y1004">
        <v>0.36037576999999943</v>
      </c>
      <c r="Z1004">
        <v>0.2499875700000001</v>
      </c>
    </row>
    <row r="1005" spans="1:26">
      <c r="A1005" s="54" t="str">
        <f>CONCATENATE(raw[[#This Row],[redis_ls]],raw[[#This Row],[wage_eq]],raw[[#This Row],[flex]],raw[[#This Row],[expo]],raw[[#This Row],[_date_]])</f>
        <v>010048945</v>
      </c>
      <c r="B1005" s="1">
        <v>48945</v>
      </c>
      <c r="C1005">
        <v>0</v>
      </c>
      <c r="D1005">
        <v>1</v>
      </c>
      <c r="E1005">
        <v>0</v>
      </c>
      <c r="F1005">
        <v>0</v>
      </c>
      <c r="G1005">
        <v>-0.12076621556302847</v>
      </c>
      <c r="H1005">
        <v>16.748380000000907</v>
      </c>
      <c r="I1005">
        <v>-2.1203580870887806</v>
      </c>
      <c r="J1005">
        <v>0.77084056334602025</v>
      </c>
      <c r="K1005">
        <v>-1.0280525844739374</v>
      </c>
      <c r="L1005">
        <v>-0.9200982927523027</v>
      </c>
      <c r="M1005">
        <v>3.3692398527374046E-2</v>
      </c>
      <c r="N1005">
        <v>0.77099666248725551</v>
      </c>
      <c r="O1005">
        <v>1.3861000000003898E-4</v>
      </c>
      <c r="P1005">
        <v>1.5312855707716455</v>
      </c>
      <c r="Q1005">
        <v>1.463503794712695</v>
      </c>
      <c r="R1005">
        <v>1.1907263418098113</v>
      </c>
      <c r="S1005">
        <v>1.7166942600692625</v>
      </c>
      <c r="T1005">
        <v>-2.3649668248625133</v>
      </c>
      <c r="U1005">
        <v>84.17764598712121</v>
      </c>
      <c r="V1005">
        <v>2.256835738722196</v>
      </c>
      <c r="W1005">
        <v>-0.18467709759339979</v>
      </c>
      <c r="X1005">
        <v>-3.7163230000000075E-2</v>
      </c>
      <c r="Y1005">
        <v>0.35823618000000029</v>
      </c>
      <c r="Z1005">
        <v>0.24629620999999935</v>
      </c>
    </row>
    <row r="1006" spans="1:26">
      <c r="A1006" s="54" t="str">
        <f>CONCATENATE(raw[[#This Row],[redis_ls]],raw[[#This Row],[wage_eq]],raw[[#This Row],[flex]],raw[[#This Row],[expo]],raw[[#This Row],[_date_]])</f>
        <v>010049310</v>
      </c>
      <c r="B1006" s="1">
        <v>49310</v>
      </c>
      <c r="C1006">
        <v>0</v>
      </c>
      <c r="D1006">
        <v>1</v>
      </c>
      <c r="E1006">
        <v>0</v>
      </c>
      <c r="F1006">
        <v>0</v>
      </c>
      <c r="G1006">
        <v>-0.1211170161068198</v>
      </c>
      <c r="H1006">
        <v>16.115010000001348</v>
      </c>
      <c r="I1006">
        <v>-2.0855128442900384</v>
      </c>
      <c r="J1006">
        <v>0.76194919972294439</v>
      </c>
      <c r="K1006">
        <v>-1.0067838608457502</v>
      </c>
      <c r="L1006">
        <v>-0.91652535688525605</v>
      </c>
      <c r="M1006">
        <v>3.9089118588941929E-2</v>
      </c>
      <c r="N1006">
        <v>0.76240211505889111</v>
      </c>
      <c r="O1006">
        <v>4.024800000002049E-4</v>
      </c>
      <c r="P1006">
        <v>1.5268206612957025</v>
      </c>
      <c r="Q1006">
        <v>1.4639213237780835</v>
      </c>
      <c r="R1006">
        <v>1.2051037583993063</v>
      </c>
      <c r="S1006">
        <v>1.7062363640600875</v>
      </c>
      <c r="T1006">
        <v>-2.3879724516394418</v>
      </c>
      <c r="U1006">
        <v>84.695750437318111</v>
      </c>
      <c r="V1006">
        <v>2.2516658961415192</v>
      </c>
      <c r="W1006">
        <v>-0.18540460301297301</v>
      </c>
      <c r="X1006">
        <v>-3.5524319999999908E-2</v>
      </c>
      <c r="Y1006">
        <v>0.3559633499999999</v>
      </c>
      <c r="Z1006">
        <v>0.24282174000000017</v>
      </c>
    </row>
    <row r="1007" spans="1:26">
      <c r="A1007" s="54" t="str">
        <f>CONCATENATE(raw[[#This Row],[redis_ls]],raw[[#This Row],[wage_eq]],raw[[#This Row],[flex]],raw[[#This Row],[expo]],raw[[#This Row],[_date_]])</f>
        <v>010049675</v>
      </c>
      <c r="B1007" s="1">
        <v>49675</v>
      </c>
      <c r="C1007">
        <v>0</v>
      </c>
      <c r="D1007">
        <v>1</v>
      </c>
      <c r="E1007">
        <v>0</v>
      </c>
      <c r="F1007">
        <v>0</v>
      </c>
      <c r="G1007">
        <v>-0.12130744214797762</v>
      </c>
      <c r="H1007">
        <v>15.328570000001491</v>
      </c>
      <c r="I1007">
        <v>-2.0507562323056172</v>
      </c>
      <c r="J1007">
        <v>0.75367026120232161</v>
      </c>
      <c r="K1007">
        <v>-0.98466588146972622</v>
      </c>
      <c r="L1007">
        <v>-0.91353922750182504</v>
      </c>
      <c r="M1007">
        <v>4.5015860256780726E-2</v>
      </c>
      <c r="N1007">
        <v>0.75434576488189187</v>
      </c>
      <c r="O1007">
        <v>6.005099999997765E-4</v>
      </c>
      <c r="P1007">
        <v>1.5235189340383481</v>
      </c>
      <c r="Q1007">
        <v>1.4655339474590301</v>
      </c>
      <c r="R1007">
        <v>1.2208815034806753</v>
      </c>
      <c r="S1007">
        <v>1.696884866216708</v>
      </c>
      <c r="T1007">
        <v>-2.4080517993296691</v>
      </c>
      <c r="U1007">
        <v>85.120655874419683</v>
      </c>
      <c r="V1007">
        <v>2.2481570868454481</v>
      </c>
      <c r="W1007">
        <v>-0.18551356992738688</v>
      </c>
      <c r="X1007">
        <v>-3.3558509999999896E-2</v>
      </c>
      <c r="Y1007">
        <v>0.35354730000000045</v>
      </c>
      <c r="Z1007">
        <v>0.2396162800000004</v>
      </c>
    </row>
    <row r="1008" spans="1:26">
      <c r="A1008" s="54" t="str">
        <f>CONCATENATE(raw[[#This Row],[redis_ls]],raw[[#This Row],[wage_eq]],raw[[#This Row],[flex]],raw[[#This Row],[expo]],raw[[#This Row],[_date_]])</f>
        <v>010050041</v>
      </c>
      <c r="B1008" s="1">
        <v>50041</v>
      </c>
      <c r="C1008">
        <v>0</v>
      </c>
      <c r="D1008">
        <v>1</v>
      </c>
      <c r="E1008">
        <v>0</v>
      </c>
      <c r="F1008">
        <v>0</v>
      </c>
      <c r="G1008">
        <v>-0.12134991574497267</v>
      </c>
      <c r="H1008">
        <v>14.398680000002059</v>
      </c>
      <c r="I1008">
        <v>-2.0161204843593739</v>
      </c>
      <c r="J1008">
        <v>0.74601011653117055</v>
      </c>
      <c r="K1008">
        <v>-0.96172694748103416</v>
      </c>
      <c r="L1008">
        <v>-0.9110995626910201</v>
      </c>
      <c r="M1008">
        <v>5.1415352142836213E-2</v>
      </c>
      <c r="N1008">
        <v>0.7468392454365036</v>
      </c>
      <c r="O1008">
        <v>7.3725999999996183E-4</v>
      </c>
      <c r="P1008">
        <v>1.5211885514731405</v>
      </c>
      <c r="Q1008">
        <v>1.4681203410844113</v>
      </c>
      <c r="R1008">
        <v>1.2377377337570827</v>
      </c>
      <c r="S1008">
        <v>1.6884798569392512</v>
      </c>
      <c r="T1008">
        <v>-2.4259481833773022</v>
      </c>
      <c r="U1008">
        <v>85.468436231316375</v>
      </c>
      <c r="V1008">
        <v>2.2460790878918058</v>
      </c>
      <c r="W1008">
        <v>-0.1850635162717218</v>
      </c>
      <c r="X1008">
        <v>-3.1294720000000012E-2</v>
      </c>
      <c r="Y1008">
        <v>0.35098057000000005</v>
      </c>
      <c r="Z1008">
        <v>0.23671128999999957</v>
      </c>
    </row>
    <row r="1009" spans="1:26">
      <c r="A1009" s="54" t="str">
        <f>CONCATENATE(raw[[#This Row],[redis_ls]],raw[[#This Row],[wage_eq]],raw[[#This Row],[flex]],raw[[#This Row],[expo]],raw[[#This Row],[_date_]])</f>
        <v>010050406</v>
      </c>
      <c r="B1009" s="1">
        <v>50406</v>
      </c>
      <c r="C1009">
        <v>0</v>
      </c>
      <c r="D1009">
        <v>1</v>
      </c>
      <c r="E1009">
        <v>0</v>
      </c>
      <c r="F1009">
        <v>0</v>
      </c>
      <c r="G1009">
        <v>-0.12125628773711483</v>
      </c>
      <c r="H1009">
        <v>13.340120000000752</v>
      </c>
      <c r="I1009">
        <v>-1.9816420862892592</v>
      </c>
      <c r="J1009">
        <v>0.73894647642869238</v>
      </c>
      <c r="K1009">
        <v>-0.93800441552701619</v>
      </c>
      <c r="L1009">
        <v>-0.90914619818208697</v>
      </c>
      <c r="M1009">
        <v>5.8219319862762298E-2</v>
      </c>
      <c r="N1009">
        <v>0.739865853901156</v>
      </c>
      <c r="O1009">
        <v>8.1758999999903548E-4</v>
      </c>
      <c r="P1009">
        <v>1.5196248962049186</v>
      </c>
      <c r="Q1009">
        <v>1.4714474335911554</v>
      </c>
      <c r="R1009">
        <v>1.2553430829892021</v>
      </c>
      <c r="S1009">
        <v>1.6808476990360255</v>
      </c>
      <c r="T1009">
        <v>-2.442341692076222</v>
      </c>
      <c r="U1009">
        <v>85.754067073303219</v>
      </c>
      <c r="V1009">
        <v>2.2451673793568494</v>
      </c>
      <c r="W1009">
        <v>-0.18411880424153981</v>
      </c>
      <c r="X1009">
        <v>-2.8771549999999889E-2</v>
      </c>
      <c r="Y1009">
        <v>0.34825897000000039</v>
      </c>
      <c r="Z1009">
        <v>0.2341176200000003</v>
      </c>
    </row>
    <row r="1010" spans="1:26">
      <c r="A1010" s="54" t="str">
        <f>CONCATENATE(raw[[#This Row],[redis_ls]],raw[[#This Row],[wage_eq]],raw[[#This Row],[flex]],raw[[#This Row],[expo]],raw[[#This Row],[_date_]])</f>
        <v>010050771</v>
      </c>
      <c r="B1010" s="1">
        <v>50771</v>
      </c>
      <c r="C1010">
        <v>0</v>
      </c>
      <c r="D1010">
        <v>1</v>
      </c>
      <c r="E1010">
        <v>0</v>
      </c>
      <c r="F1010">
        <v>0</v>
      </c>
      <c r="G1010">
        <v>-0.12103881427726337</v>
      </c>
      <c r="H1010">
        <v>12.171019999997952</v>
      </c>
      <c r="I1010">
        <v>-1.9473612990072109</v>
      </c>
      <c r="J1010">
        <v>0.73243257797046546</v>
      </c>
      <c r="K1010">
        <v>-0.91354491736993504</v>
      </c>
      <c r="L1010">
        <v>-0.90760440383884644</v>
      </c>
      <c r="M1010">
        <v>6.5351026173443572E-2</v>
      </c>
      <c r="N1010">
        <v>0.73338477242639311</v>
      </c>
      <c r="O1010">
        <v>8.4689999999970622E-4</v>
      </c>
      <c r="P1010">
        <v>1.5186183640653717</v>
      </c>
      <c r="Q1010">
        <v>1.4752783854663942</v>
      </c>
      <c r="R1010">
        <v>1.2733707497140978</v>
      </c>
      <c r="S1010">
        <v>1.6738085931667701</v>
      </c>
      <c r="T1010">
        <v>-2.4578408138313024</v>
      </c>
      <c r="U1010">
        <v>85.991247170181111</v>
      </c>
      <c r="V1010">
        <v>2.2451376977263626</v>
      </c>
      <c r="W1010">
        <v>-0.18274502858106612</v>
      </c>
      <c r="X1010">
        <v>-2.6033469999999989E-2</v>
      </c>
      <c r="Y1010">
        <v>0.34538180000000041</v>
      </c>
      <c r="Z1010">
        <v>0.23182690000000047</v>
      </c>
    </row>
    <row r="1011" spans="1:26">
      <c r="A1011" s="54" t="str">
        <f>CONCATENATE(raw[[#This Row],[redis_ls]],raw[[#This Row],[wage_eq]],raw[[#This Row],[flex]],raw[[#This Row],[expo]],raw[[#This Row],[_date_]])</f>
        <v>010051136</v>
      </c>
      <c r="B1011" s="1">
        <v>51136</v>
      </c>
      <c r="C1011">
        <v>0</v>
      </c>
      <c r="D1011">
        <v>1</v>
      </c>
      <c r="E1011">
        <v>0</v>
      </c>
      <c r="F1011">
        <v>0</v>
      </c>
      <c r="G1011">
        <v>-0.12071027787214916</v>
      </c>
      <c r="H1011">
        <v>10.911369999997987</v>
      </c>
      <c r="I1011">
        <v>-1.9133211359179003</v>
      </c>
      <c r="J1011">
        <v>0.72640142265452123</v>
      </c>
      <c r="K1011">
        <v>-0.88840389635455042</v>
      </c>
      <c r="L1011">
        <v>-0.90638910632955261</v>
      </c>
      <c r="M1011">
        <v>7.2728076533867814E-2</v>
      </c>
      <c r="N1011">
        <v>0.72733579163841711</v>
      </c>
      <c r="O1011">
        <v>8.3121999999991036E-4</v>
      </c>
      <c r="P1011">
        <v>1.5179610977981817</v>
      </c>
      <c r="Q1011">
        <v>1.4793800000064694</v>
      </c>
      <c r="R1011">
        <v>1.2915047213202469</v>
      </c>
      <c r="S1011">
        <v>1.6671820915208357</v>
      </c>
      <c r="T1011">
        <v>-2.4729758813658465</v>
      </c>
      <c r="U1011">
        <v>86.192269002938076</v>
      </c>
      <c r="V1011">
        <v>2.2456982458693542</v>
      </c>
      <c r="W1011">
        <v>-0.18100596259658097</v>
      </c>
      <c r="X1011">
        <v>-2.3127390000000046E-2</v>
      </c>
      <c r="Y1011">
        <v>0.34235163999999996</v>
      </c>
      <c r="Z1011">
        <v>0.22981414999999963</v>
      </c>
    </row>
    <row r="1012" spans="1:26">
      <c r="A1012" s="54" t="str">
        <f>CONCATENATE(raw[[#This Row],[redis_ls]],raw[[#This Row],[wage_eq]],raw[[#This Row],[flex]],raw[[#This Row],[expo]],raw[[#This Row],[_date_]])</f>
        <v>010051502</v>
      </c>
      <c r="B1012" s="1">
        <v>51502</v>
      </c>
      <c r="C1012">
        <v>0</v>
      </c>
      <c r="D1012">
        <v>1</v>
      </c>
      <c r="E1012">
        <v>0</v>
      </c>
      <c r="F1012">
        <v>0</v>
      </c>
      <c r="G1012">
        <v>-0.12028370354287832</v>
      </c>
      <c r="H1012">
        <v>9.5818099999996775</v>
      </c>
      <c r="I1012">
        <v>-1.8795658682581706</v>
      </c>
      <c r="J1012">
        <v>0.72077125983620594</v>
      </c>
      <c r="K1012">
        <v>-0.86264455554928565</v>
      </c>
      <c r="L1012">
        <v>-0.90540920324989616</v>
      </c>
      <c r="M1012">
        <v>8.0265354147779355E-2</v>
      </c>
      <c r="N1012">
        <v>0.72164490142694326</v>
      </c>
      <c r="O1012">
        <v>7.7730000000025834E-4</v>
      </c>
      <c r="P1012">
        <v>1.5174523809176721</v>
      </c>
      <c r="Q1012">
        <v>1.4835277882883524</v>
      </c>
      <c r="R1012">
        <v>1.3094466121285064</v>
      </c>
      <c r="S1012">
        <v>1.660791994264077</v>
      </c>
      <c r="T1012">
        <v>-2.4881948677086596</v>
      </c>
      <c r="U1012">
        <v>86.367933890327393</v>
      </c>
      <c r="V1012">
        <v>2.246559970404749</v>
      </c>
      <c r="W1012">
        <v>-0.17896175659906088</v>
      </c>
      <c r="X1012">
        <v>-2.0100229999999927E-2</v>
      </c>
      <c r="Y1012">
        <v>0.33917383000000023</v>
      </c>
      <c r="Z1012">
        <v>0.22804119000000012</v>
      </c>
    </row>
    <row r="1013" spans="1:26">
      <c r="A1013" s="54" t="str">
        <f>CONCATENATE(raw[[#This Row],[redis_ls]],raw[[#This Row],[wage_eq]],raw[[#This Row],[flex]],raw[[#This Row],[expo]],raw[[#This Row],[_date_]])</f>
        <v>010051867</v>
      </c>
      <c r="B1013" s="1">
        <v>51867</v>
      </c>
      <c r="C1013">
        <v>0</v>
      </c>
      <c r="D1013">
        <v>1</v>
      </c>
      <c r="E1013">
        <v>0</v>
      </c>
      <c r="F1013">
        <v>0</v>
      </c>
      <c r="G1013">
        <v>-0.11977214113637613</v>
      </c>
      <c r="H1013">
        <v>8.202659999999014</v>
      </c>
      <c r="I1013">
        <v>-1.8461392694966161</v>
      </c>
      <c r="J1013">
        <v>0.71545109025288323</v>
      </c>
      <c r="K1013">
        <v>-0.8363364201263046</v>
      </c>
      <c r="L1013">
        <v>-0.90457124968111868</v>
      </c>
      <c r="M1013">
        <v>8.7877920261947295E-2</v>
      </c>
      <c r="N1013">
        <v>0.71622920712399729</v>
      </c>
      <c r="O1013">
        <v>6.9243999999968331E-4</v>
      </c>
      <c r="P1013">
        <v>1.5169035525061547</v>
      </c>
      <c r="Q1013">
        <v>1.487511834793076</v>
      </c>
      <c r="R1013">
        <v>1.3269208656378373</v>
      </c>
      <c r="S1013">
        <v>1.6544711388268851</v>
      </c>
      <c r="T1013">
        <v>-2.5038610496130209</v>
      </c>
      <c r="U1013">
        <v>86.5275110135413</v>
      </c>
      <c r="V1013">
        <v>2.2474447432410116</v>
      </c>
      <c r="W1013">
        <v>-0.17666730697095678</v>
      </c>
      <c r="X1013">
        <v>-1.6997080000000046E-2</v>
      </c>
      <c r="Y1013">
        <v>0.33585577000000005</v>
      </c>
      <c r="Z1013">
        <v>0.22646065000000021</v>
      </c>
    </row>
    <row r="1014" spans="1:26">
      <c r="A1014" s="54" t="str">
        <f>CONCATENATE(raw[[#This Row],[redis_ls]],raw[[#This Row],[wage_eq]],raw[[#This Row],[flex]],raw[[#This Row],[expo]],raw[[#This Row],[_date_]])</f>
        <v>010052232</v>
      </c>
      <c r="B1014" s="1">
        <v>52232</v>
      </c>
      <c r="C1014">
        <v>0</v>
      </c>
      <c r="D1014">
        <v>1</v>
      </c>
      <c r="E1014">
        <v>0</v>
      </c>
      <c r="F1014">
        <v>0</v>
      </c>
      <c r="G1014">
        <v>-0.11918775498148682</v>
      </c>
      <c r="H1014">
        <v>6.7932899999977963</v>
      </c>
      <c r="I1014">
        <v>-1.8130832259247498</v>
      </c>
      <c r="J1014">
        <v>0.71034571915880029</v>
      </c>
      <c r="K1014">
        <v>-0.80955367171620107</v>
      </c>
      <c r="L1014">
        <v>-0.90378216888031826</v>
      </c>
      <c r="M1014">
        <v>9.5483808636975809E-2</v>
      </c>
      <c r="N1014">
        <v>0.71100224109004184</v>
      </c>
      <c r="O1014">
        <v>5.8427000000083051E-4</v>
      </c>
      <c r="P1014">
        <v>1.5161415077881157</v>
      </c>
      <c r="Q1014">
        <v>1.4911396418605616</v>
      </c>
      <c r="R1014">
        <v>1.343678991205044</v>
      </c>
      <c r="S1014">
        <v>1.6480649650929546</v>
      </c>
      <c r="T1014">
        <v>-2.5202526451264529</v>
      </c>
      <c r="U1014">
        <v>86.678731989723602</v>
      </c>
      <c r="V1014">
        <v>2.2480919399721522</v>
      </c>
      <c r="W1014">
        <v>-0.17417182908261442</v>
      </c>
      <c r="X1014">
        <v>-1.3860050000000061E-2</v>
      </c>
      <c r="Y1014">
        <v>0.3324062099999997</v>
      </c>
      <c r="Z1014">
        <v>0.22501987999999987</v>
      </c>
    </row>
    <row r="1015" spans="1:26">
      <c r="A1015" s="54" t="str">
        <f>CONCATENATE(raw[[#This Row],[redis_ls]],raw[[#This Row],[wage_eq]],raw[[#This Row],[flex]],raw[[#This Row],[expo]],raw[[#This Row],[_date_]])</f>
        <v>010052597</v>
      </c>
      <c r="B1015" s="1">
        <v>52597</v>
      </c>
      <c r="C1015">
        <v>0</v>
      </c>
      <c r="D1015">
        <v>1</v>
      </c>
      <c r="E1015">
        <v>0</v>
      </c>
      <c r="F1015">
        <v>0</v>
      </c>
      <c r="G1015">
        <v>-0.1185413657221801</v>
      </c>
      <c r="H1015">
        <v>5.3718000000008033</v>
      </c>
      <c r="I1015">
        <v>-1.7804358776449258</v>
      </c>
      <c r="J1015">
        <v>0.70536113310077919</v>
      </c>
      <c r="K1015">
        <v>-0.78237331829653645</v>
      </c>
      <c r="L1015">
        <v>-0.90295247942707713</v>
      </c>
      <c r="M1015">
        <v>0.10300636705691257</v>
      </c>
      <c r="N1015">
        <v>0.70587840148925718</v>
      </c>
      <c r="O1015">
        <v>4.6040000000052705E-4</v>
      </c>
      <c r="P1015">
        <v>1.515011442443992</v>
      </c>
      <c r="Q1015">
        <v>1.4942400174832393</v>
      </c>
      <c r="R1015">
        <v>1.3595024414550183</v>
      </c>
      <c r="S1015">
        <v>1.6414336618262748</v>
      </c>
      <c r="T1015">
        <v>-2.5375655782821527</v>
      </c>
      <c r="U1015">
        <v>86.827819405473392</v>
      </c>
      <c r="V1015">
        <v>2.2482636229108621</v>
      </c>
      <c r="W1015">
        <v>-0.17151828242431</v>
      </c>
      <c r="X1015">
        <v>-1.0727670000000057E-2</v>
      </c>
      <c r="Y1015">
        <v>0.32883453999999968</v>
      </c>
      <c r="Z1015">
        <v>0.22366470000000013</v>
      </c>
    </row>
    <row r="1016" spans="1:26">
      <c r="A1016" s="54" t="str">
        <f>CONCATENATE(raw[[#This Row],[redis_ls]],raw[[#This Row],[wage_eq]],raw[[#This Row],[flex]],raw[[#This Row],[expo]],raw[[#This Row],[_date_]])</f>
        <v>010052963</v>
      </c>
      <c r="B1016" s="1">
        <v>52963</v>
      </c>
      <c r="C1016">
        <v>0</v>
      </c>
      <c r="D1016">
        <v>1</v>
      </c>
      <c r="E1016">
        <v>0</v>
      </c>
      <c r="F1016">
        <v>0</v>
      </c>
      <c r="G1016">
        <v>-0.11784187028274218</v>
      </c>
      <c r="H1016">
        <v>3.9546999999984109</v>
      </c>
      <c r="I1016">
        <v>-1.7482304333421683</v>
      </c>
      <c r="J1016">
        <v>0.70040820838355167</v>
      </c>
      <c r="K1016">
        <v>-0.75487367587722121</v>
      </c>
      <c r="L1016">
        <v>-0.90199799700366734</v>
      </c>
      <c r="M1016">
        <v>0.11037622118834634</v>
      </c>
      <c r="N1016">
        <v>0.70077683532836499</v>
      </c>
      <c r="O1016">
        <v>3.2812000000104202E-4</v>
      </c>
      <c r="P1016">
        <v>1.5133789607757242</v>
      </c>
      <c r="Q1016">
        <v>1.4966642680507736</v>
      </c>
      <c r="R1016">
        <v>1.3742046626145754</v>
      </c>
      <c r="S1016">
        <v>1.63445465055716</v>
      </c>
      <c r="T1016">
        <v>-2.5559164974271464</v>
      </c>
      <c r="U1016">
        <v>86.979544618062093</v>
      </c>
      <c r="V1016">
        <v>2.2477482695028028</v>
      </c>
      <c r="W1016">
        <v>-0.16874360803260657</v>
      </c>
      <c r="X1016">
        <v>-7.6345800000000505E-3</v>
      </c>
      <c r="Y1016">
        <v>0.32515027000000057</v>
      </c>
      <c r="Z1016">
        <v>0.22234250000000011</v>
      </c>
    </row>
    <row r="1017" spans="1:26">
      <c r="A1017" s="54" t="str">
        <f>CONCATENATE(raw[[#This Row],[redis_ls]],raw[[#This Row],[wage_eq]],raw[[#This Row],[flex]],raw[[#This Row],[expo]],raw[[#This Row],[_date_]])</f>
        <v>010053328</v>
      </c>
      <c r="B1017" s="1">
        <v>53328</v>
      </c>
      <c r="C1017">
        <v>0</v>
      </c>
      <c r="D1017">
        <v>1</v>
      </c>
      <c r="E1017">
        <v>0</v>
      </c>
      <c r="F1017">
        <v>0</v>
      </c>
      <c r="G1017">
        <v>-0.11709594003737056</v>
      </c>
      <c r="H1017">
        <v>2.5569000000032247</v>
      </c>
      <c r="I1017">
        <v>-1.7164943853497094</v>
      </c>
      <c r="J1017">
        <v>0.69540627906279351</v>
      </c>
      <c r="K1017">
        <v>-0.72713271203542762</v>
      </c>
      <c r="L1017">
        <v>-0.90084198097316603</v>
      </c>
      <c r="M1017">
        <v>0.11753276756805153</v>
      </c>
      <c r="N1017">
        <v>0.69562423537465889</v>
      </c>
      <c r="O1017">
        <v>1.940599999999959E-4</v>
      </c>
      <c r="P1017">
        <v>1.5111311549666828</v>
      </c>
      <c r="Q1017">
        <v>1.4982888271107386</v>
      </c>
      <c r="R1017">
        <v>1.3876321683838677</v>
      </c>
      <c r="S1017">
        <v>1.6270241913393768</v>
      </c>
      <c r="T1017">
        <v>-2.5753487808659381</v>
      </c>
      <c r="U1017">
        <v>87.137310521021931</v>
      </c>
      <c r="V1017">
        <v>2.2463634958990841</v>
      </c>
      <c r="W1017">
        <v>-0.1658789126579574</v>
      </c>
      <c r="X1017">
        <v>-4.6114899999999751E-3</v>
      </c>
      <c r="Y1017">
        <v>0.32136259000000028</v>
      </c>
      <c r="Z1017">
        <v>0.22100482999999962</v>
      </c>
    </row>
    <row r="1018" spans="1:26">
      <c r="A1018" s="54" t="str">
        <f>CONCATENATE(raw[[#This Row],[redis_ls]],raw[[#This Row],[wage_eq]],raw[[#This Row],[flex]],raw[[#This Row],[expo]],raw[[#This Row],[_date_]])</f>
        <v>010053693</v>
      </c>
      <c r="B1018" s="1">
        <v>53693</v>
      </c>
      <c r="C1018">
        <v>0</v>
      </c>
      <c r="D1018">
        <v>1</v>
      </c>
      <c r="E1018">
        <v>0</v>
      </c>
      <c r="F1018">
        <v>0</v>
      </c>
      <c r="G1018">
        <v>-0.11630782228470027</v>
      </c>
      <c r="H1018">
        <v>1.1916099999980361</v>
      </c>
      <c r="I1018">
        <v>-1.6852490695987266</v>
      </c>
      <c r="J1018">
        <v>0.69028523300429523</v>
      </c>
      <c r="K1018">
        <v>-0.69922693526179858</v>
      </c>
      <c r="L1018">
        <v>-0.89941645042592722</v>
      </c>
      <c r="M1018">
        <v>0.12442502069509587</v>
      </c>
      <c r="N1018">
        <v>0.69035710368796632</v>
      </c>
      <c r="O1018">
        <v>6.401000000044732E-5</v>
      </c>
      <c r="P1018">
        <v>1.508177192758442</v>
      </c>
      <c r="Q1018">
        <v>1.4990145234477836</v>
      </c>
      <c r="R1018">
        <v>1.3996647069615342</v>
      </c>
      <c r="S1018">
        <v>1.6190578745304496</v>
      </c>
      <c r="T1018">
        <v>-2.5958391466064601</v>
      </c>
      <c r="U1018">
        <v>87.303254693460588</v>
      </c>
      <c r="V1018">
        <v>2.2439576203256761</v>
      </c>
      <c r="W1018">
        <v>-0.16294974794035522</v>
      </c>
      <c r="X1018">
        <v>-1.6852200000000428E-3</v>
      </c>
      <c r="Y1018">
        <v>0.31748010999999993</v>
      </c>
      <c r="Z1018">
        <v>0.21960909000000028</v>
      </c>
    </row>
    <row r="1019" spans="1:26">
      <c r="A1019" s="54" t="str">
        <f>CONCATENATE(raw[[#This Row],[redis_ls]],raw[[#This Row],[wage_eq]],raw[[#This Row],[flex]],raw[[#This Row],[expo]],raw[[#This Row],[_date_]])</f>
        <v>010054058</v>
      </c>
      <c r="B1019" s="1">
        <v>54058</v>
      </c>
      <c r="C1019">
        <v>0</v>
      </c>
      <c r="D1019">
        <v>1</v>
      </c>
      <c r="E1019">
        <v>0</v>
      </c>
      <c r="F1019">
        <v>0</v>
      </c>
      <c r="G1019">
        <v>-0.11547934751504618</v>
      </c>
      <c r="H1019">
        <v>-0.12956000000122003</v>
      </c>
      <c r="I1019">
        <v>-1.6545094427688145</v>
      </c>
      <c r="J1019">
        <v>0.68498722146410618</v>
      </c>
      <c r="K1019">
        <v>-0.67123043187266029</v>
      </c>
      <c r="L1019">
        <v>-0.89766303032707828</v>
      </c>
      <c r="M1019">
        <v>0.13101196501639212</v>
      </c>
      <c r="N1019">
        <v>0.68492289596291389</v>
      </c>
      <c r="O1019">
        <v>-5.7280000000103914E-5</v>
      </c>
      <c r="P1019">
        <v>1.504448366318778</v>
      </c>
      <c r="Q1019">
        <v>1.4987678711036123</v>
      </c>
      <c r="R1019">
        <v>1.4102147630533635</v>
      </c>
      <c r="S1019">
        <v>1.6104908782349048</v>
      </c>
      <c r="T1019">
        <v>-2.6173058786204684</v>
      </c>
      <c r="U1019">
        <v>87.478367925651341</v>
      </c>
      <c r="V1019">
        <v>2.2404105104841587</v>
      </c>
      <c r="W1019">
        <v>-0.15997664127123112</v>
      </c>
      <c r="X1019">
        <v>1.1212199999999228E-3</v>
      </c>
      <c r="Y1019">
        <v>0.31351083000000085</v>
      </c>
      <c r="Z1019">
        <v>0.21811967000000057</v>
      </c>
    </row>
    <row r="1020" spans="1:26">
      <c r="A1020" s="54" t="str">
        <f>CONCATENATE(raw[[#This Row],[redis_ls]],raw[[#This Row],[wage_eq]],raw[[#This Row],[flex]],raw[[#This Row],[expo]],raw[[#This Row],[_date_]])</f>
        <v>010054424</v>
      </c>
      <c r="B1020" s="1">
        <v>54424</v>
      </c>
      <c r="C1020">
        <v>0</v>
      </c>
      <c r="D1020">
        <v>1</v>
      </c>
      <c r="E1020">
        <v>0</v>
      </c>
      <c r="F1020">
        <v>0</v>
      </c>
      <c r="G1020">
        <v>-0.11461036034662309</v>
      </c>
      <c r="H1020">
        <v>-1.3966900000013993</v>
      </c>
      <c r="I1020">
        <v>-1.6242842848861794</v>
      </c>
      <c r="J1020">
        <v>0.67946698674228312</v>
      </c>
      <c r="K1020">
        <v>-0.64321409968998156</v>
      </c>
      <c r="L1020">
        <v>-0.89553370010831967</v>
      </c>
      <c r="M1020">
        <v>0.1372628978827839</v>
      </c>
      <c r="N1020">
        <v>0.67928035105291329</v>
      </c>
      <c r="O1020">
        <v>-1.6617000000024307E-4</v>
      </c>
      <c r="P1020">
        <v>1.4998976012579268</v>
      </c>
      <c r="Q1020">
        <v>1.4974994075131809</v>
      </c>
      <c r="R1020">
        <v>1.4192264206012828</v>
      </c>
      <c r="S1020">
        <v>1.6012778922847692</v>
      </c>
      <c r="T1020">
        <v>-2.6396170752271075</v>
      </c>
      <c r="U1020">
        <v>87.662625894538166</v>
      </c>
      <c r="V1020">
        <v>2.2356333661181393</v>
      </c>
      <c r="W1020">
        <v>-0.15697590176642073</v>
      </c>
      <c r="X1020">
        <v>3.7885209999999683E-3</v>
      </c>
      <c r="Y1020">
        <v>0.30946209999999985</v>
      </c>
      <c r="Z1020">
        <v>0.21650845000000044</v>
      </c>
    </row>
    <row r="1021" spans="1:26">
      <c r="A1021" s="54" t="str">
        <f>CONCATENATE(raw[[#This Row],[redis_ls]],raw[[#This Row],[wage_eq]],raw[[#This Row],[flex]],raw[[#This Row],[expo]],raw[[#This Row],[_date_]])</f>
        <v>010054789</v>
      </c>
      <c r="B1021" s="1">
        <v>54789</v>
      </c>
      <c r="C1021">
        <v>0</v>
      </c>
      <c r="D1021">
        <v>1</v>
      </c>
      <c r="E1021">
        <v>0</v>
      </c>
      <c r="F1021">
        <v>0</v>
      </c>
      <c r="G1021">
        <v>-0.11369894005810455</v>
      </c>
      <c r="H1021">
        <v>-2.6014399999985471</v>
      </c>
      <c r="I1021">
        <v>-1.5945767525438304</v>
      </c>
      <c r="J1021">
        <v>0.67369193793163085</v>
      </c>
      <c r="K1021">
        <v>-0.61524524704473782</v>
      </c>
      <c r="L1021">
        <v>-0.89299139089435986</v>
      </c>
      <c r="M1021">
        <v>0.1431563819659365</v>
      </c>
      <c r="N1021">
        <v>0.67339986080234837</v>
      </c>
      <c r="O1021">
        <v>-2.6008000000021791E-4</v>
      </c>
      <c r="P1021">
        <v>1.4944981972417448</v>
      </c>
      <c r="Q1021">
        <v>1.4951830295817814</v>
      </c>
      <c r="R1021">
        <v>1.4266731333309135</v>
      </c>
      <c r="S1021">
        <v>1.5913918194611965</v>
      </c>
      <c r="T1021">
        <v>-2.6625998972815368</v>
      </c>
      <c r="U1021">
        <v>87.855127290543635</v>
      </c>
      <c r="V1021">
        <v>2.2295679625647269</v>
      </c>
      <c r="W1021">
        <v>-0.15395907125852482</v>
      </c>
      <c r="X1021">
        <v>6.3009990000001403E-3</v>
      </c>
      <c r="Y1021">
        <v>0.30534076999999965</v>
      </c>
      <c r="Z1021">
        <v>0.21475474999999994</v>
      </c>
    </row>
    <row r="1022" spans="1:26">
      <c r="A1022" s="54" t="str">
        <f>CONCATENATE(raw[[#This Row],[redis_ls]],raw[[#This Row],[wage_eq]],raw[[#This Row],[flex]],raw[[#This Row],[expo]],raw[[#This Row],[_date_]])</f>
        <v>001136526</v>
      </c>
      <c r="B1022" s="1">
        <v>36526</v>
      </c>
      <c r="C1022">
        <v>0</v>
      </c>
      <c r="D1022">
        <v>0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>
      <c r="A1023" s="54" t="str">
        <f>CONCATENATE(raw[[#This Row],[redis_ls]],raw[[#This Row],[wage_eq]],raw[[#This Row],[flex]],raw[[#This Row],[expo]],raw[[#This Row],[_date_]])</f>
        <v>001136892</v>
      </c>
      <c r="B1023" s="1">
        <v>36892</v>
      </c>
      <c r="C1023">
        <v>0</v>
      </c>
      <c r="D1023">
        <v>0</v>
      </c>
      <c r="E1023">
        <v>1</v>
      </c>
      <c r="F1023">
        <v>1</v>
      </c>
      <c r="G1023">
        <v>0.2117196937236443</v>
      </c>
      <c r="H1023">
        <v>46.065800000000309</v>
      </c>
      <c r="I1023">
        <v>-5.4466406693244762</v>
      </c>
      <c r="J1023">
        <v>0.10203710348946071</v>
      </c>
      <c r="K1023">
        <v>0.53909211225293685</v>
      </c>
      <c r="L1023">
        <v>-0.15755451964447609</v>
      </c>
      <c r="M1023">
        <v>-0.32961293501063693</v>
      </c>
      <c r="N1023">
        <v>0.14848559882176815</v>
      </c>
      <c r="O1023">
        <v>4.1566560000000363E-2</v>
      </c>
      <c r="P1023">
        <v>0.46530539170066554</v>
      </c>
      <c r="Q1023">
        <v>0.122962941055893</v>
      </c>
      <c r="R1023">
        <v>-0.60237735235062484</v>
      </c>
      <c r="S1023">
        <v>0.84693382269906969</v>
      </c>
      <c r="T1023">
        <v>0.26328823503598553</v>
      </c>
      <c r="U1023">
        <v>-9.8039221185786118E-8</v>
      </c>
      <c r="V1023">
        <v>2.9590360378595193E-2</v>
      </c>
      <c r="W1023">
        <v>-0.4196581788365239</v>
      </c>
      <c r="X1023">
        <v>-0.13757319999999906</v>
      </c>
      <c r="Y1023">
        <v>0.12372718999999997</v>
      </c>
      <c r="Z1023">
        <v>6.2340459999999168E-3</v>
      </c>
    </row>
    <row r="1024" spans="1:26">
      <c r="A1024" s="54" t="str">
        <f>CONCATENATE(raw[[#This Row],[redis_ls]],raw[[#This Row],[wage_eq]],raw[[#This Row],[flex]],raw[[#This Row],[expo]],raw[[#This Row],[_date_]])</f>
        <v>001137257</v>
      </c>
      <c r="B1024" s="1">
        <v>37257</v>
      </c>
      <c r="C1024">
        <v>0</v>
      </c>
      <c r="D1024">
        <v>0</v>
      </c>
      <c r="E1024">
        <v>1</v>
      </c>
      <c r="F1024">
        <v>1</v>
      </c>
      <c r="G1024">
        <v>0.37642845681242765</v>
      </c>
      <c r="H1024">
        <v>96.254590000000462</v>
      </c>
      <c r="I1024">
        <v>-8.7173113657151085</v>
      </c>
      <c r="J1024">
        <v>0.26322814460819632</v>
      </c>
      <c r="K1024">
        <v>1.0152538637374864</v>
      </c>
      <c r="L1024">
        <v>-0.41821824762334758</v>
      </c>
      <c r="M1024">
        <v>-0.48567339171757817</v>
      </c>
      <c r="N1024">
        <v>0.32034948054848744</v>
      </c>
      <c r="O1024">
        <v>5.1030100000000467E-2</v>
      </c>
      <c r="P1024">
        <v>0.60524471298994964</v>
      </c>
      <c r="Q1024">
        <v>0.31484083014721165</v>
      </c>
      <c r="R1024">
        <v>-0.33348269864140745</v>
      </c>
      <c r="S1024">
        <v>0.96498558154076708</v>
      </c>
      <c r="T1024">
        <v>0.51614619327551292</v>
      </c>
      <c r="U1024">
        <v>-9.6116881120877906E-8</v>
      </c>
      <c r="V1024">
        <v>0.20935698371378209</v>
      </c>
      <c r="W1024">
        <v>-0.43672747130709677</v>
      </c>
      <c r="X1024">
        <v>-0.27527782000000001</v>
      </c>
      <c r="Y1024">
        <v>0.17027449999999986</v>
      </c>
      <c r="Z1024">
        <v>0.12337573499999997</v>
      </c>
    </row>
    <row r="1025" spans="1:26">
      <c r="A1025" s="54" t="str">
        <f>CONCATENATE(raw[[#This Row],[redis_ls]],raw[[#This Row],[wage_eq]],raw[[#This Row],[flex]],raw[[#This Row],[expo]],raw[[#This Row],[_date_]])</f>
        <v>001137622</v>
      </c>
      <c r="B1025" s="1">
        <v>37622</v>
      </c>
      <c r="C1025">
        <v>0</v>
      </c>
      <c r="D1025">
        <v>0</v>
      </c>
      <c r="E1025">
        <v>1</v>
      </c>
      <c r="F1025">
        <v>1</v>
      </c>
      <c r="G1025">
        <v>0.46433876461422496</v>
      </c>
      <c r="H1025">
        <v>132.23945000000094</v>
      </c>
      <c r="I1025">
        <v>-10.618765499061256</v>
      </c>
      <c r="J1025">
        <v>0.4202643325172728</v>
      </c>
      <c r="K1025">
        <v>1.368751028390891</v>
      </c>
      <c r="L1025">
        <v>-0.75495030013136288</v>
      </c>
      <c r="M1025">
        <v>-0.51548244453143433</v>
      </c>
      <c r="N1025">
        <v>0.46294109911100279</v>
      </c>
      <c r="O1025">
        <v>3.8071679999999997E-2</v>
      </c>
      <c r="P1025">
        <v>0.8028406299209534</v>
      </c>
      <c r="Q1025">
        <v>0.56271315225153717</v>
      </c>
      <c r="R1025">
        <v>-9.5361135431848432E-3</v>
      </c>
      <c r="S1025">
        <v>1.1384856680891176</v>
      </c>
      <c r="T1025">
        <v>0.77731217557979182</v>
      </c>
      <c r="U1025">
        <v>-9.4232244229885964E-8</v>
      </c>
      <c r="V1025">
        <v>0.42817297650525887</v>
      </c>
      <c r="W1025">
        <v>-0.48886172934636818</v>
      </c>
      <c r="X1025">
        <v>-0.36425324999999897</v>
      </c>
      <c r="Y1025">
        <v>0.16765959999999991</v>
      </c>
      <c r="Z1025">
        <v>0.22111114100000001</v>
      </c>
    </row>
    <row r="1026" spans="1:26">
      <c r="A1026" s="54" t="str">
        <f>CONCATENATE(raw[[#This Row],[redis_ls]],raw[[#This Row],[wage_eq]],raw[[#This Row],[flex]],raw[[#This Row],[expo]],raw[[#This Row],[_date_]])</f>
        <v>001137987</v>
      </c>
      <c r="B1026" s="1">
        <v>37987</v>
      </c>
      <c r="C1026">
        <v>0</v>
      </c>
      <c r="D1026">
        <v>0</v>
      </c>
      <c r="E1026">
        <v>1</v>
      </c>
      <c r="F1026">
        <v>1</v>
      </c>
      <c r="G1026">
        <v>0.48349057968264386</v>
      </c>
      <c r="H1026">
        <v>148.1775200000011</v>
      </c>
      <c r="I1026">
        <v>-11.730895426419718</v>
      </c>
      <c r="J1026">
        <v>0.54360680913305703</v>
      </c>
      <c r="K1026">
        <v>1.6096868956114507</v>
      </c>
      <c r="L1026">
        <v>-1.1404360906318911</v>
      </c>
      <c r="M1026">
        <v>-0.4840544431798266</v>
      </c>
      <c r="N1026">
        <v>0.56113983576573379</v>
      </c>
      <c r="O1026">
        <v>1.5625799999999246E-2</v>
      </c>
      <c r="P1026">
        <v>1.0220998958085481</v>
      </c>
      <c r="Q1026">
        <v>0.83072910392698596</v>
      </c>
      <c r="R1026">
        <v>0.33001375255696797</v>
      </c>
      <c r="S1026">
        <v>1.3357140066205808</v>
      </c>
      <c r="T1026">
        <v>1.0328407074807533</v>
      </c>
      <c r="U1026">
        <v>-1.8476907781561636E-7</v>
      </c>
      <c r="V1026">
        <v>0.65926962659941246</v>
      </c>
      <c r="W1026">
        <v>-0.5571224168188782</v>
      </c>
      <c r="X1026">
        <v>-0.39447660999999967</v>
      </c>
      <c r="Y1026">
        <v>0.1352548000000002</v>
      </c>
      <c r="Z1026">
        <v>0.28674835600000009</v>
      </c>
    </row>
    <row r="1027" spans="1:26">
      <c r="A1027" s="54" t="str">
        <f>CONCATENATE(raw[[#This Row],[redis_ls]],raw[[#This Row],[wage_eq]],raw[[#This Row],[flex]],raw[[#This Row],[expo]],raw[[#This Row],[_date_]])</f>
        <v>001138353</v>
      </c>
      <c r="B1027" s="1">
        <v>38353</v>
      </c>
      <c r="C1027">
        <v>0</v>
      </c>
      <c r="D1027">
        <v>0</v>
      </c>
      <c r="E1027">
        <v>1</v>
      </c>
      <c r="F1027">
        <v>1</v>
      </c>
      <c r="G1027">
        <v>0.45274519786564493</v>
      </c>
      <c r="H1027">
        <v>145.04135999999926</v>
      </c>
      <c r="I1027">
        <v>-12.388798984799598</v>
      </c>
      <c r="J1027">
        <v>0.62688115523650279</v>
      </c>
      <c r="K1027">
        <v>1.7690912944967607</v>
      </c>
      <c r="L1027">
        <v>-1.5455978859157282</v>
      </c>
      <c r="M1027">
        <v>-0.42892061047959951</v>
      </c>
      <c r="N1027">
        <v>0.62183126796500066</v>
      </c>
      <c r="O1027">
        <v>-4.4977799999998402E-3</v>
      </c>
      <c r="P1027">
        <v>1.2355679890658111</v>
      </c>
      <c r="Q1027">
        <v>1.0888732903124199</v>
      </c>
      <c r="R1027">
        <v>0.65233766956727113</v>
      </c>
      <c r="S1027">
        <v>1.5298768825167786</v>
      </c>
      <c r="T1027">
        <v>1.2656390670608753</v>
      </c>
      <c r="U1027">
        <v>-1.8114615363273856E-7</v>
      </c>
      <c r="V1027">
        <v>0.89139464557181913</v>
      </c>
      <c r="W1027">
        <v>-0.61556706482031043</v>
      </c>
      <c r="X1027">
        <v>-0.37361159999999977</v>
      </c>
      <c r="Y1027">
        <v>8.5328120000000007E-2</v>
      </c>
      <c r="Z1027">
        <v>0.32214507899999995</v>
      </c>
    </row>
    <row r="1028" spans="1:26">
      <c r="A1028" s="54" t="str">
        <f>CONCATENATE(raw[[#This Row],[redis_ls]],raw[[#This Row],[wage_eq]],raw[[#This Row],[flex]],raw[[#This Row],[expo]],raw[[#This Row],[_date_]])</f>
        <v>001138718</v>
      </c>
      <c r="B1028" s="1">
        <v>38718</v>
      </c>
      <c r="C1028">
        <v>0</v>
      </c>
      <c r="D1028">
        <v>0</v>
      </c>
      <c r="E1028">
        <v>1</v>
      </c>
      <c r="F1028">
        <v>1</v>
      </c>
      <c r="G1028">
        <v>0.39164133641973464</v>
      </c>
      <c r="H1028">
        <v>127.07364999999845</v>
      </c>
      <c r="I1028">
        <v>-12.779740866229982</v>
      </c>
      <c r="J1028">
        <v>0.67406460744401375</v>
      </c>
      <c r="K1028">
        <v>1.8789408391037599</v>
      </c>
      <c r="L1028">
        <v>-1.9439053274424856</v>
      </c>
      <c r="M1028">
        <v>-0.36857571600942274</v>
      </c>
      <c r="N1028">
        <v>0.65365074034822168</v>
      </c>
      <c r="O1028">
        <v>-1.8176659999999401E-2</v>
      </c>
      <c r="P1028">
        <v>1.4267712797115584</v>
      </c>
      <c r="Q1028">
        <v>1.3187207910583476</v>
      </c>
      <c r="R1028">
        <v>0.93759352863791445</v>
      </c>
      <c r="S1028">
        <v>1.7042258403468624</v>
      </c>
      <c r="T1028">
        <v>1.4645690246624099</v>
      </c>
      <c r="U1028">
        <v>-2.6639142003404004E-7</v>
      </c>
      <c r="V1028">
        <v>1.114146811223482</v>
      </c>
      <c r="W1028">
        <v>-0.65210147648400163</v>
      </c>
      <c r="X1028">
        <v>-0.3161054200000013</v>
      </c>
      <c r="Y1028">
        <v>2.6314610000000016E-2</v>
      </c>
      <c r="Z1028">
        <v>0.33292164800000001</v>
      </c>
    </row>
    <row r="1029" spans="1:26">
      <c r="A1029" s="54" t="str">
        <f>CONCATENATE(raw[[#This Row],[redis_ls]],raw[[#This Row],[wage_eq]],raw[[#This Row],[flex]],raw[[#This Row],[expo]],raw[[#This Row],[_date_]])</f>
        <v>001139083</v>
      </c>
      <c r="B1029" s="1">
        <v>39083</v>
      </c>
      <c r="C1029">
        <v>0</v>
      </c>
      <c r="D1029">
        <v>0</v>
      </c>
      <c r="E1029">
        <v>1</v>
      </c>
      <c r="F1029">
        <v>1</v>
      </c>
      <c r="G1029">
        <v>0.31626226322509776</v>
      </c>
      <c r="H1029">
        <v>99.518690000000788</v>
      </c>
      <c r="I1029">
        <v>-13.007828820060075</v>
      </c>
      <c r="J1029">
        <v>0.6922877695786811</v>
      </c>
      <c r="K1029">
        <v>1.9646783743833884</v>
      </c>
      <c r="L1029">
        <v>-2.3146641394669265</v>
      </c>
      <c r="M1029">
        <v>-0.31126476105766132</v>
      </c>
      <c r="N1029">
        <v>0.66365044355518599</v>
      </c>
      <c r="O1029">
        <v>-2.5496199999999747E-2</v>
      </c>
      <c r="P1029">
        <v>1.587843609122408</v>
      </c>
      <c r="Q1029">
        <v>1.5116738580784439</v>
      </c>
      <c r="R1029">
        <v>1.1769697612951102</v>
      </c>
      <c r="S1029">
        <v>1.8505315731848437</v>
      </c>
      <c r="T1029">
        <v>1.6252295547484197</v>
      </c>
      <c r="U1029">
        <v>-1.7411204700223948E-7</v>
      </c>
      <c r="V1029">
        <v>1.3177244347123418</v>
      </c>
      <c r="W1029">
        <v>-0.66604991650989209</v>
      </c>
      <c r="X1029">
        <v>-0.23723863999999956</v>
      </c>
      <c r="Y1029">
        <v>-3.5624890000000159E-2</v>
      </c>
      <c r="Z1029">
        <v>0.32535505899999995</v>
      </c>
    </row>
    <row r="1030" spans="1:26">
      <c r="A1030" s="54" t="str">
        <f>CONCATENATE(raw[[#This Row],[redis_ls]],raw[[#This Row],[wage_eq]],raw[[#This Row],[flex]],raw[[#This Row],[expo]],raw[[#This Row],[_date_]])</f>
        <v>001139448</v>
      </c>
      <c r="B1030" s="1">
        <v>39448</v>
      </c>
      <c r="C1030">
        <v>0</v>
      </c>
      <c r="D1030">
        <v>0</v>
      </c>
      <c r="E1030">
        <v>1</v>
      </c>
      <c r="F1030">
        <v>1</v>
      </c>
      <c r="G1030">
        <v>0.23829732361781986</v>
      </c>
      <c r="H1030">
        <v>67.317459999998391</v>
      </c>
      <c r="I1030">
        <v>-13.131185272787215</v>
      </c>
      <c r="J1030">
        <v>0.68891423701589183</v>
      </c>
      <c r="K1030">
        <v>2.0436066587463664</v>
      </c>
      <c r="L1030">
        <v>-2.6440771049966227</v>
      </c>
      <c r="M1030">
        <v>-0.26008318498987881</v>
      </c>
      <c r="N1030">
        <v>0.65759328847720955</v>
      </c>
      <c r="O1030">
        <v>-2.7887249999999919E-2</v>
      </c>
      <c r="P1030">
        <v>1.7165333436189201</v>
      </c>
      <c r="Q1030">
        <v>1.6656989451466764</v>
      </c>
      <c r="R1030">
        <v>1.3689842974287103</v>
      </c>
      <c r="S1030">
        <v>1.9662944977530961</v>
      </c>
      <c r="T1030">
        <v>1.7481188031008843</v>
      </c>
      <c r="U1030">
        <v>-2.5604711684223957E-7</v>
      </c>
      <c r="V1030">
        <v>1.4947166578676008</v>
      </c>
      <c r="W1030">
        <v>-0.66220665622077624</v>
      </c>
      <c r="X1030">
        <v>-0.15019538999999915</v>
      </c>
      <c r="Y1030">
        <v>-9.6071920000000144E-2</v>
      </c>
      <c r="Z1030">
        <v>0.30538596600000001</v>
      </c>
    </row>
    <row r="1031" spans="1:26">
      <c r="A1031" s="54" t="str">
        <f>CONCATENATE(raw[[#This Row],[redis_ls]],raw[[#This Row],[wage_eq]],raw[[#This Row],[flex]],raw[[#This Row],[expo]],raw[[#This Row],[_date_]])</f>
        <v>001139814</v>
      </c>
      <c r="B1031" s="1">
        <v>39814</v>
      </c>
      <c r="C1031">
        <v>0</v>
      </c>
      <c r="D1031">
        <v>0</v>
      </c>
      <c r="E1031">
        <v>1</v>
      </c>
      <c r="F1031">
        <v>1</v>
      </c>
      <c r="G1031">
        <v>0.1654936086469494</v>
      </c>
      <c r="H1031">
        <v>34.49340999999913</v>
      </c>
      <c r="I1031">
        <v>-13.182650703576481</v>
      </c>
      <c r="J1031">
        <v>0.67059649166323343</v>
      </c>
      <c r="K1031">
        <v>2.1258543419102827</v>
      </c>
      <c r="L1031">
        <v>-2.924693327184813</v>
      </c>
      <c r="M1031">
        <v>-0.21561945357216894</v>
      </c>
      <c r="N1031">
        <v>0.64040877306119626</v>
      </c>
      <c r="O1031">
        <v>-2.6882730000001021E-2</v>
      </c>
      <c r="P1031">
        <v>1.8138619154716595</v>
      </c>
      <c r="Q1031">
        <v>1.7825587321950165</v>
      </c>
      <c r="R1031">
        <v>1.5163349191025466</v>
      </c>
      <c r="S1031">
        <v>2.052389462974924</v>
      </c>
      <c r="T1031">
        <v>1.8365537141306509</v>
      </c>
      <c r="U1031">
        <v>-1.6735104413356794E-7</v>
      </c>
      <c r="V1031">
        <v>1.6409745996718739</v>
      </c>
      <c r="W1031">
        <v>-0.6466012926597986</v>
      </c>
      <c r="X1031">
        <v>-6.4991059999999767E-2</v>
      </c>
      <c r="Y1031">
        <v>-0.15209059000000011</v>
      </c>
      <c r="Z1031">
        <v>0.27817782299999994</v>
      </c>
    </row>
    <row r="1032" spans="1:26">
      <c r="A1032" s="54" t="str">
        <f>CONCATENATE(raw[[#This Row],[redis_ls]],raw[[#This Row],[wage_eq]],raw[[#This Row],[flex]],raw[[#This Row],[expo]],raw[[#This Row],[_date_]])</f>
        <v>001140179</v>
      </c>
      <c r="B1032" s="1">
        <v>40179</v>
      </c>
      <c r="C1032">
        <v>0</v>
      </c>
      <c r="D1032">
        <v>0</v>
      </c>
      <c r="E1032">
        <v>1</v>
      </c>
      <c r="F1032">
        <v>1</v>
      </c>
      <c r="G1032">
        <v>0.10249085087168375</v>
      </c>
      <c r="H1032">
        <v>3.973680000002787</v>
      </c>
      <c r="I1032">
        <v>-13.181184758939434</v>
      </c>
      <c r="J1032">
        <v>0.64299395628641953</v>
      </c>
      <c r="K1032">
        <v>2.2161583097404014</v>
      </c>
      <c r="L1032">
        <v>-3.1541047104113318</v>
      </c>
      <c r="M1032">
        <v>-0.17730335907312211</v>
      </c>
      <c r="N1032">
        <v>0.61630951271067769</v>
      </c>
      <c r="O1032">
        <v>-2.37687800000011E-2</v>
      </c>
      <c r="P1032">
        <v>1.8825759631879713</v>
      </c>
      <c r="Q1032">
        <v>1.8659356901750135</v>
      </c>
      <c r="R1032">
        <v>1.6237663282371306</v>
      </c>
      <c r="S1032">
        <v>2.1114588807269685</v>
      </c>
      <c r="T1032">
        <v>1.8951068654725178</v>
      </c>
      <c r="U1032">
        <v>-2.4610449234074849E-7</v>
      </c>
      <c r="V1032">
        <v>1.7554535792095205</v>
      </c>
      <c r="W1032">
        <v>-0.62442793479055014</v>
      </c>
      <c r="X1032">
        <v>1.1575169999999968E-2</v>
      </c>
      <c r="Y1032">
        <v>-0.20197025999999993</v>
      </c>
      <c r="Z1032">
        <v>0.24788195100000007</v>
      </c>
    </row>
    <row r="1033" spans="1:26">
      <c r="A1033" s="54" t="str">
        <f>CONCATENATE(raw[[#This Row],[redis_ls]],raw[[#This Row],[wage_eq]],raw[[#This Row],[flex]],raw[[#This Row],[expo]],raw[[#This Row],[_date_]])</f>
        <v>001140544</v>
      </c>
      <c r="B1033" s="1">
        <v>40544</v>
      </c>
      <c r="C1033">
        <v>0</v>
      </c>
      <c r="D1033">
        <v>0</v>
      </c>
      <c r="E1033">
        <v>1</v>
      </c>
      <c r="F1033">
        <v>1</v>
      </c>
      <c r="G1033">
        <v>5.1624802091465583E-2</v>
      </c>
      <c r="H1033">
        <v>-22.353159999998752</v>
      </c>
      <c r="I1033">
        <v>-13.138138799811239</v>
      </c>
      <c r="J1033">
        <v>0.61066983147353149</v>
      </c>
      <c r="K1033">
        <v>2.3156177563973479</v>
      </c>
      <c r="L1033">
        <v>-3.3334979326277936</v>
      </c>
      <c r="M1033">
        <v>-0.14411577324500158</v>
      </c>
      <c r="N1033">
        <v>0.58872488624248653</v>
      </c>
      <c r="O1033">
        <v>-1.9552460000001048E-2</v>
      </c>
      <c r="P1033">
        <v>1.9262102158711825</v>
      </c>
      <c r="Q1033">
        <v>1.9202941358498871</v>
      </c>
      <c r="R1033">
        <v>1.6967900799797153</v>
      </c>
      <c r="S1033">
        <v>2.1469295902157404</v>
      </c>
      <c r="T1033">
        <v>1.9286392510967643</v>
      </c>
      <c r="U1033">
        <v>-2.4127890796421525E-7</v>
      </c>
      <c r="V1033">
        <v>1.839510336590533</v>
      </c>
      <c r="W1033">
        <v>-0.59941485925280036</v>
      </c>
      <c r="X1033">
        <v>7.5493249999999956E-2</v>
      </c>
      <c r="Y1033">
        <v>-0.24493948999999987</v>
      </c>
      <c r="Z1033">
        <v>0.21755484100000003</v>
      </c>
    </row>
    <row r="1034" spans="1:26">
      <c r="A1034" s="54" t="str">
        <f>CONCATENATE(raw[[#This Row],[redis_ls]],raw[[#This Row],[wage_eq]],raw[[#This Row],[flex]],raw[[#This Row],[expo]],raw[[#This Row],[_date_]])</f>
        <v>001140909</v>
      </c>
      <c r="B1034" s="1">
        <v>40909</v>
      </c>
      <c r="C1034">
        <v>0</v>
      </c>
      <c r="D1034">
        <v>0</v>
      </c>
      <c r="E1034">
        <v>1</v>
      </c>
      <c r="F1034">
        <v>1</v>
      </c>
      <c r="G1034">
        <v>1.3582904443332211E-2</v>
      </c>
      <c r="H1034">
        <v>-43.473079999999754</v>
      </c>
      <c r="I1034">
        <v>-13.060730855844616</v>
      </c>
      <c r="J1034">
        <v>0.57706244807365081</v>
      </c>
      <c r="K1034">
        <v>2.4231062715374785</v>
      </c>
      <c r="L1034">
        <v>-3.4663747361697417</v>
      </c>
      <c r="M1034">
        <v>-0.11497328220252401</v>
      </c>
      <c r="N1034">
        <v>0.56023858450111597</v>
      </c>
      <c r="O1034">
        <v>-1.4993929999999878E-2</v>
      </c>
      <c r="P1034">
        <v>1.9485387596411607</v>
      </c>
      <c r="Q1034">
        <v>1.9502374104847231</v>
      </c>
      <c r="R1034">
        <v>1.7409721093729624</v>
      </c>
      <c r="S1034">
        <v>2.1624434743633847</v>
      </c>
      <c r="T1034">
        <v>1.9417798750077209</v>
      </c>
      <c r="U1034">
        <v>-2.3654795899830106E-7</v>
      </c>
      <c r="V1034">
        <v>1.8960671633659665</v>
      </c>
      <c r="W1034">
        <v>-0.57390749237019589</v>
      </c>
      <c r="X1034">
        <v>0.12495803999999916</v>
      </c>
      <c r="Y1034">
        <v>-0.2808877099999999</v>
      </c>
      <c r="Z1034">
        <v>0.18920703900000002</v>
      </c>
    </row>
    <row r="1035" spans="1:26">
      <c r="A1035" s="54" t="str">
        <f>CONCATENATE(raw[[#This Row],[redis_ls]],raw[[#This Row],[wage_eq]],raw[[#This Row],[flex]],raw[[#This Row],[expo]],raw[[#This Row],[_date_]])</f>
        <v>001141275</v>
      </c>
      <c r="B1035" s="1">
        <v>41275</v>
      </c>
      <c r="C1035">
        <v>0</v>
      </c>
      <c r="D1035">
        <v>0</v>
      </c>
      <c r="E1035">
        <v>1</v>
      </c>
      <c r="F1035">
        <v>1</v>
      </c>
      <c r="G1035">
        <v>-1.2081658594464972E-2</v>
      </c>
      <c r="H1035">
        <v>-59.051269999999931</v>
      </c>
      <c r="I1035">
        <v>-12.95398717496392</v>
      </c>
      <c r="J1035">
        <v>0.54453409173933487</v>
      </c>
      <c r="K1035">
        <v>2.5362952950285012</v>
      </c>
      <c r="L1035">
        <v>-3.5575484733669449</v>
      </c>
      <c r="M1035">
        <v>-8.8928593009396373E-2</v>
      </c>
      <c r="N1035">
        <v>0.53260433005095642</v>
      </c>
      <c r="O1035">
        <v>-1.0635189999999572E-2</v>
      </c>
      <c r="P1035">
        <v>1.9532592316622299</v>
      </c>
      <c r="Q1035">
        <v>1.9601583923231525</v>
      </c>
      <c r="R1035">
        <v>1.7615557452671737</v>
      </c>
      <c r="S1035">
        <v>2.1615404781246239</v>
      </c>
      <c r="T1035">
        <v>1.9386874927998177</v>
      </c>
      <c r="U1035">
        <v>-2.3190975806386405E-7</v>
      </c>
      <c r="V1035">
        <v>1.9288697336157012</v>
      </c>
      <c r="W1035">
        <v>-0.54919941786637505</v>
      </c>
      <c r="X1035">
        <v>0.15978648000000012</v>
      </c>
      <c r="Y1035">
        <v>-0.31012838999999981</v>
      </c>
      <c r="Z1035">
        <v>0.16394786900000005</v>
      </c>
    </row>
    <row r="1036" spans="1:26">
      <c r="A1036" s="54" t="str">
        <f>CONCATENATE(raw[[#This Row],[redis_ls]],raw[[#This Row],[wage_eq]],raw[[#This Row],[flex]],raw[[#This Row],[expo]],raw[[#This Row],[_date_]])</f>
        <v>001141640</v>
      </c>
      <c r="B1036" s="1">
        <v>41640</v>
      </c>
      <c r="C1036">
        <v>0</v>
      </c>
      <c r="D1036">
        <v>0</v>
      </c>
      <c r="E1036">
        <v>1</v>
      </c>
      <c r="F1036">
        <v>1</v>
      </c>
      <c r="G1036">
        <v>-2.6549175623080679E-2</v>
      </c>
      <c r="H1036">
        <v>-69.243870000002062</v>
      </c>
      <c r="I1036">
        <v>-12.821825921279428</v>
      </c>
      <c r="J1036">
        <v>0.51449693409324482</v>
      </c>
      <c r="K1036">
        <v>2.6523478397623146</v>
      </c>
      <c r="L1036">
        <v>-3.6124159657802246</v>
      </c>
      <c r="M1036">
        <v>-6.525683056887166E-2</v>
      </c>
      <c r="N1036">
        <v>0.50684444467297141</v>
      </c>
      <c r="O1036">
        <v>-6.8237499999998508E-3</v>
      </c>
      <c r="P1036">
        <v>1.9438111215500875</v>
      </c>
      <c r="Q1036">
        <v>1.9540577419538074</v>
      </c>
      <c r="R1036">
        <v>1.7632738458458252</v>
      </c>
      <c r="S1036">
        <v>2.1474846530421532</v>
      </c>
      <c r="T1036">
        <v>1.9229667542827178</v>
      </c>
      <c r="U1036">
        <v>-2.2736250659960433E-7</v>
      </c>
      <c r="V1036">
        <v>1.9419228191996263</v>
      </c>
      <c r="W1036">
        <v>-0.52588050387102347</v>
      </c>
      <c r="X1036">
        <v>0.18090402000000005</v>
      </c>
      <c r="Y1036">
        <v>-0.33321759999999989</v>
      </c>
      <c r="Z1036">
        <v>0.14218155500000002</v>
      </c>
    </row>
    <row r="1037" spans="1:26">
      <c r="A1037" s="54" t="str">
        <f>CONCATENATE(raw[[#This Row],[redis_ls]],raw[[#This Row],[wage_eq]],raw[[#This Row],[flex]],raw[[#This Row],[expo]],raw[[#This Row],[_date_]])</f>
        <v>001142005</v>
      </c>
      <c r="B1037" s="1">
        <v>42005</v>
      </c>
      <c r="C1037">
        <v>0</v>
      </c>
      <c r="D1037">
        <v>0</v>
      </c>
      <c r="E1037">
        <v>1</v>
      </c>
      <c r="F1037">
        <v>1</v>
      </c>
      <c r="G1037">
        <v>-3.1420510740520768E-2</v>
      </c>
      <c r="H1037">
        <v>-74.533210000001418</v>
      </c>
      <c r="I1037">
        <v>-12.667645207692168</v>
      </c>
      <c r="J1037">
        <v>0.48759369456796708</v>
      </c>
      <c r="K1037">
        <v>2.7683655538819796</v>
      </c>
      <c r="L1037">
        <v>-3.6364591544735925</v>
      </c>
      <c r="M1037">
        <v>-4.3468795150070072E-2</v>
      </c>
      <c r="N1037">
        <v>0.48340083407392154</v>
      </c>
      <c r="O1037">
        <v>-3.7396999999994573E-3</v>
      </c>
      <c r="P1037">
        <v>1.9232754937629659</v>
      </c>
      <c r="Q1037">
        <v>1.9354578889411389</v>
      </c>
      <c r="R1037">
        <v>1.7502657761822471</v>
      </c>
      <c r="S1037">
        <v>2.1231760291477109</v>
      </c>
      <c r="T1037">
        <v>1.8976648177208233</v>
      </c>
      <c r="U1037">
        <v>-2.2290441714645226E-7</v>
      </c>
      <c r="V1037">
        <v>1.9391082964777429</v>
      </c>
      <c r="W1037">
        <v>-0.50411391294105101</v>
      </c>
      <c r="X1037">
        <v>0.18992146000000043</v>
      </c>
      <c r="Y1037">
        <v>-0.35082656999999989</v>
      </c>
      <c r="Z1037">
        <v>0.12381478700000002</v>
      </c>
    </row>
    <row r="1038" spans="1:26">
      <c r="A1038" s="54" t="str">
        <f>CONCATENATE(raw[[#This Row],[redis_ls]],raw[[#This Row],[wage_eq]],raw[[#This Row],[flex]],raw[[#This Row],[expo]],raw[[#This Row],[_date_]])</f>
        <v>001142370</v>
      </c>
      <c r="B1038" s="1">
        <v>42370</v>
      </c>
      <c r="C1038">
        <v>0</v>
      </c>
      <c r="D1038">
        <v>0</v>
      </c>
      <c r="E1038">
        <v>1</v>
      </c>
      <c r="F1038">
        <v>1</v>
      </c>
      <c r="G1038">
        <v>-2.8476501873353488E-2</v>
      </c>
      <c r="H1038">
        <v>-75.592689999997674</v>
      </c>
      <c r="I1038">
        <v>-12.494617845284894</v>
      </c>
      <c r="J1038">
        <v>0.46390338626103311</v>
      </c>
      <c r="K1038">
        <v>2.8816608189311088</v>
      </c>
      <c r="L1038">
        <v>-3.6349231385217284</v>
      </c>
      <c r="M1038">
        <v>-2.3281513161776957E-2</v>
      </c>
      <c r="N1038">
        <v>0.46230084042571118</v>
      </c>
      <c r="O1038">
        <v>-1.4296400000002318E-3</v>
      </c>
      <c r="P1038">
        <v>1.8943287978927525</v>
      </c>
      <c r="Q1038">
        <v>1.9073739497968534</v>
      </c>
      <c r="R1038">
        <v>1.7260577399221377</v>
      </c>
      <c r="S1038">
        <v>2.0911141362202956</v>
      </c>
      <c r="T1038">
        <v>1.8653043844188977</v>
      </c>
      <c r="U1038">
        <v>-2.1853374665425918E-7</v>
      </c>
      <c r="V1038">
        <v>1.9239561884841994</v>
      </c>
      <c r="W1038">
        <v>-0.48382990557296335</v>
      </c>
      <c r="X1038">
        <v>0.18880307999999957</v>
      </c>
      <c r="Y1038">
        <v>-0.36365842999999987</v>
      </c>
      <c r="Z1038">
        <v>0.10844682799999997</v>
      </c>
    </row>
    <row r="1039" spans="1:26">
      <c r="A1039" s="54" t="str">
        <f>CONCATENATE(raw[[#This Row],[redis_ls]],raw[[#This Row],[wage_eq]],raw[[#This Row],[flex]],raw[[#This Row],[expo]],raw[[#This Row],[_date_]])</f>
        <v>001142736</v>
      </c>
      <c r="B1039" s="1">
        <v>42736</v>
      </c>
      <c r="C1039">
        <v>0</v>
      </c>
      <c r="D1039">
        <v>0</v>
      </c>
      <c r="E1039">
        <v>1</v>
      </c>
      <c r="F1039">
        <v>1</v>
      </c>
      <c r="G1039">
        <v>-1.9500476187339633E-2</v>
      </c>
      <c r="H1039">
        <v>-73.181469999999536</v>
      </c>
      <c r="I1039">
        <v>-12.305811289882174</v>
      </c>
      <c r="J1039">
        <v>0.44313910219768715</v>
      </c>
      <c r="K1039">
        <v>2.9899082728700455</v>
      </c>
      <c r="L1039">
        <v>-3.6126229742320715</v>
      </c>
      <c r="M1039">
        <v>-4.5685633721315178E-3</v>
      </c>
      <c r="N1039">
        <v>0.44331326979172303</v>
      </c>
      <c r="O1039">
        <v>1.5547000000032396E-4</v>
      </c>
      <c r="P1039">
        <v>1.8592316718366586</v>
      </c>
      <c r="Q1039">
        <v>1.8723221988270033</v>
      </c>
      <c r="R1039">
        <v>1.6935813063047922</v>
      </c>
      <c r="S1039">
        <v>2.0533956893613592</v>
      </c>
      <c r="T1039">
        <v>1.8279338546806745</v>
      </c>
      <c r="U1039">
        <v>-2.1424875207287641E-7</v>
      </c>
      <c r="V1039">
        <v>1.8995299507657437</v>
      </c>
      <c r="W1039">
        <v>-0.46484838896416747</v>
      </c>
      <c r="X1039">
        <v>0.17961879999999902</v>
      </c>
      <c r="Y1039">
        <v>-0.37239747999999984</v>
      </c>
      <c r="Z1039">
        <v>9.5525734999999959E-2</v>
      </c>
    </row>
    <row r="1040" spans="1:26">
      <c r="A1040" s="54" t="str">
        <f>CONCATENATE(raw[[#This Row],[redis_ls]],raw[[#This Row],[wage_eq]],raw[[#This Row],[flex]],raw[[#This Row],[expo]],raw[[#This Row],[_date_]])</f>
        <v>001143101</v>
      </c>
      <c r="B1040" s="1">
        <v>43101</v>
      </c>
      <c r="C1040">
        <v>0</v>
      </c>
      <c r="D1040">
        <v>0</v>
      </c>
      <c r="E1040">
        <v>1</v>
      </c>
      <c r="F1040">
        <v>1</v>
      </c>
      <c r="G1040">
        <v>-6.155383445938245E-3</v>
      </c>
      <c r="H1040">
        <v>-68.066800000000512</v>
      </c>
      <c r="I1040">
        <v>-12.104207446782389</v>
      </c>
      <c r="J1040">
        <v>0.42481793195310313</v>
      </c>
      <c r="K1040">
        <v>3.0912140211780903</v>
      </c>
      <c r="L1040">
        <v>-3.5738418925276849</v>
      </c>
      <c r="M1040">
        <v>1.2693799403873385E-2</v>
      </c>
      <c r="N1040">
        <v>0.42607675209711537</v>
      </c>
      <c r="O1040">
        <v>1.1233700000001789E-3</v>
      </c>
      <c r="P1040">
        <v>1.8198443007850784</v>
      </c>
      <c r="Q1040">
        <v>1.8323521578772928</v>
      </c>
      <c r="R1040">
        <v>1.6552174365516814</v>
      </c>
      <c r="S1040">
        <v>2.0117350197756512</v>
      </c>
      <c r="T1040">
        <v>1.7871847366746518</v>
      </c>
      <c r="U1040">
        <v>-2.1004781247668802E-7</v>
      </c>
      <c r="V1040">
        <v>1.8683909779878993</v>
      </c>
      <c r="W1040">
        <v>-0.44695180549159108</v>
      </c>
      <c r="X1040">
        <v>0.16436931999999904</v>
      </c>
      <c r="Y1040">
        <v>-0.37768073999999985</v>
      </c>
      <c r="Z1040">
        <v>8.4464609000000065E-2</v>
      </c>
    </row>
    <row r="1041" spans="1:26">
      <c r="A1041" s="54" t="str">
        <f>CONCATENATE(raw[[#This Row],[redis_ls]],raw[[#This Row],[wage_eq]],raw[[#This Row],[flex]],raw[[#This Row],[expo]],raw[[#This Row],[_date_]])</f>
        <v>001143466</v>
      </c>
      <c r="B1041" s="1">
        <v>43466</v>
      </c>
      <c r="C1041">
        <v>0</v>
      </c>
      <c r="D1041">
        <v>0</v>
      </c>
      <c r="E1041">
        <v>1</v>
      </c>
      <c r="F1041">
        <v>1</v>
      </c>
      <c r="G1041">
        <v>1.0092027427321959E-2</v>
      </c>
      <c r="H1041">
        <v>-60.970580000001064</v>
      </c>
      <c r="I1041">
        <v>-11.89267081952795</v>
      </c>
      <c r="J1041">
        <v>0.40839224022506393</v>
      </c>
      <c r="K1041">
        <v>3.1841288616958341</v>
      </c>
      <c r="L1041">
        <v>-3.5222928305838286</v>
      </c>
      <c r="M1041">
        <v>2.8474548207735317E-2</v>
      </c>
      <c r="N1041">
        <v>0.41019450139758717</v>
      </c>
      <c r="O1041">
        <v>1.6086200000001161E-3</v>
      </c>
      <c r="P1041">
        <v>1.7776587265829757</v>
      </c>
      <c r="Q1041">
        <v>1.7890931516377329</v>
      </c>
      <c r="R1041">
        <v>1.6128556926907622</v>
      </c>
      <c r="S1041">
        <v>1.9674991153417754</v>
      </c>
      <c r="T1041">
        <v>1.744330110767911</v>
      </c>
      <c r="U1041">
        <v>-2.0592922922446633E-7</v>
      </c>
      <c r="V1041">
        <v>1.8326136545957938</v>
      </c>
      <c r="W1041">
        <v>-0.42992510393586869</v>
      </c>
      <c r="X1041">
        <v>0.14487304000000006</v>
      </c>
      <c r="Y1041">
        <v>-0.38008385000000006</v>
      </c>
      <c r="Z1041">
        <v>7.471907099999997E-2</v>
      </c>
    </row>
    <row r="1042" spans="1:26">
      <c r="A1042" s="54" t="str">
        <f>CONCATENATE(raw[[#This Row],[redis_ls]],raw[[#This Row],[wage_eq]],raw[[#This Row],[flex]],raw[[#This Row],[expo]],raw[[#This Row],[_date_]])</f>
        <v>001143831</v>
      </c>
      <c r="B1042" s="1">
        <v>43831</v>
      </c>
      <c r="C1042">
        <v>0</v>
      </c>
      <c r="D1042">
        <v>0</v>
      </c>
      <c r="E1042">
        <v>1</v>
      </c>
      <c r="F1042">
        <v>1</v>
      </c>
      <c r="G1042">
        <v>2.8008706313786824E-2</v>
      </c>
      <c r="H1042">
        <v>-52.536080000001675</v>
      </c>
      <c r="I1042">
        <v>-11.673896590916078</v>
      </c>
      <c r="J1042">
        <v>0.39333947942465919</v>
      </c>
      <c r="K1042">
        <v>3.267625367377569</v>
      </c>
      <c r="L1042">
        <v>-3.4611230086223133</v>
      </c>
      <c r="M1042">
        <v>4.2725073304206163E-2</v>
      </c>
      <c r="N1042">
        <v>0.39529800680342397</v>
      </c>
      <c r="O1042">
        <v>1.7483900000003771E-3</v>
      </c>
      <c r="P1042">
        <v>1.7338401088314637</v>
      </c>
      <c r="Q1042">
        <v>1.7438099760462622</v>
      </c>
      <c r="R1042">
        <v>1.5679612201831894</v>
      </c>
      <c r="S1042">
        <v>1.921750259747923</v>
      </c>
      <c r="T1042">
        <v>1.7003414802571948</v>
      </c>
      <c r="U1042">
        <v>-2.0189140359505586E-7</v>
      </c>
      <c r="V1042">
        <v>1.7938296886426564</v>
      </c>
      <c r="W1042">
        <v>-0.4135761607545696</v>
      </c>
      <c r="X1042">
        <v>0.12270236000000018</v>
      </c>
      <c r="Y1042">
        <v>-0.38011579999999989</v>
      </c>
      <c r="Z1042">
        <v>6.5831415999999948E-2</v>
      </c>
    </row>
    <row r="1043" spans="1:26">
      <c r="A1043" s="54" t="str">
        <f>CONCATENATE(raw[[#This Row],[redis_ls]],raw[[#This Row],[wage_eq]],raw[[#This Row],[flex]],raw[[#This Row],[expo]],raw[[#This Row],[_date_]])</f>
        <v>001144197</v>
      </c>
      <c r="B1043" s="1">
        <v>44197</v>
      </c>
      <c r="C1043">
        <v>0</v>
      </c>
      <c r="D1043">
        <v>0</v>
      </c>
      <c r="E1043">
        <v>1</v>
      </c>
      <c r="F1043">
        <v>1</v>
      </c>
      <c r="G1043">
        <v>4.6603658374344548E-2</v>
      </c>
      <c r="H1043">
        <v>-43.310809999999037</v>
      </c>
      <c r="I1043">
        <v>-11.450358525232085</v>
      </c>
      <c r="J1043">
        <v>0.3792157854452638</v>
      </c>
      <c r="K1043">
        <v>3.3410526188802692</v>
      </c>
      <c r="L1043">
        <v>-3.3929459884352031</v>
      </c>
      <c r="M1043">
        <v>5.5404213318066553E-2</v>
      </c>
      <c r="N1043">
        <v>0.38108198397488469</v>
      </c>
      <c r="O1043">
        <v>1.6662200000003291E-3</v>
      </c>
      <c r="P1043">
        <v>1.689273569389349</v>
      </c>
      <c r="Q1043">
        <v>1.6974589449682664</v>
      </c>
      <c r="R1043">
        <v>1.5216421486969445</v>
      </c>
      <c r="S1043">
        <v>1.87529195038596</v>
      </c>
      <c r="T1043">
        <v>1.6559424869251993</v>
      </c>
      <c r="U1043">
        <v>-1.9793274796953142E-7</v>
      </c>
      <c r="V1043">
        <v>1.7532868845508309</v>
      </c>
      <c r="W1043">
        <v>-0.39774337801925519</v>
      </c>
      <c r="X1043">
        <v>9.9158109999999966E-2</v>
      </c>
      <c r="Y1043">
        <v>-0.37821896999999971</v>
      </c>
      <c r="Z1043">
        <v>5.7448779999999963E-2</v>
      </c>
    </row>
    <row r="1044" spans="1:26">
      <c r="A1044" s="54" t="str">
        <f>CONCATENATE(raw[[#This Row],[redis_ls]],raw[[#This Row],[wage_eq]],raw[[#This Row],[flex]],raw[[#This Row],[expo]],raw[[#This Row],[_date_]])</f>
        <v>001144562</v>
      </c>
      <c r="B1044" s="1">
        <v>44562</v>
      </c>
      <c r="C1044">
        <v>0</v>
      </c>
      <c r="D1044">
        <v>0</v>
      </c>
      <c r="E1044">
        <v>1</v>
      </c>
      <c r="F1044">
        <v>1</v>
      </c>
      <c r="G1044">
        <v>6.5115975267104886E-2</v>
      </c>
      <c r="H1044">
        <v>-33.741659999999683</v>
      </c>
      <c r="I1044">
        <v>-11.224267990664682</v>
      </c>
      <c r="J1044">
        <v>0.36567913225713511</v>
      </c>
      <c r="K1044">
        <v>3.4040792095122896</v>
      </c>
      <c r="L1044">
        <v>-3.3198903567824622</v>
      </c>
      <c r="M1044">
        <v>6.6492217681912713E-2</v>
      </c>
      <c r="N1044">
        <v>0.36731772960407749</v>
      </c>
      <c r="O1044">
        <v>1.4631299999998126E-3</v>
      </c>
      <c r="P1044">
        <v>1.6446109497814776</v>
      </c>
      <c r="Q1044">
        <v>1.6507435649178115</v>
      </c>
      <c r="R1044">
        <v>1.4747149884265509</v>
      </c>
      <c r="S1044">
        <v>1.8287141464707224</v>
      </c>
      <c r="T1044">
        <v>1.6116566355321771</v>
      </c>
      <c r="U1044">
        <v>-1.9405170803565852E-7</v>
      </c>
      <c r="V1044">
        <v>1.7119119060335253</v>
      </c>
      <c r="W1044">
        <v>-0.38229777200790016</v>
      </c>
      <c r="X1044">
        <v>7.5271680000001118E-2</v>
      </c>
      <c r="Y1044">
        <v>-0.37477212999999998</v>
      </c>
      <c r="Z1044">
        <v>4.9322930999999917E-2</v>
      </c>
    </row>
    <row r="1045" spans="1:26">
      <c r="A1045" s="54" t="str">
        <f>CONCATENATE(raw[[#This Row],[redis_ls]],raw[[#This Row],[wage_eq]],raw[[#This Row],[flex]],raw[[#This Row],[expo]],raw[[#This Row],[_date_]])</f>
        <v>001144927</v>
      </c>
      <c r="B1045" s="1">
        <v>44927</v>
      </c>
      <c r="C1045">
        <v>0</v>
      </c>
      <c r="D1045">
        <v>0</v>
      </c>
      <c r="E1045">
        <v>1</v>
      </c>
      <c r="F1045">
        <v>1</v>
      </c>
      <c r="G1045">
        <v>8.2989594389681898E-2</v>
      </c>
      <c r="H1045">
        <v>-24.178459999999177</v>
      </c>
      <c r="I1045">
        <v>-10.997548524204815</v>
      </c>
      <c r="J1045">
        <v>0.35249223371682792</v>
      </c>
      <c r="K1045">
        <v>3.4566331167890763</v>
      </c>
      <c r="L1045">
        <v>-3.2436565725857958</v>
      </c>
      <c r="M1045">
        <v>7.5995851659027558E-2</v>
      </c>
      <c r="N1045">
        <v>0.35385230521660649</v>
      </c>
      <c r="O1045">
        <v>1.2145800000001872E-3</v>
      </c>
      <c r="P1045">
        <v>1.6003147133174966</v>
      </c>
      <c r="Q1045">
        <v>1.6041647996984265</v>
      </c>
      <c r="R1045">
        <v>1.4277631071690111</v>
      </c>
      <c r="S1045">
        <v>1.7824349069328171</v>
      </c>
      <c r="T1045">
        <v>1.5678493548517469</v>
      </c>
      <c r="U1045">
        <v>-2.5366236888757498E-7</v>
      </c>
      <c r="V1045">
        <v>1.6703707670298718</v>
      </c>
      <c r="W1045">
        <v>-0.36714022870735219</v>
      </c>
      <c r="X1045">
        <v>5.1825280000000751E-2</v>
      </c>
      <c r="Y1045">
        <v>-0.3700951600000002</v>
      </c>
      <c r="Z1045">
        <v>4.1298505999999915E-2</v>
      </c>
    </row>
    <row r="1046" spans="1:26">
      <c r="A1046" s="54" t="str">
        <f>CONCATENATE(raw[[#This Row],[redis_ls]],raw[[#This Row],[wage_eq]],raw[[#This Row],[flex]],raw[[#This Row],[expo]],raw[[#This Row],[_date_]])</f>
        <v>001145292</v>
      </c>
      <c r="B1046" s="1">
        <v>45292</v>
      </c>
      <c r="C1046">
        <v>0</v>
      </c>
      <c r="D1046">
        <v>0</v>
      </c>
      <c r="E1046">
        <v>1</v>
      </c>
      <c r="F1046">
        <v>1</v>
      </c>
      <c r="G1046">
        <v>9.9841897727714901E-2</v>
      </c>
      <c r="H1046">
        <v>-14.883170000000973</v>
      </c>
      <c r="I1046">
        <v>-10.771827251078969</v>
      </c>
      <c r="J1046">
        <v>0.33951079058760492</v>
      </c>
      <c r="K1046">
        <v>3.4988433035772593</v>
      </c>
      <c r="L1046">
        <v>-3.165576461107289</v>
      </c>
      <c r="M1046">
        <v>8.3947467915557183E-2</v>
      </c>
      <c r="N1046">
        <v>0.34059841134608249</v>
      </c>
      <c r="O1046">
        <v>9.7145000000076198E-4</v>
      </c>
      <c r="P1046">
        <v>1.5566973441642817</v>
      </c>
      <c r="Q1046">
        <v>1.5580648817774767</v>
      </c>
      <c r="R1046">
        <v>1.381187791500138</v>
      </c>
      <c r="S1046">
        <v>1.7367374417558423</v>
      </c>
      <c r="T1046">
        <v>1.5247636147606825</v>
      </c>
      <c r="U1046">
        <v>-2.4868859194171478E-7</v>
      </c>
      <c r="V1046">
        <v>1.6291236466167147</v>
      </c>
      <c r="W1046">
        <v>-0.35219833853485927</v>
      </c>
      <c r="X1046">
        <v>2.9382949999999519E-2</v>
      </c>
      <c r="Y1046">
        <v>-0.36445455999999998</v>
      </c>
      <c r="Z1046">
        <v>3.3295294000000066E-2</v>
      </c>
    </row>
    <row r="1047" spans="1:26">
      <c r="A1047" s="54" t="str">
        <f>CONCATENATE(raw[[#This Row],[redis_ls]],raw[[#This Row],[wage_eq]],raw[[#This Row],[flex]],raw[[#This Row],[expo]],raw[[#This Row],[_date_]])</f>
        <v>001145658</v>
      </c>
      <c r="B1047" s="1">
        <v>45658</v>
      </c>
      <c r="C1047">
        <v>0</v>
      </c>
      <c r="D1047">
        <v>0</v>
      </c>
      <c r="E1047">
        <v>1</v>
      </c>
      <c r="F1047">
        <v>1</v>
      </c>
      <c r="G1047">
        <v>0.11543033834866545</v>
      </c>
      <c r="H1047">
        <v>-6.0419799999981478</v>
      </c>
      <c r="I1047">
        <v>-10.548440884170162</v>
      </c>
      <c r="J1047">
        <v>0.32666487450598858</v>
      </c>
      <c r="K1047">
        <v>3.5309870989142622</v>
      </c>
      <c r="L1047">
        <v>-3.0866709042976503</v>
      </c>
      <c r="M1047">
        <v>9.0400170098225985E-2</v>
      </c>
      <c r="N1047">
        <v>0.32751956980152652</v>
      </c>
      <c r="O1047">
        <v>7.6351999999946241E-4</v>
      </c>
      <c r="P1047">
        <v>1.5139556377508745</v>
      </c>
      <c r="Q1047">
        <v>1.5126649552133165</v>
      </c>
      <c r="R1047">
        <v>1.3352516692002769</v>
      </c>
      <c r="S1047">
        <v>1.6918015680691179</v>
      </c>
      <c r="T1047">
        <v>1.4825493159022152</v>
      </c>
      <c r="U1047">
        <v>-2.4381235919079813E-7</v>
      </c>
      <c r="V1047">
        <v>1.5884718555859045</v>
      </c>
      <c r="W1047">
        <v>-0.3374217310867067</v>
      </c>
      <c r="X1047">
        <v>8.326229999999768E-3</v>
      </c>
      <c r="Y1047">
        <v>-0.35806919999999998</v>
      </c>
      <c r="Z1047">
        <v>2.5288759999999959E-2</v>
      </c>
    </row>
    <row r="1048" spans="1:26">
      <c r="A1048" s="54" t="str">
        <f>CONCATENATE(raw[[#This Row],[redis_ls]],raw[[#This Row],[wage_eq]],raw[[#This Row],[flex]],raw[[#This Row],[expo]],raw[[#This Row],[_date_]])</f>
        <v>001146023</v>
      </c>
      <c r="B1048" s="1">
        <v>46023</v>
      </c>
      <c r="C1048">
        <v>0</v>
      </c>
      <c r="D1048">
        <v>0</v>
      </c>
      <c r="E1048">
        <v>1</v>
      </c>
      <c r="F1048">
        <v>1</v>
      </c>
      <c r="G1048">
        <v>0.12962073217530623</v>
      </c>
      <c r="H1048">
        <v>2.2215499999983876</v>
      </c>
      <c r="I1048">
        <v>-10.328453216771305</v>
      </c>
      <c r="J1048">
        <v>0.31393898344023174</v>
      </c>
      <c r="K1048">
        <v>3.5534454755805633</v>
      </c>
      <c r="L1048">
        <v>-3.0077036012525538</v>
      </c>
      <c r="M1048">
        <v>9.5421764773884199E-2</v>
      </c>
      <c r="N1048">
        <v>0.31461511186037239</v>
      </c>
      <c r="O1048">
        <v>6.0407000000012312E-4</v>
      </c>
      <c r="P1048">
        <v>1.4721991315263194</v>
      </c>
      <c r="Q1048">
        <v>1.4680957329828104</v>
      </c>
      <c r="R1048">
        <v>1.2901136148806502</v>
      </c>
      <c r="S1048">
        <v>1.6477297994690332</v>
      </c>
      <c r="T1048">
        <v>1.4412868332527529</v>
      </c>
      <c r="U1048">
        <v>-2.3903171664230172E-7</v>
      </c>
      <c r="V1048">
        <v>1.5485970233610757</v>
      </c>
      <c r="W1048">
        <v>-0.32277900517576619</v>
      </c>
      <c r="X1048">
        <v>-1.1109780000000125E-2</v>
      </c>
      <c r="Y1048">
        <v>-0.35111625000000013</v>
      </c>
      <c r="Z1048">
        <v>1.7291636000000069E-2</v>
      </c>
    </row>
    <row r="1049" spans="1:26">
      <c r="A1049" s="54" t="str">
        <f>CONCATENATE(raw[[#This Row],[redis_ls]],raw[[#This Row],[wage_eq]],raw[[#This Row],[flex]],raw[[#This Row],[expo]],raw[[#This Row],[_date_]])</f>
        <v>001146388</v>
      </c>
      <c r="B1049" s="1">
        <v>46388</v>
      </c>
      <c r="C1049">
        <v>0</v>
      </c>
      <c r="D1049">
        <v>0</v>
      </c>
      <c r="E1049">
        <v>1</v>
      </c>
      <c r="F1049">
        <v>1</v>
      </c>
      <c r="G1049">
        <v>0.14235918188461039</v>
      </c>
      <c r="H1049">
        <v>9.8335699999988719</v>
      </c>
      <c r="I1049">
        <v>-10.112680596717849</v>
      </c>
      <c r="J1049">
        <v>0.30135178695622766</v>
      </c>
      <c r="K1049">
        <v>3.5666666510370648</v>
      </c>
      <c r="L1049">
        <v>-2.9292291764563272</v>
      </c>
      <c r="M1049">
        <v>9.9088306219763389E-2</v>
      </c>
      <c r="N1049">
        <v>0.30190549310493697</v>
      </c>
      <c r="O1049">
        <v>4.9473000000022083E-4</v>
      </c>
      <c r="P1049">
        <v>1.4314738719873876</v>
      </c>
      <c r="Q1049">
        <v>1.4244220255064333</v>
      </c>
      <c r="R1049">
        <v>1.245857133690742</v>
      </c>
      <c r="S1049">
        <v>1.6045686286034977</v>
      </c>
      <c r="T1049">
        <v>1.4010063508142601</v>
      </c>
      <c r="U1049">
        <v>-2.343448102237744E-7</v>
      </c>
      <c r="V1049">
        <v>1.5095925700796986</v>
      </c>
      <c r="W1049">
        <v>-0.30825301607844136</v>
      </c>
      <c r="X1049">
        <v>-2.8802990000000028E-2</v>
      </c>
      <c r="Y1049">
        <v>-0.34373679000000018</v>
      </c>
      <c r="Z1049">
        <v>9.3382590000001472E-3</v>
      </c>
    </row>
    <row r="1050" spans="1:26">
      <c r="A1050" s="54" t="str">
        <f>CONCATENATE(raw[[#This Row],[redis_ls]],raw[[#This Row],[wage_eq]],raw[[#This Row],[flex]],raw[[#This Row],[expo]],raw[[#This Row],[_date_]])</f>
        <v>001146753</v>
      </c>
      <c r="B1050" s="1">
        <v>46753</v>
      </c>
      <c r="C1050">
        <v>0</v>
      </c>
      <c r="D1050">
        <v>0</v>
      </c>
      <c r="E1050">
        <v>1</v>
      </c>
      <c r="F1050">
        <v>1</v>
      </c>
      <c r="G1050">
        <v>0.15364849661172464</v>
      </c>
      <c r="H1050">
        <v>16.758300000001327</v>
      </c>
      <c r="I1050">
        <v>-9.9017217759049601</v>
      </c>
      <c r="J1050">
        <v>0.28894004641335513</v>
      </c>
      <c r="K1050">
        <v>3.5711380469466425</v>
      </c>
      <c r="L1050">
        <v>-2.8516352495116415</v>
      </c>
      <c r="M1050">
        <v>0.10147878134680877</v>
      </c>
      <c r="N1050">
        <v>0.28942097236266395</v>
      </c>
      <c r="O1050">
        <v>4.2982000000024723E-4</v>
      </c>
      <c r="P1050">
        <v>1.391780875924753</v>
      </c>
      <c r="Q1050">
        <v>1.3816623484048662</v>
      </c>
      <c r="R1050">
        <v>1.202512110727616</v>
      </c>
      <c r="S1050">
        <v>1.5623252016696565</v>
      </c>
      <c r="T1050">
        <v>1.3617024314670489</v>
      </c>
      <c r="U1050">
        <v>-2.297498191694558E-7</v>
      </c>
      <c r="V1050">
        <v>1.4714887814264666</v>
      </c>
      <c r="W1050">
        <v>-0.2938383482443685</v>
      </c>
      <c r="X1050">
        <v>-4.4715089999999846E-2</v>
      </c>
      <c r="Y1050">
        <v>-0.33604116000000017</v>
      </c>
      <c r="Z1050">
        <v>1.4724259999999642E-3</v>
      </c>
    </row>
    <row r="1051" spans="1:26">
      <c r="A1051" s="54" t="str">
        <f>CONCATENATE(raw[[#This Row],[redis_ls]],raw[[#This Row],[wage_eq]],raw[[#This Row],[flex]],raw[[#This Row],[expo]],raw[[#This Row],[_date_]])</f>
        <v>001147119</v>
      </c>
      <c r="B1051" s="1">
        <v>47119</v>
      </c>
      <c r="C1051">
        <v>0</v>
      </c>
      <c r="D1051">
        <v>0</v>
      </c>
      <c r="E1051">
        <v>1</v>
      </c>
      <c r="F1051">
        <v>1</v>
      </c>
      <c r="G1051">
        <v>0.16352955062768348</v>
      </c>
      <c r="H1051">
        <v>22.987970000001951</v>
      </c>
      <c r="I1051">
        <v>-9.6959894156369746</v>
      </c>
      <c r="J1051">
        <v>0.27674613997290542</v>
      </c>
      <c r="K1051">
        <v>3.5673656845581547</v>
      </c>
      <c r="L1051">
        <v>-2.7751783349244552</v>
      </c>
      <c r="M1051">
        <v>0.1026710902620076</v>
      </c>
      <c r="N1051">
        <v>0.27719367341294543</v>
      </c>
      <c r="O1051">
        <v>3.9995000000042635E-4</v>
      </c>
      <c r="P1051">
        <v>1.3530903951034956</v>
      </c>
      <c r="Q1051">
        <v>1.3398035913269934</v>
      </c>
      <c r="R1051">
        <v>1.1600723895734077</v>
      </c>
      <c r="S1051">
        <v>1.5209798512251238</v>
      </c>
      <c r="T1051">
        <v>1.3233451701135435</v>
      </c>
      <c r="U1051">
        <v>-2.8155615616753948E-7</v>
      </c>
      <c r="V1051">
        <v>1.4342720143163623</v>
      </c>
      <c r="W1051">
        <v>-0.27953904406090579</v>
      </c>
      <c r="X1051">
        <v>-5.8867229999999549E-2</v>
      </c>
      <c r="Y1051">
        <v>-0.32811400000000018</v>
      </c>
      <c r="Z1051">
        <v>-6.2611659999999708E-3</v>
      </c>
    </row>
    <row r="1052" spans="1:26">
      <c r="A1052" s="54" t="str">
        <f>CONCATENATE(raw[[#This Row],[redis_ls]],raw[[#This Row],[wage_eq]],raw[[#This Row],[flex]],raw[[#This Row],[expo]],raw[[#This Row],[_date_]])</f>
        <v>001147484</v>
      </c>
      <c r="B1052" s="1">
        <v>47484</v>
      </c>
      <c r="C1052">
        <v>0</v>
      </c>
      <c r="D1052">
        <v>0</v>
      </c>
      <c r="E1052">
        <v>1</v>
      </c>
      <c r="F1052">
        <v>1</v>
      </c>
      <c r="G1052">
        <v>0.17206710260930791</v>
      </c>
      <c r="H1052">
        <v>28.534569999999803</v>
      </c>
      <c r="I1052">
        <v>-9.4957409756304401</v>
      </c>
      <c r="J1052">
        <v>0.26480963470116858</v>
      </c>
      <c r="K1052">
        <v>3.5558597455569885</v>
      </c>
      <c r="L1052">
        <v>-2.700014153625474</v>
      </c>
      <c r="M1052">
        <v>0.10273955241972832</v>
      </c>
      <c r="N1052">
        <v>0.26525123612290979</v>
      </c>
      <c r="O1052">
        <v>3.9470000000041416E-4</v>
      </c>
      <c r="P1052">
        <v>1.3153539936304748</v>
      </c>
      <c r="Q1052">
        <v>1.2988128456995707</v>
      </c>
      <c r="R1052">
        <v>1.1185081494413218</v>
      </c>
      <c r="S1052">
        <v>1.4804966152346166</v>
      </c>
      <c r="T1052">
        <v>1.2858897502468158</v>
      </c>
      <c r="U1052">
        <v>-2.2082835560155445E-7</v>
      </c>
      <c r="V1052">
        <v>1.3978991453549527</v>
      </c>
      <c r="W1052">
        <v>-0.26536588798031779</v>
      </c>
      <c r="X1052">
        <v>-7.1320730000000443E-2</v>
      </c>
      <c r="Y1052">
        <v>-0.32001879999999994</v>
      </c>
      <c r="Z1052">
        <v>-1.382221699999988E-2</v>
      </c>
    </row>
    <row r="1053" spans="1:26">
      <c r="A1053" s="54" t="str">
        <f>CONCATENATE(raw[[#This Row],[redis_ls]],raw[[#This Row],[wage_eq]],raw[[#This Row],[flex]],raw[[#This Row],[expo]],raw[[#This Row],[_date_]])</f>
        <v>001147849</v>
      </c>
      <c r="B1053" s="1">
        <v>47849</v>
      </c>
      <c r="C1053">
        <v>0</v>
      </c>
      <c r="D1053">
        <v>0</v>
      </c>
      <c r="E1053">
        <v>1</v>
      </c>
      <c r="F1053">
        <v>1</v>
      </c>
      <c r="G1053">
        <v>0.17933970983521341</v>
      </c>
      <c r="H1053">
        <v>33.423399999999674</v>
      </c>
      <c r="I1053">
        <v>-9.3011073977575691</v>
      </c>
      <c r="J1053">
        <v>0.25316254292864215</v>
      </c>
      <c r="K1053">
        <v>3.5371253564690175</v>
      </c>
      <c r="L1053">
        <v>-2.6262225731500277</v>
      </c>
      <c r="M1053">
        <v>0.10175388761028969</v>
      </c>
      <c r="N1053">
        <v>0.25361494395479411</v>
      </c>
      <c r="O1053">
        <v>4.0439999999947185E-4</v>
      </c>
      <c r="P1053">
        <v>1.2785123369603468</v>
      </c>
      <c r="Q1053">
        <v>1.2586457406368989</v>
      </c>
      <c r="R1053">
        <v>1.0777763841656407</v>
      </c>
      <c r="S1053">
        <v>1.4408300002594743</v>
      </c>
      <c r="T1053">
        <v>1.2492824025640115</v>
      </c>
      <c r="U1053">
        <v>-2.1649838588544412E-7</v>
      </c>
      <c r="V1053">
        <v>1.362309550880747</v>
      </c>
      <c r="W1053">
        <v>-0.25133557221542757</v>
      </c>
      <c r="X1053">
        <v>-8.216240000000069E-2</v>
      </c>
      <c r="Y1053">
        <v>-0.31180202999999995</v>
      </c>
      <c r="Z1053">
        <v>-2.1177447000000037E-2</v>
      </c>
    </row>
    <row r="1054" spans="1:26">
      <c r="A1054" s="54" t="str">
        <f>CONCATENATE(raw[[#This Row],[redis_ls]],raw[[#This Row],[wage_eq]],raw[[#This Row],[flex]],raw[[#This Row],[expo]],raw[[#This Row],[_date_]])</f>
        <v>001148214</v>
      </c>
      <c r="B1054" s="1">
        <v>48214</v>
      </c>
      <c r="C1054">
        <v>0</v>
      </c>
      <c r="D1054">
        <v>0</v>
      </c>
      <c r="E1054">
        <v>1</v>
      </c>
      <c r="F1054">
        <v>1</v>
      </c>
      <c r="G1054">
        <v>0.1854324697850851</v>
      </c>
      <c r="H1054">
        <v>37.688180000001012</v>
      </c>
      <c r="I1054">
        <v>-9.1121188995110458</v>
      </c>
      <c r="J1054">
        <v>0.24182745331406963</v>
      </c>
      <c r="K1054">
        <v>3.5116569909812156</v>
      </c>
      <c r="L1054">
        <v>-2.5538281436435217</v>
      </c>
      <c r="M1054">
        <v>9.9779199429872456E-2</v>
      </c>
      <c r="N1054">
        <v>0.24229849417336524</v>
      </c>
      <c r="O1054">
        <v>4.2113999999954244E-4</v>
      </c>
      <c r="P1054">
        <v>1.2425019146456773</v>
      </c>
      <c r="Q1054">
        <v>1.2192532771321041</v>
      </c>
      <c r="R1054">
        <v>1.0378279465233176</v>
      </c>
      <c r="S1054">
        <v>1.4019311147797975</v>
      </c>
      <c r="T1054">
        <v>1.2134661909859679</v>
      </c>
      <c r="U1054">
        <v>-2.6531664643059116E-7</v>
      </c>
      <c r="V1054">
        <v>1.3274325677257393</v>
      </c>
      <c r="W1054">
        <v>-0.23746908472711548</v>
      </c>
      <c r="X1054">
        <v>-9.1493739999999601E-2</v>
      </c>
      <c r="Y1054">
        <v>-0.30349682999999994</v>
      </c>
      <c r="Z1054">
        <v>-2.8301262000000015E-2</v>
      </c>
    </row>
    <row r="1055" spans="1:26">
      <c r="A1055" s="54" t="str">
        <f>CONCATENATE(raw[[#This Row],[redis_ls]],raw[[#This Row],[wage_eq]],raw[[#This Row],[flex]],raw[[#This Row],[expo]],raw[[#This Row],[_date_]])</f>
        <v>001148580</v>
      </c>
      <c r="B1055" s="1">
        <v>48580</v>
      </c>
      <c r="C1055">
        <v>0</v>
      </c>
      <c r="D1055">
        <v>0</v>
      </c>
      <c r="E1055">
        <v>1</v>
      </c>
      <c r="F1055">
        <v>1</v>
      </c>
      <c r="G1055">
        <v>0.19043275407590876</v>
      </c>
      <c r="H1055">
        <v>41.367449999997916</v>
      </c>
      <c r="I1055">
        <v>-8.9287271273618458</v>
      </c>
      <c r="J1055">
        <v>0.23081754930576182</v>
      </c>
      <c r="K1055">
        <v>3.4799354966021712</v>
      </c>
      <c r="L1055">
        <v>-2.4828167825173053</v>
      </c>
      <c r="M1055">
        <v>9.6876741161833202E-2</v>
      </c>
      <c r="N1055">
        <v>0.23130880455961567</v>
      </c>
      <c r="O1055">
        <v>4.3923000000029022E-4</v>
      </c>
      <c r="P1055">
        <v>1.2072597966793497</v>
      </c>
      <c r="Q1055">
        <v>1.1805864206536842</v>
      </c>
      <c r="R1055">
        <v>0.9986132725827046</v>
      </c>
      <c r="S1055">
        <v>1.3637514129288819</v>
      </c>
      <c r="T1055">
        <v>1.1783846572241741</v>
      </c>
      <c r="U1055">
        <v>-2.601143633818026E-7</v>
      </c>
      <c r="V1055">
        <v>1.2931948192887788</v>
      </c>
      <c r="W1055">
        <v>-0.22379059138162294</v>
      </c>
      <c r="X1055">
        <v>-9.9423369999999955E-2</v>
      </c>
      <c r="Y1055">
        <v>-0.29512624999999992</v>
      </c>
      <c r="Z1055">
        <v>-3.5175079000000081E-2</v>
      </c>
    </row>
    <row r="1056" spans="1:26">
      <c r="A1056" s="54" t="str">
        <f>CONCATENATE(raw[[#This Row],[redis_ls]],raw[[#This Row],[wage_eq]],raw[[#This Row],[flex]],raw[[#This Row],[expo]],raw[[#This Row],[_date_]])</f>
        <v>001148945</v>
      </c>
      <c r="B1056" s="1">
        <v>48945</v>
      </c>
      <c r="C1056">
        <v>0</v>
      </c>
      <c r="D1056">
        <v>0</v>
      </c>
      <c r="E1056">
        <v>1</v>
      </c>
      <c r="F1056">
        <v>1</v>
      </c>
      <c r="G1056">
        <v>0.19442712388417771</v>
      </c>
      <c r="H1056">
        <v>44.502179999999498</v>
      </c>
      <c r="I1056">
        <v>-8.7508241166799792</v>
      </c>
      <c r="J1056">
        <v>0.22013871663375539</v>
      </c>
      <c r="K1056">
        <v>3.4424268934429403</v>
      </c>
      <c r="L1056">
        <v>-2.4131490881285855</v>
      </c>
      <c r="M1056">
        <v>9.3105348311972591E-2</v>
      </c>
      <c r="N1056">
        <v>0.22064757503852395</v>
      </c>
      <c r="O1056">
        <v>4.5508000000027415E-4</v>
      </c>
      <c r="P1056">
        <v>1.1727267822980947</v>
      </c>
      <c r="Q1056">
        <v>1.1425994180482846</v>
      </c>
      <c r="R1056">
        <v>0.96008604305690692</v>
      </c>
      <c r="S1056">
        <v>1.3262458207928818</v>
      </c>
      <c r="T1056">
        <v>1.1439846041225499</v>
      </c>
      <c r="U1056">
        <v>-2.5501407652228636E-7</v>
      </c>
      <c r="V1056">
        <v>1.259524282809954</v>
      </c>
      <c r="W1056">
        <v>-0.21032633600305273</v>
      </c>
      <c r="X1056">
        <v>-0.10606194999999985</v>
      </c>
      <c r="Y1056">
        <v>-0.2867060099999999</v>
      </c>
      <c r="Z1056">
        <v>-4.1785924999999946E-2</v>
      </c>
    </row>
    <row r="1057" spans="1:26">
      <c r="A1057" s="54" t="str">
        <f>CONCATENATE(raw[[#This Row],[redis_ls]],raw[[#This Row],[wage_eq]],raw[[#This Row],[flex]],raw[[#This Row],[expo]],raw[[#This Row],[_date_]])</f>
        <v>001149310</v>
      </c>
      <c r="B1057" s="1">
        <v>49310</v>
      </c>
      <c r="C1057">
        <v>0</v>
      </c>
      <c r="D1057">
        <v>0</v>
      </c>
      <c r="E1057">
        <v>1</v>
      </c>
      <c r="F1057">
        <v>1</v>
      </c>
      <c r="G1057">
        <v>0.19749993465372206</v>
      </c>
      <c r="H1057">
        <v>47.133910000000469</v>
      </c>
      <c r="I1057">
        <v>-8.5782577650438956</v>
      </c>
      <c r="J1057">
        <v>0.20979101707183645</v>
      </c>
      <c r="K1057">
        <v>3.3995823351401944</v>
      </c>
      <c r="L1057">
        <v>-2.3447709800673344</v>
      </c>
      <c r="M1057">
        <v>8.852233598126702E-2</v>
      </c>
      <c r="N1057">
        <v>0.21031322902518301</v>
      </c>
      <c r="O1057">
        <v>4.6702000000009569E-4</v>
      </c>
      <c r="P1057">
        <v>1.1388497384213991</v>
      </c>
      <c r="Q1057">
        <v>1.1052524825946985</v>
      </c>
      <c r="R1057">
        <v>0.92220647424150481</v>
      </c>
      <c r="S1057">
        <v>1.2893746005548046</v>
      </c>
      <c r="T1057">
        <v>1.1102184573734464</v>
      </c>
      <c r="U1057">
        <v>-2.5001380965505859E-7</v>
      </c>
      <c r="V1057">
        <v>1.2263542121925708</v>
      </c>
      <c r="W1057">
        <v>-0.19710411844926501</v>
      </c>
      <c r="X1057">
        <v>-0.11151885000000028</v>
      </c>
      <c r="Y1057">
        <v>-0.27824678000000003</v>
      </c>
      <c r="Z1057">
        <v>-4.8124771000000038E-2</v>
      </c>
    </row>
    <row r="1058" spans="1:26">
      <c r="A1058" s="54" t="str">
        <f>CONCATENATE(raw[[#This Row],[redis_ls]],raw[[#This Row],[wage_eq]],raw[[#This Row],[flex]],raw[[#This Row],[expo]],raw[[#This Row],[_date_]])</f>
        <v>001149675</v>
      </c>
      <c r="B1058" s="1">
        <v>49675</v>
      </c>
      <c r="C1058">
        <v>0</v>
      </c>
      <c r="D1058">
        <v>0</v>
      </c>
      <c r="E1058">
        <v>1</v>
      </c>
      <c r="F1058">
        <v>1</v>
      </c>
      <c r="G1058">
        <v>0.19973239804038645</v>
      </c>
      <c r="H1058">
        <v>49.303839999996853</v>
      </c>
      <c r="I1058">
        <v>-8.4108444842163284</v>
      </c>
      <c r="J1058">
        <v>0.19977160966127006</v>
      </c>
      <c r="K1058">
        <v>3.3518382136048963</v>
      </c>
      <c r="L1058">
        <v>-2.2776219665259778</v>
      </c>
      <c r="M1058">
        <v>8.3185515807060462E-2</v>
      </c>
      <c r="N1058">
        <v>0.20030241945532268</v>
      </c>
      <c r="O1058">
        <v>4.7477000000017977E-4</v>
      </c>
      <c r="P1058">
        <v>1.1055834044490842</v>
      </c>
      <c r="Q1058">
        <v>1.0685134647263839</v>
      </c>
      <c r="R1058">
        <v>0.88494298428540841</v>
      </c>
      <c r="S1058">
        <v>1.2531047860329769</v>
      </c>
      <c r="T1058">
        <v>1.0770455050260752</v>
      </c>
      <c r="U1058">
        <v>-2.4511157548090523E-7</v>
      </c>
      <c r="V1058">
        <v>1.193625646851415</v>
      </c>
      <c r="W1058">
        <v>-0.18415256775133892</v>
      </c>
      <c r="X1058">
        <v>-0.11590011000000011</v>
      </c>
      <c r="Y1058">
        <v>-0.26975618000000012</v>
      </c>
      <c r="Z1058">
        <v>-5.4184915999999986E-2</v>
      </c>
    </row>
    <row r="1059" spans="1:26">
      <c r="A1059" s="54" t="str">
        <f>CONCATENATE(raw[[#This Row],[redis_ls]],raw[[#This Row],[wage_eq]],raw[[#This Row],[flex]],raw[[#This Row],[expo]],raw[[#This Row],[_date_]])</f>
        <v>001150041</v>
      </c>
      <c r="B1059" s="1">
        <v>50041</v>
      </c>
      <c r="C1059">
        <v>0</v>
      </c>
      <c r="D1059">
        <v>0</v>
      </c>
      <c r="E1059">
        <v>1</v>
      </c>
      <c r="F1059">
        <v>1</v>
      </c>
      <c r="G1059">
        <v>0.20120209913012665</v>
      </c>
      <c r="H1059">
        <v>51.05196000000069</v>
      </c>
      <c r="I1059">
        <v>-8.2483795829309194</v>
      </c>
      <c r="J1059">
        <v>0.19007648066320382</v>
      </c>
      <c r="K1059">
        <v>3.2996168501878254</v>
      </c>
      <c r="L1059">
        <v>-2.2116415125647104</v>
      </c>
      <c r="M1059">
        <v>7.7153454936929045E-2</v>
      </c>
      <c r="N1059">
        <v>0.19061196955649784</v>
      </c>
      <c r="O1059">
        <v>4.7900000000045129E-4</v>
      </c>
      <c r="P1059">
        <v>1.0728908494089806</v>
      </c>
      <c r="Q1059">
        <v>1.0323584299695598</v>
      </c>
      <c r="R1059">
        <v>0.84827324504632706</v>
      </c>
      <c r="S1059">
        <v>1.2174108926284344</v>
      </c>
      <c r="T1059">
        <v>1.0444329149940756</v>
      </c>
      <c r="U1059">
        <v>-2.4030546441622391E-7</v>
      </c>
      <c r="V1059">
        <v>1.1612890320675584</v>
      </c>
      <c r="W1059">
        <v>-0.17150000401880972</v>
      </c>
      <c r="X1059">
        <v>-0.11930718999999951</v>
      </c>
      <c r="Y1059">
        <v>-0.26124026000000011</v>
      </c>
      <c r="Z1059">
        <v>-5.9960646999999978E-2</v>
      </c>
    </row>
    <row r="1060" spans="1:26">
      <c r="A1060" s="54" t="str">
        <f>CONCATENATE(raw[[#This Row],[redis_ls]],raw[[#This Row],[wage_eq]],raw[[#This Row],[flex]],raw[[#This Row],[expo]],raw[[#This Row],[_date_]])</f>
        <v>001150406</v>
      </c>
      <c r="B1060" s="1">
        <v>50406</v>
      </c>
      <c r="C1060">
        <v>0</v>
      </c>
      <c r="D1060">
        <v>0</v>
      </c>
      <c r="E1060">
        <v>1</v>
      </c>
      <c r="F1060">
        <v>1</v>
      </c>
      <c r="G1060">
        <v>0.20198279362071414</v>
      </c>
      <c r="H1060">
        <v>52.41671999999744</v>
      </c>
      <c r="I1060">
        <v>-8.0906452345115181</v>
      </c>
      <c r="J1060">
        <v>0.18070235704945592</v>
      </c>
      <c r="K1060">
        <v>3.2433268302566987</v>
      </c>
      <c r="L1060">
        <v>-2.1467736686953676</v>
      </c>
      <c r="M1060">
        <v>7.0486598875874051E-2</v>
      </c>
      <c r="N1060">
        <v>0.18123992054890348</v>
      </c>
      <c r="O1060">
        <v>4.8091000000027861E-4</v>
      </c>
      <c r="P1060">
        <v>1.040744028164875</v>
      </c>
      <c r="Q1060">
        <v>0.99677246248113249</v>
      </c>
      <c r="R1060">
        <v>0.8121849289082439</v>
      </c>
      <c r="S1060">
        <v>1.1822752773382073</v>
      </c>
      <c r="T1060">
        <v>1.0123560367770512</v>
      </c>
      <c r="U1060">
        <v>-2.8271230911869338E-7</v>
      </c>
      <c r="V1060">
        <v>1.1293055085978443</v>
      </c>
      <c r="W1060">
        <v>-0.15917422539576398</v>
      </c>
      <c r="X1060">
        <v>-0.1218362700000003</v>
      </c>
      <c r="Y1060">
        <v>-0.25270465999999991</v>
      </c>
      <c r="Z1060">
        <v>-6.5446276000000025E-2</v>
      </c>
    </row>
    <row r="1061" spans="1:26">
      <c r="A1061" s="54" t="str">
        <f>CONCATENATE(raw[[#This Row],[redis_ls]],raw[[#This Row],[wage_eq]],raw[[#This Row],[flex]],raw[[#This Row],[expo]],raw[[#This Row],[_date_]])</f>
        <v>001150771</v>
      </c>
      <c r="B1061" s="1">
        <v>50771</v>
      </c>
      <c r="C1061">
        <v>0</v>
      </c>
      <c r="D1061">
        <v>0</v>
      </c>
      <c r="E1061">
        <v>1</v>
      </c>
      <c r="F1061">
        <v>1</v>
      </c>
      <c r="G1061">
        <v>0.20214423965094763</v>
      </c>
      <c r="H1061">
        <v>53.434659999998985</v>
      </c>
      <c r="I1061">
        <v>-7.9374169376417942</v>
      </c>
      <c r="J1061">
        <v>0.17164751627778418</v>
      </c>
      <c r="K1061">
        <v>3.1833633406893602</v>
      </c>
      <c r="L1061">
        <v>-2.0829705614911931</v>
      </c>
      <c r="M1061">
        <v>6.3247555308221237E-2</v>
      </c>
      <c r="N1061">
        <v>0.17218605760365158</v>
      </c>
      <c r="O1061">
        <v>4.8183999999951155E-4</v>
      </c>
      <c r="P1061">
        <v>1.0091236741796017</v>
      </c>
      <c r="Q1061">
        <v>0.96174931291841403</v>
      </c>
      <c r="R1061">
        <v>0.77667553174869397</v>
      </c>
      <c r="S1061">
        <v>1.1476879537208884</v>
      </c>
      <c r="T1061">
        <v>0.98079834884035044</v>
      </c>
      <c r="U1061">
        <v>-2.7716893225004924E-7</v>
      </c>
      <c r="V1061">
        <v>1.0976471518283626</v>
      </c>
      <c r="W1061">
        <v>-0.14720176336163737</v>
      </c>
      <c r="X1061">
        <v>-0.1235778899999998</v>
      </c>
      <c r="Y1061">
        <v>-0.2441554999999998</v>
      </c>
      <c r="Z1061">
        <v>-7.0635569000000037E-2</v>
      </c>
    </row>
    <row r="1062" spans="1:26">
      <c r="A1062" s="54" t="str">
        <f>CONCATENATE(raw[[#This Row],[redis_ls]],raw[[#This Row],[wage_eq]],raw[[#This Row],[flex]],raw[[#This Row],[expo]],raw[[#This Row],[_date_]])</f>
        <v>001151136</v>
      </c>
      <c r="B1062" s="1">
        <v>51136</v>
      </c>
      <c r="C1062">
        <v>0</v>
      </c>
      <c r="D1062">
        <v>0</v>
      </c>
      <c r="E1062">
        <v>1</v>
      </c>
      <c r="F1062">
        <v>1</v>
      </c>
      <c r="G1062">
        <v>0.20175217688056524</v>
      </c>
      <c r="H1062">
        <v>54.140289999999368</v>
      </c>
      <c r="I1062">
        <v>-7.7884685414980614</v>
      </c>
      <c r="J1062">
        <v>0.16291261570038351</v>
      </c>
      <c r="K1062">
        <v>3.1201083013191688</v>
      </c>
      <c r="L1062">
        <v>-2.0201942124222771</v>
      </c>
      <c r="M1062">
        <v>5.550079573199973E-2</v>
      </c>
      <c r="N1062">
        <v>0.16345246595477203</v>
      </c>
      <c r="O1062">
        <v>4.8302000000000067E-4</v>
      </c>
      <c r="P1062">
        <v>0.97801884148214224</v>
      </c>
      <c r="Q1062">
        <v>0.92729112927247836</v>
      </c>
      <c r="R1062">
        <v>0.74175198062294001</v>
      </c>
      <c r="S1062">
        <v>1.1136462507487455</v>
      </c>
      <c r="T1062">
        <v>0.94975132398777973</v>
      </c>
      <c r="U1062">
        <v>-2.7173423511328565E-7</v>
      </c>
      <c r="V1062">
        <v>1.0662971651994368</v>
      </c>
      <c r="W1062">
        <v>-0.13560733700763716</v>
      </c>
      <c r="X1062">
        <v>-0.12461668999999981</v>
      </c>
      <c r="Y1062">
        <v>-0.23559994999999972</v>
      </c>
      <c r="Z1062">
        <v>-7.5521551000000062E-2</v>
      </c>
    </row>
    <row r="1063" spans="1:26">
      <c r="A1063" s="54" t="str">
        <f>CONCATENATE(raw[[#This Row],[redis_ls]],raw[[#This Row],[wage_eq]],raw[[#This Row],[flex]],raw[[#This Row],[expo]],raw[[#This Row],[_date_]])</f>
        <v>001151502</v>
      </c>
      <c r="B1063" s="1">
        <v>51502</v>
      </c>
      <c r="C1063">
        <v>0</v>
      </c>
      <c r="D1063">
        <v>0</v>
      </c>
      <c r="E1063">
        <v>1</v>
      </c>
      <c r="F1063">
        <v>1</v>
      </c>
      <c r="G1063">
        <v>0.20086795912861444</v>
      </c>
      <c r="H1063">
        <v>54.565979999999399</v>
      </c>
      <c r="I1063">
        <v>-7.6435764438954052</v>
      </c>
      <c r="J1063">
        <v>0.15450075830176768</v>
      </c>
      <c r="K1063">
        <v>3.0539303301815535</v>
      </c>
      <c r="L1063">
        <v>-1.9584183675176114</v>
      </c>
      <c r="M1063">
        <v>4.7312632670037935E-2</v>
      </c>
      <c r="N1063">
        <v>0.15504321181212255</v>
      </c>
      <c r="O1063">
        <v>4.8539000000041854E-4</v>
      </c>
      <c r="P1063">
        <v>0.94742632152633455</v>
      </c>
      <c r="Q1063">
        <v>0.89340781700506522</v>
      </c>
      <c r="R1063">
        <v>0.70742969999899596</v>
      </c>
      <c r="S1063">
        <v>1.0801542047280899</v>
      </c>
      <c r="T1063">
        <v>0.91921373519405769</v>
      </c>
      <c r="U1063">
        <v>-2.6640613048911632E-7</v>
      </c>
      <c r="V1063">
        <v>1.0352494727434269</v>
      </c>
      <c r="W1063">
        <v>-0.12441362704442849</v>
      </c>
      <c r="X1063">
        <v>-0.12503124999999893</v>
      </c>
      <c r="Y1063">
        <v>-0.22704658999999974</v>
      </c>
      <c r="Z1063">
        <v>-8.009659200000005E-2</v>
      </c>
    </row>
    <row r="1064" spans="1:26">
      <c r="A1064" s="54" t="str">
        <f>CONCATENATE(raw[[#This Row],[redis_ls]],raw[[#This Row],[wage_eq]],raw[[#This Row],[flex]],raw[[#This Row],[expo]],raw[[#This Row],[_date_]])</f>
        <v>001151867</v>
      </c>
      <c r="B1064" s="1">
        <v>51867</v>
      </c>
      <c r="C1064">
        <v>0</v>
      </c>
      <c r="D1064">
        <v>0</v>
      </c>
      <c r="E1064">
        <v>1</v>
      </c>
      <c r="F1064">
        <v>1</v>
      </c>
      <c r="G1064">
        <v>0.19954868863616415</v>
      </c>
      <c r="H1064">
        <v>54.741860000001907</v>
      </c>
      <c r="I1064">
        <v>-7.5025224019960257</v>
      </c>
      <c r="J1064">
        <v>0.14641708159313094</v>
      </c>
      <c r="K1064">
        <v>2.9851846694609163</v>
      </c>
      <c r="L1064">
        <v>-1.897627973819016</v>
      </c>
      <c r="M1064">
        <v>3.8750244466823069E-2</v>
      </c>
      <c r="N1064">
        <v>0.14696412723644858</v>
      </c>
      <c r="O1064">
        <v>4.8953000000018232E-4</v>
      </c>
      <c r="P1064">
        <v>0.91734973128390074</v>
      </c>
      <c r="Q1064">
        <v>0.86011577015985274</v>
      </c>
      <c r="R1064">
        <v>0.67373177597913614</v>
      </c>
      <c r="S1064">
        <v>1.0472217603838763</v>
      </c>
      <c r="T1064">
        <v>0.88919073476825261</v>
      </c>
      <c r="U1064">
        <v>-2.6118247564710373E-7</v>
      </c>
      <c r="V1064">
        <v>1.0045076837952749</v>
      </c>
      <c r="W1064">
        <v>-0.11364089146442824</v>
      </c>
      <c r="X1064">
        <v>-0.12489414999999893</v>
      </c>
      <c r="Y1064">
        <v>-0.21850551999999973</v>
      </c>
      <c r="Z1064">
        <v>-8.4352712000000135E-2</v>
      </c>
    </row>
    <row r="1065" spans="1:26">
      <c r="A1065" s="54" t="str">
        <f>CONCATENATE(raw[[#This Row],[redis_ls]],raw[[#This Row],[wage_eq]],raw[[#This Row],[flex]],raw[[#This Row],[expo]],raw[[#This Row],[_date_]])</f>
        <v>001152232</v>
      </c>
      <c r="B1065" s="1">
        <v>52232</v>
      </c>
      <c r="C1065">
        <v>0</v>
      </c>
      <c r="D1065">
        <v>0</v>
      </c>
      <c r="E1065">
        <v>1</v>
      </c>
      <c r="F1065">
        <v>1</v>
      </c>
      <c r="G1065">
        <v>0.19784685014743175</v>
      </c>
      <c r="H1065">
        <v>54.695739999999205</v>
      </c>
      <c r="I1065">
        <v>-7.3650955118086392</v>
      </c>
      <c r="J1065">
        <v>0.1386683804998512</v>
      </c>
      <c r="K1065">
        <v>2.9142129907597791</v>
      </c>
      <c r="L1065">
        <v>-1.8378198853474914</v>
      </c>
      <c r="M1065">
        <v>2.9881630487604838E-2</v>
      </c>
      <c r="N1065">
        <v>0.1392221881998168</v>
      </c>
      <c r="O1065">
        <v>4.9565000000001413E-4</v>
      </c>
      <c r="P1065">
        <v>0.88779862768939566</v>
      </c>
      <c r="Q1065">
        <v>0.82743726589715738</v>
      </c>
      <c r="R1065">
        <v>0.64068739915947859</v>
      </c>
      <c r="S1065">
        <v>1.0148638597310189</v>
      </c>
      <c r="T1065">
        <v>0.85969300333483822</v>
      </c>
      <c r="U1065">
        <v>-2.987381342300921E-7</v>
      </c>
      <c r="V1065">
        <v>0.9740842923184001</v>
      </c>
      <c r="W1065">
        <v>-0.10330647503487</v>
      </c>
      <c r="X1065">
        <v>-0.12427193999999947</v>
      </c>
      <c r="Y1065">
        <v>-0.20998840999999976</v>
      </c>
      <c r="Z1065">
        <v>-8.8282016000000046E-2</v>
      </c>
    </row>
    <row r="1066" spans="1:26">
      <c r="A1066" s="54" t="str">
        <f>CONCATENATE(raw[[#This Row],[redis_ls]],raw[[#This Row],[wage_eq]],raw[[#This Row],[flex]],raw[[#This Row],[expo]],raw[[#This Row],[_date_]])</f>
        <v>001152597</v>
      </c>
      <c r="B1066" s="1">
        <v>52597</v>
      </c>
      <c r="C1066">
        <v>0</v>
      </c>
      <c r="D1066">
        <v>0</v>
      </c>
      <c r="E1066">
        <v>1</v>
      </c>
      <c r="F1066">
        <v>1</v>
      </c>
      <c r="G1066">
        <v>0.19581053822734784</v>
      </c>
      <c r="H1066">
        <v>54.453209999999672</v>
      </c>
      <c r="I1066">
        <v>-7.2310949129731679</v>
      </c>
      <c r="J1066">
        <v>0.13126239702980769</v>
      </c>
      <c r="K1066">
        <v>2.8413431724481297</v>
      </c>
      <c r="L1066">
        <v>-1.7790012413074097</v>
      </c>
      <c r="M1066">
        <v>2.0774166678072525E-2</v>
      </c>
      <c r="N1066">
        <v>0.13182504172144505</v>
      </c>
      <c r="O1066">
        <v>5.0360999999943257E-4</v>
      </c>
      <c r="P1066">
        <v>0.85878726205683709</v>
      </c>
      <c r="Q1066">
        <v>0.79539875471161814</v>
      </c>
      <c r="R1066">
        <v>0.60833086443425888</v>
      </c>
      <c r="S1066">
        <v>0.98309939299177085</v>
      </c>
      <c r="T1066">
        <v>0.83073591933748858</v>
      </c>
      <c r="U1066">
        <v>-2.928805087343278E-7</v>
      </c>
      <c r="V1066">
        <v>0.94399967511491489</v>
      </c>
      <c r="W1066">
        <v>-9.342517471092604E-2</v>
      </c>
      <c r="X1066">
        <v>-0.12322520999999975</v>
      </c>
      <c r="Y1066">
        <v>-0.20150837999999976</v>
      </c>
      <c r="Z1066">
        <v>-9.187716800000012E-2</v>
      </c>
    </row>
    <row r="1067" spans="1:26">
      <c r="A1067" s="54" t="str">
        <f>CONCATENATE(raw[[#This Row],[redis_ls]],raw[[#This Row],[wage_eq]],raw[[#This Row],[flex]],raw[[#This Row],[expo]],raw[[#This Row],[_date_]])</f>
        <v>001152963</v>
      </c>
      <c r="B1067" s="1">
        <v>52963</v>
      </c>
      <c r="C1067">
        <v>0</v>
      </c>
      <c r="D1067">
        <v>0</v>
      </c>
      <c r="E1067">
        <v>1</v>
      </c>
      <c r="F1067">
        <v>1</v>
      </c>
      <c r="G1067">
        <v>0.19348323728540784</v>
      </c>
      <c r="H1067">
        <v>54.03755000000092</v>
      </c>
      <c r="I1067">
        <v>-7.1003297632097002</v>
      </c>
      <c r="J1067">
        <v>0.12420703982947146</v>
      </c>
      <c r="K1067">
        <v>2.7668891706895016</v>
      </c>
      <c r="L1067">
        <v>-1.7211889714811024</v>
      </c>
      <c r="M1067">
        <v>1.1494199486605794E-2</v>
      </c>
      <c r="N1067">
        <v>0.12478017909824946</v>
      </c>
      <c r="O1067">
        <v>5.1303000000030297E-4</v>
      </c>
      <c r="P1067">
        <v>0.83033373777479103</v>
      </c>
      <c r="Q1067">
        <v>0.76403022350703953</v>
      </c>
      <c r="R1067">
        <v>0.57669998942080358</v>
      </c>
      <c r="S1067">
        <v>0.9519503211375957</v>
      </c>
      <c r="T1067">
        <v>0.80233821627722079</v>
      </c>
      <c r="U1067">
        <v>-2.8713776911715172E-7</v>
      </c>
      <c r="V1067">
        <v>0.91428013757313131</v>
      </c>
      <c r="W1067">
        <v>-8.4008981857497389E-2</v>
      </c>
      <c r="X1067">
        <v>-0.12180876000000007</v>
      </c>
      <c r="Y1067">
        <v>-0.19307976999999971</v>
      </c>
      <c r="Z1067">
        <v>-9.5131857999999903E-2</v>
      </c>
    </row>
    <row r="1068" spans="1:26">
      <c r="A1068" s="54" t="str">
        <f>CONCATENATE(raw[[#This Row],[redis_ls]],raw[[#This Row],[wage_eq]],raw[[#This Row],[flex]],raw[[#This Row],[expo]],raw[[#This Row],[_date_]])</f>
        <v>001153328</v>
      </c>
      <c r="B1068" s="1">
        <v>53328</v>
      </c>
      <c r="C1068">
        <v>0</v>
      </c>
      <c r="D1068">
        <v>0</v>
      </c>
      <c r="E1068">
        <v>1</v>
      </c>
      <c r="F1068">
        <v>1</v>
      </c>
      <c r="G1068">
        <v>0.1909041176141546</v>
      </c>
      <c r="H1068">
        <v>53.469860000001063</v>
      </c>
      <c r="I1068">
        <v>-6.9726205694432108</v>
      </c>
      <c r="J1068">
        <v>0.11750982829441536</v>
      </c>
      <c r="K1068">
        <v>2.6911508305849097</v>
      </c>
      <c r="L1068">
        <v>-1.6644080839709474</v>
      </c>
      <c r="M1068">
        <v>2.1061312231562823E-3</v>
      </c>
      <c r="N1068">
        <v>0.11809441268433307</v>
      </c>
      <c r="O1068">
        <v>5.2331000000016559E-4</v>
      </c>
      <c r="P1068">
        <v>0.80245883319494116</v>
      </c>
      <c r="Q1068">
        <v>0.73336363486593559</v>
      </c>
      <c r="R1068">
        <v>0.5458346063174524</v>
      </c>
      <c r="S1068">
        <v>0.92144047715230215</v>
      </c>
      <c r="T1068">
        <v>0.77452113336875517</v>
      </c>
      <c r="U1068">
        <v>-3.2172299269106475E-7</v>
      </c>
      <c r="V1068">
        <v>0.88495717725247669</v>
      </c>
      <c r="W1068">
        <v>-7.5066662590650424E-2</v>
      </c>
      <c r="X1068">
        <v>-0.12007186999999919</v>
      </c>
      <c r="Y1068">
        <v>-0.18471792000000001</v>
      </c>
      <c r="Z1068">
        <v>-9.8041213999999932E-2</v>
      </c>
    </row>
    <row r="1069" spans="1:26">
      <c r="A1069" s="54" t="str">
        <f>CONCATENATE(raw[[#This Row],[redis_ls]],raw[[#This Row],[wage_eq]],raw[[#This Row],[flex]],raw[[#This Row],[expo]],raw[[#This Row],[_date_]])</f>
        <v>001153693</v>
      </c>
      <c r="B1069" s="1">
        <v>53693</v>
      </c>
      <c r="C1069">
        <v>0</v>
      </c>
      <c r="D1069">
        <v>0</v>
      </c>
      <c r="E1069">
        <v>1</v>
      </c>
      <c r="F1069">
        <v>1</v>
      </c>
      <c r="G1069">
        <v>0.18810799485158292</v>
      </c>
      <c r="H1069">
        <v>52.769120000000839</v>
      </c>
      <c r="I1069">
        <v>-6.8477995862874952</v>
      </c>
      <c r="J1069">
        <v>0.1111771243111237</v>
      </c>
      <c r="K1069">
        <v>2.6144138843504638</v>
      </c>
      <c r="L1069">
        <v>-1.6086903423182086</v>
      </c>
      <c r="M1069">
        <v>-7.3277736119869985E-3</v>
      </c>
      <c r="N1069">
        <v>0.11177339353298787</v>
      </c>
      <c r="O1069">
        <v>5.3376999999965591E-4</v>
      </c>
      <c r="P1069">
        <v>0.77518505761176026</v>
      </c>
      <c r="Q1069">
        <v>0.70343188259698319</v>
      </c>
      <c r="R1069">
        <v>0.51577563787785774</v>
      </c>
      <c r="S1069">
        <v>0.89159499866373615</v>
      </c>
      <c r="T1069">
        <v>0.74730736700763245</v>
      </c>
      <c r="U1069">
        <v>-3.1541469436291436E-7</v>
      </c>
      <c r="V1069">
        <v>0.85606558712107983</v>
      </c>
      <c r="W1069">
        <v>-6.6604651740087562E-2</v>
      </c>
      <c r="X1069">
        <v>-0.11805853999999893</v>
      </c>
      <c r="Y1069">
        <v>-0.17643887000000011</v>
      </c>
      <c r="Z1069">
        <v>-0.10060211699999995</v>
      </c>
    </row>
    <row r="1070" spans="1:26">
      <c r="A1070" s="54" t="str">
        <f>CONCATENATE(raw[[#This Row],[redis_ls]],raw[[#This Row],[wage_eq]],raw[[#This Row],[flex]],raw[[#This Row],[expo]],raw[[#This Row],[_date_]])</f>
        <v>001154058</v>
      </c>
      <c r="B1070" s="1">
        <v>54058</v>
      </c>
      <c r="C1070">
        <v>0</v>
      </c>
      <c r="D1070">
        <v>0</v>
      </c>
      <c r="E1070">
        <v>1</v>
      </c>
      <c r="F1070">
        <v>1</v>
      </c>
      <c r="G1070">
        <v>0.18512578659652945</v>
      </c>
      <c r="H1070">
        <v>51.952299999997194</v>
      </c>
      <c r="I1070">
        <v>-6.7257104942689994</v>
      </c>
      <c r="J1070">
        <v>0.10521385903194957</v>
      </c>
      <c r="K1070">
        <v>2.5369498850122296</v>
      </c>
      <c r="L1070">
        <v>-1.5540721452196649</v>
      </c>
      <c r="M1070">
        <v>-1.6748918481346298E-2</v>
      </c>
      <c r="N1070">
        <v>0.10582111278074624</v>
      </c>
      <c r="O1070">
        <v>5.4369999999970275E-4</v>
      </c>
      <c r="P1070">
        <v>0.74853572026480908</v>
      </c>
      <c r="Q1070">
        <v>0.67426781403836511</v>
      </c>
      <c r="R1070">
        <v>0.48656364432380084</v>
      </c>
      <c r="S1070">
        <v>0.86243892166100178</v>
      </c>
      <c r="T1070">
        <v>0.72072028076430872</v>
      </c>
      <c r="U1070">
        <v>-3.0923007487970722E-7</v>
      </c>
      <c r="V1070">
        <v>0.82764252081470868</v>
      </c>
      <c r="W1070">
        <v>-5.8626553793139635E-2</v>
      </c>
      <c r="X1070">
        <v>-0.1158078600000001</v>
      </c>
      <c r="Y1070">
        <v>-0.16825907000000001</v>
      </c>
      <c r="Z1070">
        <v>-0.10281343399999987</v>
      </c>
    </row>
    <row r="1071" spans="1:26">
      <c r="A1071" s="54" t="str">
        <f>CONCATENATE(raw[[#This Row],[redis_ls]],raw[[#This Row],[wage_eq]],raw[[#This Row],[flex]],raw[[#This Row],[expo]],raw[[#This Row],[_date_]])</f>
        <v>001154424</v>
      </c>
      <c r="B1071" s="1">
        <v>54424</v>
      </c>
      <c r="C1071">
        <v>0</v>
      </c>
      <c r="D1071">
        <v>0</v>
      </c>
      <c r="E1071">
        <v>1</v>
      </c>
      <c r="F1071">
        <v>1</v>
      </c>
      <c r="G1071">
        <v>0.18198466425709547</v>
      </c>
      <c r="H1071">
        <v>51.034540000000561</v>
      </c>
      <c r="I1071">
        <v>-6.6062086583030588</v>
      </c>
      <c r="J1071">
        <v>9.9622899938345277E-2</v>
      </c>
      <c r="K1071">
        <v>2.4590163087211403</v>
      </c>
      <c r="L1071">
        <v>-1.5005935781348012</v>
      </c>
      <c r="M1071">
        <v>-2.6101720553428631E-2</v>
      </c>
      <c r="N1071">
        <v>0.10023990438887687</v>
      </c>
      <c r="O1071">
        <v>5.5243999999982085E-4</v>
      </c>
      <c r="P1071">
        <v>0.72253386894716165</v>
      </c>
      <c r="Q1071">
        <v>0.64590335622354278</v>
      </c>
      <c r="R1071">
        <v>0.45823764230128461</v>
      </c>
      <c r="S1071">
        <v>0.83399691450751767</v>
      </c>
      <c r="T1071">
        <v>0.6947828182764626</v>
      </c>
      <c r="U1071">
        <v>-3.0316675836417062E-7</v>
      </c>
      <c r="V1071">
        <v>0.79972609617653401</v>
      </c>
      <c r="W1071">
        <v>-5.1133413688342344E-2</v>
      </c>
      <c r="X1071">
        <v>-0.1133544799999997</v>
      </c>
      <c r="Y1071">
        <v>-0.16019508000000016</v>
      </c>
      <c r="Z1071">
        <v>-0.10467612899999999</v>
      </c>
    </row>
    <row r="1072" spans="1:26">
      <c r="A1072" s="54" t="str">
        <f>CONCATENATE(raw[[#This Row],[redis_ls]],raw[[#This Row],[wage_eq]],raw[[#This Row],[flex]],raw[[#This Row],[expo]],raw[[#This Row],[_date_]])</f>
        <v>001154789</v>
      </c>
      <c r="B1072" s="1">
        <v>54789</v>
      </c>
      <c r="C1072">
        <v>0</v>
      </c>
      <c r="D1072">
        <v>0</v>
      </c>
      <c r="E1072">
        <v>1</v>
      </c>
      <c r="F1072">
        <v>1</v>
      </c>
      <c r="G1072">
        <v>0.17870841356879552</v>
      </c>
      <c r="H1072">
        <v>50.029279999998835</v>
      </c>
      <c r="I1072">
        <v>-6.4891600310416848</v>
      </c>
      <c r="J1072">
        <v>9.4405081742232611E-2</v>
      </c>
      <c r="K1072">
        <v>2.3808565624391598</v>
      </c>
      <c r="L1072">
        <v>-1.4482965063200681</v>
      </c>
      <c r="M1072">
        <v>-3.5334620107718706E-2</v>
      </c>
      <c r="N1072">
        <v>9.5029801248647239E-2</v>
      </c>
      <c r="O1072">
        <v>5.5937999999949861E-4</v>
      </c>
      <c r="P1072">
        <v>0.69720205105816557</v>
      </c>
      <c r="Q1072">
        <v>0.61836862695316963</v>
      </c>
      <c r="R1072">
        <v>0.43083465312512281</v>
      </c>
      <c r="S1072">
        <v>0.80629229665432067</v>
      </c>
      <c r="T1072">
        <v>0.66951716801675332</v>
      </c>
      <c r="U1072">
        <v>-2.9722229122342014E-7</v>
      </c>
      <c r="V1072">
        <v>0.77235425829185189</v>
      </c>
      <c r="W1072">
        <v>-4.4124201421169573E-2</v>
      </c>
      <c r="X1072">
        <v>-0.11072892999999945</v>
      </c>
      <c r="Y1072">
        <v>-0.15226332000000015</v>
      </c>
      <c r="Z1072">
        <v>-0.10619329900000002</v>
      </c>
    </row>
    <row r="1073" spans="1:26">
      <c r="A1073" s="54" t="str">
        <f>CONCATENATE(raw[[#This Row],[redis_ls]],raw[[#This Row],[wage_eq]],raw[[#This Row],[flex]],raw[[#This Row],[expo]],raw[[#This Row],[_date_]])</f>
        <v>001036526</v>
      </c>
      <c r="B1073" s="1">
        <v>36526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>
      <c r="A1074" s="54" t="str">
        <f>CONCATENATE(raw[[#This Row],[redis_ls]],raw[[#This Row],[wage_eq]],raw[[#This Row],[flex]],raw[[#This Row],[expo]],raw[[#This Row],[_date_]])</f>
        <v>001036892</v>
      </c>
      <c r="B1074" s="1">
        <v>36892</v>
      </c>
      <c r="C1074">
        <v>0</v>
      </c>
      <c r="D1074">
        <v>0</v>
      </c>
      <c r="E1074">
        <v>1</v>
      </c>
      <c r="F1074">
        <v>0</v>
      </c>
      <c r="G1074">
        <v>0.24942851884004469</v>
      </c>
      <c r="H1074">
        <v>51.780610000001616</v>
      </c>
      <c r="I1074">
        <v>-5.3852166944267417</v>
      </c>
      <c r="J1074">
        <v>0.11260420326693055</v>
      </c>
      <c r="K1074">
        <v>0.56596703122921976</v>
      </c>
      <c r="L1074">
        <v>-4.8678328556794881E-2</v>
      </c>
      <c r="M1074">
        <v>-0.33217918384489398</v>
      </c>
      <c r="N1074">
        <v>0.16403051933757684</v>
      </c>
      <c r="O1074">
        <v>4.6014049999999751E-2</v>
      </c>
      <c r="P1074">
        <v>0.47042862698978283</v>
      </c>
      <c r="Q1074">
        <v>0.12925568614778893</v>
      </c>
      <c r="R1074">
        <v>-0.59514754843613682</v>
      </c>
      <c r="S1074">
        <v>0.85221666583115141</v>
      </c>
      <c r="T1074">
        <v>0.27116833306746191</v>
      </c>
      <c r="U1074">
        <v>-9.8039221185786118E-8</v>
      </c>
      <c r="V1074">
        <v>3.3577757288894006E-2</v>
      </c>
      <c r="W1074">
        <v>-0.42342595999174115</v>
      </c>
      <c r="X1074">
        <v>-0.15463549000000049</v>
      </c>
      <c r="Y1074">
        <v>0.15290244000000022</v>
      </c>
      <c r="Z1074">
        <v>2.1093955999999976E-2</v>
      </c>
    </row>
    <row r="1075" spans="1:26">
      <c r="A1075" s="54" t="str">
        <f>CONCATENATE(raw[[#This Row],[redis_ls]],raw[[#This Row],[wage_eq]],raw[[#This Row],[flex]],raw[[#This Row],[expo]],raw[[#This Row],[_date_]])</f>
        <v>001037257</v>
      </c>
      <c r="B1075" s="1">
        <v>37257</v>
      </c>
      <c r="C1075">
        <v>0</v>
      </c>
      <c r="D1075">
        <v>0</v>
      </c>
      <c r="E1075">
        <v>1</v>
      </c>
      <c r="F1075">
        <v>0</v>
      </c>
      <c r="G1075">
        <v>0.48304195993948973</v>
      </c>
      <c r="H1075">
        <v>116.14030000000275</v>
      </c>
      <c r="I1075">
        <v>-8.5444931169784688</v>
      </c>
      <c r="J1075">
        <v>0.30392969813799464</v>
      </c>
      <c r="K1075">
        <v>1.1021961539892988</v>
      </c>
      <c r="L1075">
        <v>-0.13187115486542611</v>
      </c>
      <c r="M1075">
        <v>-0.48001605211721587</v>
      </c>
      <c r="N1075">
        <v>0.37395164962812366</v>
      </c>
      <c r="O1075">
        <v>6.2521540000000375E-2</v>
      </c>
      <c r="P1075">
        <v>0.62602508590345884</v>
      </c>
      <c r="Q1075">
        <v>0.34033458252562543</v>
      </c>
      <c r="R1075">
        <v>-0.30392762340651913</v>
      </c>
      <c r="S1075">
        <v>0.98617406671839269</v>
      </c>
      <c r="T1075">
        <v>0.54591743507697021</v>
      </c>
      <c r="U1075">
        <v>-9.6116881120877906E-8</v>
      </c>
      <c r="V1075">
        <v>0.22707750937629445</v>
      </c>
      <c r="W1075">
        <v>-0.44979772187236922</v>
      </c>
      <c r="X1075">
        <v>-0.33303771999999982</v>
      </c>
      <c r="Y1075">
        <v>0.24608833999999991</v>
      </c>
      <c r="Z1075">
        <v>0.17266062000000013</v>
      </c>
    </row>
    <row r="1076" spans="1:26">
      <c r="A1076" s="54" t="str">
        <f>CONCATENATE(raw[[#This Row],[redis_ls]],raw[[#This Row],[wage_eq]],raw[[#This Row],[flex]],raw[[#This Row],[expo]],raw[[#This Row],[_date_]])</f>
        <v>001037622</v>
      </c>
      <c r="B1076" s="1">
        <v>37622</v>
      </c>
      <c r="C1076">
        <v>0</v>
      </c>
      <c r="D1076">
        <v>0</v>
      </c>
      <c r="E1076">
        <v>1</v>
      </c>
      <c r="F1076">
        <v>0</v>
      </c>
      <c r="G1076">
        <v>0.66767841293982055</v>
      </c>
      <c r="H1076">
        <v>175.48911999999837</v>
      </c>
      <c r="I1076">
        <v>-10.291010653516553</v>
      </c>
      <c r="J1076">
        <v>0.51579579896241512</v>
      </c>
      <c r="K1076">
        <v>1.5471119261298405</v>
      </c>
      <c r="L1076">
        <v>-0.24369374188496495</v>
      </c>
      <c r="M1076">
        <v>-0.4868682077766695</v>
      </c>
      <c r="N1076">
        <v>0.57961285186132194</v>
      </c>
      <c r="O1076">
        <v>5.6864859999999906E-2</v>
      </c>
      <c r="P1076">
        <v>0.85428002643348488</v>
      </c>
      <c r="Q1076">
        <v>0.62562796242464636</v>
      </c>
      <c r="R1076">
        <v>6.3714464904673918E-2</v>
      </c>
      <c r="S1076">
        <v>1.1905846899183059</v>
      </c>
      <c r="T1076">
        <v>0.84678517152756427</v>
      </c>
      <c r="U1076">
        <v>-1.8846447735754168E-7</v>
      </c>
      <c r="V1076">
        <v>0.47542032897209818</v>
      </c>
      <c r="W1076">
        <v>-0.51675310114450701</v>
      </c>
      <c r="X1076">
        <v>-0.48702630999999941</v>
      </c>
      <c r="Y1076">
        <v>0.30244764000000002</v>
      </c>
      <c r="Z1076">
        <v>0.32514406299999987</v>
      </c>
    </row>
    <row r="1077" spans="1:26">
      <c r="A1077" s="54" t="str">
        <f>CONCATENATE(raw[[#This Row],[redis_ls]],raw[[#This Row],[wage_eq]],raw[[#This Row],[flex]],raw[[#This Row],[expo]],raw[[#This Row],[_date_]])</f>
        <v>001037987</v>
      </c>
      <c r="B1077" s="1">
        <v>37987</v>
      </c>
      <c r="C1077">
        <v>0</v>
      </c>
      <c r="D1077">
        <v>0</v>
      </c>
      <c r="E1077">
        <v>1</v>
      </c>
      <c r="F1077">
        <v>0</v>
      </c>
      <c r="G1077">
        <v>0.80516984493892441</v>
      </c>
      <c r="H1077">
        <v>223.13866000000053</v>
      </c>
      <c r="I1077">
        <v>-11.210246057886408</v>
      </c>
      <c r="J1077">
        <v>0.71952246790218943</v>
      </c>
      <c r="K1077">
        <v>1.9045366883855719</v>
      </c>
      <c r="L1077">
        <v>-0.37785841655795238</v>
      </c>
      <c r="M1077">
        <v>-0.41566672075885602</v>
      </c>
      <c r="N1077">
        <v>0.76462777327697129</v>
      </c>
      <c r="O1077">
        <v>4.0117769999999109E-2</v>
      </c>
      <c r="P1077">
        <v>1.1221714788626214</v>
      </c>
      <c r="Q1077">
        <v>0.95276049183692368</v>
      </c>
      <c r="R1077">
        <v>0.47240761821301103</v>
      </c>
      <c r="S1077">
        <v>1.4366278595480342</v>
      </c>
      <c r="T1077">
        <v>1.161959191674522</v>
      </c>
      <c r="U1077">
        <v>-1.8476907781561636E-7</v>
      </c>
      <c r="V1077">
        <v>0.75693332806554547</v>
      </c>
      <c r="W1077">
        <v>-0.60416180997671098</v>
      </c>
      <c r="X1077">
        <v>-0.60315312999999904</v>
      </c>
      <c r="Y1077">
        <v>0.3363470300000001</v>
      </c>
      <c r="Z1077">
        <v>0.46360018799999997</v>
      </c>
    </row>
    <row r="1078" spans="1:26">
      <c r="A1078" s="54" t="str">
        <f>CONCATENATE(raw[[#This Row],[redis_ls]],raw[[#This Row],[wage_eq]],raw[[#This Row],[flex]],raw[[#This Row],[expo]],raw[[#This Row],[_date_]])</f>
        <v>001038353</v>
      </c>
      <c r="B1078" s="1">
        <v>38353</v>
      </c>
      <c r="C1078">
        <v>0</v>
      </c>
      <c r="D1078">
        <v>0</v>
      </c>
      <c r="E1078">
        <v>1</v>
      </c>
      <c r="F1078">
        <v>0</v>
      </c>
      <c r="G1078">
        <v>0.90581856682347972</v>
      </c>
      <c r="H1078">
        <v>258.01213999999891</v>
      </c>
      <c r="I1078">
        <v>-11.645305414986606</v>
      </c>
      <c r="J1078">
        <v>0.90572510548692087</v>
      </c>
      <c r="K1078">
        <v>2.196577440191394</v>
      </c>
      <c r="L1078">
        <v>-0.52695299581578814</v>
      </c>
      <c r="M1078">
        <v>-0.30404947747899591</v>
      </c>
      <c r="N1078">
        <v>0.93151881863324792</v>
      </c>
      <c r="O1078">
        <v>2.290352999999995E-2</v>
      </c>
      <c r="P1078">
        <v>1.4033883132282376</v>
      </c>
      <c r="Q1078">
        <v>1.292981358105405</v>
      </c>
      <c r="R1078">
        <v>0.89080083066781501</v>
      </c>
      <c r="S1078">
        <v>1.6985799316576511</v>
      </c>
      <c r="T1078">
        <v>1.4746707769503598</v>
      </c>
      <c r="U1078">
        <v>-2.7171924710245321E-7</v>
      </c>
      <c r="V1078">
        <v>1.0636121498381002</v>
      </c>
      <c r="W1078">
        <v>-0.68423015073700855</v>
      </c>
      <c r="X1078">
        <v>-0.68280308999999906</v>
      </c>
      <c r="Y1078">
        <v>0.35498758999999991</v>
      </c>
      <c r="Z1078">
        <v>0.58530984800000008</v>
      </c>
    </row>
    <row r="1079" spans="1:26">
      <c r="A1079" s="54" t="str">
        <f>CONCATENATE(raw[[#This Row],[redis_ls]],raw[[#This Row],[wage_eq]],raw[[#This Row],[flex]],raw[[#This Row],[expo]],raw[[#This Row],[_date_]])</f>
        <v>001038718</v>
      </c>
      <c r="B1079" s="1">
        <v>38718</v>
      </c>
      <c r="C1079">
        <v>0</v>
      </c>
      <c r="D1079">
        <v>0</v>
      </c>
      <c r="E1079">
        <v>1</v>
      </c>
      <c r="F1079">
        <v>0</v>
      </c>
      <c r="G1079">
        <v>0.97994962510838945</v>
      </c>
      <c r="H1079">
        <v>281.59777000000031</v>
      </c>
      <c r="I1079">
        <v>-11.793801425327</v>
      </c>
      <c r="J1079">
        <v>1.0724831497703535</v>
      </c>
      <c r="K1079">
        <v>2.4454513537910616</v>
      </c>
      <c r="L1079">
        <v>-0.68356763562100742</v>
      </c>
      <c r="M1079">
        <v>-0.17290043692851365</v>
      </c>
      <c r="N1079">
        <v>1.0825070410561244</v>
      </c>
      <c r="O1079">
        <v>8.8874799999999476E-3</v>
      </c>
      <c r="P1079">
        <v>1.6807568455698529</v>
      </c>
      <c r="Q1079">
        <v>1.6268989824037128</v>
      </c>
      <c r="R1079">
        <v>1.2979137545793273</v>
      </c>
      <c r="S1079">
        <v>1.9589125484068104</v>
      </c>
      <c r="T1079">
        <v>1.7722823644350072</v>
      </c>
      <c r="U1079">
        <v>-2.6639142003404004E-7</v>
      </c>
      <c r="V1079">
        <v>1.3859943203794689</v>
      </c>
      <c r="W1079">
        <v>-0.74280948037529493</v>
      </c>
      <c r="X1079">
        <v>-0.73271059999999999</v>
      </c>
      <c r="Y1079">
        <v>0.36243216999999989</v>
      </c>
      <c r="Z1079">
        <v>0.68996063299999999</v>
      </c>
    </row>
    <row r="1080" spans="1:26">
      <c r="A1080" s="54" t="str">
        <f>CONCATENATE(raw[[#This Row],[redis_ls]],raw[[#This Row],[wage_eq]],raw[[#This Row],[flex]],raw[[#This Row],[expo]],raw[[#This Row],[_date_]])</f>
        <v>001039083</v>
      </c>
      <c r="B1080" s="1">
        <v>39083</v>
      </c>
      <c r="C1080">
        <v>0</v>
      </c>
      <c r="D1080">
        <v>0</v>
      </c>
      <c r="E1080">
        <v>1</v>
      </c>
      <c r="F1080">
        <v>0</v>
      </c>
      <c r="G1080">
        <v>1.035225699399267</v>
      </c>
      <c r="H1080">
        <v>296.20551999999952</v>
      </c>
      <c r="I1080">
        <v>-11.771232664761033</v>
      </c>
      <c r="J1080">
        <v>1.2194324716884086</v>
      </c>
      <c r="K1080">
        <v>2.6676050671379459</v>
      </c>
      <c r="L1080">
        <v>-0.84125221287867369</v>
      </c>
      <c r="M1080">
        <v>-3.4504248020306161E-2</v>
      </c>
      <c r="N1080">
        <v>1.2173872712544442</v>
      </c>
      <c r="O1080">
        <v>-1.8108500000002525E-3</v>
      </c>
      <c r="P1080">
        <v>1.9441264537198188</v>
      </c>
      <c r="Q1080">
        <v>1.9430393835364157</v>
      </c>
      <c r="R1080">
        <v>1.681553576477457</v>
      </c>
      <c r="S1080">
        <v>2.2070337987179389</v>
      </c>
      <c r="T1080">
        <v>2.0473571311746541</v>
      </c>
      <c r="U1080">
        <v>-2.6116805385001385E-7</v>
      </c>
      <c r="V1080">
        <v>1.7128798443555526</v>
      </c>
      <c r="W1080">
        <v>-0.77733636669009565</v>
      </c>
      <c r="X1080">
        <v>-0.76039540000000105</v>
      </c>
      <c r="Y1080">
        <v>0.3616278599999998</v>
      </c>
      <c r="Z1080">
        <v>0.77758731609999998</v>
      </c>
    </row>
    <row r="1081" spans="1:26">
      <c r="A1081" s="54" t="str">
        <f>CONCATENATE(raw[[#This Row],[redis_ls]],raw[[#This Row],[wage_eq]],raw[[#This Row],[flex]],raw[[#This Row],[expo]],raw[[#This Row],[_date_]])</f>
        <v>001039448</v>
      </c>
      <c r="B1081" s="1">
        <v>39448</v>
      </c>
      <c r="C1081">
        <v>0</v>
      </c>
      <c r="D1081">
        <v>0</v>
      </c>
      <c r="E1081">
        <v>1</v>
      </c>
      <c r="F1081">
        <v>0</v>
      </c>
      <c r="G1081">
        <v>1.0765839157072632</v>
      </c>
      <c r="H1081">
        <v>304.09517000000051</v>
      </c>
      <c r="I1081">
        <v>-11.646794454708143</v>
      </c>
      <c r="J1081">
        <v>1.3461340714951531</v>
      </c>
      <c r="K1081">
        <v>2.8731492280910986</v>
      </c>
      <c r="L1081">
        <v>-0.99492166992743991</v>
      </c>
      <c r="M1081">
        <v>0.10324914377930483</v>
      </c>
      <c r="N1081">
        <v>1.334900019650842</v>
      </c>
      <c r="O1081">
        <v>-9.9356100000003167E-3</v>
      </c>
      <c r="P1081">
        <v>2.1877999978636931</v>
      </c>
      <c r="Q1081">
        <v>2.2351060652024746</v>
      </c>
      <c r="R1081">
        <v>2.035227838818332</v>
      </c>
      <c r="S1081">
        <v>2.4369364821841932</v>
      </c>
      <c r="T1081">
        <v>2.2962981686012629</v>
      </c>
      <c r="U1081">
        <v>-3.4139615578965277E-7</v>
      </c>
      <c r="V1081">
        <v>2.0334432641125888</v>
      </c>
      <c r="W1081">
        <v>-0.79112887926698905</v>
      </c>
      <c r="X1081">
        <v>-0.77229525999999993</v>
      </c>
      <c r="Y1081">
        <v>0.3549993099999999</v>
      </c>
      <c r="Z1081">
        <v>0.84845621630000001</v>
      </c>
    </row>
    <row r="1082" spans="1:26">
      <c r="A1082" s="54" t="str">
        <f>CONCATENATE(raw[[#This Row],[redis_ls]],raw[[#This Row],[wage_eq]],raw[[#This Row],[flex]],raw[[#This Row],[expo]],raw[[#This Row],[_date_]])</f>
        <v>001039814</v>
      </c>
      <c r="B1082" s="1">
        <v>39814</v>
      </c>
      <c r="C1082">
        <v>0</v>
      </c>
      <c r="D1082">
        <v>0</v>
      </c>
      <c r="E1082">
        <v>1</v>
      </c>
      <c r="F1082">
        <v>0</v>
      </c>
      <c r="G1082">
        <v>1.1070401683151987</v>
      </c>
      <c r="H1082">
        <v>307.14318999999887</v>
      </c>
      <c r="I1082">
        <v>-11.463062371921618</v>
      </c>
      <c r="J1082">
        <v>1.4521711174060314</v>
      </c>
      <c r="K1082">
        <v>3.0672482765091269</v>
      </c>
      <c r="L1082">
        <v>-1.1408474377263556</v>
      </c>
      <c r="M1082">
        <v>0.23502677107194447</v>
      </c>
      <c r="N1082">
        <v>1.4339669338831795</v>
      </c>
      <c r="O1082">
        <v>-1.6084389999999893E-2</v>
      </c>
      <c r="P1082">
        <v>2.4086585968600138</v>
      </c>
      <c r="Q1082">
        <v>2.4997942962701414</v>
      </c>
      <c r="R1082">
        <v>2.3556780129402766</v>
      </c>
      <c r="S1082">
        <v>2.6453216858875139</v>
      </c>
      <c r="T1082">
        <v>2.5177826956506388</v>
      </c>
      <c r="U1082">
        <v>-3.3470209936936612E-7</v>
      </c>
      <c r="V1082">
        <v>2.3386428191947584</v>
      </c>
      <c r="W1082">
        <v>-0.78925872175611422</v>
      </c>
      <c r="X1082">
        <v>-0.77331516999999961</v>
      </c>
      <c r="Y1082">
        <v>0.34452448999999985</v>
      </c>
      <c r="Z1082">
        <v>0.90320028799999985</v>
      </c>
    </row>
    <row r="1083" spans="1:26">
      <c r="A1083" s="54" t="str">
        <f>CONCATENATE(raw[[#This Row],[redis_ls]],raw[[#This Row],[wage_eq]],raw[[#This Row],[flex]],raw[[#This Row],[expo]],raw[[#This Row],[_date_]])</f>
        <v>001040179</v>
      </c>
      <c r="B1083" s="1">
        <v>40179</v>
      </c>
      <c r="C1083">
        <v>0</v>
      </c>
      <c r="D1083">
        <v>0</v>
      </c>
      <c r="E1083">
        <v>1</v>
      </c>
      <c r="F1083">
        <v>0</v>
      </c>
      <c r="G1083">
        <v>1.1285046870866511</v>
      </c>
      <c r="H1083">
        <v>306.7919699999984</v>
      </c>
      <c r="I1083">
        <v>-11.246783187299425</v>
      </c>
      <c r="J1083">
        <v>1.5375425932067976</v>
      </c>
      <c r="K1083">
        <v>3.251849907426041</v>
      </c>
      <c r="L1083">
        <v>-1.2764493874076299</v>
      </c>
      <c r="M1083">
        <v>0.35726606284158802</v>
      </c>
      <c r="N1083">
        <v>1.5142333743067837</v>
      </c>
      <c r="O1083">
        <v>-2.0578630000001041E-2</v>
      </c>
      <c r="P1083">
        <v>2.6050485034868398</v>
      </c>
      <c r="Q1083">
        <v>2.7354483594131285</v>
      </c>
      <c r="R1083">
        <v>2.6413781977375539</v>
      </c>
      <c r="S1083">
        <v>2.8304323072112947</v>
      </c>
      <c r="T1083">
        <v>2.7116561281333773</v>
      </c>
      <c r="U1083">
        <v>-3.2813930461728091E-7</v>
      </c>
      <c r="V1083">
        <v>2.6216823100454256</v>
      </c>
      <c r="W1083">
        <v>-0.77647419790253247</v>
      </c>
      <c r="X1083">
        <v>-0.7669934100000011</v>
      </c>
      <c r="Y1083">
        <v>0.33172107999999978</v>
      </c>
      <c r="Z1083">
        <v>0.9428429410000001</v>
      </c>
    </row>
    <row r="1084" spans="1:26">
      <c r="A1084" s="54" t="str">
        <f>CONCATENATE(raw[[#This Row],[redis_ls]],raw[[#This Row],[wage_eq]],raw[[#This Row],[flex]],raw[[#This Row],[expo]],raw[[#This Row],[_date_]])</f>
        <v>001040544</v>
      </c>
      <c r="B1084" s="1">
        <v>40544</v>
      </c>
      <c r="C1084">
        <v>0</v>
      </c>
      <c r="D1084">
        <v>0</v>
      </c>
      <c r="E1084">
        <v>1</v>
      </c>
      <c r="F1084">
        <v>0</v>
      </c>
      <c r="G1084">
        <v>1.1423379071004325</v>
      </c>
      <c r="H1084">
        <v>304.11405000000013</v>
      </c>
      <c r="I1084">
        <v>-11.01489403372341</v>
      </c>
      <c r="J1084">
        <v>1.6028630453909898</v>
      </c>
      <c r="K1084">
        <v>3.4271014050637927</v>
      </c>
      <c r="L1084">
        <v>-1.4000393129348532</v>
      </c>
      <c r="M1084">
        <v>0.46776439369247136</v>
      </c>
      <c r="N1084">
        <v>1.5761226892748725</v>
      </c>
      <c r="O1084">
        <v>-2.3593500000000656E-2</v>
      </c>
      <c r="P1084">
        <v>2.7762002672159225</v>
      </c>
      <c r="Q1084">
        <v>2.9413602636156888</v>
      </c>
      <c r="R1084">
        <v>2.8917690003914975</v>
      </c>
      <c r="S1084">
        <v>2.9914258812583361</v>
      </c>
      <c r="T1084">
        <v>2.8783173036324605</v>
      </c>
      <c r="U1084">
        <v>-4.021315169744355E-7</v>
      </c>
      <c r="V1084">
        <v>2.8779011590201797</v>
      </c>
      <c r="W1084">
        <v>-0.75648839414745872</v>
      </c>
      <c r="X1084">
        <v>-0.75584087000000055</v>
      </c>
      <c r="Y1084">
        <v>0.31767281999999997</v>
      </c>
      <c r="Z1084">
        <v>0.96871426599999999</v>
      </c>
    </row>
    <row r="1085" spans="1:26">
      <c r="A1085" s="54" t="str">
        <f>CONCATENATE(raw[[#This Row],[redis_ls]],raw[[#This Row],[wage_eq]],raw[[#This Row],[flex]],raw[[#This Row],[expo]],raw[[#This Row],[_date_]])</f>
        <v>001040909</v>
      </c>
      <c r="B1085" s="1">
        <v>40909</v>
      </c>
      <c r="C1085">
        <v>0</v>
      </c>
      <c r="D1085">
        <v>0</v>
      </c>
      <c r="E1085">
        <v>1</v>
      </c>
      <c r="F1085">
        <v>0</v>
      </c>
      <c r="G1085">
        <v>1.1496473063803636</v>
      </c>
      <c r="H1085">
        <v>299.90118999999686</v>
      </c>
      <c r="I1085">
        <v>-10.778016224282238</v>
      </c>
      <c r="J1085">
        <v>1.6493312584609621</v>
      </c>
      <c r="K1085">
        <v>3.5923034210337379</v>
      </c>
      <c r="L1085">
        <v>-1.5105928755188791</v>
      </c>
      <c r="M1085">
        <v>0.56537840569088615</v>
      </c>
      <c r="N1085">
        <v>1.6206668060945617</v>
      </c>
      <c r="O1085">
        <v>-2.5280100000001082E-2</v>
      </c>
      <c r="P1085">
        <v>2.92194911096606</v>
      </c>
      <c r="Q1085">
        <v>3.1174455824453551</v>
      </c>
      <c r="R1085">
        <v>3.1069206154427098</v>
      </c>
      <c r="S1085">
        <v>3.1280692712762459</v>
      </c>
      <c r="T1085">
        <v>3.0184445135134741</v>
      </c>
      <c r="U1085">
        <v>-3.1539726386142775E-7</v>
      </c>
      <c r="V1085">
        <v>3.1044340730874698</v>
      </c>
      <c r="W1085">
        <v>-0.73194850800737399</v>
      </c>
      <c r="X1085">
        <v>-0.74165344000000077</v>
      </c>
      <c r="Y1085">
        <v>0.30310142999999989</v>
      </c>
      <c r="Z1085">
        <v>0.98232468000000006</v>
      </c>
    </row>
    <row r="1086" spans="1:26">
      <c r="A1086" s="54" t="str">
        <f>CONCATENATE(raw[[#This Row],[redis_ls]],raw[[#This Row],[wage_eq]],raw[[#This Row],[flex]],raw[[#This Row],[expo]],raw[[#This Row],[_date_]])</f>
        <v>001041275</v>
      </c>
      <c r="B1086" s="1">
        <v>41275</v>
      </c>
      <c r="C1086">
        <v>0</v>
      </c>
      <c r="D1086">
        <v>0</v>
      </c>
      <c r="E1086">
        <v>1</v>
      </c>
      <c r="F1086">
        <v>0</v>
      </c>
      <c r="G1086">
        <v>1.1514110228431296</v>
      </c>
      <c r="H1086">
        <v>294.74113999999827</v>
      </c>
      <c r="I1086">
        <v>-10.542602701213999</v>
      </c>
      <c r="J1086">
        <v>1.6785697231699093</v>
      </c>
      <c r="K1086">
        <v>3.7464676804438879</v>
      </c>
      <c r="L1086">
        <v>-1.6075740398075689</v>
      </c>
      <c r="M1086">
        <v>0.64975801315214632</v>
      </c>
      <c r="N1086">
        <v>1.6492850993447661</v>
      </c>
      <c r="O1086">
        <v>-2.5819760000000969E-2</v>
      </c>
      <c r="P1086">
        <v>3.0425963275593437</v>
      </c>
      <c r="Q1086">
        <v>3.2641002907903394</v>
      </c>
      <c r="R1086">
        <v>3.2873979423720501</v>
      </c>
      <c r="S1086">
        <v>3.2405897460161093</v>
      </c>
      <c r="T1086">
        <v>3.132902141358529</v>
      </c>
      <c r="U1086">
        <v>-4.6381951612772809E-7</v>
      </c>
      <c r="V1086">
        <v>3.2998354697908461</v>
      </c>
      <c r="W1086">
        <v>-0.70465127189777155</v>
      </c>
      <c r="X1086">
        <v>-0.72573808999999989</v>
      </c>
      <c r="Y1086">
        <v>0.28845746999999999</v>
      </c>
      <c r="Z1086">
        <v>0.98524357600000001</v>
      </c>
    </row>
    <row r="1087" spans="1:26">
      <c r="A1087" s="54" t="str">
        <f>CONCATENATE(raw[[#This Row],[redis_ls]],raw[[#This Row],[wage_eq]],raw[[#This Row],[flex]],raw[[#This Row],[expo]],raw[[#This Row],[_date_]])</f>
        <v>001041640</v>
      </c>
      <c r="B1087" s="1">
        <v>41640</v>
      </c>
      <c r="C1087">
        <v>0</v>
      </c>
      <c r="D1087">
        <v>0</v>
      </c>
      <c r="E1087">
        <v>1</v>
      </c>
      <c r="F1087">
        <v>0</v>
      </c>
      <c r="G1087">
        <v>1.1485107318512711</v>
      </c>
      <c r="H1087">
        <v>289.07240000000093</v>
      </c>
      <c r="I1087">
        <v>-10.312339865035881</v>
      </c>
      <c r="J1087">
        <v>1.6924322890360166</v>
      </c>
      <c r="K1087">
        <v>3.8886019094611646</v>
      </c>
      <c r="L1087">
        <v>-1.6908100020013084</v>
      </c>
      <c r="M1087">
        <v>0.72111067393967332</v>
      </c>
      <c r="N1087">
        <v>1.6635896473568446</v>
      </c>
      <c r="O1087">
        <v>-2.5426530000000058E-2</v>
      </c>
      <c r="P1087">
        <v>3.1388273137117784</v>
      </c>
      <c r="Q1087">
        <v>3.3821264892348379</v>
      </c>
      <c r="R1087">
        <v>3.4341975025227622</v>
      </c>
      <c r="S1087">
        <v>3.3295931746284868</v>
      </c>
      <c r="T1087">
        <v>3.222724914661157</v>
      </c>
      <c r="U1087">
        <v>-3.7893750359785372E-7</v>
      </c>
      <c r="V1087">
        <v>3.4637485381096456</v>
      </c>
      <c r="W1087">
        <v>-0.67579088793749964</v>
      </c>
      <c r="X1087">
        <v>-0.70905712000000065</v>
      </c>
      <c r="Y1087">
        <v>0.27400670999999999</v>
      </c>
      <c r="Z1087">
        <v>0.97900472800000005</v>
      </c>
    </row>
    <row r="1088" spans="1:26">
      <c r="A1088" s="54" t="str">
        <f>CONCATENATE(raw[[#This Row],[redis_ls]],raw[[#This Row],[wage_eq]],raw[[#This Row],[flex]],raw[[#This Row],[expo]],raw[[#This Row],[_date_]])</f>
        <v>001042005</v>
      </c>
      <c r="B1088" s="1">
        <v>42005</v>
      </c>
      <c r="C1088">
        <v>0</v>
      </c>
      <c r="D1088">
        <v>0</v>
      </c>
      <c r="E1088">
        <v>1</v>
      </c>
      <c r="F1088">
        <v>0</v>
      </c>
      <c r="G1088">
        <v>1.1417287375765861</v>
      </c>
      <c r="H1088">
        <v>283.22041000000172</v>
      </c>
      <c r="I1088">
        <v>-10.089105864787907</v>
      </c>
      <c r="J1088">
        <v>1.6928364717321509</v>
      </c>
      <c r="K1088">
        <v>4.0178335400045562</v>
      </c>
      <c r="L1088">
        <v>-1.7604042498793104</v>
      </c>
      <c r="M1088">
        <v>0.78000503141544275</v>
      </c>
      <c r="N1088">
        <v>1.6652408328570623</v>
      </c>
      <c r="O1088">
        <v>-2.4326770000000775E-2</v>
      </c>
      <c r="P1088">
        <v>3.2116465323446253</v>
      </c>
      <c r="Q1088">
        <v>3.4726758507720223</v>
      </c>
      <c r="R1088">
        <v>3.54869702834959</v>
      </c>
      <c r="S1088">
        <v>3.3960004486144557</v>
      </c>
      <c r="T1088">
        <v>3.2891166656342508</v>
      </c>
      <c r="U1088">
        <v>-4.4580884539513477E-7</v>
      </c>
      <c r="V1088">
        <v>3.5966380728315483</v>
      </c>
      <c r="W1088">
        <v>-0.64616026940118587</v>
      </c>
      <c r="X1088">
        <v>-0.69231490999999978</v>
      </c>
      <c r="Y1088">
        <v>0.25989979000000002</v>
      </c>
      <c r="Z1088">
        <v>0.96504306299999998</v>
      </c>
    </row>
    <row r="1089" spans="1:26">
      <c r="A1089" s="54" t="str">
        <f>CONCATENATE(raw[[#This Row],[redis_ls]],raw[[#This Row],[wage_eq]],raw[[#This Row],[flex]],raw[[#This Row],[expo]],raw[[#This Row],[_date_]])</f>
        <v>001042370</v>
      </c>
      <c r="B1089" s="1">
        <v>42370</v>
      </c>
      <c r="C1089">
        <v>0</v>
      </c>
      <c r="D1089">
        <v>0</v>
      </c>
      <c r="E1089">
        <v>1</v>
      </c>
      <c r="F1089">
        <v>0</v>
      </c>
      <c r="G1089">
        <v>1.1317393738156101</v>
      </c>
      <c r="H1089">
        <v>277.42096999999922</v>
      </c>
      <c r="I1089">
        <v>-9.8736400387710805</v>
      </c>
      <c r="J1089">
        <v>1.681642289542018</v>
      </c>
      <c r="K1089">
        <v>4.1334501978772087</v>
      </c>
      <c r="L1089">
        <v>-1.8166753426348881</v>
      </c>
      <c r="M1089">
        <v>0.82721905008136254</v>
      </c>
      <c r="N1089">
        <v>1.655853505793492</v>
      </c>
      <c r="O1089">
        <v>-2.2736019999999857E-2</v>
      </c>
      <c r="P1089">
        <v>3.262315351998879</v>
      </c>
      <c r="Q1089">
        <v>3.53719051528123</v>
      </c>
      <c r="R1089">
        <v>3.6325974642482217</v>
      </c>
      <c r="S1089">
        <v>3.4409899973091962</v>
      </c>
      <c r="T1089">
        <v>3.3334436418824387</v>
      </c>
      <c r="U1089">
        <v>-4.3706747110405786E-7</v>
      </c>
      <c r="V1089">
        <v>3.6995805465302789</v>
      </c>
      <c r="W1089">
        <v>-0.61629190333025718</v>
      </c>
      <c r="X1089">
        <v>-0.67601076999999898</v>
      </c>
      <c r="Y1089">
        <v>0.24622203999999995</v>
      </c>
      <c r="Z1089">
        <v>0.94465902099999999</v>
      </c>
    </row>
    <row r="1090" spans="1:26">
      <c r="A1090" s="54" t="str">
        <f>CONCATENATE(raw[[#This Row],[redis_ls]],raw[[#This Row],[wage_eq]],raw[[#This Row],[flex]],raw[[#This Row],[expo]],raw[[#This Row],[_date_]])</f>
        <v>001042736</v>
      </c>
      <c r="B1090" s="1">
        <v>42736</v>
      </c>
      <c r="C1090">
        <v>0</v>
      </c>
      <c r="D1090">
        <v>0</v>
      </c>
      <c r="E1090">
        <v>1</v>
      </c>
      <c r="F1090">
        <v>0</v>
      </c>
      <c r="G1090">
        <v>1.1191052791237777</v>
      </c>
      <c r="H1090">
        <v>271.83640999999989</v>
      </c>
      <c r="I1090">
        <v>-9.6660092387123804</v>
      </c>
      <c r="J1090">
        <v>1.6605783839926724</v>
      </c>
      <c r="K1090">
        <v>4.2349037866231454</v>
      </c>
      <c r="L1090">
        <v>-1.8601112131446551</v>
      </c>
      <c r="M1090">
        <v>0.8636310842479844</v>
      </c>
      <c r="N1090">
        <v>1.6369419582324296</v>
      </c>
      <c r="O1090">
        <v>-2.0842370000000165E-2</v>
      </c>
      <c r="P1090">
        <v>3.2922916846285899</v>
      </c>
      <c r="Q1090">
        <v>3.5773406692511278</v>
      </c>
      <c r="R1090">
        <v>3.6878564629927668</v>
      </c>
      <c r="S1090">
        <v>3.4659385969816103</v>
      </c>
      <c r="T1090">
        <v>3.3572126321002038</v>
      </c>
      <c r="U1090">
        <v>-4.2849752635021332E-7</v>
      </c>
      <c r="V1090">
        <v>3.7740986880485661</v>
      </c>
      <c r="W1090">
        <v>-0.58654855328945654</v>
      </c>
      <c r="X1090">
        <v>-0.6604750999999992</v>
      </c>
      <c r="Y1090">
        <v>0.2330257500000002</v>
      </c>
      <c r="Z1090">
        <v>0.919004178</v>
      </c>
    </row>
    <row r="1091" spans="1:26">
      <c r="A1091" s="54" t="str">
        <f>CONCATENATE(raw[[#This Row],[redis_ls]],raw[[#This Row],[wage_eq]],raw[[#This Row],[flex]],raw[[#This Row],[expo]],raw[[#This Row],[_date_]])</f>
        <v>001043101</v>
      </c>
      <c r="B1091" s="1">
        <v>43101</v>
      </c>
      <c r="C1091">
        <v>0</v>
      </c>
      <c r="D1091">
        <v>0</v>
      </c>
      <c r="E1091">
        <v>1</v>
      </c>
      <c r="F1091">
        <v>0</v>
      </c>
      <c r="G1091">
        <v>1.1042826107531045</v>
      </c>
      <c r="H1091">
        <v>266.56818000000203</v>
      </c>
      <c r="I1091">
        <v>-9.4659255046903432</v>
      </c>
      <c r="J1091">
        <v>1.6312065433127909</v>
      </c>
      <c r="K1091">
        <v>4.3218023310029885</v>
      </c>
      <c r="L1091">
        <v>-1.8913328219737235</v>
      </c>
      <c r="M1091">
        <v>0.89014721128739538</v>
      </c>
      <c r="N1091">
        <v>1.6098941870668071</v>
      </c>
      <c r="O1091">
        <v>-1.8798050000000399E-2</v>
      </c>
      <c r="P1091">
        <v>3.3031713451285638</v>
      </c>
      <c r="Q1091">
        <v>3.5949613604973285</v>
      </c>
      <c r="R1091">
        <v>3.7166193698742633</v>
      </c>
      <c r="S1091">
        <v>3.4723652074077238</v>
      </c>
      <c r="T1091">
        <v>3.3620399049196337</v>
      </c>
      <c r="U1091">
        <v>-4.2009562495337605E-7</v>
      </c>
      <c r="V1091">
        <v>3.8220297470070941</v>
      </c>
      <c r="W1091">
        <v>-0.55718076805297834</v>
      </c>
      <c r="X1091">
        <v>-0.64589798999999948</v>
      </c>
      <c r="Y1091">
        <v>0.22034900000000024</v>
      </c>
      <c r="Z1091">
        <v>0.88908155710000003</v>
      </c>
    </row>
    <row r="1092" spans="1:26">
      <c r="A1092" s="54" t="str">
        <f>CONCATENATE(raw[[#This Row],[redis_ls]],raw[[#This Row],[wage_eq]],raw[[#This Row],[flex]],raw[[#This Row],[expo]],raw[[#This Row],[_date_]])</f>
        <v>001043466</v>
      </c>
      <c r="B1092" s="1">
        <v>43466</v>
      </c>
      <c r="C1092">
        <v>0</v>
      </c>
      <c r="D1092">
        <v>0</v>
      </c>
      <c r="E1092">
        <v>1</v>
      </c>
      <c r="F1092">
        <v>0</v>
      </c>
      <c r="G1092">
        <v>1.0876320257900307</v>
      </c>
      <c r="H1092">
        <v>261.66759000000093</v>
      </c>
      <c r="I1092">
        <v>-9.2729529207118624</v>
      </c>
      <c r="J1092">
        <v>1.5949112473651716</v>
      </c>
      <c r="K1092">
        <v>4.393900015020602</v>
      </c>
      <c r="L1092">
        <v>-1.9110633911434194</v>
      </c>
      <c r="M1092">
        <v>0.90765688911398357</v>
      </c>
      <c r="N1092">
        <v>1.5759632122776646</v>
      </c>
      <c r="O1092">
        <v>-1.6718160000001037E-2</v>
      </c>
      <c r="P1092">
        <v>3.2966360151743368</v>
      </c>
      <c r="Q1092">
        <v>3.5919926836365912</v>
      </c>
      <c r="R1092">
        <v>3.7211511464084746</v>
      </c>
      <c r="S1092">
        <v>3.4618789124489568</v>
      </c>
      <c r="T1092">
        <v>3.349614329119599</v>
      </c>
      <c r="U1092">
        <v>-4.1185845844893265E-7</v>
      </c>
      <c r="V1092">
        <v>3.8454188825603142</v>
      </c>
      <c r="W1092">
        <v>-0.52836127303265146</v>
      </c>
      <c r="X1092">
        <v>-0.63235511000000044</v>
      </c>
      <c r="Y1092">
        <v>0.20822506999999996</v>
      </c>
      <c r="Z1092">
        <v>0.8557552665999999</v>
      </c>
    </row>
    <row r="1093" spans="1:26">
      <c r="A1093" s="54" t="str">
        <f>CONCATENATE(raw[[#This Row],[redis_ls]],raw[[#This Row],[wage_eq]],raw[[#This Row],[flex]],raw[[#This Row],[expo]],raw[[#This Row],[_date_]])</f>
        <v>001043831</v>
      </c>
      <c r="B1093" s="1">
        <v>43831</v>
      </c>
      <c r="C1093">
        <v>0</v>
      </c>
      <c r="D1093">
        <v>0</v>
      </c>
      <c r="E1093">
        <v>1</v>
      </c>
      <c r="F1093">
        <v>0</v>
      </c>
      <c r="G1093">
        <v>1.0694342571795357</v>
      </c>
      <c r="H1093">
        <v>257.14590999999928</v>
      </c>
      <c r="I1093">
        <v>-9.0866338790607912</v>
      </c>
      <c r="J1093">
        <v>1.5529072709783209</v>
      </c>
      <c r="K1093">
        <v>4.4510888965914486</v>
      </c>
      <c r="L1093">
        <v>-1.920101169771149</v>
      </c>
      <c r="M1093">
        <v>0.91700885302374857</v>
      </c>
      <c r="N1093">
        <v>1.5362715922715431</v>
      </c>
      <c r="O1093">
        <v>-1.468376000000049E-2</v>
      </c>
      <c r="P1093">
        <v>3.2744059380411361</v>
      </c>
      <c r="Q1093">
        <v>3.5704262383165819</v>
      </c>
      <c r="R1093">
        <v>3.7037765142165169</v>
      </c>
      <c r="S1093">
        <v>3.4361327279335274</v>
      </c>
      <c r="T1093">
        <v>3.321659698961521</v>
      </c>
      <c r="U1093">
        <v>-4.0378280719011173E-7</v>
      </c>
      <c r="V1093">
        <v>3.846433066163768</v>
      </c>
      <c r="W1093">
        <v>-0.50020960207988185</v>
      </c>
      <c r="X1093">
        <v>-0.61983211000000016</v>
      </c>
      <c r="Y1093">
        <v>0.19668611999999996</v>
      </c>
      <c r="Z1093">
        <v>0.81976525189000005</v>
      </c>
    </row>
    <row r="1094" spans="1:26">
      <c r="A1094" s="54" t="str">
        <f>CONCATENATE(raw[[#This Row],[redis_ls]],raw[[#This Row],[wage_eq]],raw[[#This Row],[flex]],raw[[#This Row],[expo]],raw[[#This Row],[_date_]])</f>
        <v>001044197</v>
      </c>
      <c r="B1094" s="1">
        <v>44197</v>
      </c>
      <c r="C1094">
        <v>0</v>
      </c>
      <c r="D1094">
        <v>0</v>
      </c>
      <c r="E1094">
        <v>1</v>
      </c>
      <c r="F1094">
        <v>0</v>
      </c>
      <c r="G1094">
        <v>1.0499062589659935</v>
      </c>
      <c r="H1094">
        <v>252.98361999999906</v>
      </c>
      <c r="I1094">
        <v>-8.90655793090448</v>
      </c>
      <c r="J1094">
        <v>1.5062557475752136</v>
      </c>
      <c r="K1094">
        <v>4.4933919390336863</v>
      </c>
      <c r="L1094">
        <v>-1.9192954651601979</v>
      </c>
      <c r="M1094">
        <v>0.91900072998267746</v>
      </c>
      <c r="N1094">
        <v>1.4918201709541501</v>
      </c>
      <c r="O1094">
        <v>-1.2747360000001096E-2</v>
      </c>
      <c r="P1094">
        <v>3.238201796036333</v>
      </c>
      <c r="Q1094">
        <v>3.5322595193430839</v>
      </c>
      <c r="R1094">
        <v>3.6668264021296748</v>
      </c>
      <c r="S1094">
        <v>3.3967845869265378</v>
      </c>
      <c r="T1094">
        <v>3.2798995614833792</v>
      </c>
      <c r="U1094">
        <v>-4.6184306379259965E-7</v>
      </c>
      <c r="V1094">
        <v>3.8272914208146824</v>
      </c>
      <c r="W1094">
        <v>-0.47280519149814904</v>
      </c>
      <c r="X1094">
        <v>-0.6082475200000006</v>
      </c>
      <c r="Y1094">
        <v>0.18576356000000011</v>
      </c>
      <c r="Z1094">
        <v>0.78174413639999996</v>
      </c>
    </row>
    <row r="1095" spans="1:26">
      <c r="A1095" s="54" t="str">
        <f>CONCATENATE(raw[[#This Row],[redis_ls]],raw[[#This Row],[wage_eq]],raw[[#This Row],[flex]],raw[[#This Row],[expo]],raw[[#This Row],[_date_]])</f>
        <v>001044562</v>
      </c>
      <c r="B1095" s="1">
        <v>44562</v>
      </c>
      <c r="C1095">
        <v>0</v>
      </c>
      <c r="D1095">
        <v>0</v>
      </c>
      <c r="E1095">
        <v>1</v>
      </c>
      <c r="F1095">
        <v>0</v>
      </c>
      <c r="G1095">
        <v>1.0292172519437592</v>
      </c>
      <c r="H1095">
        <v>249.13902999999846</v>
      </c>
      <c r="I1095">
        <v>-8.7323919563926147</v>
      </c>
      <c r="J1095">
        <v>1.4558832417004064</v>
      </c>
      <c r="K1095">
        <v>4.5209567273195361</v>
      </c>
      <c r="L1095">
        <v>-1.9095250740839509</v>
      </c>
      <c r="M1095">
        <v>0.9143769042423866</v>
      </c>
      <c r="N1095">
        <v>1.4435012992047858</v>
      </c>
      <c r="O1095">
        <v>-1.0939110000000862E-2</v>
      </c>
      <c r="P1095">
        <v>3.1897118507918876</v>
      </c>
      <c r="Q1095">
        <v>3.4794578952547894</v>
      </c>
      <c r="R1095">
        <v>3.6125953456176196</v>
      </c>
      <c r="S1095">
        <v>3.3454659033364198</v>
      </c>
      <c r="T1095">
        <v>3.2260274639910325</v>
      </c>
      <c r="U1095">
        <v>-4.5278731874986988E-7</v>
      </c>
      <c r="V1095">
        <v>3.7902099394132138</v>
      </c>
      <c r="W1095">
        <v>-0.44620002276061221</v>
      </c>
      <c r="X1095">
        <v>-0.59747368000000045</v>
      </c>
      <c r="Y1095">
        <v>0.17548683000000004</v>
      </c>
      <c r="Z1095">
        <v>0.74223402289999996</v>
      </c>
    </row>
    <row r="1096" spans="1:26">
      <c r="A1096" s="54" t="str">
        <f>CONCATENATE(raw[[#This Row],[redis_ls]],raw[[#This Row],[wage_eq]],raw[[#This Row],[flex]],raw[[#This Row],[expo]],raw[[#This Row],[_date_]])</f>
        <v>001044927</v>
      </c>
      <c r="B1096" s="1">
        <v>44927</v>
      </c>
      <c r="C1096">
        <v>0</v>
      </c>
      <c r="D1096">
        <v>0</v>
      </c>
      <c r="E1096">
        <v>1</v>
      </c>
      <c r="F1096">
        <v>0</v>
      </c>
      <c r="G1096">
        <v>1.0075025023729589</v>
      </c>
      <c r="H1096">
        <v>245.5558400000009</v>
      </c>
      <c r="I1096">
        <v>-8.5638856376880952</v>
      </c>
      <c r="J1096">
        <v>1.4026018926630801</v>
      </c>
      <c r="K1096">
        <v>4.5340487237887528</v>
      </c>
      <c r="L1096">
        <v>-1.8916798001624269</v>
      </c>
      <c r="M1096">
        <v>0.90383095848365347</v>
      </c>
      <c r="N1096">
        <v>1.3921113331623713</v>
      </c>
      <c r="O1096">
        <v>-9.2727400000006122E-3</v>
      </c>
      <c r="P1096">
        <v>3.1305677482299954</v>
      </c>
      <c r="Q1096">
        <v>3.4139252850045709</v>
      </c>
      <c r="R1096">
        <v>3.5433072309220881</v>
      </c>
      <c r="S1096">
        <v>3.283755846190628</v>
      </c>
      <c r="T1096">
        <v>3.1616812764700741</v>
      </c>
      <c r="U1096">
        <v>-4.4390915387992891E-7</v>
      </c>
      <c r="V1096">
        <v>3.7373582831164764</v>
      </c>
      <c r="W1096">
        <v>-0.42042645187531091</v>
      </c>
      <c r="X1096">
        <v>-0.58735498999999969</v>
      </c>
      <c r="Y1096">
        <v>0.16588163000000011</v>
      </c>
      <c r="Z1096">
        <v>0.70170195899999999</v>
      </c>
    </row>
    <row r="1097" spans="1:26">
      <c r="A1097" s="54" t="str">
        <f>CONCATENATE(raw[[#This Row],[redis_ls]],raw[[#This Row],[wage_eq]],raw[[#This Row],[flex]],raw[[#This Row],[expo]],raw[[#This Row],[_date_]])</f>
        <v>001045292</v>
      </c>
      <c r="B1097" s="1">
        <v>45292</v>
      </c>
      <c r="C1097">
        <v>0</v>
      </c>
      <c r="D1097">
        <v>0</v>
      </c>
      <c r="E1097">
        <v>1</v>
      </c>
      <c r="F1097">
        <v>0</v>
      </c>
      <c r="G1097">
        <v>0.98487509664630934</v>
      </c>
      <c r="H1097">
        <v>242.16968999999881</v>
      </c>
      <c r="I1097">
        <v>-8.4008624559023364</v>
      </c>
      <c r="J1097">
        <v>1.347127112990365</v>
      </c>
      <c r="K1097">
        <v>4.5330433266392633</v>
      </c>
      <c r="L1097">
        <v>-1.8666444697262641</v>
      </c>
      <c r="M1097">
        <v>0.88801023079854158</v>
      </c>
      <c r="N1097">
        <v>1.3383631346281843</v>
      </c>
      <c r="O1097">
        <v>-7.75073000000015E-3</v>
      </c>
      <c r="P1097">
        <v>3.0623246748132216</v>
      </c>
      <c r="Q1097">
        <v>3.3374812559831879</v>
      </c>
      <c r="R1097">
        <v>3.4610883734439213</v>
      </c>
      <c r="S1097">
        <v>3.2131627003215923</v>
      </c>
      <c r="T1097">
        <v>3.0884238588611668</v>
      </c>
      <c r="U1097">
        <v>-4.9737718388342955E-7</v>
      </c>
      <c r="V1097">
        <v>3.670827132290122</v>
      </c>
      <c r="W1097">
        <v>-0.3955017626633972</v>
      </c>
      <c r="X1097">
        <v>-0.57772316999999962</v>
      </c>
      <c r="Y1097">
        <v>0.15696826000000003</v>
      </c>
      <c r="Z1097">
        <v>0.66055329600000001</v>
      </c>
    </row>
    <row r="1098" spans="1:26">
      <c r="A1098" s="54" t="str">
        <f>CONCATENATE(raw[[#This Row],[redis_ls]],raw[[#This Row],[wage_eq]],raw[[#This Row],[flex]],raw[[#This Row],[expo]],raw[[#This Row],[_date_]])</f>
        <v>001045658</v>
      </c>
      <c r="B1098" s="1">
        <v>45658</v>
      </c>
      <c r="C1098">
        <v>0</v>
      </c>
      <c r="D1098">
        <v>0</v>
      </c>
      <c r="E1098">
        <v>1</v>
      </c>
      <c r="F1098">
        <v>0</v>
      </c>
      <c r="G1098">
        <v>0.96143482976922545</v>
      </c>
      <c r="H1098">
        <v>238.91345999999976</v>
      </c>
      <c r="I1098">
        <v>-8.2432037436265819</v>
      </c>
      <c r="J1098">
        <v>1.290092898562456</v>
      </c>
      <c r="K1098">
        <v>4.51841665313788</v>
      </c>
      <c r="L1098">
        <v>-1.8352856896668213</v>
      </c>
      <c r="M1098">
        <v>0.86752062797819107</v>
      </c>
      <c r="N1098">
        <v>1.2828958740675356</v>
      </c>
      <c r="O1098">
        <v>-6.3684600000002423E-3</v>
      </c>
      <c r="P1098">
        <v>2.9864484794198676</v>
      </c>
      <c r="Q1098">
        <v>3.2518445563678666</v>
      </c>
      <c r="R1098">
        <v>3.3679492109380593</v>
      </c>
      <c r="S1098">
        <v>3.1351100104045626</v>
      </c>
      <c r="T1098">
        <v>3.0077292744172146</v>
      </c>
      <c r="U1098">
        <v>-4.8762469617713577E-7</v>
      </c>
      <c r="V1098">
        <v>3.5926039373741281</v>
      </c>
      <c r="W1098">
        <v>-0.37143430082294815</v>
      </c>
      <c r="X1098">
        <v>-0.56840940000000006</v>
      </c>
      <c r="Y1098">
        <v>0.14876036999999995</v>
      </c>
      <c r="Z1098">
        <v>0.61914268500000014</v>
      </c>
    </row>
    <row r="1099" spans="1:26">
      <c r="A1099" s="54" t="str">
        <f>CONCATENATE(raw[[#This Row],[redis_ls]],raw[[#This Row],[wage_eq]],raw[[#This Row],[flex]],raw[[#This Row],[expo]],raw[[#This Row],[_date_]])</f>
        <v>001046023</v>
      </c>
      <c r="B1099" s="1">
        <v>46023</v>
      </c>
      <c r="C1099">
        <v>0</v>
      </c>
      <c r="D1099">
        <v>0</v>
      </c>
      <c r="E1099">
        <v>1</v>
      </c>
      <c r="F1099">
        <v>0</v>
      </c>
      <c r="G1099">
        <v>0.93727482336916079</v>
      </c>
      <c r="H1099">
        <v>235.72144000000117</v>
      </c>
      <c r="I1099">
        <v>-8.0908302900354663</v>
      </c>
      <c r="J1099">
        <v>1.2320643210556259</v>
      </c>
      <c r="K1099">
        <v>4.4907349353419113</v>
      </c>
      <c r="L1099">
        <v>-1.7984411060602112</v>
      </c>
      <c r="M1099">
        <v>0.84293105033093063</v>
      </c>
      <c r="N1099">
        <v>1.226284374622244</v>
      </c>
      <c r="O1099">
        <v>-5.1173799999998382E-3</v>
      </c>
      <c r="P1099">
        <v>2.9043058253674259</v>
      </c>
      <c r="Q1099">
        <v>3.1586221204083387</v>
      </c>
      <c r="R1099">
        <v>3.265770830586634</v>
      </c>
      <c r="S1099">
        <v>3.0509272206865834</v>
      </c>
      <c r="T1099">
        <v>2.9209720127555849</v>
      </c>
      <c r="U1099">
        <v>-4.7806342218237319E-7</v>
      </c>
      <c r="V1099">
        <v>3.5045568061651045</v>
      </c>
      <c r="W1099">
        <v>-0.34822552615377811</v>
      </c>
      <c r="X1099">
        <v>-0.55925351000000045</v>
      </c>
      <c r="Y1099">
        <v>0.14126416000000003</v>
      </c>
      <c r="Z1099">
        <v>0.57778269800000004</v>
      </c>
    </row>
    <row r="1100" spans="1:26">
      <c r="A1100" s="54" t="str">
        <f>CONCATENATE(raw[[#This Row],[redis_ls]],raw[[#This Row],[wage_eq]],raw[[#This Row],[flex]],raw[[#This Row],[expo]],raw[[#This Row],[_date_]])</f>
        <v>001046388</v>
      </c>
      <c r="B1100" s="1">
        <v>46388</v>
      </c>
      <c r="C1100">
        <v>0</v>
      </c>
      <c r="D1100">
        <v>0</v>
      </c>
      <c r="E1100">
        <v>1</v>
      </c>
      <c r="F1100">
        <v>0</v>
      </c>
      <c r="G1100">
        <v>0.91248575515279207</v>
      </c>
      <c r="H1100">
        <v>232.53240000000005</v>
      </c>
      <c r="I1100">
        <v>-7.9436847297922331</v>
      </c>
      <c r="J1100">
        <v>1.1735464266849904</v>
      </c>
      <c r="K1100">
        <v>4.4506429124024693</v>
      </c>
      <c r="L1100">
        <v>-1.7569109985676068</v>
      </c>
      <c r="M1100">
        <v>0.81477695896359226</v>
      </c>
      <c r="N1100">
        <v>1.1690454825905805</v>
      </c>
      <c r="O1100">
        <v>-3.9872600000004366E-3</v>
      </c>
      <c r="P1100">
        <v>2.8171592224055741</v>
      </c>
      <c r="Q1100">
        <v>3.0593022106802259</v>
      </c>
      <c r="R1100">
        <v>3.1562970577572402</v>
      </c>
      <c r="S1100">
        <v>2.9618442980183568</v>
      </c>
      <c r="T1100">
        <v>2.8294219593808734</v>
      </c>
      <c r="U1100">
        <v>-4.1010342899383545E-7</v>
      </c>
      <c r="V1100">
        <v>3.4084233489984017</v>
      </c>
      <c r="W1100">
        <v>-0.32587268478578846</v>
      </c>
      <c r="X1100">
        <v>-0.55011031000000021</v>
      </c>
      <c r="Y1100">
        <v>0.13447809000000019</v>
      </c>
      <c r="Z1100">
        <v>0.536750324</v>
      </c>
    </row>
    <row r="1101" spans="1:26">
      <c r="A1101" s="54" t="str">
        <f>CONCATENATE(raw[[#This Row],[redis_ls]],raw[[#This Row],[wage_eq]],raw[[#This Row],[flex]],raw[[#This Row],[expo]],raw[[#This Row],[_date_]])</f>
        <v>001046753</v>
      </c>
      <c r="B1101" s="1">
        <v>46753</v>
      </c>
      <c r="C1101">
        <v>0</v>
      </c>
      <c r="D1101">
        <v>0</v>
      </c>
      <c r="E1101">
        <v>1</v>
      </c>
      <c r="F1101">
        <v>0</v>
      </c>
      <c r="G1101">
        <v>0.88715859666725905</v>
      </c>
      <c r="H1101">
        <v>229.29169000000184</v>
      </c>
      <c r="I1101">
        <v>-7.8017162639002047</v>
      </c>
      <c r="J1101">
        <v>1.1149916960063955</v>
      </c>
      <c r="K1101">
        <v>4.3988516637549768</v>
      </c>
      <c r="L1101">
        <v>-1.7114521038714359</v>
      </c>
      <c r="M1101">
        <v>0.78356284927176834</v>
      </c>
      <c r="N1101">
        <v>1.1116434969856037</v>
      </c>
      <c r="O1101">
        <v>-2.9677100000000123E-3</v>
      </c>
      <c r="P1101">
        <v>2.72616432432915</v>
      </c>
      <c r="Q1101">
        <v>2.9552512553909338</v>
      </c>
      <c r="R1101">
        <v>3.0411307598715576</v>
      </c>
      <c r="S1101">
        <v>2.8689890466968571</v>
      </c>
      <c r="T1101">
        <v>2.7342408920683736</v>
      </c>
      <c r="U1101">
        <v>-4.5949963833891161E-7</v>
      </c>
      <c r="V1101">
        <v>3.305805084847635</v>
      </c>
      <c r="W1101">
        <v>-0.30437071938087534</v>
      </c>
      <c r="X1101">
        <v>-0.54085373999999964</v>
      </c>
      <c r="Y1101">
        <v>0.12839301000000003</v>
      </c>
      <c r="Z1101">
        <v>0.49629166499999994</v>
      </c>
    </row>
    <row r="1102" spans="1:26">
      <c r="A1102" s="54" t="str">
        <f>CONCATENATE(raw[[#This Row],[redis_ls]],raw[[#This Row],[wage_eq]],raw[[#This Row],[flex]],raw[[#This Row],[expo]],raw[[#This Row],[_date_]])</f>
        <v>001047119</v>
      </c>
      <c r="B1102" s="1">
        <v>47119</v>
      </c>
      <c r="C1102">
        <v>0</v>
      </c>
      <c r="D1102">
        <v>0</v>
      </c>
      <c r="E1102">
        <v>1</v>
      </c>
      <c r="F1102">
        <v>0</v>
      </c>
      <c r="G1102">
        <v>0.86138542314186939</v>
      </c>
      <c r="H1102">
        <v>225.95247999999992</v>
      </c>
      <c r="I1102">
        <v>-7.664868426544091</v>
      </c>
      <c r="J1102">
        <v>1.0568045915620994</v>
      </c>
      <c r="K1102">
        <v>4.3361260495385912</v>
      </c>
      <c r="L1102">
        <v>-1.6627730217738002</v>
      </c>
      <c r="M1102">
        <v>0.74976383608971187</v>
      </c>
      <c r="N1102">
        <v>1.0544941643961581</v>
      </c>
      <c r="O1102">
        <v>-2.0490100000006284E-3</v>
      </c>
      <c r="P1102">
        <v>2.6323702209234412</v>
      </c>
      <c r="Q1102">
        <v>2.8477133726839909</v>
      </c>
      <c r="R1102">
        <v>2.9217327923756642</v>
      </c>
      <c r="S1102">
        <v>2.7733869439972914</v>
      </c>
      <c r="T1102">
        <v>2.6364829116380273</v>
      </c>
      <c r="U1102">
        <v>-4.5048984542717108E-7</v>
      </c>
      <c r="V1102">
        <v>3.1981652418956896</v>
      </c>
      <c r="W1102">
        <v>-0.28371279797148041</v>
      </c>
      <c r="X1102">
        <v>-0.53137889000000049</v>
      </c>
      <c r="Y1102">
        <v>0.12299262999999998</v>
      </c>
      <c r="Z1102">
        <v>0.45662520300000004</v>
      </c>
    </row>
    <row r="1103" spans="1:26">
      <c r="A1103" s="54" t="str">
        <f>CONCATENATE(raw[[#This Row],[redis_ls]],raw[[#This Row],[wage_eq]],raw[[#This Row],[flex]],raw[[#This Row],[expo]],raw[[#This Row],[_date_]])</f>
        <v>001047484</v>
      </c>
      <c r="B1103" s="1">
        <v>47484</v>
      </c>
      <c r="C1103">
        <v>0</v>
      </c>
      <c r="D1103">
        <v>0</v>
      </c>
      <c r="E1103">
        <v>1</v>
      </c>
      <c r="F1103">
        <v>0</v>
      </c>
      <c r="G1103">
        <v>0.83525992049169329</v>
      </c>
      <c r="H1103">
        <v>222.47639999999956</v>
      </c>
      <c r="I1103">
        <v>-7.5330701588167903</v>
      </c>
      <c r="J1103">
        <v>0.99934536526600226</v>
      </c>
      <c r="K1103">
        <v>4.2632723222387758</v>
      </c>
      <c r="L1103">
        <v>-1.611531491460616</v>
      </c>
      <c r="M1103">
        <v>0.71382668528325866</v>
      </c>
      <c r="N1103">
        <v>0.99796754896528395</v>
      </c>
      <c r="O1103">
        <v>-1.2226200000006737E-3</v>
      </c>
      <c r="P1103">
        <v>2.5367213925114651</v>
      </c>
      <c r="Q1103">
        <v>2.737812050573929</v>
      </c>
      <c r="R1103">
        <v>2.7994243729124513</v>
      </c>
      <c r="S1103">
        <v>2.6759627792748431</v>
      </c>
      <c r="T1103">
        <v>2.5370956965725444</v>
      </c>
      <c r="U1103">
        <v>-4.416567112031089E-7</v>
      </c>
      <c r="V1103">
        <v>3.0868297638006803</v>
      </c>
      <c r="W1103">
        <v>-0.26389165690461347</v>
      </c>
      <c r="X1103">
        <v>-0.52160271000000069</v>
      </c>
      <c r="Y1103">
        <v>0.11825422000000009</v>
      </c>
      <c r="Z1103">
        <v>0.41794404300000004</v>
      </c>
    </row>
    <row r="1104" spans="1:26">
      <c r="A1104" s="54" t="str">
        <f>CONCATENATE(raw[[#This Row],[redis_ls]],raw[[#This Row],[wage_eq]],raw[[#This Row],[flex]],raw[[#This Row],[expo]],raw[[#This Row],[_date_]])</f>
        <v>001047849</v>
      </c>
      <c r="B1104" s="1">
        <v>47849</v>
      </c>
      <c r="C1104">
        <v>0</v>
      </c>
      <c r="D1104">
        <v>0</v>
      </c>
      <c r="E1104">
        <v>1</v>
      </c>
      <c r="F1104">
        <v>0</v>
      </c>
      <c r="G1104">
        <v>0.8088765724394209</v>
      </c>
      <c r="H1104">
        <v>218.83356999999887</v>
      </c>
      <c r="I1104">
        <v>-7.4062299201271049</v>
      </c>
      <c r="J1104">
        <v>0.94293259566318177</v>
      </c>
      <c r="K1104">
        <v>4.181126365613741</v>
      </c>
      <c r="L1104">
        <v>-1.5583328408486197</v>
      </c>
      <c r="M1104">
        <v>0.67617008442217852</v>
      </c>
      <c r="N1104">
        <v>0.94239056224245665</v>
      </c>
      <c r="O1104">
        <v>-4.8121000000012071E-4</v>
      </c>
      <c r="P1104">
        <v>2.4400609818800323</v>
      </c>
      <c r="Q1104">
        <v>2.6265541508530443</v>
      </c>
      <c r="R1104">
        <v>2.6753907715229008</v>
      </c>
      <c r="S1104">
        <v>2.5775440066203803</v>
      </c>
      <c r="T1104">
        <v>2.4369242991264084</v>
      </c>
      <c r="U1104">
        <v>-4.3299677177088824E-7</v>
      </c>
      <c r="V1104">
        <v>2.9729906233630032</v>
      </c>
      <c r="W1104">
        <v>-0.2448997986155721</v>
      </c>
      <c r="X1104">
        <v>-0.51146339000000118</v>
      </c>
      <c r="Y1104">
        <v>0.11414951000000007</v>
      </c>
      <c r="Z1104">
        <v>0.38041742299999998</v>
      </c>
    </row>
    <row r="1105" spans="1:26">
      <c r="A1105" s="54" t="str">
        <f>CONCATENATE(raw[[#This Row],[redis_ls]],raw[[#This Row],[wage_eq]],raw[[#This Row],[flex]],raw[[#This Row],[expo]],raw[[#This Row],[_date_]])</f>
        <v>001048214</v>
      </c>
      <c r="B1105" s="1">
        <v>48214</v>
      </c>
      <c r="C1105">
        <v>0</v>
      </c>
      <c r="D1105">
        <v>0</v>
      </c>
      <c r="E1105">
        <v>1</v>
      </c>
      <c r="F1105">
        <v>0</v>
      </c>
      <c r="G1105">
        <v>0.78232984121551219</v>
      </c>
      <c r="H1105">
        <v>215.00239000000147</v>
      </c>
      <c r="I1105">
        <v>-7.2842323858940734</v>
      </c>
      <c r="J1105">
        <v>0.88784474037835182</v>
      </c>
      <c r="K1105">
        <v>4.0905423700388077</v>
      </c>
      <c r="L1105">
        <v>-1.5037295791305416</v>
      </c>
      <c r="M1105">
        <v>0.63718486664738894</v>
      </c>
      <c r="N1105">
        <v>0.88804887293432166</v>
      </c>
      <c r="O1105">
        <v>1.8135999999974173E-4</v>
      </c>
      <c r="P1105">
        <v>2.3431355088114669</v>
      </c>
      <c r="Q1105">
        <v>2.5148341696487497</v>
      </c>
      <c r="R1105">
        <v>2.5506865120322963</v>
      </c>
      <c r="S1105">
        <v>2.4788645028507972</v>
      </c>
      <c r="T1105">
        <v>2.3367152703758443</v>
      </c>
      <c r="U1105">
        <v>-4.7756997245684829E-7</v>
      </c>
      <c r="V1105">
        <v>2.8577107501723598</v>
      </c>
      <c r="W1105">
        <v>-0.2267295131029079</v>
      </c>
      <c r="X1105">
        <v>-0.50091912000000127</v>
      </c>
      <c r="Y1105">
        <v>0.11064560000000022</v>
      </c>
      <c r="Z1105">
        <v>0.34419181199999999</v>
      </c>
    </row>
    <row r="1106" spans="1:26">
      <c r="A1106" s="54" t="str">
        <f>CONCATENATE(raw[[#This Row],[redis_ls]],raw[[#This Row],[wage_eq]],raw[[#This Row],[flex]],raw[[#This Row],[expo]],raw[[#This Row],[_date_]])</f>
        <v>001048580</v>
      </c>
      <c r="B1106" s="1">
        <v>48580</v>
      </c>
      <c r="C1106">
        <v>0</v>
      </c>
      <c r="D1106">
        <v>0</v>
      </c>
      <c r="E1106">
        <v>1</v>
      </c>
      <c r="F1106">
        <v>0</v>
      </c>
      <c r="G1106">
        <v>0.75571300229335669</v>
      </c>
      <c r="H1106">
        <v>210.96889999999985</v>
      </c>
      <c r="I1106">
        <v>-7.1669373993572982</v>
      </c>
      <c r="J1106">
        <v>0.83432237626581696</v>
      </c>
      <c r="K1106">
        <v>3.9923826376360161</v>
      </c>
      <c r="L1106">
        <v>-1.448221953677753</v>
      </c>
      <c r="M1106">
        <v>0.5972340651039465</v>
      </c>
      <c r="N1106">
        <v>0.83518898235037664</v>
      </c>
      <c r="O1106">
        <v>7.7022000000009916E-4</v>
      </c>
      <c r="P1106">
        <v>2.2465998998841608</v>
      </c>
      <c r="Q1106">
        <v>2.4034401185769827</v>
      </c>
      <c r="R1106">
        <v>2.4262420545102525</v>
      </c>
      <c r="S1106">
        <v>2.380569877826666</v>
      </c>
      <c r="T1106">
        <v>2.237122268899272</v>
      </c>
      <c r="U1106">
        <v>-4.6820586296902889E-7</v>
      </c>
      <c r="V1106">
        <v>2.741929554940703</v>
      </c>
      <c r="W1106">
        <v>-0.20937324431596904</v>
      </c>
      <c r="X1106">
        <v>-0.48994627000000096</v>
      </c>
      <c r="Y1106">
        <v>0.10770593000000023</v>
      </c>
      <c r="Z1106">
        <v>0.30939178600000006</v>
      </c>
    </row>
    <row r="1107" spans="1:26">
      <c r="A1107" s="54" t="str">
        <f>CONCATENATE(raw[[#This Row],[redis_ls]],raw[[#This Row],[wage_eq]],raw[[#This Row],[flex]],raw[[#This Row],[expo]],raw[[#This Row],[_date_]])</f>
        <v>001048945</v>
      </c>
      <c r="B1107" s="1">
        <v>48945</v>
      </c>
      <c r="C1107">
        <v>0</v>
      </c>
      <c r="D1107">
        <v>0</v>
      </c>
      <c r="E1107">
        <v>1</v>
      </c>
      <c r="F1107">
        <v>0</v>
      </c>
      <c r="G1107">
        <v>0.72911694724726583</v>
      </c>
      <c r="H1107">
        <v>206.72610999999961</v>
      </c>
      <c r="I1107">
        <v>-7.0541804421492156</v>
      </c>
      <c r="J1107">
        <v>0.78256942001915242</v>
      </c>
      <c r="K1107">
        <v>3.887508329820033</v>
      </c>
      <c r="L1107">
        <v>-1.3922591685031072</v>
      </c>
      <c r="M1107">
        <v>0.55665285282422428</v>
      </c>
      <c r="N1107">
        <v>0.78401983231428662</v>
      </c>
      <c r="O1107">
        <v>1.2897899999989026E-3</v>
      </c>
      <c r="P1107">
        <v>2.1510234285562868</v>
      </c>
      <c r="Q1107">
        <v>2.2930601493558411</v>
      </c>
      <c r="R1107">
        <v>2.3028708447345947</v>
      </c>
      <c r="S1107">
        <v>2.2832225244700632</v>
      </c>
      <c r="T1107">
        <v>2.1387116037085319</v>
      </c>
      <c r="U1107">
        <v>-4.590253399605615E-7</v>
      </c>
      <c r="V1107">
        <v>2.6264707022326306</v>
      </c>
      <c r="W1107">
        <v>-0.19282358248680076</v>
      </c>
      <c r="X1107">
        <v>-0.47853738000000062</v>
      </c>
      <c r="Y1107">
        <v>0.10529124000000015</v>
      </c>
      <c r="Z1107">
        <v>0.27612084400000003</v>
      </c>
    </row>
    <row r="1108" spans="1:26">
      <c r="A1108" s="54" t="str">
        <f>CONCATENATE(raw[[#This Row],[redis_ls]],raw[[#This Row],[wage_eq]],raw[[#This Row],[flex]],raw[[#This Row],[expo]],raw[[#This Row],[_date_]])</f>
        <v>001049310</v>
      </c>
      <c r="B1108" s="1">
        <v>49310</v>
      </c>
      <c r="C1108">
        <v>0</v>
      </c>
      <c r="D1108">
        <v>0</v>
      </c>
      <c r="E1108">
        <v>1</v>
      </c>
      <c r="F1108">
        <v>0</v>
      </c>
      <c r="G1108">
        <v>0.70262919872241536</v>
      </c>
      <c r="H1108">
        <v>202.27323000000251</v>
      </c>
      <c r="I1108">
        <v>-6.9457744726758364</v>
      </c>
      <c r="J1108">
        <v>0.73275495095799226</v>
      </c>
      <c r="K1108">
        <v>3.7767711997069187</v>
      </c>
      <c r="L1108">
        <v>-1.3362411876028712</v>
      </c>
      <c r="M1108">
        <v>0.51574892922841009</v>
      </c>
      <c r="N1108">
        <v>0.73471513490326323</v>
      </c>
      <c r="O1108">
        <v>1.7439600000002109E-3</v>
      </c>
      <c r="P1108">
        <v>2.0568954297087272</v>
      </c>
      <c r="Q1108">
        <v>2.1842886120485572</v>
      </c>
      <c r="R1108">
        <v>2.1812772435855665</v>
      </c>
      <c r="S1108">
        <v>2.1873074809317883</v>
      </c>
      <c r="T1108">
        <v>2.0419685554616596</v>
      </c>
      <c r="U1108">
        <v>-4.5002483961553708E-7</v>
      </c>
      <c r="V1108">
        <v>2.5120491473893836</v>
      </c>
      <c r="W1108">
        <v>-0.17707316379342863</v>
      </c>
      <c r="X1108">
        <v>-0.46669894000000017</v>
      </c>
      <c r="Y1108">
        <v>0.10336036999999999</v>
      </c>
      <c r="Z1108">
        <v>0.24446227700000001</v>
      </c>
    </row>
    <row r="1109" spans="1:26">
      <c r="A1109" s="54" t="str">
        <f>CONCATENATE(raw[[#This Row],[redis_ls]],raw[[#This Row],[wage_eq]],raw[[#This Row],[flex]],raw[[#This Row],[expo]],raw[[#This Row],[_date_]])</f>
        <v>001049675</v>
      </c>
      <c r="B1109" s="1">
        <v>49675</v>
      </c>
      <c r="C1109">
        <v>0</v>
      </c>
      <c r="D1109">
        <v>0</v>
      </c>
      <c r="E1109">
        <v>1</v>
      </c>
      <c r="F1109">
        <v>0</v>
      </c>
      <c r="G1109">
        <v>0.67633306456811315</v>
      </c>
      <c r="H1109">
        <v>197.61482999999862</v>
      </c>
      <c r="I1109">
        <v>-6.8415125597543476</v>
      </c>
      <c r="J1109">
        <v>0.68501490301906554</v>
      </c>
      <c r="K1109">
        <v>3.6610064971663414</v>
      </c>
      <c r="L1109">
        <v>-1.2805209618205304</v>
      </c>
      <c r="M1109">
        <v>0.47480265071679906</v>
      </c>
      <c r="N1109">
        <v>0.68741493559822953</v>
      </c>
      <c r="O1109">
        <v>2.1363099999990864E-3</v>
      </c>
      <c r="P1109">
        <v>1.9646319656358102</v>
      </c>
      <c r="Q1109">
        <v>2.0776335956060654</v>
      </c>
      <c r="R1109">
        <v>2.0620640573929316</v>
      </c>
      <c r="S1109">
        <v>2.0932382828494189</v>
      </c>
      <c r="T1109">
        <v>1.947303606818318</v>
      </c>
      <c r="U1109">
        <v>-4.4120084252696756E-7</v>
      </c>
      <c r="V1109">
        <v>2.3992789543140658</v>
      </c>
      <c r="W1109">
        <v>-0.16211454887562482</v>
      </c>
      <c r="X1109">
        <v>-0.45444928000000079</v>
      </c>
      <c r="Y1109">
        <v>0.10187113000000025</v>
      </c>
      <c r="Z1109">
        <v>0.21448012999999996</v>
      </c>
    </row>
    <row r="1110" spans="1:26">
      <c r="A1110" s="54" t="str">
        <f>CONCATENATE(raw[[#This Row],[redis_ls]],raw[[#This Row],[wage_eq]],raw[[#This Row],[flex]],raw[[#This Row],[expo]],raw[[#This Row],[_date_]])</f>
        <v>001050041</v>
      </c>
      <c r="B1110" s="1">
        <v>50041</v>
      </c>
      <c r="C1110">
        <v>0</v>
      </c>
      <c r="D1110">
        <v>0</v>
      </c>
      <c r="E1110">
        <v>1</v>
      </c>
      <c r="F1110">
        <v>0</v>
      </c>
      <c r="G1110">
        <v>0.6503067510865046</v>
      </c>
      <c r="H1110">
        <v>192.76004000000103</v>
      </c>
      <c r="I1110">
        <v>-6.7411707446575093</v>
      </c>
      <c r="J1110">
        <v>0.6394544405004865</v>
      </c>
      <c r="K1110">
        <v>3.5410269135790262</v>
      </c>
      <c r="L1110">
        <v>-1.2254069759093267</v>
      </c>
      <c r="M1110">
        <v>0.43406789145816749</v>
      </c>
      <c r="N1110">
        <v>0.6422285113927062</v>
      </c>
      <c r="O1110">
        <v>2.4702899999992645E-3</v>
      </c>
      <c r="P1110">
        <v>1.8745814050023402</v>
      </c>
      <c r="Q1110">
        <v>1.9735235264831674</v>
      </c>
      <c r="R1110">
        <v>1.9457408005743027</v>
      </c>
      <c r="S1110">
        <v>2.0013627242296161</v>
      </c>
      <c r="T1110">
        <v>1.8550588457618922</v>
      </c>
      <c r="U1110">
        <v>-4.3254985149232539E-7</v>
      </c>
      <c r="V1110">
        <v>2.2886815229281599</v>
      </c>
      <c r="W1110">
        <v>-0.1479400642984019</v>
      </c>
      <c r="X1110">
        <v>-0.44181656000000097</v>
      </c>
      <c r="Y1110">
        <v>0.10078097000000008</v>
      </c>
      <c r="Z1110">
        <v>0.1862202959999999</v>
      </c>
    </row>
    <row r="1111" spans="1:26">
      <c r="A1111" s="54" t="str">
        <f>CONCATENATE(raw[[#This Row],[redis_ls]],raw[[#This Row],[wage_eq]],raw[[#This Row],[flex]],raw[[#This Row],[expo]],raw[[#This Row],[_date_]])</f>
        <v>001050406</v>
      </c>
      <c r="B1111" s="1">
        <v>50406</v>
      </c>
      <c r="C1111">
        <v>0</v>
      </c>
      <c r="D1111">
        <v>0</v>
      </c>
      <c r="E1111">
        <v>1</v>
      </c>
      <c r="F1111">
        <v>0</v>
      </c>
      <c r="G1111">
        <v>0.62462288016467138</v>
      </c>
      <c r="H1111">
        <v>187.72179999999935</v>
      </c>
      <c r="I1111">
        <v>-6.6445117784971197</v>
      </c>
      <c r="J1111">
        <v>0.59614988369260935</v>
      </c>
      <c r="K1111">
        <v>3.4176173584669733</v>
      </c>
      <c r="L1111">
        <v>-1.1711660634435295</v>
      </c>
      <c r="M1111">
        <v>0.39377253196877238</v>
      </c>
      <c r="N1111">
        <v>0.59923596586077821</v>
      </c>
      <c r="O1111">
        <v>2.7493399999994894E-3</v>
      </c>
      <c r="P1111">
        <v>1.7870311167489161</v>
      </c>
      <c r="Q1111">
        <v>1.8723141588313341</v>
      </c>
      <c r="R1111">
        <v>1.8327314641891412</v>
      </c>
      <c r="S1111">
        <v>1.911968802967845</v>
      </c>
      <c r="T1111">
        <v>1.7655141191565304</v>
      </c>
      <c r="U1111">
        <v>-4.7118717816374556E-7</v>
      </c>
      <c r="V1111">
        <v>2.1806934668367361</v>
      </c>
      <c r="W1111">
        <v>-0.13454164957220627</v>
      </c>
      <c r="X1111">
        <v>-0.42883687000000031</v>
      </c>
      <c r="Y1111">
        <v>0.10004756999999996</v>
      </c>
      <c r="Z1111">
        <v>0.15971171999999995</v>
      </c>
    </row>
    <row r="1112" spans="1:26">
      <c r="A1112" s="54" t="str">
        <f>CONCATENATE(raw[[#This Row],[redis_ls]],raw[[#This Row],[wage_eq]],raw[[#This Row],[flex]],raw[[#This Row],[expo]],raw[[#This Row],[_date_]])</f>
        <v>001050771</v>
      </c>
      <c r="B1112" s="1">
        <v>50771</v>
      </c>
      <c r="C1112">
        <v>0</v>
      </c>
      <c r="D1112">
        <v>0</v>
      </c>
      <c r="E1112">
        <v>1</v>
      </c>
      <c r="F1112">
        <v>0</v>
      </c>
      <c r="G1112">
        <v>0.59934833989165881</v>
      </c>
      <c r="H1112">
        <v>182.51611000000048</v>
      </c>
      <c r="I1112">
        <v>-6.551288217418783</v>
      </c>
      <c r="J1112">
        <v>0.55515112855344384</v>
      </c>
      <c r="K1112">
        <v>3.2915309372939516</v>
      </c>
      <c r="L1112">
        <v>-1.1180262254643525</v>
      </c>
      <c r="M1112">
        <v>0.35411970124017422</v>
      </c>
      <c r="N1112">
        <v>0.55849130367870981</v>
      </c>
      <c r="O1112">
        <v>2.9769099999993331E-3</v>
      </c>
      <c r="P1112">
        <v>1.7022129055334734</v>
      </c>
      <c r="Q1112">
        <v>1.7742953043294429</v>
      </c>
      <c r="R1112">
        <v>1.7233827882609853</v>
      </c>
      <c r="S1112">
        <v>1.8252901867030102</v>
      </c>
      <c r="T1112">
        <v>1.6788932057652417</v>
      </c>
      <c r="U1112">
        <v>-4.6194823521972239E-7</v>
      </c>
      <c r="V1112">
        <v>2.0756740937478702</v>
      </c>
      <c r="W1112">
        <v>-0.12191123036864315</v>
      </c>
      <c r="X1112">
        <v>-0.41555249999999933</v>
      </c>
      <c r="Y1112">
        <v>9.9629380000000253E-2</v>
      </c>
      <c r="Z1112">
        <v>0.13496772199999996</v>
      </c>
    </row>
    <row r="1113" spans="1:26">
      <c r="A1113" s="54" t="str">
        <f>CONCATENATE(raw[[#This Row],[redis_ls]],raw[[#This Row],[wage_eq]],raw[[#This Row],[flex]],raw[[#This Row],[expo]],raw[[#This Row],[_date_]])</f>
        <v>001051136</v>
      </c>
      <c r="B1113" s="1">
        <v>51136</v>
      </c>
      <c r="C1113">
        <v>0</v>
      </c>
      <c r="D1113">
        <v>0</v>
      </c>
      <c r="E1113">
        <v>1</v>
      </c>
      <c r="F1113">
        <v>0</v>
      </c>
      <c r="G1113">
        <v>0.57454373220473531</v>
      </c>
      <c r="H1113">
        <v>177.16145999999935</v>
      </c>
      <c r="I1113">
        <v>-6.4612457920665385</v>
      </c>
      <c r="J1113">
        <v>0.51648432149693502</v>
      </c>
      <c r="K1113">
        <v>3.1634854954125213</v>
      </c>
      <c r="L1113">
        <v>-1.0661795757252346</v>
      </c>
      <c r="M1113">
        <v>0.31528862978018601</v>
      </c>
      <c r="N1113">
        <v>0.52002469420069364</v>
      </c>
      <c r="O1113">
        <v>3.1565699999999697E-3</v>
      </c>
      <c r="P1113">
        <v>1.6203087934188787</v>
      </c>
      <c r="Q1113">
        <v>1.6796973986983765</v>
      </c>
      <c r="R1113">
        <v>1.6179711053100121</v>
      </c>
      <c r="S1113">
        <v>1.7415117786511169</v>
      </c>
      <c r="T1113">
        <v>1.5953694317541567</v>
      </c>
      <c r="U1113">
        <v>-4.5289041405993657E-7</v>
      </c>
      <c r="V1113">
        <v>1.9739133924784102</v>
      </c>
      <c r="W1113">
        <v>-0.11003964932487786</v>
      </c>
      <c r="X1113">
        <v>-0.40201044999999963</v>
      </c>
      <c r="Y1113">
        <v>9.9486010000000152E-2</v>
      </c>
      <c r="Z1113">
        <v>0.11198738299999988</v>
      </c>
    </row>
    <row r="1114" spans="1:26">
      <c r="A1114" s="54" t="str">
        <f>CONCATENATE(raw[[#This Row],[redis_ls]],raw[[#This Row],[wage_eq]],raw[[#This Row],[flex]],raw[[#This Row],[expo]],raw[[#This Row],[_date_]])</f>
        <v>001051502</v>
      </c>
      <c r="B1114" s="1">
        <v>51502</v>
      </c>
      <c r="C1114">
        <v>0</v>
      </c>
      <c r="D1114">
        <v>0</v>
      </c>
      <c r="E1114">
        <v>1</v>
      </c>
      <c r="F1114">
        <v>0</v>
      </c>
      <c r="G1114">
        <v>0.5502636339445921</v>
      </c>
      <c r="H1114">
        <v>171.67817999999897</v>
      </c>
      <c r="I1114">
        <v>-6.374126697986215</v>
      </c>
      <c r="J1114">
        <v>0.480154084848472</v>
      </c>
      <c r="K1114">
        <v>3.0341611184149908</v>
      </c>
      <c r="L1114">
        <v>-1.0157854638198627</v>
      </c>
      <c r="M1114">
        <v>0.2774363789471046</v>
      </c>
      <c r="N1114">
        <v>0.48384497459750264</v>
      </c>
      <c r="O1114">
        <v>3.2919600000000382E-3</v>
      </c>
      <c r="P1114">
        <v>1.5414564774879569</v>
      </c>
      <c r="Q1114">
        <v>1.588697563854069</v>
      </c>
      <c r="R1114">
        <v>1.5167101430213936</v>
      </c>
      <c r="S1114">
        <v>1.6607747636788295</v>
      </c>
      <c r="T1114">
        <v>1.5150714372376139</v>
      </c>
      <c r="U1114">
        <v>-4.8841123367893147E-7</v>
      </c>
      <c r="V1114">
        <v>1.8756391400131855</v>
      </c>
      <c r="W1114">
        <v>-9.8917416187738194E-2</v>
      </c>
      <c r="X1114">
        <v>-0.38826106000000027</v>
      </c>
      <c r="Y1114">
        <v>9.9578640000000038E-2</v>
      </c>
      <c r="Z1114">
        <v>9.0756979999999987E-2</v>
      </c>
    </row>
    <row r="1115" spans="1:26">
      <c r="A1115" s="54" t="str">
        <f>CONCATENATE(raw[[#This Row],[redis_ls]],raw[[#This Row],[wage_eq]],raw[[#This Row],[flex]],raw[[#This Row],[expo]],raw[[#This Row],[_date_]])</f>
        <v>001051867</v>
      </c>
      <c r="B1115" s="1">
        <v>51867</v>
      </c>
      <c r="C1115">
        <v>0</v>
      </c>
      <c r="D1115">
        <v>0</v>
      </c>
      <c r="E1115">
        <v>1</v>
      </c>
      <c r="F1115">
        <v>0</v>
      </c>
      <c r="G1115">
        <v>0.52655649588644327</v>
      </c>
      <c r="H1115">
        <v>166.0879700000005</v>
      </c>
      <c r="I1115">
        <v>-6.2896723744319978</v>
      </c>
      <c r="J1115">
        <v>0.44614613744944354</v>
      </c>
      <c r="K1115">
        <v>2.9041981400220296</v>
      </c>
      <c r="L1115">
        <v>-0.96697322180077094</v>
      </c>
      <c r="M1115">
        <v>0.24069845176835081</v>
      </c>
      <c r="N1115">
        <v>0.44994208178601447</v>
      </c>
      <c r="O1115">
        <v>3.3867799999989789E-3</v>
      </c>
      <c r="P1115">
        <v>1.4657543999832656</v>
      </c>
      <c r="Q1115">
        <v>1.5014255687753497</v>
      </c>
      <c r="R1115">
        <v>1.419757507551167</v>
      </c>
      <c r="S1115">
        <v>1.5831817363859857</v>
      </c>
      <c r="T1115">
        <v>1.438088385052616</v>
      </c>
      <c r="U1115">
        <v>-4.7883453868635684E-7</v>
      </c>
      <c r="V1115">
        <v>1.7810235169554156</v>
      </c>
      <c r="W1115">
        <v>-8.8534158901298898E-2</v>
      </c>
      <c r="X1115">
        <v>-0.37435682000000053</v>
      </c>
      <c r="Y1115">
        <v>9.9870180000000142E-2</v>
      </c>
      <c r="Z1115">
        <v>7.1251436000000112E-2</v>
      </c>
    </row>
    <row r="1116" spans="1:26">
      <c r="A1116" s="54" t="str">
        <f>CONCATENATE(raw[[#This Row],[redis_ls]],raw[[#This Row],[wage_eq]],raw[[#This Row],[flex]],raw[[#This Row],[expo]],raw[[#This Row],[_date_]])</f>
        <v>001052232</v>
      </c>
      <c r="B1116" s="1">
        <v>52232</v>
      </c>
      <c r="C1116">
        <v>0</v>
      </c>
      <c r="D1116">
        <v>0</v>
      </c>
      <c r="E1116">
        <v>1</v>
      </c>
      <c r="F1116">
        <v>0</v>
      </c>
      <c r="G1116">
        <v>0.503464797831632</v>
      </c>
      <c r="H1116">
        <v>160.41340000000127</v>
      </c>
      <c r="I1116">
        <v>-6.207626119011211</v>
      </c>
      <c r="J1116">
        <v>0.41442979757315701</v>
      </c>
      <c r="K1116">
        <v>2.7741959547817663</v>
      </c>
      <c r="L1116">
        <v>-0.91984527359378898</v>
      </c>
      <c r="M1116">
        <v>0.20519076800338265</v>
      </c>
      <c r="N1116">
        <v>0.4182895455037805</v>
      </c>
      <c r="O1116">
        <v>3.4447799999989814E-3</v>
      </c>
      <c r="P1116">
        <v>1.3932664367540371</v>
      </c>
      <c r="Q1116">
        <v>1.4179694752618266</v>
      </c>
      <c r="R1116">
        <v>1.327221451736782</v>
      </c>
      <c r="S1116">
        <v>1.5088008036356015</v>
      </c>
      <c r="T1116">
        <v>1.3644746109843453</v>
      </c>
      <c r="U1116">
        <v>-5.1212251106491635E-7</v>
      </c>
      <c r="V1116">
        <v>1.690190002232117</v>
      </c>
      <c r="W1116">
        <v>-7.8878639355417501E-2</v>
      </c>
      <c r="X1116">
        <v>-0.3603513700000005</v>
      </c>
      <c r="Y1116">
        <v>0.1003256000000001</v>
      </c>
      <c r="Z1116">
        <v>5.3435749000000074E-2</v>
      </c>
    </row>
    <row r="1117" spans="1:26">
      <c r="A1117" s="54" t="str">
        <f>CONCATENATE(raw[[#This Row],[redis_ls]],raw[[#This Row],[wage_eq]],raw[[#This Row],[flex]],raw[[#This Row],[expo]],raw[[#This Row],[_date_]])</f>
        <v>001052597</v>
      </c>
      <c r="B1117" s="1">
        <v>52597</v>
      </c>
      <c r="C1117">
        <v>0</v>
      </c>
      <c r="D1117">
        <v>0</v>
      </c>
      <c r="E1117">
        <v>1</v>
      </c>
      <c r="F1117">
        <v>0</v>
      </c>
      <c r="G1117">
        <v>0.48102531730591647</v>
      </c>
      <c r="H1117">
        <v>154.67757999999958</v>
      </c>
      <c r="I1117">
        <v>-6.1277354767927061</v>
      </c>
      <c r="J1117">
        <v>0.38496018512503838</v>
      </c>
      <c r="K1117">
        <v>2.6447121925660344</v>
      </c>
      <c r="L1117">
        <v>-0.87447929988648809</v>
      </c>
      <c r="M1117">
        <v>0.17101109693118399</v>
      </c>
      <c r="N1117">
        <v>0.38884666538838708</v>
      </c>
      <c r="O1117">
        <v>3.4696699999989256E-3</v>
      </c>
      <c r="P1117">
        <v>1.3240264106176403</v>
      </c>
      <c r="Q1117">
        <v>1.3383803580398812</v>
      </c>
      <c r="R1117">
        <v>1.2391665803948904</v>
      </c>
      <c r="S1117">
        <v>1.4376704527467643</v>
      </c>
      <c r="T1117">
        <v>1.2942543536418993</v>
      </c>
      <c r="U1117">
        <v>-5.0208086577185895E-7</v>
      </c>
      <c r="V1117">
        <v>1.6032191064310419</v>
      </c>
      <c r="W1117">
        <v>-6.993870570927152E-2</v>
      </c>
      <c r="X1117">
        <v>-0.3462985899999993</v>
      </c>
      <c r="Y1117">
        <v>0.10091196000000004</v>
      </c>
      <c r="Z1117">
        <v>3.7266383999999972E-2</v>
      </c>
    </row>
    <row r="1118" spans="1:26">
      <c r="A1118" s="54" t="str">
        <f>CONCATENATE(raw[[#This Row],[redis_ls]],raw[[#This Row],[wage_eq]],raw[[#This Row],[flex]],raw[[#This Row],[expo]],raw[[#This Row],[_date_]])</f>
        <v>001052963</v>
      </c>
      <c r="B1118" s="1">
        <v>52963</v>
      </c>
      <c r="C1118">
        <v>0</v>
      </c>
      <c r="D1118">
        <v>0</v>
      </c>
      <c r="E1118">
        <v>1</v>
      </c>
      <c r="F1118">
        <v>0</v>
      </c>
      <c r="G1118">
        <v>0.45926928884554297</v>
      </c>
      <c r="H1118">
        <v>148.90374999999767</v>
      </c>
      <c r="I1118">
        <v>-6.0497543321830882</v>
      </c>
      <c r="J1118">
        <v>0.35768057955680721</v>
      </c>
      <c r="K1118">
        <v>2.516262438874084</v>
      </c>
      <c r="L1118">
        <v>-0.83093186034812749</v>
      </c>
      <c r="M1118">
        <v>0.13824001113962314</v>
      </c>
      <c r="N1118">
        <v>0.36156089760361887</v>
      </c>
      <c r="O1118">
        <v>3.4651099999991053E-3</v>
      </c>
      <c r="P1118">
        <v>1.2580419605713988</v>
      </c>
      <c r="Q1118">
        <v>1.2626777576552506</v>
      </c>
      <c r="R1118">
        <v>1.1556195909586231</v>
      </c>
      <c r="S1118">
        <v>1.3698029502106968</v>
      </c>
      <c r="T1118">
        <v>1.2274257738245087</v>
      </c>
      <c r="U1118">
        <v>-5.3325585058772162E-7</v>
      </c>
      <c r="V1118">
        <v>1.5201540667048707</v>
      </c>
      <c r="W1118">
        <v>-6.1701192409813199E-2</v>
      </c>
      <c r="X1118">
        <v>-0.33225184000000019</v>
      </c>
      <c r="Y1118">
        <v>0.1015986</v>
      </c>
      <c r="Z1118">
        <v>2.2692602000000048E-2</v>
      </c>
    </row>
    <row r="1119" spans="1:26">
      <c r="A1119" s="54" t="str">
        <f>CONCATENATE(raw[[#This Row],[redis_ls]],raw[[#This Row],[wage_eq]],raw[[#This Row],[flex]],raw[[#This Row],[expo]],raw[[#This Row],[_date_]])</f>
        <v>001053328</v>
      </c>
      <c r="B1119" s="1">
        <v>53328</v>
      </c>
      <c r="C1119">
        <v>0</v>
      </c>
      <c r="D1119">
        <v>0</v>
      </c>
      <c r="E1119">
        <v>1</v>
      </c>
      <c r="F1119">
        <v>0</v>
      </c>
      <c r="G1119">
        <v>0.43822277530407572</v>
      </c>
      <c r="H1119">
        <v>143.11495999999897</v>
      </c>
      <c r="I1119">
        <v>-5.9734445240634422</v>
      </c>
      <c r="J1119">
        <v>0.33252433698864881</v>
      </c>
      <c r="K1119">
        <v>2.389320322353794</v>
      </c>
      <c r="L1119">
        <v>-0.78923989858192822</v>
      </c>
      <c r="M1119">
        <v>0.10694260032537706</v>
      </c>
      <c r="N1119">
        <v>0.33636957815625923</v>
      </c>
      <c r="O1119">
        <v>3.4346599999998673E-3</v>
      </c>
      <c r="P1119">
        <v>1.1952985163420582</v>
      </c>
      <c r="Q1119">
        <v>1.1908532282651985</v>
      </c>
      <c r="R1119">
        <v>1.0765744901360286</v>
      </c>
      <c r="S1119">
        <v>1.3051883088400773</v>
      </c>
      <c r="T1119">
        <v>1.1639650707258031</v>
      </c>
      <c r="U1119">
        <v>-5.2279984785741362E-7</v>
      </c>
      <c r="V1119">
        <v>1.4410059773948047</v>
      </c>
      <c r="W1119">
        <v>-5.4151973630867101E-2</v>
      </c>
      <c r="X1119">
        <v>-0.31826331999999929</v>
      </c>
      <c r="Y1119">
        <v>0.10235711000000022</v>
      </c>
      <c r="Z1119">
        <v>9.6577110000000896E-3</v>
      </c>
    </row>
    <row r="1120" spans="1:26">
      <c r="A1120" s="54" t="str">
        <f>CONCATENATE(raw[[#This Row],[redis_ls]],raw[[#This Row],[wage_eq]],raw[[#This Row],[flex]],raw[[#This Row],[expo]],raw[[#This Row],[_date_]])</f>
        <v>001053693</v>
      </c>
      <c r="B1120" s="1">
        <v>53693</v>
      </c>
      <c r="C1120">
        <v>0</v>
      </c>
      <c r="D1120">
        <v>0</v>
      </c>
      <c r="E1120">
        <v>1</v>
      </c>
      <c r="F1120">
        <v>0</v>
      </c>
      <c r="G1120">
        <v>0.41790692013392583</v>
      </c>
      <c r="H1120">
        <v>137.33387999999832</v>
      </c>
      <c r="I1120">
        <v>-5.8985775740922559</v>
      </c>
      <c r="J1120">
        <v>0.30941699612814233</v>
      </c>
      <c r="K1120">
        <v>2.264318016322564</v>
      </c>
      <c r="L1120">
        <v>-0.74942345004049837</v>
      </c>
      <c r="M1120">
        <v>7.7169911969110494E-2</v>
      </c>
      <c r="N1120">
        <v>0.31320214411150182</v>
      </c>
      <c r="O1120">
        <v>3.3817399999996889E-3</v>
      </c>
      <c r="P1120">
        <v>1.1357623157363772</v>
      </c>
      <c r="Q1120">
        <v>1.1228750621478767</v>
      </c>
      <c r="R1120">
        <v>1.0019969952540286</v>
      </c>
      <c r="S1120">
        <v>1.2437974056643597</v>
      </c>
      <c r="T1120">
        <v>1.1038294572847773</v>
      </c>
      <c r="U1120">
        <v>-5.1254887001306315E-7</v>
      </c>
      <c r="V1120">
        <v>1.3657586108742459</v>
      </c>
      <c r="W1120">
        <v>-4.7275841662153262E-2</v>
      </c>
      <c r="X1120">
        <v>-0.3043835100000003</v>
      </c>
      <c r="Y1120">
        <v>0.1031614400000002</v>
      </c>
      <c r="Z1120">
        <v>-1.8997649999999769E-3</v>
      </c>
    </row>
    <row r="1121" spans="1:26">
      <c r="A1121" s="54" t="str">
        <f>CONCATENATE(raw[[#This Row],[redis_ls]],raw[[#This Row],[wage_eq]],raw[[#This Row],[flex]],raw[[#This Row],[expo]],raw[[#This Row],[_date_]])</f>
        <v>001054058</v>
      </c>
      <c r="B1121" s="1">
        <v>54058</v>
      </c>
      <c r="C1121">
        <v>0</v>
      </c>
      <c r="D1121">
        <v>0</v>
      </c>
      <c r="E1121">
        <v>1</v>
      </c>
      <c r="F1121">
        <v>0</v>
      </c>
      <c r="G1121">
        <v>0.39833827294832869</v>
      </c>
      <c r="H1121">
        <v>131.58252999999968</v>
      </c>
      <c r="I1121">
        <v>-5.8249357956418173</v>
      </c>
      <c r="J1121">
        <v>0.28827782769398347</v>
      </c>
      <c r="K1121">
        <v>2.1416468744126282</v>
      </c>
      <c r="L1121">
        <v>-0.71148838196299913</v>
      </c>
      <c r="M1121">
        <v>4.8959842816742594E-2</v>
      </c>
      <c r="N1121">
        <v>0.29198139754227359</v>
      </c>
      <c r="O1121">
        <v>3.3095999999996351E-3</v>
      </c>
      <c r="P1121">
        <v>1.0793839244109371</v>
      </c>
      <c r="Q1121">
        <v>1.0586914054919516</v>
      </c>
      <c r="R1121">
        <v>0.93182910497557891</v>
      </c>
      <c r="S1121">
        <v>1.1855848998873819</v>
      </c>
      <c r="T1121">
        <v>1.0469605701673101</v>
      </c>
      <c r="U1121">
        <v>-5.4115264491727544E-7</v>
      </c>
      <c r="V1121">
        <v>1.2943724168749338</v>
      </c>
      <c r="W1121">
        <v>-4.1056516402393495E-2</v>
      </c>
      <c r="X1121">
        <v>-0.29066074000000108</v>
      </c>
      <c r="Y1121">
        <v>0.10398778999999997</v>
      </c>
      <c r="Z1121">
        <v>-1.2045016999999957E-2</v>
      </c>
    </row>
    <row r="1122" spans="1:26">
      <c r="A1122" s="54" t="str">
        <f>CONCATENATE(raw[[#This Row],[redis_ls]],raw[[#This Row],[wage_eq]],raw[[#This Row],[flex]],raw[[#This Row],[expo]],raw[[#This Row],[_date_]])</f>
        <v>001054424</v>
      </c>
      <c r="B1122" s="1">
        <v>54424</v>
      </c>
      <c r="C1122">
        <v>0</v>
      </c>
      <c r="D1122">
        <v>0</v>
      </c>
      <c r="E1122">
        <v>1</v>
      </c>
      <c r="F1122">
        <v>0</v>
      </c>
      <c r="G1122">
        <v>0.3795290998524159</v>
      </c>
      <c r="H1122">
        <v>125.8820999999989</v>
      </c>
      <c r="I1122">
        <v>-5.7523133108906226</v>
      </c>
      <c r="J1122">
        <v>0.26902145031812985</v>
      </c>
      <c r="K1122">
        <v>2.0216585141027421</v>
      </c>
      <c r="L1122">
        <v>-0.67542718655974054</v>
      </c>
      <c r="M1122">
        <v>2.2338810758948391E-2</v>
      </c>
      <c r="N1122">
        <v>0.27262547523212444</v>
      </c>
      <c r="O1122">
        <v>3.2212800000000485E-3</v>
      </c>
      <c r="P1122">
        <v>1.0261005323749517</v>
      </c>
      <c r="Q1122">
        <v>0.99823374672558529</v>
      </c>
      <c r="R1122">
        <v>0.86599278839898375</v>
      </c>
      <c r="S1122">
        <v>1.1304921753368502</v>
      </c>
      <c r="T1122">
        <v>0.99328727916365711</v>
      </c>
      <c r="U1122">
        <v>-5.3054182158618346E-7</v>
      </c>
      <c r="V1122">
        <v>1.2267883970596527</v>
      </c>
      <c r="W1122">
        <v>-3.5476891457886239E-2</v>
      </c>
      <c r="X1122">
        <v>-0.27714078000000003</v>
      </c>
      <c r="Y1122">
        <v>0.10481464000000017</v>
      </c>
      <c r="Z1122">
        <v>-2.0845979999999965E-2</v>
      </c>
    </row>
    <row r="1123" spans="1:26">
      <c r="A1123" s="54" t="str">
        <f>CONCATENATE(raw[[#This Row],[redis_ls]],raw[[#This Row],[wage_eq]],raw[[#This Row],[flex]],raw[[#This Row],[expo]],raw[[#This Row],[_date_]])</f>
        <v>001054789</v>
      </c>
      <c r="B1123" s="1">
        <v>54789</v>
      </c>
      <c r="C1123">
        <v>0</v>
      </c>
      <c r="D1123">
        <v>0</v>
      </c>
      <c r="E1123">
        <v>1</v>
      </c>
      <c r="F1123">
        <v>0</v>
      </c>
      <c r="G1123">
        <v>0.36148764179566584</v>
      </c>
      <c r="H1123">
        <v>120.25274999999965</v>
      </c>
      <c r="I1123">
        <v>-5.6805169014359169</v>
      </c>
      <c r="J1123">
        <v>0.25155920303678858</v>
      </c>
      <c r="K1123">
        <v>1.9046661667547093</v>
      </c>
      <c r="L1123">
        <v>-0.64122199877820751</v>
      </c>
      <c r="M1123">
        <v>-2.6774323360623242E-3</v>
      </c>
      <c r="N1123">
        <v>0.25504894580987703</v>
      </c>
      <c r="O1123">
        <v>3.1195999999997226E-3</v>
      </c>
      <c r="P1123">
        <v>0.97583859679235552</v>
      </c>
      <c r="Q1123">
        <v>0.9414197702972027</v>
      </c>
      <c r="R1123">
        <v>0.80439326515808762</v>
      </c>
      <c r="S1123">
        <v>1.0784493962771036</v>
      </c>
      <c r="T1123">
        <v>0.94272806962383271</v>
      </c>
      <c r="U1123">
        <v>-5.201390207432155E-7</v>
      </c>
      <c r="V1123">
        <v>1.1629317320348997</v>
      </c>
      <c r="W1123">
        <v>-3.0518640036258926E-2</v>
      </c>
      <c r="X1123">
        <v>-0.26386654000000037</v>
      </c>
      <c r="Y1123">
        <v>0.1056226900000002</v>
      </c>
      <c r="Z1123">
        <v>-2.8372456000000032E-2</v>
      </c>
    </row>
    <row r="1124" spans="1:26">
      <c r="A1124" s="54" t="str">
        <f>CONCATENATE(raw[[#This Row],[redis_ls]],raw[[#This Row],[wage_eq]],raw[[#This Row],[flex]],raw[[#This Row],[expo]],raw[[#This Row],[_date_]])</f>
        <v>000136526</v>
      </c>
      <c r="B1124" s="1">
        <v>36526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>
      <c r="A1125" s="54" t="str">
        <f>CONCATENATE(raw[[#This Row],[redis_ls]],raw[[#This Row],[wage_eq]],raw[[#This Row],[flex]],raw[[#This Row],[expo]],raw[[#This Row],[_date_]])</f>
        <v>000136892</v>
      </c>
      <c r="B1125" s="1">
        <v>36892</v>
      </c>
      <c r="C1125">
        <v>0</v>
      </c>
      <c r="D1125">
        <v>0</v>
      </c>
      <c r="E1125">
        <v>0</v>
      </c>
      <c r="F1125">
        <v>1</v>
      </c>
      <c r="G1125">
        <v>-5.4580996968645046E-3</v>
      </c>
      <c r="H1125">
        <v>22.059339999999793</v>
      </c>
      <c r="I1125">
        <v>-1.3045212542810436</v>
      </c>
      <c r="J1125">
        <v>4.9628800821377439E-2</v>
      </c>
      <c r="K1125">
        <v>-0.25071658940015729</v>
      </c>
      <c r="L1125">
        <v>-0.12371768811800798</v>
      </c>
      <c r="M1125">
        <v>-0.16400867046736378</v>
      </c>
      <c r="N1125">
        <v>6.9554912292746351E-2</v>
      </c>
      <c r="O1125">
        <v>1.7845739999999832E-2</v>
      </c>
      <c r="P1125">
        <v>0.45036548975454505</v>
      </c>
      <c r="Q1125">
        <v>6.3554509741603482E-2</v>
      </c>
      <c r="R1125">
        <v>-0.71785892086484449</v>
      </c>
      <c r="S1125">
        <v>0.84043470505839046</v>
      </c>
      <c r="T1125">
        <v>0.20669117626792577</v>
      </c>
      <c r="U1125">
        <v>-9.8039221185786118E-8</v>
      </c>
      <c r="V1125">
        <v>1.3951189128125208E-2</v>
      </c>
      <c r="W1125">
        <v>-0.37358650255496784</v>
      </c>
      <c r="X1125">
        <v>-6.5887559999999734E-2</v>
      </c>
      <c r="Y1125">
        <v>6.9098869999999896E-2</v>
      </c>
      <c r="Z1125">
        <v>-2.8385162999999998E-2</v>
      </c>
    </row>
    <row r="1126" spans="1:26">
      <c r="A1126" s="54" t="str">
        <f>CONCATENATE(raw[[#This Row],[redis_ls]],raw[[#This Row],[wage_eq]],raw[[#This Row],[flex]],raw[[#This Row],[expo]],raw[[#This Row],[_date_]])</f>
        <v>000137257</v>
      </c>
      <c r="B1126" s="1">
        <v>37257</v>
      </c>
      <c r="C1126">
        <v>0</v>
      </c>
      <c r="D1126">
        <v>0</v>
      </c>
      <c r="E1126">
        <v>0</v>
      </c>
      <c r="F1126">
        <v>1</v>
      </c>
      <c r="G1126">
        <v>-2.2952065689341161E-2</v>
      </c>
      <c r="H1126">
        <v>41.024300000000949</v>
      </c>
      <c r="I1126">
        <v>-2.1743181053399341</v>
      </c>
      <c r="J1126">
        <v>0.11416523300553649</v>
      </c>
      <c r="K1126">
        <v>-0.48761050233626646</v>
      </c>
      <c r="L1126">
        <v>-0.28632752369075476</v>
      </c>
      <c r="M1126">
        <v>-0.27342729380881448</v>
      </c>
      <c r="N1126">
        <v>0.13692197569301623</v>
      </c>
      <c r="O1126">
        <v>2.0367320000000411E-2</v>
      </c>
      <c r="P1126">
        <v>0.49698394800365975</v>
      </c>
      <c r="Q1126">
        <v>0.12378652429470005</v>
      </c>
      <c r="R1126">
        <v>-0.63637485460135146</v>
      </c>
      <c r="S1126">
        <v>0.88082525866892691</v>
      </c>
      <c r="T1126">
        <v>0.33432958445371863</v>
      </c>
      <c r="U1126">
        <v>-9.6116881120877906E-8</v>
      </c>
      <c r="V1126">
        <v>0.1616844366623349</v>
      </c>
      <c r="W1126">
        <v>-0.27183263430456961</v>
      </c>
      <c r="X1126">
        <v>-0.11677294999999921</v>
      </c>
      <c r="Y1126">
        <v>8.998292000000005E-2</v>
      </c>
      <c r="Z1126">
        <v>-3.45835000000079E-4</v>
      </c>
    </row>
    <row r="1127" spans="1:26">
      <c r="A1127" s="54" t="str">
        <f>CONCATENATE(raw[[#This Row],[redis_ls]],raw[[#This Row],[wage_eq]],raw[[#This Row],[flex]],raw[[#This Row],[expo]],raw[[#This Row],[_date_]])</f>
        <v>000137622</v>
      </c>
      <c r="B1127" s="1">
        <v>37622</v>
      </c>
      <c r="C1127">
        <v>0</v>
      </c>
      <c r="D1127">
        <v>0</v>
      </c>
      <c r="E1127">
        <v>0</v>
      </c>
      <c r="F1127">
        <v>1</v>
      </c>
      <c r="G1127">
        <v>-5.9412034573036454E-2</v>
      </c>
      <c r="H1127">
        <v>49.11478999999963</v>
      </c>
      <c r="I1127">
        <v>-2.717478436539722</v>
      </c>
      <c r="J1127">
        <v>0.16066962102185833</v>
      </c>
      <c r="K1127">
        <v>-0.6954807575446198</v>
      </c>
      <c r="L1127">
        <v>-0.45443210045088556</v>
      </c>
      <c r="M1127">
        <v>-0.33420826651104907</v>
      </c>
      <c r="N1127">
        <v>0.17011937346025352</v>
      </c>
      <c r="O1127">
        <v>8.4547200000006928E-3</v>
      </c>
      <c r="P1127">
        <v>0.55334599762408843</v>
      </c>
      <c r="Q1127">
        <v>0.19188443699653668</v>
      </c>
      <c r="R1127">
        <v>-0.54362810958149543</v>
      </c>
      <c r="S1127">
        <v>0.92523303544145286</v>
      </c>
      <c r="T1127">
        <v>0.42571399723172476</v>
      </c>
      <c r="U1127">
        <v>-9.4232244229885964E-8</v>
      </c>
      <c r="V1127">
        <v>0.31723653504869276</v>
      </c>
      <c r="W1127">
        <v>-0.1787801420316093</v>
      </c>
      <c r="X1127">
        <v>-0.13357327999999891</v>
      </c>
      <c r="Y1127">
        <v>8.8195089999999754E-2</v>
      </c>
      <c r="Z1127">
        <v>-9.2712729999999688E-3</v>
      </c>
    </row>
    <row r="1128" spans="1:26">
      <c r="A1128" s="54" t="str">
        <f>CONCATENATE(raw[[#This Row],[redis_ls]],raw[[#This Row],[wage_eq]],raw[[#This Row],[flex]],raw[[#This Row],[expo]],raw[[#This Row],[_date_]])</f>
        <v>000137987</v>
      </c>
      <c r="B1128" s="1">
        <v>37987</v>
      </c>
      <c r="C1128">
        <v>0</v>
      </c>
      <c r="D1128">
        <v>0</v>
      </c>
      <c r="E1128">
        <v>0</v>
      </c>
      <c r="F1128">
        <v>1</v>
      </c>
      <c r="G1128">
        <v>-0.11492380911162225</v>
      </c>
      <c r="H1128">
        <v>45.36786999999822</v>
      </c>
      <c r="I1128">
        <v>-3.0583596912547417</v>
      </c>
      <c r="J1128">
        <v>0.17165951820434788</v>
      </c>
      <c r="K1128">
        <v>-0.87760208565064168</v>
      </c>
      <c r="L1128">
        <v>-0.61284867462365611</v>
      </c>
      <c r="M1128">
        <v>-0.37393696747974881</v>
      </c>
      <c r="N1128">
        <v>0.16263868183750141</v>
      </c>
      <c r="O1128">
        <v>-8.071639999999991E-3</v>
      </c>
      <c r="P1128">
        <v>0.60993531343354057</v>
      </c>
      <c r="Q1128">
        <v>0.25971059422384979</v>
      </c>
      <c r="R1128">
        <v>-0.45010977745679748</v>
      </c>
      <c r="S1128">
        <v>0.96797003709134799</v>
      </c>
      <c r="T1128">
        <v>0.49437546184072367</v>
      </c>
      <c r="U1128">
        <v>-1.8476907781561636E-7</v>
      </c>
      <c r="V1128">
        <v>0.44898163891755605</v>
      </c>
      <c r="W1128">
        <v>-0.1144489762460843</v>
      </c>
      <c r="X1128">
        <v>-0.1172569200000001</v>
      </c>
      <c r="Y1128">
        <v>7.7457160000000275E-2</v>
      </c>
      <c r="Z1128">
        <v>-4.7380844000000089E-2</v>
      </c>
    </row>
    <row r="1129" spans="1:26">
      <c r="A1129" s="54" t="str">
        <f>CONCATENATE(raw[[#This Row],[redis_ls]],raw[[#This Row],[wage_eq]],raw[[#This Row],[flex]],raw[[#This Row],[expo]],raw[[#This Row],[_date_]])</f>
        <v>000138353</v>
      </c>
      <c r="B1129" s="1">
        <v>38353</v>
      </c>
      <c r="C1129">
        <v>0</v>
      </c>
      <c r="D1129">
        <v>0</v>
      </c>
      <c r="E1129">
        <v>0</v>
      </c>
      <c r="F1129">
        <v>1</v>
      </c>
      <c r="G1129">
        <v>-0.18294161089600358</v>
      </c>
      <c r="H1129">
        <v>31.902159999997821</v>
      </c>
      <c r="I1129">
        <v>-3.2752740007824355</v>
      </c>
      <c r="J1129">
        <v>0.14960696609380708</v>
      </c>
      <c r="K1129">
        <v>-1.0390892187450818</v>
      </c>
      <c r="L1129">
        <v>-0.75303172674026086</v>
      </c>
      <c r="M1129">
        <v>-0.40819724596732332</v>
      </c>
      <c r="N1129">
        <v>0.12778550510450515</v>
      </c>
      <c r="O1129">
        <v>-1.9531920000000202E-2</v>
      </c>
      <c r="P1129">
        <v>0.65803100344636878</v>
      </c>
      <c r="Q1129">
        <v>0.31815714763907543</v>
      </c>
      <c r="R1129">
        <v>-0.36723897181851761</v>
      </c>
      <c r="S1129">
        <v>1.0023582467770575</v>
      </c>
      <c r="T1129">
        <v>0.54376934847626401</v>
      </c>
      <c r="U1129">
        <v>-1.8114615363273856E-7</v>
      </c>
      <c r="V1129">
        <v>0.55130084548344893</v>
      </c>
      <c r="W1129">
        <v>-7.1859528405671114E-2</v>
      </c>
      <c r="X1129">
        <v>-7.6061620000000829E-2</v>
      </c>
      <c r="Y1129">
        <v>6.4553909999999839E-2</v>
      </c>
      <c r="Z1129">
        <v>-0.10132976599999989</v>
      </c>
    </row>
    <row r="1130" spans="1:26">
      <c r="A1130" s="54" t="str">
        <f>CONCATENATE(raw[[#This Row],[redis_ls]],raw[[#This Row],[wage_eq]],raw[[#This Row],[flex]],raw[[#This Row],[expo]],raw[[#This Row],[_date_]])</f>
        <v>000138718</v>
      </c>
      <c r="B1130" s="1">
        <v>38718</v>
      </c>
      <c r="C1130">
        <v>0</v>
      </c>
      <c r="D1130">
        <v>0</v>
      </c>
      <c r="E1130">
        <v>0</v>
      </c>
      <c r="F1130">
        <v>1</v>
      </c>
      <c r="G1130">
        <v>-0.25483660225983362</v>
      </c>
      <c r="H1130">
        <v>12.081279999998515</v>
      </c>
      <c r="I1130">
        <v>-3.4125375666890223</v>
      </c>
      <c r="J1130">
        <v>0.10567979956481732</v>
      </c>
      <c r="K1130">
        <v>-1.182234264819837</v>
      </c>
      <c r="L1130">
        <v>-0.8697680191559809</v>
      </c>
      <c r="M1130">
        <v>-0.44197987194761756</v>
      </c>
      <c r="N1130">
        <v>7.9471833723498975E-2</v>
      </c>
      <c r="O1130">
        <v>-2.3469619999999525E-2</v>
      </c>
      <c r="P1130">
        <v>0.69283638377342083</v>
      </c>
      <c r="Q1130">
        <v>0.36183057793417461</v>
      </c>
      <c r="R1130">
        <v>-0.30183363701169474</v>
      </c>
      <c r="S1130">
        <v>1.0245133183817146</v>
      </c>
      <c r="T1130">
        <v>0.57516348205763901</v>
      </c>
      <c r="U1130">
        <v>-2.6639142003404004E-7</v>
      </c>
      <c r="V1130">
        <v>0.62498016838448134</v>
      </c>
      <c r="W1130">
        <v>-4.2525730217701785E-2</v>
      </c>
      <c r="X1130">
        <v>-2.028886000000063E-2</v>
      </c>
      <c r="Y1130">
        <v>5.2369629999999764E-2</v>
      </c>
      <c r="Z1130">
        <v>-0.15968079200000002</v>
      </c>
    </row>
    <row r="1131" spans="1:26">
      <c r="A1131" s="54" t="str">
        <f>CONCATENATE(raw[[#This Row],[redis_ls]],raw[[#This Row],[wage_eq]],raw[[#This Row],[flex]],raw[[#This Row],[expo]],raw[[#This Row],[_date_]])</f>
        <v>000139083</v>
      </c>
      <c r="B1131" s="1">
        <v>39083</v>
      </c>
      <c r="C1131">
        <v>0</v>
      </c>
      <c r="D1131">
        <v>0</v>
      </c>
      <c r="E1131">
        <v>0</v>
      </c>
      <c r="F1131">
        <v>1</v>
      </c>
      <c r="G1131">
        <v>-0.32298370427740197</v>
      </c>
      <c r="H1131">
        <v>-10.603830000000016</v>
      </c>
      <c r="I1131">
        <v>-3.494988715610825</v>
      </c>
      <c r="J1131">
        <v>5.201296241517106E-2</v>
      </c>
      <c r="K1131">
        <v>-1.3070976303421689</v>
      </c>
      <c r="L1131">
        <v>-0.96042544395642526</v>
      </c>
      <c r="M1131">
        <v>-0.47494967389412057</v>
      </c>
      <c r="N1131">
        <v>2.8171289584366654E-2</v>
      </c>
      <c r="O1131">
        <v>-2.1361470000000327E-2</v>
      </c>
      <c r="P1131">
        <v>0.71301403107082439</v>
      </c>
      <c r="Q1131">
        <v>0.38911097377134496</v>
      </c>
      <c r="R1131">
        <v>-0.25603949576906704</v>
      </c>
      <c r="S1131">
        <v>1.0333959332843312</v>
      </c>
      <c r="T1131">
        <v>0.59024284685293971</v>
      </c>
      <c r="U1131">
        <v>-1.7411204700223948E-7</v>
      </c>
      <c r="V1131">
        <v>0.67248746618888688</v>
      </c>
      <c r="W1131">
        <v>-2.1217132491957447E-2</v>
      </c>
      <c r="X1131">
        <v>4.0426770000000223E-2</v>
      </c>
      <c r="Y1131">
        <v>4.197654000000009E-2</v>
      </c>
      <c r="Z1131">
        <v>-0.21429932600000001</v>
      </c>
    </row>
    <row r="1132" spans="1:26">
      <c r="A1132" s="54" t="str">
        <f>CONCATENATE(raw[[#This Row],[redis_ls]],raw[[#This Row],[wage_eq]],raw[[#This Row],[flex]],raw[[#This Row],[expo]],raw[[#This Row],[_date_]])</f>
        <v>000139448</v>
      </c>
      <c r="B1132" s="1">
        <v>39448</v>
      </c>
      <c r="C1132">
        <v>0</v>
      </c>
      <c r="D1132">
        <v>0</v>
      </c>
      <c r="E1132">
        <v>0</v>
      </c>
      <c r="F1132">
        <v>1</v>
      </c>
      <c r="G1132">
        <v>-0.38200515024757742</v>
      </c>
      <c r="H1132">
        <v>-33.180459999999584</v>
      </c>
      <c r="I1132">
        <v>-3.5372573031576704</v>
      </c>
      <c r="J1132">
        <v>-1.6243455389752803E-3</v>
      </c>
      <c r="K1132">
        <v>-1.4130797491752722</v>
      </c>
      <c r="L1132">
        <v>-1.024662397804188</v>
      </c>
      <c r="M1132">
        <v>-0.50505218256331474</v>
      </c>
      <c r="N1132">
        <v>-1.9180920172778837E-2</v>
      </c>
      <c r="O1132">
        <v>-1.5737700000000021E-2</v>
      </c>
      <c r="P1132">
        <v>0.71948785757345313</v>
      </c>
      <c r="Q1132">
        <v>0.40100843847292733</v>
      </c>
      <c r="R1132">
        <v>-0.22873371171777679</v>
      </c>
      <c r="S1132">
        <v>1.0299352495093395</v>
      </c>
      <c r="T1132">
        <v>0.59151781606863185</v>
      </c>
      <c r="U1132">
        <v>-2.5604711684223957E-7</v>
      </c>
      <c r="V1132">
        <v>0.69708752589763279</v>
      </c>
      <c r="W1132">
        <v>-5.3655154319098841E-3</v>
      </c>
      <c r="X1132">
        <v>9.8485909999999899E-2</v>
      </c>
      <c r="Y1132">
        <v>3.3671899999999921E-2</v>
      </c>
      <c r="Z1132">
        <v>-0.26013157099999995</v>
      </c>
    </row>
    <row r="1133" spans="1:26">
      <c r="A1133" s="54" t="str">
        <f>CONCATENATE(raw[[#This Row],[redis_ls]],raw[[#This Row],[wage_eq]],raw[[#This Row],[flex]],raw[[#This Row],[expo]],raw[[#This Row],[_date_]])</f>
        <v>000139814</v>
      </c>
      <c r="B1133" s="1">
        <v>39814</v>
      </c>
      <c r="C1133">
        <v>0</v>
      </c>
      <c r="D1133">
        <v>0</v>
      </c>
      <c r="E1133">
        <v>0</v>
      </c>
      <c r="F1133">
        <v>1</v>
      </c>
      <c r="G1133">
        <v>-0.42890300397306902</v>
      </c>
      <c r="H1133">
        <v>-53.481449999999313</v>
      </c>
      <c r="I1133">
        <v>-3.5488410005609317</v>
      </c>
      <c r="J1133">
        <v>-4.8664755603111676E-2</v>
      </c>
      <c r="K1133">
        <v>-1.5000028562374701</v>
      </c>
      <c r="L1133">
        <v>-1.0640315011742008</v>
      </c>
      <c r="M1133">
        <v>-0.5303175254196435</v>
      </c>
      <c r="N1133">
        <v>-5.852539553071745E-2</v>
      </c>
      <c r="O1133">
        <v>-8.8425500000002821E-3</v>
      </c>
      <c r="P1133">
        <v>0.71439461678788341</v>
      </c>
      <c r="Q1133">
        <v>0.39999537374748595</v>
      </c>
      <c r="R1133">
        <v>-0.21696896613547789</v>
      </c>
      <c r="S1133">
        <v>1.0161504877966854</v>
      </c>
      <c r="T1133">
        <v>0.5820081358517637</v>
      </c>
      <c r="U1133">
        <v>-2.5102657730258215E-7</v>
      </c>
      <c r="V1133">
        <v>0.70260142693561178</v>
      </c>
      <c r="W1133">
        <v>6.1950522654230511E-3</v>
      </c>
      <c r="X1133">
        <v>0.14876895000000001</v>
      </c>
      <c r="Y1133">
        <v>2.7427260000000009E-2</v>
      </c>
      <c r="Z1133">
        <v>-0.29463211599999994</v>
      </c>
    </row>
    <row r="1134" spans="1:26">
      <c r="A1134" s="54" t="str">
        <f>CONCATENATE(raw[[#This Row],[redis_ls]],raw[[#This Row],[wage_eq]],raw[[#This Row],[flex]],raw[[#This Row],[expo]],raw[[#This Row],[_date_]])</f>
        <v>000140179</v>
      </c>
      <c r="B1134" s="1">
        <v>40179</v>
      </c>
      <c r="C1134">
        <v>0</v>
      </c>
      <c r="D1134">
        <v>0</v>
      </c>
      <c r="E1134">
        <v>0</v>
      </c>
      <c r="F1134">
        <v>1</v>
      </c>
      <c r="G1134">
        <v>-0.46269456123897434</v>
      </c>
      <c r="H1134">
        <v>-70.186919999996462</v>
      </c>
      <c r="I1134">
        <v>-3.5366615393710665</v>
      </c>
      <c r="J1134">
        <v>-8.5494176895184459E-2</v>
      </c>
      <c r="K1134">
        <v>-1.5685338865666032</v>
      </c>
      <c r="L1134">
        <v>-1.0814521764365481</v>
      </c>
      <c r="M1134">
        <v>-0.54953482757392758</v>
      </c>
      <c r="N1134">
        <v>-8.7993468005065356E-2</v>
      </c>
      <c r="O1134">
        <v>-2.2418699999998681E-3</v>
      </c>
      <c r="P1134">
        <v>0.70035267093260245</v>
      </c>
      <c r="Q1134">
        <v>0.38913582429973559</v>
      </c>
      <c r="R1134">
        <v>-0.21706137024954941</v>
      </c>
      <c r="S1134">
        <v>0.99450044817801508</v>
      </c>
      <c r="T1134">
        <v>0.5648166119624598</v>
      </c>
      <c r="U1134">
        <v>-2.4610449234074849E-7</v>
      </c>
      <c r="V1134">
        <v>0.69312734555386779</v>
      </c>
      <c r="W1134">
        <v>1.4075004067226615E-2</v>
      </c>
      <c r="X1134">
        <v>0.18850549999999966</v>
      </c>
      <c r="Y1134">
        <v>2.3072139999999811E-2</v>
      </c>
      <c r="Z1134">
        <v>-0.31715944399999996</v>
      </c>
    </row>
    <row r="1135" spans="1:26">
      <c r="A1135" s="54" t="str">
        <f>CONCATENATE(raw[[#This Row],[redis_ls]],raw[[#This Row],[wage_eq]],raw[[#This Row],[flex]],raw[[#This Row],[expo]],raw[[#This Row],[_date_]])</f>
        <v>000140544</v>
      </c>
      <c r="B1135" s="1">
        <v>40544</v>
      </c>
      <c r="C1135">
        <v>0</v>
      </c>
      <c r="D1135">
        <v>0</v>
      </c>
      <c r="E1135">
        <v>0</v>
      </c>
      <c r="F1135">
        <v>1</v>
      </c>
      <c r="G1135">
        <v>-0.48389212325895548</v>
      </c>
      <c r="H1135">
        <v>-82.723160000001371</v>
      </c>
      <c r="I1135">
        <v>-3.5062605604381791</v>
      </c>
      <c r="J1135">
        <v>-0.11083667294239374</v>
      </c>
      <c r="K1135">
        <v>-1.620161795519115</v>
      </c>
      <c r="L1135">
        <v>-1.0806539728170472</v>
      </c>
      <c r="M1135">
        <v>-0.56234649243807056</v>
      </c>
      <c r="N1135">
        <v>-0.10731371542059831</v>
      </c>
      <c r="O1135">
        <v>3.1607899999994138E-3</v>
      </c>
      <c r="P1135">
        <v>0.68000640823919767</v>
      </c>
      <c r="Q1135">
        <v>0.37152022165951593</v>
      </c>
      <c r="R1135">
        <v>-0.22529611322281706</v>
      </c>
      <c r="S1135">
        <v>0.967461035981243</v>
      </c>
      <c r="T1135">
        <v>0.54280468358267608</v>
      </c>
      <c r="U1135">
        <v>-3.217052180204405E-7</v>
      </c>
      <c r="V1135">
        <v>0.67271173642657889</v>
      </c>
      <c r="W1135">
        <v>1.8733163111739337E-2</v>
      </c>
      <c r="X1135">
        <v>0.21684981999999936</v>
      </c>
      <c r="Y1135">
        <v>2.0371489999999881E-2</v>
      </c>
      <c r="Z1135">
        <v>-0.32841364299999992</v>
      </c>
    </row>
    <row r="1136" spans="1:26">
      <c r="A1136" s="54" t="str">
        <f>CONCATENATE(raw[[#This Row],[redis_ls]],raw[[#This Row],[wage_eq]],raw[[#This Row],[flex]],raw[[#This Row],[expo]],raw[[#This Row],[_date_]])</f>
        <v>000140909</v>
      </c>
      <c r="B1136" s="1">
        <v>40909</v>
      </c>
      <c r="C1136">
        <v>0</v>
      </c>
      <c r="D1136">
        <v>0</v>
      </c>
      <c r="E1136">
        <v>0</v>
      </c>
      <c r="F1136">
        <v>1</v>
      </c>
      <c r="G1136">
        <v>-0.49398717836389716</v>
      </c>
      <c r="H1136">
        <v>-91.096340000000055</v>
      </c>
      <c r="I1136">
        <v>-3.4623102131019934</v>
      </c>
      <c r="J1136">
        <v>-0.12508140652741639</v>
      </c>
      <c r="K1136">
        <v>-1.656961194612494</v>
      </c>
      <c r="L1136">
        <v>-1.0656792923868563</v>
      </c>
      <c r="M1136">
        <v>-0.56909096821449179</v>
      </c>
      <c r="N1136">
        <v>-0.11730261613833726</v>
      </c>
      <c r="O1136">
        <v>6.9796800000007653E-3</v>
      </c>
      <c r="P1136">
        <v>0.65576588101063926</v>
      </c>
      <c r="Q1136">
        <v>0.34993808018302097</v>
      </c>
      <c r="R1136">
        <v>-0.23833278499283406</v>
      </c>
      <c r="S1136">
        <v>0.9372793909446564</v>
      </c>
      <c r="T1136">
        <v>0.51840374685394597</v>
      </c>
      <c r="U1136">
        <v>-2.3654795899830106E-7</v>
      </c>
      <c r="V1136">
        <v>0.64506115671580933</v>
      </c>
      <c r="W1136">
        <v>2.0614352864778418E-2</v>
      </c>
      <c r="X1136">
        <v>0.23435599999999945</v>
      </c>
      <c r="Y1136">
        <v>1.9062759999999984E-2</v>
      </c>
      <c r="Z1136">
        <v>-0.32994044400000005</v>
      </c>
    </row>
    <row r="1137" spans="1:26">
      <c r="A1137" s="54" t="str">
        <f>CONCATENATE(raw[[#This Row],[redis_ls]],raw[[#This Row],[wage_eq]],raw[[#This Row],[flex]],raw[[#This Row],[expo]],raw[[#This Row],[_date_]])</f>
        <v>000141275</v>
      </c>
      <c r="B1137" s="1">
        <v>41275</v>
      </c>
      <c r="C1137">
        <v>0</v>
      </c>
      <c r="D1137">
        <v>0</v>
      </c>
      <c r="E1137">
        <v>0</v>
      </c>
      <c r="F1137">
        <v>1</v>
      </c>
      <c r="G1137">
        <v>-0.49500437779586015</v>
      </c>
      <c r="H1137">
        <v>-95.711740000002465</v>
      </c>
      <c r="I1137">
        <v>-3.4088027798563014</v>
      </c>
      <c r="J1137">
        <v>-0.12966979268994594</v>
      </c>
      <c r="K1137">
        <v>-1.6812988065816881</v>
      </c>
      <c r="L1137">
        <v>-1.0404922143075646</v>
      </c>
      <c r="M1137">
        <v>-0.5705679155341481</v>
      </c>
      <c r="N1137">
        <v>-0.11943071742238631</v>
      </c>
      <c r="O1137">
        <v>9.1874699999994203E-3</v>
      </c>
      <c r="P1137">
        <v>0.62967333236478851</v>
      </c>
      <c r="Q1137">
        <v>0.32671531583996494</v>
      </c>
      <c r="R1137">
        <v>-0.25340346217379572</v>
      </c>
      <c r="S1137">
        <v>0.90584569466578557</v>
      </c>
      <c r="T1137">
        <v>0.49353766687623146</v>
      </c>
      <c r="U1137">
        <v>-3.0921302185404898E-7</v>
      </c>
      <c r="V1137">
        <v>0.61334871278344583</v>
      </c>
      <c r="W1137">
        <v>2.0169078595677625E-2</v>
      </c>
      <c r="X1137">
        <v>0.24246869000000004</v>
      </c>
      <c r="Y1137">
        <v>1.8876909999999969E-2</v>
      </c>
      <c r="Z1137">
        <v>-0.32371650799999996</v>
      </c>
    </row>
    <row r="1138" spans="1:26">
      <c r="A1138" s="54" t="str">
        <f>CONCATENATE(raw[[#This Row],[redis_ls]],raw[[#This Row],[wage_eq]],raw[[#This Row],[flex]],raw[[#This Row],[expo]],raw[[#This Row],[_date_]])</f>
        <v>000141640</v>
      </c>
      <c r="B1138" s="1">
        <v>41640</v>
      </c>
      <c r="C1138">
        <v>0</v>
      </c>
      <c r="D1138">
        <v>0</v>
      </c>
      <c r="E1138">
        <v>0</v>
      </c>
      <c r="F1138">
        <v>1</v>
      </c>
      <c r="G1138">
        <v>-0.48914893625597866</v>
      </c>
      <c r="H1138">
        <v>-97.208120000002964</v>
      </c>
      <c r="I1138">
        <v>-3.3491067275138175</v>
      </c>
      <c r="J1138">
        <v>-0.12658899007739199</v>
      </c>
      <c r="K1138">
        <v>-1.6955677652768397</v>
      </c>
      <c r="L1138">
        <v>-1.0087048491865147</v>
      </c>
      <c r="M1138">
        <v>-0.56781011778406221</v>
      </c>
      <c r="N1138">
        <v>-0.11546840910843237</v>
      </c>
      <c r="O1138">
        <v>9.9780500000007377E-3</v>
      </c>
      <c r="P1138">
        <v>0.60335226341943216</v>
      </c>
      <c r="Q1138">
        <v>0.30365967988328357</v>
      </c>
      <c r="R1138">
        <v>-0.26837468596538905</v>
      </c>
      <c r="S1138">
        <v>0.87464643595485114</v>
      </c>
      <c r="T1138">
        <v>0.46962301779094329</v>
      </c>
      <c r="U1138">
        <v>-2.2736250659960433E-7</v>
      </c>
      <c r="V1138">
        <v>0.58012239872233806</v>
      </c>
      <c r="W1138">
        <v>1.7835719686742912E-2</v>
      </c>
      <c r="X1138">
        <v>0.24308865000000068</v>
      </c>
      <c r="Y1138">
        <v>1.9551669999999868E-2</v>
      </c>
      <c r="Z1138">
        <v>-0.311825613</v>
      </c>
    </row>
    <row r="1139" spans="1:26">
      <c r="A1139" s="54" t="str">
        <f>CONCATENATE(raw[[#This Row],[redis_ls]],raw[[#This Row],[wage_eq]],raw[[#This Row],[flex]],raw[[#This Row],[expo]],raw[[#This Row],[_date_]])</f>
        <v>000142005</v>
      </c>
      <c r="B1139" s="1">
        <v>42005</v>
      </c>
      <c r="C1139">
        <v>0</v>
      </c>
      <c r="D1139">
        <v>0</v>
      </c>
      <c r="E1139">
        <v>0</v>
      </c>
      <c r="F1139">
        <v>1</v>
      </c>
      <c r="G1139">
        <v>-0.47854888664107254</v>
      </c>
      <c r="H1139">
        <v>-96.321460000002844</v>
      </c>
      <c r="I1139">
        <v>-3.2859820017771768</v>
      </c>
      <c r="J1139">
        <v>-0.11798150550641484</v>
      </c>
      <c r="K1139">
        <v>-1.701985705370912</v>
      </c>
      <c r="L1139">
        <v>-0.97341240167628795</v>
      </c>
      <c r="M1139">
        <v>-0.5618986008474991</v>
      </c>
      <c r="N1139">
        <v>-0.10721566571749719</v>
      </c>
      <c r="O1139">
        <v>9.6589699999996559E-3</v>
      </c>
      <c r="P1139">
        <v>0.57800884062997326</v>
      </c>
      <c r="Q1139">
        <v>0.28207357893257345</v>
      </c>
      <c r="R1139">
        <v>-0.28172517911730921</v>
      </c>
      <c r="S1139">
        <v>0.84476821730605778</v>
      </c>
      <c r="T1139">
        <v>0.44761436256444131</v>
      </c>
      <c r="U1139">
        <v>-2.9720588212711618E-7</v>
      </c>
      <c r="V1139">
        <v>0.54729857918613956</v>
      </c>
      <c r="W1139">
        <v>1.4019938711018476E-2</v>
      </c>
      <c r="X1139">
        <v>0.23823624999999987</v>
      </c>
      <c r="Y1139">
        <v>2.0840289999999803E-2</v>
      </c>
      <c r="Z1139">
        <v>-0.29622736899999996</v>
      </c>
    </row>
    <row r="1140" spans="1:26">
      <c r="A1140" s="54" t="str">
        <f>CONCATENATE(raw[[#This Row],[redis_ls]],raw[[#This Row],[wage_eq]],raw[[#This Row],[flex]],raw[[#This Row],[expo]],raw[[#This Row],[_date_]])</f>
        <v>000142370</v>
      </c>
      <c r="B1140" s="1">
        <v>42370</v>
      </c>
      <c r="C1140">
        <v>0</v>
      </c>
      <c r="D1140">
        <v>0</v>
      </c>
      <c r="E1140">
        <v>0</v>
      </c>
      <c r="F1140">
        <v>1</v>
      </c>
      <c r="G1140">
        <v>-0.46508637273456888</v>
      </c>
      <c r="H1140">
        <v>-93.782979999999952</v>
      </c>
      <c r="I1140">
        <v>-3.2215976511000055</v>
      </c>
      <c r="J1140">
        <v>-0.10587204447763954</v>
      </c>
      <c r="K1140">
        <v>-1.7024647463310227</v>
      </c>
      <c r="L1140">
        <v>-0.93711819605486468</v>
      </c>
      <c r="M1140">
        <v>-0.5538318387385277</v>
      </c>
      <c r="N1140">
        <v>-9.631594631865914E-2</v>
      </c>
      <c r="O1140">
        <v>8.5726699999996714E-3</v>
      </c>
      <c r="P1140">
        <v>0.55446782084358492</v>
      </c>
      <c r="Q1140">
        <v>0.26280715018720535</v>
      </c>
      <c r="R1140">
        <v>-0.29247601943642731</v>
      </c>
      <c r="S1140">
        <v>0.81693500556168086</v>
      </c>
      <c r="T1140">
        <v>0.4280754065076442</v>
      </c>
      <c r="U1140">
        <v>-2.1853374665425918E-7</v>
      </c>
      <c r="V1140">
        <v>0.51621403763253415</v>
      </c>
      <c r="W1140">
        <v>9.0826540576793846E-3</v>
      </c>
      <c r="X1140">
        <v>0.22981482999999969</v>
      </c>
      <c r="Y1140">
        <v>2.2517409999999946E-2</v>
      </c>
      <c r="Z1140">
        <v>-0.27861200699999999</v>
      </c>
    </row>
    <row r="1141" spans="1:26">
      <c r="A1141" s="54" t="str">
        <f>CONCATENATE(raw[[#This Row],[redis_ls]],raw[[#This Row],[wage_eq]],raw[[#This Row],[flex]],raw[[#This Row],[expo]],raw[[#This Row],[_date_]])</f>
        <v>000142736</v>
      </c>
      <c r="B1141" s="1">
        <v>42736</v>
      </c>
      <c r="C1141">
        <v>0</v>
      </c>
      <c r="D1141">
        <v>0</v>
      </c>
      <c r="E1141">
        <v>0</v>
      </c>
      <c r="F1141">
        <v>1</v>
      </c>
      <c r="G1141">
        <v>-0.4503047123904147</v>
      </c>
      <c r="H1141">
        <v>-90.250729999999749</v>
      </c>
      <c r="I1141">
        <v>-3.1575677977599192</v>
      </c>
      <c r="J1141">
        <v>-9.1996866939914046E-2</v>
      </c>
      <c r="K1141">
        <v>-1.6985473238131155</v>
      </c>
      <c r="L1141">
        <v>-0.90172719829501036</v>
      </c>
      <c r="M1141">
        <v>-0.54444720256925372</v>
      </c>
      <c r="N1141">
        <v>-8.4144772277661151E-2</v>
      </c>
      <c r="O1141">
        <v>7.0431499999995539E-3</v>
      </c>
      <c r="P1141">
        <v>0.53322569075291426</v>
      </c>
      <c r="Q1141">
        <v>0.24633302110217414</v>
      </c>
      <c r="R1141">
        <v>-0.30009624968786452</v>
      </c>
      <c r="S1141">
        <v>0.79156207107262677</v>
      </c>
      <c r="T1141">
        <v>0.4112575809802177</v>
      </c>
      <c r="U1141">
        <v>-2.1424875207287641E-7</v>
      </c>
      <c r="V1141">
        <v>0.48771118646018241</v>
      </c>
      <c r="W1141">
        <v>3.3349555539796683E-3</v>
      </c>
      <c r="X1141">
        <v>0.21946410999999916</v>
      </c>
      <c r="Y1141">
        <v>2.4383039999999884E-2</v>
      </c>
      <c r="Z1141">
        <v>-0.26032823499999996</v>
      </c>
    </row>
    <row r="1142" spans="1:26">
      <c r="A1142" s="54" t="str">
        <f>CONCATENATE(raw[[#This Row],[redis_ls]],raw[[#This Row],[wage_eq]],raw[[#This Row],[flex]],raw[[#This Row],[expo]],raw[[#This Row],[_date_]])</f>
        <v>000143101</v>
      </c>
      <c r="B1142" s="1">
        <v>43101</v>
      </c>
      <c r="C1142">
        <v>0</v>
      </c>
      <c r="D1142">
        <v>0</v>
      </c>
      <c r="E1142">
        <v>0</v>
      </c>
      <c r="F1142">
        <v>1</v>
      </c>
      <c r="G1142">
        <v>-0.4353763438806002</v>
      </c>
      <c r="H1142">
        <v>-86.270230000001902</v>
      </c>
      <c r="I1142">
        <v>-3.0950084205804251</v>
      </c>
      <c r="J1142">
        <v>-7.7720894366528626E-2</v>
      </c>
      <c r="K1142">
        <v>-1.6913948826211112</v>
      </c>
      <c r="L1142">
        <v>-0.86858731212203777</v>
      </c>
      <c r="M1142">
        <v>-0.53438649577296493</v>
      </c>
      <c r="N1142">
        <v>-7.1762324773005925E-2</v>
      </c>
      <c r="O1142">
        <v>5.3440299999998886E-3</v>
      </c>
      <c r="P1142">
        <v>0.5145142859541707</v>
      </c>
      <c r="Q1142">
        <v>0.23282728698523769</v>
      </c>
      <c r="R1142">
        <v>-0.30440261922003442</v>
      </c>
      <c r="S1142">
        <v>0.76881896187801502</v>
      </c>
      <c r="T1142">
        <v>0.39717947770059325</v>
      </c>
      <c r="U1142">
        <v>-2.1004781247668802E-7</v>
      </c>
      <c r="V1142">
        <v>0.46223698119367551</v>
      </c>
      <c r="W1142">
        <v>-2.960995956136081E-3</v>
      </c>
      <c r="X1142">
        <v>0.20848784999999981</v>
      </c>
      <c r="Y1142">
        <v>2.6265099999999916E-2</v>
      </c>
      <c r="Z1142">
        <v>-0.24236803300000004</v>
      </c>
    </row>
    <row r="1143" spans="1:26">
      <c r="A1143" s="54" t="str">
        <f>CONCATENATE(raw[[#This Row],[redis_ls]],raw[[#This Row],[wage_eq]],raw[[#This Row],[flex]],raw[[#This Row],[expo]],raw[[#This Row],[_date_]])</f>
        <v>000143466</v>
      </c>
      <c r="B1143" s="1">
        <v>43466</v>
      </c>
      <c r="C1143">
        <v>0</v>
      </c>
      <c r="D1143">
        <v>0</v>
      </c>
      <c r="E1143">
        <v>0</v>
      </c>
      <c r="F1143">
        <v>1</v>
      </c>
      <c r="G1143">
        <v>-0.42111527456769604</v>
      </c>
      <c r="H1143">
        <v>-82.2588399999986</v>
      </c>
      <c r="I1143">
        <v>-3.0346104084652548</v>
      </c>
      <c r="J1143">
        <v>-6.4021078966791656E-2</v>
      </c>
      <c r="K1143">
        <v>-1.6818151081563149</v>
      </c>
      <c r="L1143">
        <v>-0.83856030612788901</v>
      </c>
      <c r="M1143">
        <v>-0.52409454144186629</v>
      </c>
      <c r="N1143">
        <v>-5.9913334560723897E-2</v>
      </c>
      <c r="O1143">
        <v>3.6836799999995229E-3</v>
      </c>
      <c r="P1143">
        <v>0.49836410645438534</v>
      </c>
      <c r="Q1143">
        <v>0.2222490499192542</v>
      </c>
      <c r="R1143">
        <v>-0.30546312866461811</v>
      </c>
      <c r="S1143">
        <v>0.74869167533075931</v>
      </c>
      <c r="T1143">
        <v>0.38569857868799851</v>
      </c>
      <c r="U1143">
        <v>-2.0592922922446633E-7</v>
      </c>
      <c r="V1143">
        <v>0.43994093137893486</v>
      </c>
      <c r="W1143">
        <v>-9.5889310188668198E-3</v>
      </c>
      <c r="X1143">
        <v>0.19783820000000008</v>
      </c>
      <c r="Y1143">
        <v>2.8020739999999947E-2</v>
      </c>
      <c r="Z1143">
        <v>-0.22539134199999999</v>
      </c>
    </row>
    <row r="1144" spans="1:26">
      <c r="A1144" s="54" t="str">
        <f>CONCATENATE(raw[[#This Row],[redis_ls]],raw[[#This Row],[wage_eq]],raw[[#This Row],[flex]],raw[[#This Row],[expo]],raw[[#This Row],[_date_]])</f>
        <v>000143831</v>
      </c>
      <c r="B1144" s="1">
        <v>43831</v>
      </c>
      <c r="C1144">
        <v>0</v>
      </c>
      <c r="D1144">
        <v>0</v>
      </c>
      <c r="E1144">
        <v>0</v>
      </c>
      <c r="F1144">
        <v>1</v>
      </c>
      <c r="G1144">
        <v>-0.40801889181381057</v>
      </c>
      <c r="H1144">
        <v>-78.507399999998597</v>
      </c>
      <c r="I1144">
        <v>-2.9767213715909291</v>
      </c>
      <c r="J1144">
        <v>-5.1515400902846231E-2</v>
      </c>
      <c r="K1144">
        <v>-1.6703128618191676</v>
      </c>
      <c r="L1144">
        <v>-0.81210744356216003</v>
      </c>
      <c r="M1144">
        <v>-0.51383997215094235</v>
      </c>
      <c r="N1144">
        <v>-4.9058573067872757E-2</v>
      </c>
      <c r="O1144">
        <v>2.2029699999995267E-3</v>
      </c>
      <c r="P1144">
        <v>0.4846635893603235</v>
      </c>
      <c r="Q1144">
        <v>0.21441095425047685</v>
      </c>
      <c r="R1144">
        <v>-0.30351202182290482</v>
      </c>
      <c r="S1144">
        <v>0.73103933607006066</v>
      </c>
      <c r="T1144">
        <v>0.37657187621620292</v>
      </c>
      <c r="U1144">
        <v>-2.0189140359505586E-7</v>
      </c>
      <c r="V1144">
        <v>0.4207637309460166</v>
      </c>
      <c r="W1144">
        <v>-1.6374028437127208E-2</v>
      </c>
      <c r="X1144">
        <v>0.18813918000000068</v>
      </c>
      <c r="Y1144">
        <v>2.9536570000000123E-2</v>
      </c>
      <c r="Z1144">
        <v>-0.20977476100000006</v>
      </c>
    </row>
    <row r="1145" spans="1:26">
      <c r="A1145" s="54" t="str">
        <f>CONCATENATE(raw[[#This Row],[redis_ls]],raw[[#This Row],[wage_eq]],raw[[#This Row],[flex]],raw[[#This Row],[expo]],raw[[#This Row],[_date_]])</f>
        <v>000144197</v>
      </c>
      <c r="B1145" s="1">
        <v>44197</v>
      </c>
      <c r="C1145">
        <v>0</v>
      </c>
      <c r="D1145">
        <v>0</v>
      </c>
      <c r="E1145">
        <v>0</v>
      </c>
      <c r="F1145">
        <v>1</v>
      </c>
      <c r="G1145">
        <v>-0.39632549575000509</v>
      </c>
      <c r="H1145">
        <v>-75.193459999998595</v>
      </c>
      <c r="I1145">
        <v>-2.9214286356945118</v>
      </c>
      <c r="J1145">
        <v>-4.0519816954676102E-2</v>
      </c>
      <c r="K1145">
        <v>-1.6571533231181435</v>
      </c>
      <c r="L1145">
        <v>-0.78937847812973194</v>
      </c>
      <c r="M1145">
        <v>-0.5037484734207287</v>
      </c>
      <c r="N1145">
        <v>-3.9425034033124806E-2</v>
      </c>
      <c r="O1145">
        <v>9.8154999999960912E-4</v>
      </c>
      <c r="P1145">
        <v>0.47321061222982408</v>
      </c>
      <c r="Q1145">
        <v>0.2090384868794315</v>
      </c>
      <c r="R1145">
        <v>-0.29888022538658854</v>
      </c>
      <c r="S1145">
        <v>0.71564325627928582</v>
      </c>
      <c r="T1145">
        <v>0.36950493827914155</v>
      </c>
      <c r="U1145">
        <v>-1.9793274796953142E-7</v>
      </c>
      <c r="V1145">
        <v>0.40451161250796286</v>
      </c>
      <c r="W1145">
        <v>-2.3178078209251662E-2</v>
      </c>
      <c r="X1145">
        <v>0.17973423000000044</v>
      </c>
      <c r="Y1145">
        <v>3.0727770000000057E-2</v>
      </c>
      <c r="Z1145">
        <v>-0.19567167999999993</v>
      </c>
    </row>
    <row r="1146" spans="1:26">
      <c r="A1146" s="54" t="str">
        <f>CONCATENATE(raw[[#This Row],[redis_ls]],raw[[#This Row],[wage_eq]],raw[[#This Row],[flex]],raw[[#This Row],[expo]],raw[[#This Row],[_date_]])</f>
        <v>000144562</v>
      </c>
      <c r="B1146" s="1">
        <v>44562</v>
      </c>
      <c r="C1146">
        <v>0</v>
      </c>
      <c r="D1146">
        <v>0</v>
      </c>
      <c r="E1146">
        <v>0</v>
      </c>
      <c r="F1146">
        <v>1</v>
      </c>
      <c r="G1146">
        <v>-0.38607731412226842</v>
      </c>
      <c r="H1146">
        <v>-72.400960000002669</v>
      </c>
      <c r="I1146">
        <v>-2.8686369427092795</v>
      </c>
      <c r="J1146">
        <v>-3.1117041505790421E-2</v>
      </c>
      <c r="K1146">
        <v>-1.6424270487872206</v>
      </c>
      <c r="L1146">
        <v>-0.77029582882673919</v>
      </c>
      <c r="M1146">
        <v>-0.49384036375121898</v>
      </c>
      <c r="N1146">
        <v>-3.1062526072989094E-2</v>
      </c>
      <c r="O1146">
        <v>4.8889999999801592E-5</v>
      </c>
      <c r="P1146">
        <v>0.46375389797006505</v>
      </c>
      <c r="Q1146">
        <v>0.20581622458910598</v>
      </c>
      <c r="R1146">
        <v>-0.29194128940152053</v>
      </c>
      <c r="S1146">
        <v>0.70224551994981788</v>
      </c>
      <c r="T1146">
        <v>0.36418894081786668</v>
      </c>
      <c r="U1146">
        <v>-1.9405170803565852E-7</v>
      </c>
      <c r="V1146">
        <v>0.39091522533913903</v>
      </c>
      <c r="W1146">
        <v>-2.989470480108114E-2</v>
      </c>
      <c r="X1146">
        <v>0.17274491999999947</v>
      </c>
      <c r="Y1146">
        <v>3.1536240000000146E-2</v>
      </c>
      <c r="Z1146">
        <v>-0.18307359900000003</v>
      </c>
    </row>
    <row r="1147" spans="1:26">
      <c r="A1147" s="54" t="str">
        <f>CONCATENATE(raw[[#This Row],[redis_ls]],raw[[#This Row],[wage_eq]],raw[[#This Row],[flex]],raw[[#This Row],[expo]],raw[[#This Row],[_date_]])</f>
        <v>000144927</v>
      </c>
      <c r="B1147" s="1">
        <v>44927</v>
      </c>
      <c r="C1147">
        <v>0</v>
      </c>
      <c r="D1147">
        <v>0</v>
      </c>
      <c r="E1147">
        <v>0</v>
      </c>
      <c r="F1147">
        <v>1</v>
      </c>
      <c r="G1147">
        <v>-0.37718082882605142</v>
      </c>
      <c r="H1147">
        <v>-70.142379999997502</v>
      </c>
      <c r="I1147">
        <v>-2.8181363423574579</v>
      </c>
      <c r="J1147">
        <v>-2.3226729424730141E-2</v>
      </c>
      <c r="K1147">
        <v>-1.6261104374525437</v>
      </c>
      <c r="L1147">
        <v>-0.75462859377273261</v>
      </c>
      <c r="M1147">
        <v>-0.48406729585962482</v>
      </c>
      <c r="N1147">
        <v>-2.3899158263285258E-2</v>
      </c>
      <c r="O1147">
        <v>-6.0273000000027332E-4</v>
      </c>
      <c r="P1147">
        <v>0.45602488034131028</v>
      </c>
      <c r="Q1147">
        <v>0.20442180838149415</v>
      </c>
      <c r="R1147">
        <v>-0.28307255179531587</v>
      </c>
      <c r="S1147">
        <v>0.69057784609232176</v>
      </c>
      <c r="T1147">
        <v>0.36032548909774587</v>
      </c>
      <c r="U1147">
        <v>-2.5366236888757498E-7</v>
      </c>
      <c r="V1147">
        <v>0.37967312167703771</v>
      </c>
      <c r="W1147">
        <v>-3.6444702860927158E-2</v>
      </c>
      <c r="X1147">
        <v>0.16713139999999932</v>
      </c>
      <c r="Y1147">
        <v>3.1927929999999924E-2</v>
      </c>
      <c r="Z1147">
        <v>-0.17186638500000015</v>
      </c>
    </row>
    <row r="1148" spans="1:26">
      <c r="A1148" s="54" t="str">
        <f>CONCATENATE(raw[[#This Row],[redis_ls]],raw[[#This Row],[wage_eq]],raw[[#This Row],[flex]],raw[[#This Row],[expo]],raw[[#This Row],[_date_]])</f>
        <v>000145292</v>
      </c>
      <c r="B1148" s="1">
        <v>45292</v>
      </c>
      <c r="C1148">
        <v>0</v>
      </c>
      <c r="D1148">
        <v>0</v>
      </c>
      <c r="E1148">
        <v>0</v>
      </c>
      <c r="F1148">
        <v>1</v>
      </c>
      <c r="G1148">
        <v>-0.36945968365243997</v>
      </c>
      <c r="H1148">
        <v>-68.380379999998695</v>
      </c>
      <c r="I1148">
        <v>-2.7696575416031655</v>
      </c>
      <c r="J1148">
        <v>-1.6667954343430047E-2</v>
      </c>
      <c r="K1148">
        <v>-1.608117370607387</v>
      </c>
      <c r="L1148">
        <v>-0.74205401524812808</v>
      </c>
      <c r="M1148">
        <v>-0.47434393689276266</v>
      </c>
      <c r="N1148">
        <v>-1.7789710314852769E-2</v>
      </c>
      <c r="O1148">
        <v>-1.0055100000003203E-3</v>
      </c>
      <c r="P1148">
        <v>0.44975985146495923</v>
      </c>
      <c r="Q1148">
        <v>0.20454810977661442</v>
      </c>
      <c r="R1148">
        <v>-0.27263021832951706</v>
      </c>
      <c r="S1148">
        <v>0.68038177924494292</v>
      </c>
      <c r="T1148">
        <v>0.35764279826713263</v>
      </c>
      <c r="U1148">
        <v>-2.4868859194171478E-7</v>
      </c>
      <c r="V1148">
        <v>0.37048194113864508</v>
      </c>
      <c r="W1148">
        <v>-4.2771164576593801E-2</v>
      </c>
      <c r="X1148">
        <v>0.16274827000000019</v>
      </c>
      <c r="Y1148">
        <v>3.1889549999999933E-2</v>
      </c>
      <c r="Z1148">
        <v>-0.16187737300000002</v>
      </c>
    </row>
    <row r="1149" spans="1:26">
      <c r="A1149" s="54" t="str">
        <f>CONCATENATE(raw[[#This Row],[redis_ls]],raw[[#This Row],[wage_eq]],raw[[#This Row],[flex]],raw[[#This Row],[expo]],raw[[#This Row],[_date_]])</f>
        <v>000145658</v>
      </c>
      <c r="B1149" s="1">
        <v>45658</v>
      </c>
      <c r="C1149">
        <v>0</v>
      </c>
      <c r="D1149">
        <v>0</v>
      </c>
      <c r="E1149">
        <v>0</v>
      </c>
      <c r="F1149">
        <v>1</v>
      </c>
      <c r="G1149">
        <v>-0.36269752891618934</v>
      </c>
      <c r="H1149">
        <v>-67.046949999999924</v>
      </c>
      <c r="I1149">
        <v>-2.7229139980514905</v>
      </c>
      <c r="J1149">
        <v>-1.1211244254516473E-2</v>
      </c>
      <c r="K1149">
        <v>-1.5883397383559372</v>
      </c>
      <c r="L1149">
        <v>-0.73220538537043245</v>
      </c>
      <c r="M1149">
        <v>-0.46457317725374647</v>
      </c>
      <c r="N1149">
        <v>-1.2555534831126813E-2</v>
      </c>
      <c r="O1149">
        <v>-1.2049499999999824E-3</v>
      </c>
      <c r="P1149">
        <v>0.44471433171000552</v>
      </c>
      <c r="Q1149">
        <v>0.20591732579664512</v>
      </c>
      <c r="R1149">
        <v>-0.26093413043716263</v>
      </c>
      <c r="S1149">
        <v>0.67142062222302901</v>
      </c>
      <c r="T1149">
        <v>0.35590361166044637</v>
      </c>
      <c r="U1149">
        <v>-2.4381235919079813E-7</v>
      </c>
      <c r="V1149">
        <v>0.36305525906445979</v>
      </c>
      <c r="W1149">
        <v>-4.8836080350234123E-2</v>
      </c>
      <c r="X1149">
        <v>0.15939160999999952</v>
      </c>
      <c r="Y1149">
        <v>3.1425040000000043E-2</v>
      </c>
      <c r="Z1149">
        <v>-0.152911876</v>
      </c>
    </row>
    <row r="1150" spans="1:26">
      <c r="A1150" s="54" t="str">
        <f>CONCATENATE(raw[[#This Row],[redis_ls]],raw[[#This Row],[wage_eq]],raw[[#This Row],[flex]],raw[[#This Row],[expo]],raw[[#This Row],[_date_]])</f>
        <v>000146023</v>
      </c>
      <c r="B1150" s="1">
        <v>46023</v>
      </c>
      <c r="C1150">
        <v>0</v>
      </c>
      <c r="D1150">
        <v>0</v>
      </c>
      <c r="E1150">
        <v>0</v>
      </c>
      <c r="F1150">
        <v>1</v>
      </c>
      <c r="G1150">
        <v>-0.356670388809599</v>
      </c>
      <c r="H1150">
        <v>-66.059180000000197</v>
      </c>
      <c r="I1150">
        <v>-2.6776313579267685</v>
      </c>
      <c r="J1150">
        <v>-6.6178168830033357E-3</v>
      </c>
      <c r="K1150">
        <v>-1.5666768699414191</v>
      </c>
      <c r="L1150">
        <v>-0.72470713659286146</v>
      </c>
      <c r="M1150">
        <v>-0.45466411641683635</v>
      </c>
      <c r="N1150">
        <v>-8.013484778224278E-3</v>
      </c>
      <c r="O1150">
        <v>-1.2509600000001897E-3</v>
      </c>
      <c r="P1150">
        <v>0.44067097879956219</v>
      </c>
      <c r="Q1150">
        <v>0.20828643842358829</v>
      </c>
      <c r="R1150">
        <v>-0.24826204224440707</v>
      </c>
      <c r="S1150">
        <v>0.66348576488879374</v>
      </c>
      <c r="T1150">
        <v>0.35490783421767702</v>
      </c>
      <c r="U1150">
        <v>-2.3903171664230172E-7</v>
      </c>
      <c r="V1150">
        <v>0.35713411539164408</v>
      </c>
      <c r="W1150">
        <v>-5.4615850025840906E-2</v>
      </c>
      <c r="X1150">
        <v>0.15683595999999994</v>
      </c>
      <c r="Y1150">
        <v>3.0551850000000089E-2</v>
      </c>
      <c r="Z1150">
        <v>-0.14477906900000007</v>
      </c>
    </row>
    <row r="1151" spans="1:26">
      <c r="A1151" s="54" t="str">
        <f>CONCATENATE(raw[[#This Row],[redis_ls]],raw[[#This Row],[wage_eq]],raw[[#This Row],[flex]],raw[[#This Row],[expo]],raw[[#This Row],[_date_]])</f>
        <v>000146388</v>
      </c>
      <c r="B1151" s="1">
        <v>46388</v>
      </c>
      <c r="C1151">
        <v>0</v>
      </c>
      <c r="D1151">
        <v>0</v>
      </c>
      <c r="E1151">
        <v>0</v>
      </c>
      <c r="F1151">
        <v>1</v>
      </c>
      <c r="G1151">
        <v>-0.35116832336750115</v>
      </c>
      <c r="H1151">
        <v>-65.331109999999171</v>
      </c>
      <c r="I1151">
        <v>-2.6335657696402337</v>
      </c>
      <c r="J1151">
        <v>-2.6659994036504209E-3</v>
      </c>
      <c r="K1151">
        <v>-1.5430546167759185</v>
      </c>
      <c r="L1151">
        <v>-0.71919852516735272</v>
      </c>
      <c r="M1151">
        <v>-0.4445433924401887</v>
      </c>
      <c r="N1151">
        <v>-3.9953463777719911E-3</v>
      </c>
      <c r="O1151">
        <v>-1.191479999999856E-3</v>
      </c>
      <c r="P1151">
        <v>0.43744238899974253</v>
      </c>
      <c r="Q1151">
        <v>0.21144903543237614</v>
      </c>
      <c r="R1151">
        <v>-0.23484871678771668</v>
      </c>
      <c r="S1151">
        <v>0.65639877820109493</v>
      </c>
      <c r="T1151">
        <v>0.35449082706424662</v>
      </c>
      <c r="U1151">
        <v>-1.7575861877006105E-7</v>
      </c>
      <c r="V1151">
        <v>0.35249076017827008</v>
      </c>
      <c r="W1151">
        <v>-6.0098340834491282E-2</v>
      </c>
      <c r="X1151">
        <v>0.15486074999999933</v>
      </c>
      <c r="Y1151">
        <v>2.92974599999999E-2</v>
      </c>
      <c r="Z1151">
        <v>-0.13730837099999987</v>
      </c>
    </row>
    <row r="1152" spans="1:26">
      <c r="A1152" s="54" t="str">
        <f>CONCATENATE(raw[[#This Row],[redis_ls]],raw[[#This Row],[wage_eq]],raw[[#This Row],[flex]],raw[[#This Row],[expo]],raw[[#This Row],[_date_]])</f>
        <v>000146753</v>
      </c>
      <c r="B1152" s="1">
        <v>46753</v>
      </c>
      <c r="C1152">
        <v>0</v>
      </c>
      <c r="D1152">
        <v>0</v>
      </c>
      <c r="E1152">
        <v>0</v>
      </c>
      <c r="F1152">
        <v>1</v>
      </c>
      <c r="G1152">
        <v>-0.34600862418953104</v>
      </c>
      <c r="H1152">
        <v>-64.781960000000254</v>
      </c>
      <c r="I1152">
        <v>-2.5905131735112552</v>
      </c>
      <c r="J1152">
        <v>8.3261485315233585E-4</v>
      </c>
      <c r="K1152">
        <v>-1.517435560710112</v>
      </c>
      <c r="L1152">
        <v>-0.71534822739692805</v>
      </c>
      <c r="M1152">
        <v>-0.43416083950772455</v>
      </c>
      <c r="N1152">
        <v>-3.5940022303782015E-4</v>
      </c>
      <c r="O1152">
        <v>-1.0683499999997181E-3</v>
      </c>
      <c r="P1152">
        <v>0.43487097746905956</v>
      </c>
      <c r="Q1152">
        <v>0.21523284836157952</v>
      </c>
      <c r="R1152">
        <v>-0.22088911650356424</v>
      </c>
      <c r="S1152">
        <v>0.65000962852779232</v>
      </c>
      <c r="T1152">
        <v>0.35451994088009364</v>
      </c>
      <c r="U1152">
        <v>-2.297498191694558E-7</v>
      </c>
      <c r="V1152">
        <v>0.34892912692721101</v>
      </c>
      <c r="W1152">
        <v>-6.5279648248128819E-2</v>
      </c>
      <c r="X1152">
        <v>0.15326744999999975</v>
      </c>
      <c r="Y1152">
        <v>2.7696129999999972E-2</v>
      </c>
      <c r="Z1152">
        <v>-0.13035802599999993</v>
      </c>
    </row>
    <row r="1153" spans="1:26">
      <c r="A1153" s="54" t="str">
        <f>CONCATENATE(raw[[#This Row],[redis_ls]],raw[[#This Row],[wage_eq]],raw[[#This Row],[flex]],raw[[#This Row],[expo]],raw[[#This Row],[_date_]])</f>
        <v>000147119</v>
      </c>
      <c r="B1153" s="1">
        <v>47119</v>
      </c>
      <c r="C1153">
        <v>0</v>
      </c>
      <c r="D1153">
        <v>0</v>
      </c>
      <c r="E1153">
        <v>0</v>
      </c>
      <c r="F1153">
        <v>1</v>
      </c>
      <c r="G1153">
        <v>-0.34104207779297457</v>
      </c>
      <c r="H1153">
        <v>-64.341140000000451</v>
      </c>
      <c r="I1153">
        <v>-2.5483117288986223</v>
      </c>
      <c r="J1153">
        <v>4.0265663266758622E-3</v>
      </c>
      <c r="K1153">
        <v>-1.4898225478620297</v>
      </c>
      <c r="L1153">
        <v>-0.71286146787838955</v>
      </c>
      <c r="M1153">
        <v>-0.42349071897410662</v>
      </c>
      <c r="N1153">
        <v>3.0052484776277311E-3</v>
      </c>
      <c r="O1153">
        <v>-9.152900000003461E-4</v>
      </c>
      <c r="P1153">
        <v>0.43282619397797539</v>
      </c>
      <c r="Q1153">
        <v>0.21949599596040592</v>
      </c>
      <c r="R1153">
        <v>-0.20654334290953758</v>
      </c>
      <c r="S1153">
        <v>0.64419450859929395</v>
      </c>
      <c r="T1153">
        <v>0.3548895363031157</v>
      </c>
      <c r="U1153">
        <v>-2.2524491161135529E-7</v>
      </c>
      <c r="V1153">
        <v>0.34628175552953167</v>
      </c>
      <c r="W1153">
        <v>-7.0162425132225259E-2</v>
      </c>
      <c r="X1153">
        <v>0.15188887999999928</v>
      </c>
      <c r="Y1153">
        <v>2.5786159999999919E-2</v>
      </c>
      <c r="Z1153">
        <v>-0.12381775399999996</v>
      </c>
    </row>
    <row r="1154" spans="1:26">
      <c r="A1154" s="54" t="str">
        <f>CONCATENATE(raw[[#This Row],[redis_ls]],raw[[#This Row],[wage_eq]],raw[[#This Row],[flex]],raw[[#This Row],[expo]],raw[[#This Row],[_date_]])</f>
        <v>000147484</v>
      </c>
      <c r="B1154" s="1">
        <v>47484</v>
      </c>
      <c r="C1154">
        <v>0</v>
      </c>
      <c r="D1154">
        <v>0</v>
      </c>
      <c r="E1154">
        <v>0</v>
      </c>
      <c r="F1154">
        <v>1</v>
      </c>
      <c r="G1154">
        <v>-0.33615378363011095</v>
      </c>
      <c r="H1154">
        <v>-63.95060999999987</v>
      </c>
      <c r="I1154">
        <v>-2.5068395734365478</v>
      </c>
      <c r="J1154">
        <v>7.0238600971439524E-3</v>
      </c>
      <c r="K1154">
        <v>-1.4602572831718175</v>
      </c>
      <c r="L1154">
        <v>-0.71148206916268331</v>
      </c>
      <c r="M1154">
        <v>-0.4125300185887415</v>
      </c>
      <c r="N1154">
        <v>6.1787832375648222E-3</v>
      </c>
      <c r="O1154">
        <v>-7.572900000002436E-4</v>
      </c>
      <c r="P1154">
        <v>0.43120103968992129</v>
      </c>
      <c r="Q1154">
        <v>0.22412195470264962</v>
      </c>
      <c r="R1154">
        <v>-0.19194268108556622</v>
      </c>
      <c r="S1154">
        <v>0.63885135230106194</v>
      </c>
      <c r="T1154">
        <v>0.3555158750556453</v>
      </c>
      <c r="U1154">
        <v>-2.2082835560155445E-7</v>
      </c>
      <c r="V1154">
        <v>0.34440637269586016</v>
      </c>
      <c r="W1154">
        <v>-7.4752903303410001E-2</v>
      </c>
      <c r="X1154">
        <v>0.15059245999999998</v>
      </c>
      <c r="Y1154">
        <v>2.3607559999999986E-2</v>
      </c>
      <c r="Z1154">
        <v>-0.11760729999999997</v>
      </c>
    </row>
    <row r="1155" spans="1:26">
      <c r="A1155" s="54" t="str">
        <f>CONCATENATE(raw[[#This Row],[redis_ls]],raw[[#This Row],[wage_eq]],raw[[#This Row],[flex]],raw[[#This Row],[expo]],raw[[#This Row],[_date_]])</f>
        <v>000147849</v>
      </c>
      <c r="B1155" s="1">
        <v>47849</v>
      </c>
      <c r="C1155">
        <v>0</v>
      </c>
      <c r="D1155">
        <v>0</v>
      </c>
      <c r="E1155">
        <v>0</v>
      </c>
      <c r="F1155">
        <v>1</v>
      </c>
      <c r="G1155">
        <v>-0.33126076054070808</v>
      </c>
      <c r="H1155">
        <v>-63.565410000002885</v>
      </c>
      <c r="I1155">
        <v>-2.466009803433733</v>
      </c>
      <c r="J1155">
        <v>9.8956283697493319E-3</v>
      </c>
      <c r="K1155">
        <v>-1.428815889421764</v>
      </c>
      <c r="L1155">
        <v>-0.71099110716963398</v>
      </c>
      <c r="M1155">
        <v>-0.40129475707607609</v>
      </c>
      <c r="N1155">
        <v>9.2136794655139909E-3</v>
      </c>
      <c r="O1155">
        <v>-6.1112000000057565E-4</v>
      </c>
      <c r="P1155">
        <v>0.42990820868900048</v>
      </c>
      <c r="Q1155">
        <v>0.22901486260940018</v>
      </c>
      <c r="R1155">
        <v>-0.17719499928865456</v>
      </c>
      <c r="S1155">
        <v>0.63389623671787909</v>
      </c>
      <c r="T1155">
        <v>0.35633231424294642</v>
      </c>
      <c r="U1155">
        <v>-2.1649838588544412E-7</v>
      </c>
      <c r="V1155">
        <v>0.34318170331024689</v>
      </c>
      <c r="W1155">
        <v>-7.9059925602842362E-2</v>
      </c>
      <c r="X1155">
        <v>0.14927928999999979</v>
      </c>
      <c r="Y1155">
        <v>2.1200249999999907E-2</v>
      </c>
      <c r="Z1155">
        <v>-0.11167252700000005</v>
      </c>
    </row>
    <row r="1156" spans="1:26">
      <c r="A1156" s="54" t="str">
        <f>CONCATENATE(raw[[#This Row],[redis_ls]],raw[[#This Row],[wage_eq]],raw[[#This Row],[flex]],raw[[#This Row],[expo]],raw[[#This Row],[_date_]])</f>
        <v>000148214</v>
      </c>
      <c r="B1156" s="1">
        <v>48214</v>
      </c>
      <c r="C1156">
        <v>0</v>
      </c>
      <c r="D1156">
        <v>0</v>
      </c>
      <c r="E1156">
        <v>0</v>
      </c>
      <c r="F1156">
        <v>1</v>
      </c>
      <c r="G1156">
        <v>-0.32630752269914298</v>
      </c>
      <c r="H1156">
        <v>-63.152770000000601</v>
      </c>
      <c r="I1156">
        <v>-2.4257640047333884</v>
      </c>
      <c r="J1156">
        <v>1.2682576554690073E-2</v>
      </c>
      <c r="K1156">
        <v>-1.3956026679649791</v>
      </c>
      <c r="L1156">
        <v>-0.71120335697725245</v>
      </c>
      <c r="M1156">
        <v>-0.38981549640837443</v>
      </c>
      <c r="N1156">
        <v>1.2139649636466743E-2</v>
      </c>
      <c r="O1156">
        <v>-4.8653000000037361E-4</v>
      </c>
      <c r="P1156">
        <v>0.42887630082717454</v>
      </c>
      <c r="Q1156">
        <v>0.23409519577466398</v>
      </c>
      <c r="R1156">
        <v>-0.16239008081057049</v>
      </c>
      <c r="S1156">
        <v>0.62925988568092173</v>
      </c>
      <c r="T1156">
        <v>0.35728516617212769</v>
      </c>
      <c r="U1156">
        <v>-2.1225331492402688E-7</v>
      </c>
      <c r="V1156">
        <v>0.34250367828501105</v>
      </c>
      <c r="W1156">
        <v>-8.3093692019120535E-2</v>
      </c>
      <c r="X1156">
        <v>0.14788057999999965</v>
      </c>
      <c r="Y1156">
        <v>1.8602709999999967E-2</v>
      </c>
      <c r="Z1156">
        <v>-0.10598028699999995</v>
      </c>
    </row>
    <row r="1157" spans="1:26">
      <c r="A1157" s="54" t="str">
        <f>CONCATENATE(raw[[#This Row],[redis_ls]],raw[[#This Row],[wage_eq]],raw[[#This Row],[flex]],raw[[#This Row],[expo]],raw[[#This Row],[_date_]])</f>
        <v>000148580</v>
      </c>
      <c r="B1157" s="1">
        <v>48580</v>
      </c>
      <c r="C1157">
        <v>0</v>
      </c>
      <c r="D1157">
        <v>0</v>
      </c>
      <c r="E1157">
        <v>0</v>
      </c>
      <c r="F1157">
        <v>1</v>
      </c>
      <c r="G1157">
        <v>-0.32126076332181785</v>
      </c>
      <c r="H1157">
        <v>-62.690539999999601</v>
      </c>
      <c r="I1157">
        <v>-2.3860655312638368</v>
      </c>
      <c r="J1157">
        <v>1.5401819784366388E-2</v>
      </c>
      <c r="K1157">
        <v>-1.3607434924233996</v>
      </c>
      <c r="L1157">
        <v>-0.71196298903631883</v>
      </c>
      <c r="M1157">
        <v>-0.37813278496732217</v>
      </c>
      <c r="N1157">
        <v>1.4969190404179322E-2</v>
      </c>
      <c r="O1157">
        <v>-3.8769000000049569E-4</v>
      </c>
      <c r="P1157">
        <v>0.42804622615968402</v>
      </c>
      <c r="Q1157">
        <v>0.23929600663392669</v>
      </c>
      <c r="R1157">
        <v>-0.14760371645368142</v>
      </c>
      <c r="S1157">
        <v>0.624883973386825</v>
      </c>
      <c r="T1157">
        <v>0.35833027029594788</v>
      </c>
      <c r="U1157">
        <v>-2.0809149958722628E-7</v>
      </c>
      <c r="V1157">
        <v>0.34228186769376112</v>
      </c>
      <c r="W1157">
        <v>-8.6864641069284154E-2</v>
      </c>
      <c r="X1157">
        <v>0.14635262999999898</v>
      </c>
      <c r="Y1157">
        <v>1.5851100000000007E-2</v>
      </c>
      <c r="Z1157">
        <v>-0.10051306899999998</v>
      </c>
    </row>
    <row r="1158" spans="1:26">
      <c r="A1158" s="54" t="str">
        <f>CONCATENATE(raw[[#This Row],[redis_ls]],raw[[#This Row],[wage_eq]],raw[[#This Row],[flex]],raw[[#This Row],[expo]],raw[[#This Row],[_date_]])</f>
        <v>000148945</v>
      </c>
      <c r="B1158" s="1">
        <v>48945</v>
      </c>
      <c r="C1158">
        <v>0</v>
      </c>
      <c r="D1158">
        <v>0</v>
      </c>
      <c r="E1158">
        <v>0</v>
      </c>
      <c r="F1158">
        <v>1</v>
      </c>
      <c r="G1158">
        <v>-0.3161041266120157</v>
      </c>
      <c r="H1158">
        <v>-62.165229999998701</v>
      </c>
      <c r="I1158">
        <v>-2.3468934403334418</v>
      </c>
      <c r="J1158">
        <v>1.8054058256522509E-2</v>
      </c>
      <c r="K1158">
        <v>-1.3243793491940825</v>
      </c>
      <c r="L1158">
        <v>-0.71313882650567706</v>
      </c>
      <c r="M1158">
        <v>-0.36629281132155578</v>
      </c>
      <c r="N1158">
        <v>1.7702872227731703E-2</v>
      </c>
      <c r="O1158">
        <v>-3.1474000000003555E-4</v>
      </c>
      <c r="P1158">
        <v>0.42736840976651536</v>
      </c>
      <c r="Q1158">
        <v>0.24455998375392252</v>
      </c>
      <c r="R1158">
        <v>-0.13290109888106638</v>
      </c>
      <c r="S1158">
        <v>0.6207188627970206</v>
      </c>
      <c r="T1158">
        <v>0.35943056716207789</v>
      </c>
      <c r="U1158">
        <v>-2.5501407652228636E-7</v>
      </c>
      <c r="V1158">
        <v>0.3424372927342656</v>
      </c>
      <c r="W1158">
        <v>-9.0382731594373933E-2</v>
      </c>
      <c r="X1158">
        <v>0.14467152999999983</v>
      </c>
      <c r="Y1158">
        <v>1.2978680000000006E-2</v>
      </c>
      <c r="Z1158">
        <v>-9.5264057999999874E-2</v>
      </c>
    </row>
    <row r="1159" spans="1:26">
      <c r="A1159" s="54" t="str">
        <f>CONCATENATE(raw[[#This Row],[redis_ls]],raw[[#This Row],[wage_eq]],raw[[#This Row],[flex]],raw[[#This Row],[expo]],raw[[#This Row],[_date_]])</f>
        <v>000149310</v>
      </c>
      <c r="B1159" s="1">
        <v>49310</v>
      </c>
      <c r="C1159">
        <v>0</v>
      </c>
      <c r="D1159">
        <v>0</v>
      </c>
      <c r="E1159">
        <v>0</v>
      </c>
      <c r="F1159">
        <v>1</v>
      </c>
      <c r="G1159">
        <v>-0.31083334731469847</v>
      </c>
      <c r="H1159">
        <v>-61.569999999999709</v>
      </c>
      <c r="I1159">
        <v>-2.3082371230957799</v>
      </c>
      <c r="J1159">
        <v>2.0629561145213415E-2</v>
      </c>
      <c r="K1159">
        <v>-1.2866607522221463</v>
      </c>
      <c r="L1159">
        <v>-0.71462009103823165</v>
      </c>
      <c r="M1159">
        <v>-0.35434419015646368</v>
      </c>
      <c r="N1159">
        <v>2.0333569943931096E-2</v>
      </c>
      <c r="O1159">
        <v>-2.6518000000030906E-4</v>
      </c>
      <c r="P1159">
        <v>0.4268009185869337</v>
      </c>
      <c r="Q1159">
        <v>0.2498372462625742</v>
      </c>
      <c r="R1159">
        <v>-0.11833908474342403</v>
      </c>
      <c r="S1159">
        <v>0.61672175630047565</v>
      </c>
      <c r="T1159">
        <v>0.36055421034433266</v>
      </c>
      <c r="U1159">
        <v>-2.0001104106270873E-7</v>
      </c>
      <c r="V1159">
        <v>0.34289963904827747</v>
      </c>
      <c r="W1159">
        <v>-9.3657684670167551E-2</v>
      </c>
      <c r="X1159">
        <v>0.14282800999999984</v>
      </c>
      <c r="Y1159">
        <v>1.0015539999999948E-2</v>
      </c>
      <c r="Z1159">
        <v>-9.023294900000009E-2</v>
      </c>
    </row>
    <row r="1160" spans="1:26">
      <c r="A1160" s="54" t="str">
        <f>CONCATENATE(raw[[#This Row],[redis_ls]],raw[[#This Row],[wage_eq]],raw[[#This Row],[flex]],raw[[#This Row],[expo]],raw[[#This Row],[_date_]])</f>
        <v>000149675</v>
      </c>
      <c r="B1160" s="1">
        <v>49675</v>
      </c>
      <c r="C1160">
        <v>0</v>
      </c>
      <c r="D1160">
        <v>0</v>
      </c>
      <c r="E1160">
        <v>0</v>
      </c>
      <c r="F1160">
        <v>1</v>
      </c>
      <c r="G1160">
        <v>-0.30545231772930448</v>
      </c>
      <c r="H1160">
        <v>-60.902900000000955</v>
      </c>
      <c r="I1160">
        <v>-2.2700920949863312</v>
      </c>
      <c r="J1160">
        <v>2.3113113297701382E-2</v>
      </c>
      <c r="K1160">
        <v>-1.2477429877946644</v>
      </c>
      <c r="L1160">
        <v>-0.71631256047659519</v>
      </c>
      <c r="M1160">
        <v>-0.34233464912748479</v>
      </c>
      <c r="N1160">
        <v>2.285073533687676E-2</v>
      </c>
      <c r="O1160">
        <v>-2.3509000000032643E-4</v>
      </c>
      <c r="P1160">
        <v>0.42630702152564037</v>
      </c>
      <c r="Q1160">
        <v>0.25508359579518025</v>
      </c>
      <c r="R1160">
        <v>-0.10396824113646508</v>
      </c>
      <c r="S1160">
        <v>0.61285467612988143</v>
      </c>
      <c r="T1160">
        <v>0.3616730603890117</v>
      </c>
      <c r="U1160">
        <v>-1.9608927814829258E-7</v>
      </c>
      <c r="V1160">
        <v>0.34360662582322288</v>
      </c>
      <c r="W1160">
        <v>-9.6697746600982182E-2</v>
      </c>
      <c r="X1160">
        <v>0.14082301999999991</v>
      </c>
      <c r="Y1160">
        <v>6.9885799999998971E-3</v>
      </c>
      <c r="Z1160">
        <v>-8.5422697000000006E-2</v>
      </c>
    </row>
    <row r="1161" spans="1:26">
      <c r="A1161" s="54" t="str">
        <f>CONCATENATE(raw[[#This Row],[redis_ls]],raw[[#This Row],[wage_eq]],raw[[#This Row],[flex]],raw[[#This Row],[expo]],raw[[#This Row],[_date_]])</f>
        <v>000150041</v>
      </c>
      <c r="B1161" s="1">
        <v>50041</v>
      </c>
      <c r="C1161">
        <v>0</v>
      </c>
      <c r="D1161">
        <v>0</v>
      </c>
      <c r="E1161">
        <v>0</v>
      </c>
      <c r="F1161">
        <v>1</v>
      </c>
      <c r="G1161">
        <v>-0.29996984397900883</v>
      </c>
      <c r="H1161">
        <v>-60.165280000001076</v>
      </c>
      <c r="I1161">
        <v>-2.2324568504855646</v>
      </c>
      <c r="J1161">
        <v>2.5487939177426533E-2</v>
      </c>
      <c r="K1161">
        <v>-1.207782495903742</v>
      </c>
      <c r="L1161">
        <v>-0.71813538986365</v>
      </c>
      <c r="M1161">
        <v>-0.33030996974835469</v>
      </c>
      <c r="N1161">
        <v>2.5242460964070013E-2</v>
      </c>
      <c r="O1161">
        <v>-2.1998999999994773E-4</v>
      </c>
      <c r="P1161">
        <v>0.42585487909891917</v>
      </c>
      <c r="Q1161">
        <v>0.26025966196459027</v>
      </c>
      <c r="R1161">
        <v>-8.9833632287594778E-2</v>
      </c>
      <c r="S1161">
        <v>0.60908395174523733</v>
      </c>
      <c r="T1161">
        <v>0.3627620545818333</v>
      </c>
      <c r="U1161">
        <v>-1.9224438707610148E-7</v>
      </c>
      <c r="V1161">
        <v>0.34450188603085685</v>
      </c>
      <c r="W1161">
        <v>-9.9510495636012664E-2</v>
      </c>
      <c r="X1161">
        <v>0.1386640699999997</v>
      </c>
      <c r="Y1161">
        <v>3.9215900000000303E-3</v>
      </c>
      <c r="Z1161">
        <v>-8.0837196999999916E-2</v>
      </c>
    </row>
    <row r="1162" spans="1:26">
      <c r="A1162" s="54" t="str">
        <f>CONCATENATE(raw[[#This Row],[redis_ls]],raw[[#This Row],[wage_eq]],raw[[#This Row],[flex]],raw[[#This Row],[expo]],raw[[#This Row],[_date_]])</f>
        <v>000150406</v>
      </c>
      <c r="B1162" s="1">
        <v>50406</v>
      </c>
      <c r="C1162">
        <v>0</v>
      </c>
      <c r="D1162">
        <v>0</v>
      </c>
      <c r="E1162">
        <v>0</v>
      </c>
      <c r="F1162">
        <v>1</v>
      </c>
      <c r="G1162">
        <v>-0.29439740923967728</v>
      </c>
      <c r="H1162">
        <v>-59.360580000000482</v>
      </c>
      <c r="I1162">
        <v>-2.1953313027422205</v>
      </c>
      <c r="J1162">
        <v>2.7738255795850542E-2</v>
      </c>
      <c r="K1162">
        <v>-1.1669342199119082</v>
      </c>
      <c r="L1162">
        <v>-0.72001859176705763</v>
      </c>
      <c r="M1162">
        <v>-0.31831211443126284</v>
      </c>
      <c r="N1162">
        <v>2.7497728481096217E-2</v>
      </c>
      <c r="O1162">
        <v>-2.1555000000034186E-4</v>
      </c>
      <c r="P1162">
        <v>0.42541592204208278</v>
      </c>
      <c r="Q1162">
        <v>0.26532998111796768</v>
      </c>
      <c r="R1162">
        <v>-7.5975965307051307E-2</v>
      </c>
      <c r="S1162">
        <v>0.60537917743539449</v>
      </c>
      <c r="T1162">
        <v>0.36379863245052935</v>
      </c>
      <c r="U1162">
        <v>-2.3559358908187278E-7</v>
      </c>
      <c r="V1162">
        <v>0.34553521443505542</v>
      </c>
      <c r="W1162">
        <v>-0.10210222084088283</v>
      </c>
      <c r="X1162">
        <v>0.13636250999999877</v>
      </c>
      <c r="Y1162">
        <v>8.3549999999980862E-4</v>
      </c>
      <c r="Z1162">
        <v>-7.6479777000000054E-2</v>
      </c>
    </row>
    <row r="1163" spans="1:26">
      <c r="A1163" s="54" t="str">
        <f>CONCATENATE(raw[[#This Row],[redis_ls]],raw[[#This Row],[wage_eq]],raw[[#This Row],[flex]],raw[[#This Row],[expo]],raw[[#This Row],[_date_]])</f>
        <v>000150771</v>
      </c>
      <c r="B1163" s="1">
        <v>50771</v>
      </c>
      <c r="C1163">
        <v>0</v>
      </c>
      <c r="D1163">
        <v>0</v>
      </c>
      <c r="E1163">
        <v>0</v>
      </c>
      <c r="F1163">
        <v>1</v>
      </c>
      <c r="G1163">
        <v>-0.2887476885793494</v>
      </c>
      <c r="H1163">
        <v>-58.493420000002516</v>
      </c>
      <c r="I1163">
        <v>-2.1587145995293766</v>
      </c>
      <c r="J1163">
        <v>2.9850531810704517E-2</v>
      </c>
      <c r="K1163">
        <v>-1.1253498551169083</v>
      </c>
      <c r="L1163">
        <v>-0.72190104871210359</v>
      </c>
      <c r="M1163">
        <v>-0.30637920135369034</v>
      </c>
      <c r="N1163">
        <v>2.960728748593322E-2</v>
      </c>
      <c r="O1163">
        <v>-2.1793999999963898E-4</v>
      </c>
      <c r="P1163">
        <v>0.42496464758758901</v>
      </c>
      <c r="Q1163">
        <v>0.2702624840705603</v>
      </c>
      <c r="R1163">
        <v>-6.2431932622430963E-2</v>
      </c>
      <c r="S1163">
        <v>0.6017128745366529</v>
      </c>
      <c r="T1163">
        <v>0.36476240056038112</v>
      </c>
      <c r="U1163">
        <v>-2.3097410650763095E-7</v>
      </c>
      <c r="V1163">
        <v>0.34666134570644491</v>
      </c>
      <c r="W1163">
        <v>-0.10447810882573405</v>
      </c>
      <c r="X1163">
        <v>0.13393156999999961</v>
      </c>
      <c r="Y1163">
        <v>-2.2514000000001255E-3</v>
      </c>
      <c r="Z1163">
        <v>-7.23523890000001E-2</v>
      </c>
    </row>
    <row r="1164" spans="1:26">
      <c r="A1164" s="54" t="str">
        <f>CONCATENATE(raw[[#This Row],[redis_ls]],raw[[#This Row],[wage_eq]],raw[[#This Row],[flex]],raw[[#This Row],[expo]],raw[[#This Row],[_date_]])</f>
        <v>000151136</v>
      </c>
      <c r="B1164" s="1">
        <v>51136</v>
      </c>
      <c r="C1164">
        <v>0</v>
      </c>
      <c r="D1164">
        <v>0</v>
      </c>
      <c r="E1164">
        <v>0</v>
      </c>
      <c r="F1164">
        <v>1</v>
      </c>
      <c r="G1164">
        <v>-0.28303343008366788</v>
      </c>
      <c r="H1164">
        <v>-57.568999999999505</v>
      </c>
      <c r="I1164">
        <v>-2.1226050368332916</v>
      </c>
      <c r="J1164">
        <v>3.1814280414765861E-2</v>
      </c>
      <c r="K1164">
        <v>-1.083176604351177</v>
      </c>
      <c r="L1164">
        <v>-0.72372895242828195</v>
      </c>
      <c r="M1164">
        <v>-0.29454484354376476</v>
      </c>
      <c r="N1164">
        <v>3.1564203582079564E-2</v>
      </c>
      <c r="O1164">
        <v>-2.2404000000059154E-4</v>
      </c>
      <c r="P1164">
        <v>0.42447801693004106</v>
      </c>
      <c r="Q1164">
        <v>0.27502816559450416</v>
      </c>
      <c r="R1164">
        <v>-4.9234441494772074E-2</v>
      </c>
      <c r="S1164">
        <v>0.59806004327722651</v>
      </c>
      <c r="T1164">
        <v>0.36563487120937488</v>
      </c>
      <c r="U1164">
        <v>-2.2644520702996829E-7</v>
      </c>
      <c r="V1164">
        <v>0.34783971482477138</v>
      </c>
      <c r="W1164">
        <v>-0.10664271878113585</v>
      </c>
      <c r="X1164">
        <v>0.13138509999999909</v>
      </c>
      <c r="Y1164">
        <v>-5.3230800000001605E-3</v>
      </c>
      <c r="Z1164">
        <v>-6.8455283000000075E-2</v>
      </c>
    </row>
    <row r="1165" spans="1:26">
      <c r="A1165" s="54" t="str">
        <f>CONCATENATE(raw[[#This Row],[redis_ls]],raw[[#This Row],[wage_eq]],raw[[#This Row],[flex]],raw[[#This Row],[expo]],raw[[#This Row],[_date_]])</f>
        <v>000151502</v>
      </c>
      <c r="B1165" s="1">
        <v>51502</v>
      </c>
      <c r="C1165">
        <v>0</v>
      </c>
      <c r="D1165">
        <v>0</v>
      </c>
      <c r="E1165">
        <v>0</v>
      </c>
      <c r="F1165">
        <v>1</v>
      </c>
      <c r="G1165">
        <v>-0.27726722757884792</v>
      </c>
      <c r="H1165">
        <v>-56.592670000001817</v>
      </c>
      <c r="I1165">
        <v>-2.0869999543771556</v>
      </c>
      <c r="J1165">
        <v>3.3622323514492791E-2</v>
      </c>
      <c r="K1165">
        <v>-1.0405566331005089</v>
      </c>
      <c r="L1165">
        <v>-0.72545489176406575</v>
      </c>
      <c r="M1165">
        <v>-0.28283879682734492</v>
      </c>
      <c r="N1165">
        <v>3.3363823042709129E-2</v>
      </c>
      <c r="O1165">
        <v>-2.3153999999941943E-4</v>
      </c>
      <c r="P1165">
        <v>0.42393526513717639</v>
      </c>
      <c r="Q1165">
        <v>0.27960108806708295</v>
      </c>
      <c r="R1165">
        <v>-3.6413144067093395E-2</v>
      </c>
      <c r="S1165">
        <v>0.59439806650747329</v>
      </c>
      <c r="T1165">
        <v>0.36639940090732459</v>
      </c>
      <c r="U1165">
        <v>-2.2200510318981515E-7</v>
      </c>
      <c r="V1165">
        <v>0.34903399592656204</v>
      </c>
      <c r="W1165">
        <v>-0.1085993717685696</v>
      </c>
      <c r="X1165">
        <v>0.12873681999999997</v>
      </c>
      <c r="Y1165">
        <v>-8.3655599999999525E-3</v>
      </c>
      <c r="Z1165">
        <v>-6.4787049000000069E-2</v>
      </c>
    </row>
    <row r="1166" spans="1:26">
      <c r="A1166" s="54" t="str">
        <f>CONCATENATE(raw[[#This Row],[redis_ls]],raw[[#This Row],[wage_eq]],raw[[#This Row],[flex]],raw[[#This Row],[expo]],raw[[#This Row],[_date_]])</f>
        <v>000151867</v>
      </c>
      <c r="B1166" s="1">
        <v>51867</v>
      </c>
      <c r="C1166">
        <v>0</v>
      </c>
      <c r="D1166">
        <v>0</v>
      </c>
      <c r="E1166">
        <v>0</v>
      </c>
      <c r="F1166">
        <v>1</v>
      </c>
      <c r="G1166">
        <v>-0.27146096397424602</v>
      </c>
      <c r="H1166">
        <v>-55.569769999998243</v>
      </c>
      <c r="I1166">
        <v>-2.0518957288772288</v>
      </c>
      <c r="J1166">
        <v>3.5270251489172288E-2</v>
      </c>
      <c r="K1166">
        <v>-0.99762674455816658</v>
      </c>
      <c r="L1166">
        <v>-0.72703669877869359</v>
      </c>
      <c r="M1166">
        <v>-0.27128746641732482</v>
      </c>
      <c r="N1166">
        <v>3.5003664291322067E-2</v>
      </c>
      <c r="O1166">
        <v>-2.3885000000056777E-4</v>
      </c>
      <c r="P1166">
        <v>0.42331754928692789</v>
      </c>
      <c r="Q1166">
        <v>0.28395763170478983</v>
      </c>
      <c r="R1166">
        <v>-2.3994268186888768E-2</v>
      </c>
      <c r="S1166">
        <v>0.59070635125682003</v>
      </c>
      <c r="T1166">
        <v>0.36704095287947158</v>
      </c>
      <c r="U1166">
        <v>-2.6118247564710373E-7</v>
      </c>
      <c r="V1166">
        <v>0.35021184434735897</v>
      </c>
      <c r="W1166">
        <v>-0.110351097418393</v>
      </c>
      <c r="X1166">
        <v>0.12599992999999948</v>
      </c>
      <c r="Y1166">
        <v>-1.1366559999999998E-2</v>
      </c>
      <c r="Z1166">
        <v>-6.1344844000000079E-2</v>
      </c>
    </row>
    <row r="1167" spans="1:26">
      <c r="A1167" s="54" t="str">
        <f>CONCATENATE(raw[[#This Row],[redis_ls]],raw[[#This Row],[wage_eq]],raw[[#This Row],[flex]],raw[[#This Row],[expo]],raw[[#This Row],[_date_]])</f>
        <v>000152232</v>
      </c>
      <c r="B1167" s="1">
        <v>52232</v>
      </c>
      <c r="C1167">
        <v>0</v>
      </c>
      <c r="D1167">
        <v>0</v>
      </c>
      <c r="E1167">
        <v>0</v>
      </c>
      <c r="F1167">
        <v>1</v>
      </c>
      <c r="G1167">
        <v>-0.26562607976347019</v>
      </c>
      <c r="H1167">
        <v>-54.505460000000312</v>
      </c>
      <c r="I1167">
        <v>-2.0172874463775914</v>
      </c>
      <c r="J1167">
        <v>3.6756226605660913E-2</v>
      </c>
      <c r="K1167">
        <v>-0.95451823869757702</v>
      </c>
      <c r="L1167">
        <v>-0.72843692265683879</v>
      </c>
      <c r="M1167">
        <v>-0.25991378791814235</v>
      </c>
      <c r="N1167">
        <v>3.6482710033203247E-2</v>
      </c>
      <c r="O1167">
        <v>-2.4500000000010624E-4</v>
      </c>
      <c r="P1167">
        <v>0.42260809838152724</v>
      </c>
      <c r="Q1167">
        <v>0.28807710164058253</v>
      </c>
      <c r="R1167">
        <v>-1.2001164073216497E-2</v>
      </c>
      <c r="S1167">
        <v>0.5869662618359861</v>
      </c>
      <c r="T1167">
        <v>0.36754622325207986</v>
      </c>
      <c r="U1167">
        <v>-2.5606124998134305E-7</v>
      </c>
      <c r="V1167">
        <v>0.35134454618086508</v>
      </c>
      <c r="W1167">
        <v>-0.11190026888242555</v>
      </c>
      <c r="X1167">
        <v>0.12318700999999904</v>
      </c>
      <c r="Y1167">
        <v>-1.4315300000000003E-2</v>
      </c>
      <c r="Z1167">
        <v>-5.812472699999998E-2</v>
      </c>
    </row>
    <row r="1168" spans="1:26">
      <c r="A1168" s="54" t="str">
        <f>CONCATENATE(raw[[#This Row],[redis_ls]],raw[[#This Row],[wage_eq]],raw[[#This Row],[flex]],raw[[#This Row],[expo]],raw[[#This Row],[_date_]])</f>
        <v>000152597</v>
      </c>
      <c r="B1168" s="1">
        <v>52597</v>
      </c>
      <c r="C1168">
        <v>0</v>
      </c>
      <c r="D1168">
        <v>0</v>
      </c>
      <c r="E1168">
        <v>0</v>
      </c>
      <c r="F1168">
        <v>1</v>
      </c>
      <c r="G1168">
        <v>-0.25977357787604349</v>
      </c>
      <c r="H1168">
        <v>-53.404709999998886</v>
      </c>
      <c r="I1168">
        <v>-1.9831699314543094</v>
      </c>
      <c r="J1168">
        <v>3.8080102560100748E-2</v>
      </c>
      <c r="K1168">
        <v>-0.91135702118343431</v>
      </c>
      <c r="L1168">
        <v>-0.72962212049642039</v>
      </c>
      <c r="M1168">
        <v>-0.24873844502750764</v>
      </c>
      <c r="N1168">
        <v>3.7801535460246782E-2</v>
      </c>
      <c r="O1168">
        <v>-2.4950999999995283E-4</v>
      </c>
      <c r="P1168">
        <v>0.42179154084653891</v>
      </c>
      <c r="Q1168">
        <v>0.29194062065105442</v>
      </c>
      <c r="R1168">
        <v>-4.5442504053028188E-4</v>
      </c>
      <c r="S1168">
        <v>0.58316104860109963</v>
      </c>
      <c r="T1168">
        <v>0.36790311576788692</v>
      </c>
      <c r="U1168">
        <v>-2.5104042178369923E-7</v>
      </c>
      <c r="V1168">
        <v>0.35240635398243736</v>
      </c>
      <c r="W1168">
        <v>-0.11324885900564352</v>
      </c>
      <c r="X1168">
        <v>0.12031004999999984</v>
      </c>
      <c r="Y1168">
        <v>-1.7202220000000004E-2</v>
      </c>
      <c r="Z1168">
        <v>-5.5121990999999933E-2</v>
      </c>
    </row>
    <row r="1169" spans="1:26">
      <c r="A1169" s="54" t="str">
        <f>CONCATENATE(raw[[#This Row],[redis_ls]],raw[[#This Row],[wage_eq]],raw[[#This Row],[flex]],raw[[#This Row],[expo]],raw[[#This Row],[_date_]])</f>
        <v>000152963</v>
      </c>
      <c r="B1169" s="1">
        <v>52963</v>
      </c>
      <c r="C1169">
        <v>0</v>
      </c>
      <c r="D1169">
        <v>0</v>
      </c>
      <c r="E1169">
        <v>0</v>
      </c>
      <c r="F1169">
        <v>1</v>
      </c>
      <c r="G1169">
        <v>-0.25391402959418219</v>
      </c>
      <c r="H1169">
        <v>-52.272369999998773</v>
      </c>
      <c r="I1169">
        <v>-1.9495378517977113</v>
      </c>
      <c r="J1169">
        <v>3.9243133781030615E-2</v>
      </c>
      <c r="K1169">
        <v>-0.86826361436408428</v>
      </c>
      <c r="L1169">
        <v>-0.73056279012695402</v>
      </c>
      <c r="M1169">
        <v>-0.23777951773893413</v>
      </c>
      <c r="N1169">
        <v>3.8961517176061555E-2</v>
      </c>
      <c r="O1169">
        <v>-2.5226999999933275E-4</v>
      </c>
      <c r="P1169">
        <v>0.42085416567185785</v>
      </c>
      <c r="Q1169">
        <v>0.29553182309183246</v>
      </c>
      <c r="R1169">
        <v>1.0628117075750509E-2</v>
      </c>
      <c r="S1169">
        <v>0.57927549302496661</v>
      </c>
      <c r="T1169">
        <v>0.36810105212645716</v>
      </c>
      <c r="U1169">
        <v>-2.461180814705699E-7</v>
      </c>
      <c r="V1169">
        <v>0.35337463222615551</v>
      </c>
      <c r="W1169">
        <v>-0.11439874438581299</v>
      </c>
      <c r="X1169">
        <v>0.1173805</v>
      </c>
      <c r="Y1169">
        <v>-2.0018860000000152E-2</v>
      </c>
      <c r="Z1169">
        <v>-5.2331469000000026E-2</v>
      </c>
    </row>
    <row r="1170" spans="1:26">
      <c r="A1170" s="54" t="str">
        <f>CONCATENATE(raw[[#This Row],[redis_ls]],raw[[#This Row],[wage_eq]],raw[[#This Row],[flex]],raw[[#This Row],[expo]],raw[[#This Row],[_date_]])</f>
        <v>000153328</v>
      </c>
      <c r="B1170" s="1">
        <v>53328</v>
      </c>
      <c r="C1170">
        <v>0</v>
      </c>
      <c r="D1170">
        <v>0</v>
      </c>
      <c r="E1170">
        <v>0</v>
      </c>
      <c r="F1170">
        <v>1</v>
      </c>
      <c r="G1170">
        <v>-0.24805772339021592</v>
      </c>
      <c r="H1170">
        <v>-51.113139999997657</v>
      </c>
      <c r="I1170">
        <v>-1.9163854298497762</v>
      </c>
      <c r="J1170">
        <v>4.0247464509235442E-2</v>
      </c>
      <c r="K1170">
        <v>-0.82535314813005911</v>
      </c>
      <c r="L1170">
        <v>-0.73123234487953992</v>
      </c>
      <c r="M1170">
        <v>-0.22705351660881057</v>
      </c>
      <c r="N1170">
        <v>3.9964659753310983E-2</v>
      </c>
      <c r="O1170">
        <v>-2.5337000000014154E-4</v>
      </c>
      <c r="P1170">
        <v>0.41978358325611698</v>
      </c>
      <c r="Q1170">
        <v>0.29883609106760023</v>
      </c>
      <c r="R1170">
        <v>2.1230821255602272E-2</v>
      </c>
      <c r="S1170">
        <v>0.57529590664258112</v>
      </c>
      <c r="T1170">
        <v>0.36813043577519355</v>
      </c>
      <c r="U1170">
        <v>-2.8150761721690287E-7</v>
      </c>
      <c r="V1170">
        <v>0.35422907518507518</v>
      </c>
      <c r="W1170">
        <v>-0.11535165725119478</v>
      </c>
      <c r="X1170">
        <v>0.11440940999999927</v>
      </c>
      <c r="Y1170">
        <v>-2.275764999999999E-2</v>
      </c>
      <c r="Z1170">
        <v>-4.9747770999999941E-2</v>
      </c>
    </row>
    <row r="1171" spans="1:26">
      <c r="A1171" s="54" t="str">
        <f>CONCATENATE(raw[[#This Row],[redis_ls]],raw[[#This Row],[wage_eq]],raw[[#This Row],[flex]],raw[[#This Row],[expo]],raw[[#This Row],[_date_]])</f>
        <v>000153693</v>
      </c>
      <c r="B1171" s="1">
        <v>53693</v>
      </c>
      <c r="C1171">
        <v>0</v>
      </c>
      <c r="D1171">
        <v>0</v>
      </c>
      <c r="E1171">
        <v>0</v>
      </c>
      <c r="F1171">
        <v>1</v>
      </c>
      <c r="G1171">
        <v>-0.24221477757890852</v>
      </c>
      <c r="H1171">
        <v>-49.931620000003022</v>
      </c>
      <c r="I1171">
        <v>-1.8837071803092242</v>
      </c>
      <c r="J1171">
        <v>4.1095704502014385E-2</v>
      </c>
      <c r="K1171">
        <v>-0.78273548975260621</v>
      </c>
      <c r="L1171">
        <v>-0.73160746160793044</v>
      </c>
      <c r="M1171">
        <v>-0.21657522927307493</v>
      </c>
      <c r="N1171">
        <v>4.0813255614779997E-2</v>
      </c>
      <c r="O1171">
        <v>-2.5304000000059279E-4</v>
      </c>
      <c r="P1171">
        <v>0.41856877461254882</v>
      </c>
      <c r="Q1171">
        <v>0.30184057997570957</v>
      </c>
      <c r="R1171">
        <v>3.1340391886147678E-2</v>
      </c>
      <c r="S1171">
        <v>0.57121012490357614</v>
      </c>
      <c r="T1171">
        <v>0.36798288240702526</v>
      </c>
      <c r="U1171">
        <v>-2.759878547919925E-7</v>
      </c>
      <c r="V1171">
        <v>0.35495154050713129</v>
      </c>
      <c r="W1171">
        <v>-0.11610940018874638</v>
      </c>
      <c r="X1171">
        <v>0.1114074399999998</v>
      </c>
      <c r="Y1171">
        <v>-2.5411820000000029E-2</v>
      </c>
      <c r="Z1171">
        <v>-4.7365432000000089E-2</v>
      </c>
    </row>
    <row r="1172" spans="1:26">
      <c r="A1172" s="54" t="str">
        <f>CONCATENATE(raw[[#This Row],[redis_ls]],raw[[#This Row],[wage_eq]],raw[[#This Row],[flex]],raw[[#This Row],[expo]],raw[[#This Row],[_date_]])</f>
        <v>000154058</v>
      </c>
      <c r="B1172" s="1">
        <v>54058</v>
      </c>
      <c r="C1172">
        <v>0</v>
      </c>
      <c r="D1172">
        <v>0</v>
      </c>
      <c r="E1172">
        <v>0</v>
      </c>
      <c r="F1172">
        <v>1</v>
      </c>
      <c r="G1172">
        <v>-0.23639504308836656</v>
      </c>
      <c r="H1172">
        <v>-48.732289999999921</v>
      </c>
      <c r="I1172">
        <v>-1.8514976675454875</v>
      </c>
      <c r="J1172">
        <v>4.1790717920964227E-2</v>
      </c>
      <c r="K1172">
        <v>-0.74051517734947669</v>
      </c>
      <c r="L1172">
        <v>-0.73166696496480554</v>
      </c>
      <c r="M1172">
        <v>-0.20635842071449195</v>
      </c>
      <c r="N1172">
        <v>4.1509937384032192E-2</v>
      </c>
      <c r="O1172">
        <v>-2.5154999999943417E-4</v>
      </c>
      <c r="P1172">
        <v>0.41719978062351171</v>
      </c>
      <c r="Q1172">
        <v>0.30453415652382798</v>
      </c>
      <c r="R1172">
        <v>4.0945348918519642E-2</v>
      </c>
      <c r="S1172">
        <v>0.56700710755146488</v>
      </c>
      <c r="T1172">
        <v>0.36765091624146873</v>
      </c>
      <c r="U1172">
        <v>-2.7057632800975284E-7</v>
      </c>
      <c r="V1172">
        <v>0.35552593603320748</v>
      </c>
      <c r="W1172">
        <v>-0.11667382313906849</v>
      </c>
      <c r="X1172">
        <v>0.1083849899999989</v>
      </c>
      <c r="Y1172">
        <v>-2.797528999999993E-2</v>
      </c>
      <c r="Z1172">
        <v>-4.517900800000002E-2</v>
      </c>
    </row>
    <row r="1173" spans="1:26">
      <c r="A1173" s="54" t="str">
        <f>CONCATENATE(raw[[#This Row],[redis_ls]],raw[[#This Row],[wage_eq]],raw[[#This Row],[flex]],raw[[#This Row],[expo]],raw[[#This Row],[_date_]])</f>
        <v>000154424</v>
      </c>
      <c r="B1173" s="1">
        <v>54424</v>
      </c>
      <c r="C1173">
        <v>0</v>
      </c>
      <c r="D1173">
        <v>0</v>
      </c>
      <c r="E1173">
        <v>0</v>
      </c>
      <c r="F1173">
        <v>1</v>
      </c>
      <c r="G1173">
        <v>-0.23060813254934809</v>
      </c>
      <c r="H1173">
        <v>-47.519599999999627</v>
      </c>
      <c r="I1173">
        <v>-1.8197515725486557</v>
      </c>
      <c r="J1173">
        <v>4.2335566339213315E-2</v>
      </c>
      <c r="K1173">
        <v>-0.6987913045453098</v>
      </c>
      <c r="L1173">
        <v>-0.73139253676227645</v>
      </c>
      <c r="M1173">
        <v>-0.19641520094938469</v>
      </c>
      <c r="N1173">
        <v>4.2057446957088906E-2</v>
      </c>
      <c r="O1173">
        <v>-2.4916000000013705E-4</v>
      </c>
      <c r="P1173">
        <v>0.41566765011433748</v>
      </c>
      <c r="Q1173">
        <v>0.30690714650172257</v>
      </c>
      <c r="R1173">
        <v>5.0036232159444971E-2</v>
      </c>
      <c r="S1173">
        <v>0.56267699727581277</v>
      </c>
      <c r="T1173">
        <v>0.36712777318943512</v>
      </c>
      <c r="U1173">
        <v>-2.6527091634420685E-7</v>
      </c>
      <c r="V1173">
        <v>0.3559377846037437</v>
      </c>
      <c r="W1173">
        <v>-0.11704709404842806</v>
      </c>
      <c r="X1173">
        <v>0.10535209999999878</v>
      </c>
      <c r="Y1173">
        <v>-3.0442610000000134E-2</v>
      </c>
      <c r="Z1173">
        <v>-4.3183098000000066E-2</v>
      </c>
    </row>
    <row r="1174" spans="1:26">
      <c r="A1174" s="54" t="str">
        <f>CONCATENATE(raw[[#This Row],[redis_ls]],raw[[#This Row],[wage_eq]],raw[[#This Row],[flex]],raw[[#This Row],[expo]],raw[[#This Row],[_date_]])</f>
        <v>000154789</v>
      </c>
      <c r="B1174" s="1">
        <v>54789</v>
      </c>
      <c r="C1174">
        <v>0</v>
      </c>
      <c r="D1174">
        <v>0</v>
      </c>
      <c r="E1174">
        <v>0</v>
      </c>
      <c r="F1174">
        <v>1</v>
      </c>
      <c r="G1174">
        <v>-0.22486338967598885</v>
      </c>
      <c r="H1174">
        <v>-46.297860000002402</v>
      </c>
      <c r="I1174">
        <v>-1.7884639809863101</v>
      </c>
      <c r="J1174">
        <v>4.2733295150942929E-2</v>
      </c>
      <c r="K1174">
        <v>-0.65765754081655858</v>
      </c>
      <c r="L1174">
        <v>-0.73076749957046161</v>
      </c>
      <c r="M1174">
        <v>-0.18675684816068516</v>
      </c>
      <c r="N1174">
        <v>4.2458613114226829E-2</v>
      </c>
      <c r="O1174">
        <v>-2.4606000000038097E-4</v>
      </c>
      <c r="P1174">
        <v>0.41396450166120147</v>
      </c>
      <c r="Q1174">
        <v>0.30895129141934596</v>
      </c>
      <c r="R1174">
        <v>5.8605179438453447E-2</v>
      </c>
      <c r="S1174">
        <v>0.5582110560399256</v>
      </c>
      <c r="T1174">
        <v>0.36640759537094336</v>
      </c>
      <c r="U1174">
        <v>-2.6006952147383799E-7</v>
      </c>
      <c r="V1174">
        <v>0.35617386078339308</v>
      </c>
      <c r="W1174">
        <v>-0.11723165728577678</v>
      </c>
      <c r="X1174">
        <v>0.10231851999999986</v>
      </c>
      <c r="Y1174">
        <v>-3.2808850000000042E-2</v>
      </c>
      <c r="Z1174">
        <v>-4.1372322000000038E-2</v>
      </c>
    </row>
    <row r="1175" spans="1:26">
      <c r="A1175" s="54" t="str">
        <f>CONCATENATE(raw[[#This Row],[redis_ls]],raw[[#This Row],[wage_eq]],raw[[#This Row],[flex]],raw[[#This Row],[expo]],raw[[#This Row],[_date_]])</f>
        <v>000036526</v>
      </c>
      <c r="B1175" s="1">
        <v>36526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>
      <c r="A1176" s="54" t="str">
        <f>CONCATENATE(raw[[#This Row],[redis_ls]],raw[[#This Row],[wage_eq]],raw[[#This Row],[flex]],raw[[#This Row],[expo]],raw[[#This Row],[_date_]])</f>
        <v>000036892</v>
      </c>
      <c r="B1176" s="1">
        <v>36892</v>
      </c>
      <c r="C1176">
        <v>0</v>
      </c>
      <c r="D1176">
        <v>0</v>
      </c>
      <c r="E1176">
        <v>0</v>
      </c>
      <c r="F1176">
        <v>0</v>
      </c>
      <c r="G1176">
        <v>2.4010641986382808E-2</v>
      </c>
      <c r="H1176">
        <v>26.473540000002686</v>
      </c>
      <c r="I1176">
        <v>-1.2549789394302402</v>
      </c>
      <c r="J1176">
        <v>5.7850581427243419E-2</v>
      </c>
      <c r="K1176">
        <v>-0.23003905435319272</v>
      </c>
      <c r="L1176">
        <v>-3.8206230485071657E-2</v>
      </c>
      <c r="M1176">
        <v>-0.16594760722814517</v>
      </c>
      <c r="N1176">
        <v>8.1646924860234726E-2</v>
      </c>
      <c r="O1176">
        <v>2.1309560000000449E-2</v>
      </c>
      <c r="P1176">
        <v>0.45429333288793394</v>
      </c>
      <c r="Q1176">
        <v>6.8424411697631804E-2</v>
      </c>
      <c r="R1176">
        <v>-0.71228735224286854</v>
      </c>
      <c r="S1176">
        <v>0.84454774427005219</v>
      </c>
      <c r="T1176">
        <v>0.21284401939918318</v>
      </c>
      <c r="U1176">
        <v>-9.8039221185786118E-8</v>
      </c>
      <c r="V1176">
        <v>1.6954101033683777E-2</v>
      </c>
      <c r="W1176">
        <v>-0.37659544512332888</v>
      </c>
      <c r="X1176">
        <v>-7.9070189999999596E-2</v>
      </c>
      <c r="Y1176">
        <v>9.2050080000000145E-2</v>
      </c>
      <c r="Z1176">
        <v>-1.6594161000000121E-2</v>
      </c>
    </row>
    <row r="1177" spans="1:26">
      <c r="A1177" s="54" t="str">
        <f>CONCATENATE(raw[[#This Row],[redis_ls]],raw[[#This Row],[wage_eq]],raw[[#This Row],[flex]],raw[[#This Row],[expo]],raw[[#This Row],[_date_]])</f>
        <v>000037257</v>
      </c>
      <c r="B1177" s="1">
        <v>37257</v>
      </c>
      <c r="C1177">
        <v>0</v>
      </c>
      <c r="D1177">
        <v>0</v>
      </c>
      <c r="E1177">
        <v>0</v>
      </c>
      <c r="F1177">
        <v>0</v>
      </c>
      <c r="G1177">
        <v>5.0275441215874572E-2</v>
      </c>
      <c r="H1177">
        <v>54.825310000000172</v>
      </c>
      <c r="I1177">
        <v>-2.0509436478016951</v>
      </c>
      <c r="J1177">
        <v>0.14301319542404656</v>
      </c>
      <c r="K1177">
        <v>-0.427466700878254</v>
      </c>
      <c r="L1177">
        <v>-9.0454065060963096E-2</v>
      </c>
      <c r="M1177">
        <v>-0.26795243148367565</v>
      </c>
      <c r="N1177">
        <v>0.17445599595911077</v>
      </c>
      <c r="O1177">
        <v>2.8130660000000307E-2</v>
      </c>
      <c r="P1177">
        <v>0.5115298918574096</v>
      </c>
      <c r="Q1177">
        <v>0.14182420209358781</v>
      </c>
      <c r="R1177">
        <v>-0.61547250938970288</v>
      </c>
      <c r="S1177">
        <v>0.89583217906974433</v>
      </c>
      <c r="T1177">
        <v>0.35549375206123113</v>
      </c>
      <c r="U1177">
        <v>-9.6116881120877906E-8</v>
      </c>
      <c r="V1177">
        <v>0.17401276561350709</v>
      </c>
      <c r="W1177">
        <v>-0.28136021734203043</v>
      </c>
      <c r="X1177">
        <v>-0.15677792000000079</v>
      </c>
      <c r="Y1177">
        <v>0.14195651000000026</v>
      </c>
      <c r="Z1177">
        <v>3.487597099999986E-2</v>
      </c>
    </row>
    <row r="1178" spans="1:26">
      <c r="A1178" s="54" t="str">
        <f>CONCATENATE(raw[[#This Row],[redis_ls]],raw[[#This Row],[wage_eq]],raw[[#This Row],[flex]],raw[[#This Row],[expo]],raw[[#This Row],[_date_]])</f>
        <v>000037622</v>
      </c>
      <c r="B1178" s="1">
        <v>37622</v>
      </c>
      <c r="C1178">
        <v>0</v>
      </c>
      <c r="D1178">
        <v>0</v>
      </c>
      <c r="E1178">
        <v>0</v>
      </c>
      <c r="F1178">
        <v>0</v>
      </c>
      <c r="G1178">
        <v>6.4907496024302347E-2</v>
      </c>
      <c r="H1178">
        <v>76.1633499999989</v>
      </c>
      <c r="I1178">
        <v>-2.5129017139396748</v>
      </c>
      <c r="J1178">
        <v>0.22235592040193985</v>
      </c>
      <c r="K1178">
        <v>-0.58361770235493271</v>
      </c>
      <c r="L1178">
        <v>-0.14759420878107665</v>
      </c>
      <c r="M1178">
        <v>-0.31247779195495706</v>
      </c>
      <c r="N1178">
        <v>0.24393606402890455</v>
      </c>
      <c r="O1178">
        <v>1.9293580000000199E-2</v>
      </c>
      <c r="P1178">
        <v>0.58636157928255717</v>
      </c>
      <c r="Q1178">
        <v>0.23268897288242218</v>
      </c>
      <c r="R1178">
        <v>-0.49599446951777981</v>
      </c>
      <c r="S1178">
        <v>0.95892614650676666</v>
      </c>
      <c r="T1178">
        <v>0.47065758933089175</v>
      </c>
      <c r="U1178">
        <v>-1.8846447735754168E-7</v>
      </c>
      <c r="V1178">
        <v>0.34766518286457604</v>
      </c>
      <c r="W1178">
        <v>-0.19734832114899348</v>
      </c>
      <c r="X1178">
        <v>-0.21002882000000084</v>
      </c>
      <c r="Y1178">
        <v>0.16951416000000019</v>
      </c>
      <c r="Z1178">
        <v>5.7867239999999986E-2</v>
      </c>
    </row>
    <row r="1179" spans="1:26">
      <c r="A1179" s="54" t="str">
        <f>CONCATENATE(raw[[#This Row],[redis_ls]],raw[[#This Row],[wage_eq]],raw[[#This Row],[flex]],raw[[#This Row],[expo]],raw[[#This Row],[_date_]])</f>
        <v>000037987</v>
      </c>
      <c r="B1179" s="1">
        <v>37987</v>
      </c>
      <c r="C1179">
        <v>0</v>
      </c>
      <c r="D1179">
        <v>0</v>
      </c>
      <c r="E1179">
        <v>0</v>
      </c>
      <c r="F1179">
        <v>0</v>
      </c>
      <c r="G1179">
        <v>6.2889804325649834E-2</v>
      </c>
      <c r="H1179">
        <v>87.915779999999359</v>
      </c>
      <c r="I1179">
        <v>-2.7742020046313542</v>
      </c>
      <c r="J1179">
        <v>0.27557771410990917</v>
      </c>
      <c r="K1179">
        <v>-0.70777953652283454</v>
      </c>
      <c r="L1179">
        <v>-0.20549676129556493</v>
      </c>
      <c r="M1179">
        <v>-0.32895162686541468</v>
      </c>
      <c r="N1179">
        <v>0.2798856931315763</v>
      </c>
      <c r="O1179">
        <v>3.8501900000001421E-3</v>
      </c>
      <c r="P1179">
        <v>0.66926688381234722</v>
      </c>
      <c r="Q1179">
        <v>0.3327468568577574</v>
      </c>
      <c r="R1179">
        <v>-0.36447263254502094</v>
      </c>
      <c r="S1179">
        <v>1.0280269185128033</v>
      </c>
      <c r="T1179">
        <v>0.57094349345470086</v>
      </c>
      <c r="U1179">
        <v>-1.8476907781561636E-7</v>
      </c>
      <c r="V1179">
        <v>0.5074337934551254</v>
      </c>
      <c r="W1179">
        <v>-0.14325571465466647</v>
      </c>
      <c r="X1179">
        <v>-0.23498044000000023</v>
      </c>
      <c r="Y1179">
        <v>0.1859831400000001</v>
      </c>
      <c r="Z1179">
        <v>5.6460221999999997E-2</v>
      </c>
    </row>
    <row r="1180" spans="1:26">
      <c r="A1180" s="54" t="str">
        <f>CONCATENATE(raw[[#This Row],[redis_ls]],raw[[#This Row],[wage_eq]],raw[[#This Row],[flex]],raw[[#This Row],[expo]],raw[[#This Row],[_date_]])</f>
        <v>000038353</v>
      </c>
      <c r="B1180" s="1">
        <v>38353</v>
      </c>
      <c r="C1180">
        <v>0</v>
      </c>
      <c r="D1180">
        <v>0</v>
      </c>
      <c r="E1180">
        <v>0</v>
      </c>
      <c r="F1180">
        <v>0</v>
      </c>
      <c r="G1180">
        <v>4.6666167751929777E-2</v>
      </c>
      <c r="H1180">
        <v>90.589130000000296</v>
      </c>
      <c r="I1180">
        <v>-2.9181553789826009</v>
      </c>
      <c r="J1180">
        <v>0.3012287366744637</v>
      </c>
      <c r="K1180">
        <v>-0.80995567173343108</v>
      </c>
      <c r="L1180">
        <v>-0.26165674248277426</v>
      </c>
      <c r="M1180">
        <v>-0.33509159635363162</v>
      </c>
      <c r="N1180">
        <v>0.29177183060844492</v>
      </c>
      <c r="O1180">
        <v>-8.4508699999999437E-3</v>
      </c>
      <c r="P1180">
        <v>0.7506982238037363</v>
      </c>
      <c r="Q1180">
        <v>0.43177817910549088</v>
      </c>
      <c r="R1180">
        <v>-0.23365780689639237</v>
      </c>
      <c r="S1180">
        <v>1.0955718036456785</v>
      </c>
      <c r="T1180">
        <v>0.65852906422141366</v>
      </c>
      <c r="U1180">
        <v>-2.7171924710245321E-7</v>
      </c>
      <c r="V1180">
        <v>0.64754737053289713</v>
      </c>
      <c r="W1180">
        <v>-0.11093571361636689</v>
      </c>
      <c r="X1180">
        <v>-0.23548839000000071</v>
      </c>
      <c r="Y1180">
        <v>0.19685563000000003</v>
      </c>
      <c r="Z1180">
        <v>4.0538897999999914E-2</v>
      </c>
    </row>
    <row r="1181" spans="1:26">
      <c r="A1181" s="54" t="str">
        <f>CONCATENATE(raw[[#This Row],[redis_ls]],raw[[#This Row],[wage_eq]],raw[[#This Row],[flex]],raw[[#This Row],[expo]],raw[[#This Row],[_date_]])</f>
        <v>000038718</v>
      </c>
      <c r="B1181" s="1">
        <v>38718</v>
      </c>
      <c r="C1181">
        <v>0</v>
      </c>
      <c r="D1181">
        <v>0</v>
      </c>
      <c r="E1181">
        <v>0</v>
      </c>
      <c r="F1181">
        <v>0</v>
      </c>
      <c r="G1181">
        <v>2.155877292620012E-2</v>
      </c>
      <c r="H1181">
        <v>86.144609999999375</v>
      </c>
      <c r="I1181">
        <v>-2.9920541278004698</v>
      </c>
      <c r="J1181">
        <v>0.30644618572330806</v>
      </c>
      <c r="K1181">
        <v>-0.89630934039029997</v>
      </c>
      <c r="L1181">
        <v>-0.3142629717182599</v>
      </c>
      <c r="M1181">
        <v>-0.3381814378446979</v>
      </c>
      <c r="N1181">
        <v>0.29000281668369876</v>
      </c>
      <c r="O1181">
        <v>-1.4694269999999954E-2</v>
      </c>
      <c r="P1181">
        <v>0.82446100301507563</v>
      </c>
      <c r="Q1181">
        <v>0.52261049381505664</v>
      </c>
      <c r="R1181">
        <v>-0.11250961433252327</v>
      </c>
      <c r="S1181">
        <v>1.1562622536165579</v>
      </c>
      <c r="T1181">
        <v>0.73310331074074586</v>
      </c>
      <c r="U1181">
        <v>-2.6639142003404004E-7</v>
      </c>
      <c r="V1181">
        <v>0.76756427032864671</v>
      </c>
      <c r="W1181">
        <v>-9.1025194339022786E-2</v>
      </c>
      <c r="X1181">
        <v>-0.21829185000000056</v>
      </c>
      <c r="Y1181">
        <v>0.20431193</v>
      </c>
      <c r="Z1181">
        <v>1.8605198999999996E-2</v>
      </c>
    </row>
    <row r="1182" spans="1:26">
      <c r="A1182" s="54" t="str">
        <f>CONCATENATE(raw[[#This Row],[redis_ls]],raw[[#This Row],[wage_eq]],raw[[#This Row],[flex]],raw[[#This Row],[expo]],raw[[#This Row],[_date_]])</f>
        <v>000039083</v>
      </c>
      <c r="B1182" s="1">
        <v>39083</v>
      </c>
      <c r="C1182">
        <v>0</v>
      </c>
      <c r="D1182">
        <v>0</v>
      </c>
      <c r="E1182">
        <v>0</v>
      </c>
      <c r="F1182">
        <v>0</v>
      </c>
      <c r="G1182">
        <v>-7.1804128503827336E-3</v>
      </c>
      <c r="H1182">
        <v>76.981260000000475</v>
      </c>
      <c r="I1182">
        <v>-3.0224276108648307</v>
      </c>
      <c r="J1182">
        <v>0.29980660802766401</v>
      </c>
      <c r="K1182">
        <v>-0.96978587335846411</v>
      </c>
      <c r="L1182">
        <v>-0.36202344258813302</v>
      </c>
      <c r="M1182">
        <v>-0.34010688497035924</v>
      </c>
      <c r="N1182">
        <v>0.28215132261848463</v>
      </c>
      <c r="O1182">
        <v>-1.577851000000019E-2</v>
      </c>
      <c r="P1182">
        <v>0.88746070899670126</v>
      </c>
      <c r="Q1182">
        <v>0.60144155780850195</v>
      </c>
      <c r="R1182">
        <v>-5.7988013227316948E-3</v>
      </c>
      <c r="S1182">
        <v>1.207314964408579</v>
      </c>
      <c r="T1182">
        <v>0.7945162223582658</v>
      </c>
      <c r="U1182">
        <v>-2.6116805385001385E-7</v>
      </c>
      <c r="V1182">
        <v>0.86796398288335741</v>
      </c>
      <c r="W1182">
        <v>-7.769882560654251E-2</v>
      </c>
      <c r="X1182">
        <v>-0.19041971000000046</v>
      </c>
      <c r="Y1182">
        <v>0.20913631000000002</v>
      </c>
      <c r="Z1182">
        <v>-3.4815379999999022E-3</v>
      </c>
    </row>
    <row r="1183" spans="1:26">
      <c r="A1183" s="54" t="str">
        <f>CONCATENATE(raw[[#This Row],[redis_ls]],raw[[#This Row],[wage_eq]],raw[[#This Row],[flex]],raw[[#This Row],[expo]],raw[[#This Row],[_date_]])</f>
        <v>000039448</v>
      </c>
      <c r="B1183" s="1">
        <v>39448</v>
      </c>
      <c r="C1183">
        <v>0</v>
      </c>
      <c r="D1183">
        <v>0</v>
      </c>
      <c r="E1183">
        <v>0</v>
      </c>
      <c r="F1183">
        <v>0</v>
      </c>
      <c r="G1183">
        <v>-3.5559256904604819E-2</v>
      </c>
      <c r="H1183">
        <v>65.331570000002102</v>
      </c>
      <c r="I1183">
        <v>-3.0245826385922214</v>
      </c>
      <c r="J1183">
        <v>0.28829669917480594</v>
      </c>
      <c r="K1183">
        <v>-1.0316735773214347</v>
      </c>
      <c r="L1183">
        <v>-0.40413556382771221</v>
      </c>
      <c r="M1183">
        <v>-0.34071581924129957</v>
      </c>
      <c r="N1183">
        <v>0.27299135949594433</v>
      </c>
      <c r="O1183">
        <v>-1.3679639999999993E-2</v>
      </c>
      <c r="P1183">
        <v>0.93870370013720006</v>
      </c>
      <c r="Q1183">
        <v>0.66693538184996459</v>
      </c>
      <c r="R1183">
        <v>8.4787952114950826E-2</v>
      </c>
      <c r="S1183">
        <v>1.2477743264950547</v>
      </c>
      <c r="T1183">
        <v>0.84331087400455473</v>
      </c>
      <c r="U1183">
        <v>-3.4139615578965277E-7</v>
      </c>
      <c r="V1183">
        <v>0.94958870788890426</v>
      </c>
      <c r="W1183">
        <v>-6.8036563680173856E-2</v>
      </c>
      <c r="X1183">
        <v>-0.15784685999999937</v>
      </c>
      <c r="Y1183">
        <v>0.21166849000000021</v>
      </c>
      <c r="Z1183">
        <v>-2.222649100000005E-2</v>
      </c>
    </row>
    <row r="1184" spans="1:26">
      <c r="A1184" s="54" t="str">
        <f>CONCATENATE(raw[[#This Row],[redis_ls]],raw[[#This Row],[wage_eq]],raw[[#This Row],[flex]],raw[[#This Row],[expo]],raw[[#This Row],[_date_]])</f>
        <v>000039814</v>
      </c>
      <c r="B1184" s="1">
        <v>39814</v>
      </c>
      <c r="C1184">
        <v>0</v>
      </c>
      <c r="D1184">
        <v>0</v>
      </c>
      <c r="E1184">
        <v>0</v>
      </c>
      <c r="F1184">
        <v>0</v>
      </c>
      <c r="G1184">
        <v>-6.1043250313796982E-2</v>
      </c>
      <c r="H1184">
        <v>52.971469999996771</v>
      </c>
      <c r="I1184">
        <v>-3.0078438939011964</v>
      </c>
      <c r="J1184">
        <v>0.2765894727850382</v>
      </c>
      <c r="K1184">
        <v>-1.0827324586865417</v>
      </c>
      <c r="L1184">
        <v>-0.44023511401695137</v>
      </c>
      <c r="M1184">
        <v>-0.33946674574097946</v>
      </c>
      <c r="N1184">
        <v>0.26519691475113127</v>
      </c>
      <c r="O1184">
        <v>-1.0183290000000123E-2</v>
      </c>
      <c r="P1184">
        <v>0.97842370241223442</v>
      </c>
      <c r="Q1184">
        <v>0.71926946807385761</v>
      </c>
      <c r="R1184">
        <v>0.15946137059714705</v>
      </c>
      <c r="S1184">
        <v>1.2778012636850411</v>
      </c>
      <c r="T1184">
        <v>0.88056785204371213</v>
      </c>
      <c r="U1184">
        <v>-3.3470209936936612E-7</v>
      </c>
      <c r="V1184">
        <v>1.0136993702202002</v>
      </c>
      <c r="W1184">
        <v>-6.0720483883325294E-2</v>
      </c>
      <c r="X1184">
        <v>-0.12498787999999927</v>
      </c>
      <c r="Y1184">
        <v>0.21217523000000016</v>
      </c>
      <c r="Z1184">
        <v>-3.5941125999999941E-2</v>
      </c>
    </row>
    <row r="1185" spans="1:26">
      <c r="A1185" s="54" t="str">
        <f>CONCATENATE(raw[[#This Row],[redis_ls]],raw[[#This Row],[wage_eq]],raw[[#This Row],[flex]],raw[[#This Row],[expo]],raw[[#This Row],[_date_]])</f>
        <v>000040179</v>
      </c>
      <c r="B1185" s="1">
        <v>40179</v>
      </c>
      <c r="C1185">
        <v>0</v>
      </c>
      <c r="D1185">
        <v>0</v>
      </c>
      <c r="E1185">
        <v>0</v>
      </c>
      <c r="F1185">
        <v>0</v>
      </c>
      <c r="G1185">
        <v>-8.2343573971255246E-2</v>
      </c>
      <c r="H1185">
        <v>41.142029999999068</v>
      </c>
      <c r="I1185">
        <v>-2.9782837035949083</v>
      </c>
      <c r="J1185">
        <v>0.267273426379111</v>
      </c>
      <c r="K1185">
        <v>-1.1237485111968204</v>
      </c>
      <c r="L1185">
        <v>-0.47031086440906256</v>
      </c>
      <c r="M1185">
        <v>-0.33606001875838842</v>
      </c>
      <c r="N1185">
        <v>0.25997641069381849</v>
      </c>
      <c r="O1185">
        <v>-6.5228800000011189E-3</v>
      </c>
      <c r="P1185">
        <v>1.007493368970902</v>
      </c>
      <c r="Q1185">
        <v>0.75943193853456048</v>
      </c>
      <c r="R1185">
        <v>0.21944448151278717</v>
      </c>
      <c r="S1185">
        <v>1.2981593414588488</v>
      </c>
      <c r="T1185">
        <v>0.90763204269781461</v>
      </c>
      <c r="U1185">
        <v>-4.1017415020050407E-7</v>
      </c>
      <c r="V1185">
        <v>1.061938660109063</v>
      </c>
      <c r="W1185">
        <v>-5.5148530836857113E-2</v>
      </c>
      <c r="X1185">
        <v>-9.4695270000000331E-2</v>
      </c>
      <c r="Y1185">
        <v>0.21095549000000013</v>
      </c>
      <c r="Z1185">
        <v>-4.4214941000000028E-2</v>
      </c>
    </row>
    <row r="1186" spans="1:26">
      <c r="A1186" s="54" t="str">
        <f>CONCATENATE(raw[[#This Row],[redis_ls]],raw[[#This Row],[wage_eq]],raw[[#This Row],[flex]],raw[[#This Row],[expo]],raw[[#This Row],[_date_]])</f>
        <v>000040544</v>
      </c>
      <c r="B1186" s="1">
        <v>40544</v>
      </c>
      <c r="C1186">
        <v>0</v>
      </c>
      <c r="D1186">
        <v>0</v>
      </c>
      <c r="E1186">
        <v>0</v>
      </c>
      <c r="F1186">
        <v>0</v>
      </c>
      <c r="G1186">
        <v>-9.9093294432295309E-2</v>
      </c>
      <c r="H1186">
        <v>30.591560000000754</v>
      </c>
      <c r="I1186">
        <v>-2.9401138171371688</v>
      </c>
      <c r="J1186">
        <v>0.26135965302587216</v>
      </c>
      <c r="K1186">
        <v>-1.1557022916716009</v>
      </c>
      <c r="L1186">
        <v>-0.4946063978438664</v>
      </c>
      <c r="M1186">
        <v>-0.330574485491264</v>
      </c>
      <c r="N1186">
        <v>0.25755578795112477</v>
      </c>
      <c r="O1186">
        <v>-3.4003700000007075E-3</v>
      </c>
      <c r="P1186">
        <v>1.0270718042193705</v>
      </c>
      <c r="Q1186">
        <v>0.78877518070654684</v>
      </c>
      <c r="R1186">
        <v>0.26640489170279835</v>
      </c>
      <c r="S1186">
        <v>1.3098914636256564</v>
      </c>
      <c r="T1186">
        <v>0.92590178760922903</v>
      </c>
      <c r="U1186">
        <v>-4.8255782703066075E-7</v>
      </c>
      <c r="V1186">
        <v>1.0961804516677942</v>
      </c>
      <c r="W1186">
        <v>-5.0992498713819945E-2</v>
      </c>
      <c r="X1186">
        <v>-6.8506140000000604E-2</v>
      </c>
      <c r="Y1186">
        <v>0.2083448200000001</v>
      </c>
      <c r="Z1186">
        <v>-4.7472951000000069E-2</v>
      </c>
    </row>
    <row r="1187" spans="1:26">
      <c r="A1187" s="54" t="str">
        <f>CONCATENATE(raw[[#This Row],[redis_ls]],raw[[#This Row],[wage_eq]],raw[[#This Row],[flex]],raw[[#This Row],[expo]],raw[[#This Row],[_date_]])</f>
        <v>000040909</v>
      </c>
      <c r="B1187" s="1">
        <v>40909</v>
      </c>
      <c r="C1187">
        <v>0</v>
      </c>
      <c r="D1187">
        <v>0</v>
      </c>
      <c r="E1187">
        <v>0</v>
      </c>
      <c r="F1187">
        <v>0</v>
      </c>
      <c r="G1187">
        <v>-0.1115360913171104</v>
      </c>
      <c r="H1187">
        <v>21.672199999997247</v>
      </c>
      <c r="I1187">
        <v>-2.8963950225317614</v>
      </c>
      <c r="J1187">
        <v>0.25879912890316437</v>
      </c>
      <c r="K1187">
        <v>-1.1797436272692807</v>
      </c>
      <c r="L1187">
        <v>-0.51352987469951428</v>
      </c>
      <c r="M1187">
        <v>-0.32340009848049744</v>
      </c>
      <c r="N1187">
        <v>0.25754805564131011</v>
      </c>
      <c r="O1187">
        <v>-1.1182800000009152E-3</v>
      </c>
      <c r="P1187">
        <v>1.0384046638425071</v>
      </c>
      <c r="Q1187">
        <v>0.80875397671897886</v>
      </c>
      <c r="R1187">
        <v>0.30212306469930006</v>
      </c>
      <c r="S1187">
        <v>1.3141307911472389</v>
      </c>
      <c r="T1187">
        <v>0.93670394714950866</v>
      </c>
      <c r="U1187">
        <v>-3.9424657982678468E-7</v>
      </c>
      <c r="V1187">
        <v>1.1183553410999858</v>
      </c>
      <c r="W1187">
        <v>-4.8023241910355452E-2</v>
      </c>
      <c r="X1187">
        <v>-4.6972069999999533E-2</v>
      </c>
      <c r="Y1187">
        <v>0.20469071000000019</v>
      </c>
      <c r="Z1187">
        <v>-4.6620020999999998E-2</v>
      </c>
    </row>
    <row r="1188" spans="1:26">
      <c r="A1188" s="54" t="str">
        <f>CONCATENATE(raw[[#This Row],[redis_ls]],raw[[#This Row],[wage_eq]],raw[[#This Row],[flex]],raw[[#This Row],[expo]],raw[[#This Row],[_date_]])</f>
        <v>000041275</v>
      </c>
      <c r="B1188" s="1">
        <v>41275</v>
      </c>
      <c r="C1188">
        <v>0</v>
      </c>
      <c r="D1188">
        <v>0</v>
      </c>
      <c r="E1188">
        <v>0</v>
      </c>
      <c r="F1188">
        <v>0</v>
      </c>
      <c r="G1188">
        <v>-0.12026754990916988</v>
      </c>
      <c r="H1188">
        <v>14.449949999998353</v>
      </c>
      <c r="I1188">
        <v>-2.849406626062112</v>
      </c>
      <c r="J1188">
        <v>0.25892127330309211</v>
      </c>
      <c r="K1188">
        <v>-1.1970960070550096</v>
      </c>
      <c r="L1188">
        <v>-0.52758067258309449</v>
      </c>
      <c r="M1188">
        <v>-0.31510928601619081</v>
      </c>
      <c r="N1188">
        <v>0.25923867677204449</v>
      </c>
      <c r="O1188">
        <v>2.8375999999996626E-4</v>
      </c>
      <c r="P1188">
        <v>1.0427140387675005</v>
      </c>
      <c r="Q1188">
        <v>0.82078289460725262</v>
      </c>
      <c r="R1188">
        <v>0.32831402313171498</v>
      </c>
      <c r="S1188">
        <v>1.3119937334644227</v>
      </c>
      <c r="T1188">
        <v>0.94123628166049578</v>
      </c>
      <c r="U1188">
        <v>-4.6381951612772809E-7</v>
      </c>
      <c r="V1188">
        <v>1.1303120062974958</v>
      </c>
      <c r="W1188">
        <v>-4.6057849194525158E-2</v>
      </c>
      <c r="X1188">
        <v>-2.998090999999925E-2</v>
      </c>
      <c r="Y1188">
        <v>0.20032569</v>
      </c>
      <c r="Z1188">
        <v>-4.2766372999999969E-2</v>
      </c>
    </row>
    <row r="1189" spans="1:26">
      <c r="A1189" s="54" t="str">
        <f>CONCATENATE(raw[[#This Row],[redis_ls]],raw[[#This Row],[wage_eq]],raw[[#This Row],[flex]],raw[[#This Row],[expo]],raw[[#This Row],[_date_]])</f>
        <v>000041640</v>
      </c>
      <c r="B1189" s="1">
        <v>41640</v>
      </c>
      <c r="C1189">
        <v>0</v>
      </c>
      <c r="D1189">
        <v>0</v>
      </c>
      <c r="E1189">
        <v>0</v>
      </c>
      <c r="F1189">
        <v>0</v>
      </c>
      <c r="G1189">
        <v>-0.12603747315432789</v>
      </c>
      <c r="H1189">
        <v>8.8066399999988789</v>
      </c>
      <c r="I1189">
        <v>-2.800848816159851</v>
      </c>
      <c r="J1189">
        <v>0.26077325577458232</v>
      </c>
      <c r="K1189">
        <v>-1.2089545892429499</v>
      </c>
      <c r="L1189">
        <v>-0.53729538128692855</v>
      </c>
      <c r="M1189">
        <v>-0.30633003672301262</v>
      </c>
      <c r="N1189">
        <v>0.26180118763197147</v>
      </c>
      <c r="O1189">
        <v>9.1888000000039938E-4</v>
      </c>
      <c r="P1189">
        <v>1.0411412690187749</v>
      </c>
      <c r="Q1189">
        <v>0.8261649408728422</v>
      </c>
      <c r="R1189">
        <v>0.34654176308339668</v>
      </c>
      <c r="S1189">
        <v>1.3045242109537947</v>
      </c>
      <c r="T1189">
        <v>0.94055048793286744</v>
      </c>
      <c r="U1189">
        <v>-4.5472501319920866E-7</v>
      </c>
      <c r="V1189">
        <v>1.133732912712393</v>
      </c>
      <c r="W1189">
        <v>-4.4948678770340145E-2</v>
      </c>
      <c r="X1189">
        <v>-1.7029000000000349E-2</v>
      </c>
      <c r="Y1189">
        <v>0.19554637</v>
      </c>
      <c r="Z1189">
        <v>-3.7028476000000067E-2</v>
      </c>
    </row>
    <row r="1190" spans="1:26">
      <c r="A1190" s="54" t="str">
        <f>CONCATENATE(raw[[#This Row],[redis_ls]],raw[[#This Row],[wage_eq]],raw[[#This Row],[flex]],raw[[#This Row],[expo]],raw[[#This Row],[_date_]])</f>
        <v>000042005</v>
      </c>
      <c r="B1190" s="1">
        <v>42005</v>
      </c>
      <c r="C1190">
        <v>0</v>
      </c>
      <c r="D1190">
        <v>0</v>
      </c>
      <c r="E1190">
        <v>0</v>
      </c>
      <c r="F1190">
        <v>0</v>
      </c>
      <c r="G1190">
        <v>-0.12960942686874866</v>
      </c>
      <c r="H1190">
        <v>4.5233899999984715</v>
      </c>
      <c r="I1190">
        <v>-2.7519644421458045</v>
      </c>
      <c r="J1190">
        <v>0.2633627633059854</v>
      </c>
      <c r="K1190">
        <v>-1.21640533227797</v>
      </c>
      <c r="L1190">
        <v>-0.5432111760639402</v>
      </c>
      <c r="M1190">
        <v>-0.29764605525676169</v>
      </c>
      <c r="N1190">
        <v>0.26445090165541085</v>
      </c>
      <c r="O1190">
        <v>9.7257999999988964E-4</v>
      </c>
      <c r="P1190">
        <v>1.0347188899817672</v>
      </c>
      <c r="Q1190">
        <v>0.8260624475672218</v>
      </c>
      <c r="R1190">
        <v>0.35818763482666771</v>
      </c>
      <c r="S1190">
        <v>1.292666408615184</v>
      </c>
      <c r="T1190">
        <v>0.93555711052850654</v>
      </c>
      <c r="U1190">
        <v>-5.2011029927356844E-7</v>
      </c>
      <c r="V1190">
        <v>1.1300988578441862</v>
      </c>
      <c r="W1190">
        <v>-4.4580131146099156E-2</v>
      </c>
      <c r="X1190">
        <v>-7.4300400000004707E-3</v>
      </c>
      <c r="Y1190">
        <v>0.19060030000000033</v>
      </c>
      <c r="Z1190">
        <v>-3.0398008999999934E-2</v>
      </c>
    </row>
    <row r="1191" spans="1:26">
      <c r="A1191" s="54" t="str">
        <f>CONCATENATE(raw[[#This Row],[redis_ls]],raw[[#This Row],[wage_eq]],raw[[#This Row],[flex]],raw[[#This Row],[expo]],raw[[#This Row],[_date_]])</f>
        <v>000042370</v>
      </c>
      <c r="B1191" s="1">
        <v>42370</v>
      </c>
      <c r="C1191">
        <v>0</v>
      </c>
      <c r="D1191">
        <v>0</v>
      </c>
      <c r="E1191">
        <v>0</v>
      </c>
      <c r="F1191">
        <v>0</v>
      </c>
      <c r="G1191">
        <v>-0.13167006453113084</v>
      </c>
      <c r="H1191">
        <v>1.343299999996816</v>
      </c>
      <c r="I1191">
        <v>-2.7036229572508286</v>
      </c>
      <c r="J1191">
        <v>0.26581608580404925</v>
      </c>
      <c r="K1191">
        <v>-1.2203732159879022</v>
      </c>
      <c r="L1191">
        <v>-0.54584302757366698</v>
      </c>
      <c r="M1191">
        <v>-0.28953121192706321</v>
      </c>
      <c r="N1191">
        <v>0.26654078790384617</v>
      </c>
      <c r="O1191">
        <v>6.4775000000044658E-4</v>
      </c>
      <c r="P1191">
        <v>1.0243616230178221</v>
      </c>
      <c r="Q1191">
        <v>0.82149215957056931</v>
      </c>
      <c r="R1191">
        <v>0.36444915976157066</v>
      </c>
      <c r="S1191">
        <v>1.2772568104933768</v>
      </c>
      <c r="T1191">
        <v>0.92704038866044947</v>
      </c>
      <c r="U1191">
        <v>-5.0991205702288767E-7</v>
      </c>
      <c r="V1191">
        <v>1.1206877560938855</v>
      </c>
      <c r="W1191">
        <v>-4.4863583319476597E-2</v>
      </c>
      <c r="X1191">
        <v>-4.620699999999256E-4</v>
      </c>
      <c r="Y1191">
        <v>0.18568016000000026</v>
      </c>
      <c r="Z1191">
        <v>-2.3668997000000046E-2</v>
      </c>
    </row>
    <row r="1192" spans="1:26">
      <c r="A1192" s="54" t="str">
        <f>CONCATENATE(raw[[#This Row],[redis_ls]],raw[[#This Row],[wage_eq]],raw[[#This Row],[flex]],raw[[#This Row],[expo]],raw[[#This Row],[_date_]])</f>
        <v>000042736</v>
      </c>
      <c r="B1192" s="1">
        <v>42736</v>
      </c>
      <c r="C1192">
        <v>0</v>
      </c>
      <c r="D1192">
        <v>0</v>
      </c>
      <c r="E1192">
        <v>0</v>
      </c>
      <c r="F1192">
        <v>0</v>
      </c>
      <c r="G1192">
        <v>-0.13277973817931166</v>
      </c>
      <c r="H1192">
        <v>-0.98585000000093714</v>
      </c>
      <c r="I1192">
        <v>-2.6563875592227726</v>
      </c>
      <c r="J1192">
        <v>0.26746447182297572</v>
      </c>
      <c r="K1192">
        <v>-1.2215986508091081</v>
      </c>
      <c r="L1192">
        <v>-0.54567095136858201</v>
      </c>
      <c r="M1192">
        <v>-0.28231641219850223</v>
      </c>
      <c r="N1192">
        <v>0.26761010583604694</v>
      </c>
      <c r="O1192">
        <v>1.3011000000034967E-4</v>
      </c>
      <c r="P1192">
        <v>1.0108681786707763</v>
      </c>
      <c r="Q1192">
        <v>0.81333352809020987</v>
      </c>
      <c r="R1192">
        <v>0.36635503662134639</v>
      </c>
      <c r="S1192">
        <v>1.2590263130809465</v>
      </c>
      <c r="T1192">
        <v>0.91567609427376517</v>
      </c>
      <c r="U1192">
        <v>-4.9991378814340237E-7</v>
      </c>
      <c r="V1192">
        <v>1.1065934947551481</v>
      </c>
      <c r="W1192">
        <v>-4.5730252698761298E-2</v>
      </c>
      <c r="X1192">
        <v>4.5393500000004416E-3</v>
      </c>
      <c r="Y1192">
        <v>0.1809239800000001</v>
      </c>
      <c r="Z1192">
        <v>-1.741116500000011E-2</v>
      </c>
    </row>
    <row r="1193" spans="1:26">
      <c r="A1193" s="54" t="str">
        <f>CONCATENATE(raw[[#This Row],[redis_ls]],raw[[#This Row],[wage_eq]],raw[[#This Row],[flex]],raw[[#This Row],[expo]],raw[[#This Row],[_date_]])</f>
        <v>000043101</v>
      </c>
      <c r="B1193" s="1">
        <v>43101</v>
      </c>
      <c r="C1193">
        <v>0</v>
      </c>
      <c r="D1193">
        <v>0</v>
      </c>
      <c r="E1193">
        <v>0</v>
      </c>
      <c r="F1193">
        <v>0</v>
      </c>
      <c r="G1193">
        <v>-0.13335458168054481</v>
      </c>
      <c r="H1193">
        <v>-2.6860199999973702</v>
      </c>
      <c r="I1193">
        <v>-2.6105746606244651</v>
      </c>
      <c r="J1193">
        <v>0.26787547985338556</v>
      </c>
      <c r="K1193">
        <v>-1.2206366625674425</v>
      </c>
      <c r="L1193">
        <v>-0.54313459039119216</v>
      </c>
      <c r="M1193">
        <v>-0.27618286288005889</v>
      </c>
      <c r="N1193">
        <v>0.26739378611284614</v>
      </c>
      <c r="O1193">
        <v>-4.3059000000011949E-4</v>
      </c>
      <c r="P1193">
        <v>0.9949305275791076</v>
      </c>
      <c r="Q1193">
        <v>0.80234455030843144</v>
      </c>
      <c r="R1193">
        <v>0.36478709261915654</v>
      </c>
      <c r="S1193">
        <v>1.2386090940599059</v>
      </c>
      <c r="T1193">
        <v>0.9020499759686107</v>
      </c>
      <c r="U1193">
        <v>-4.9011155134337514E-7</v>
      </c>
      <c r="V1193">
        <v>1.0887530230697218</v>
      </c>
      <c r="W1193">
        <v>-4.7123675710381008E-2</v>
      </c>
      <c r="X1193">
        <v>8.1309599999995763E-3</v>
      </c>
      <c r="Y1193">
        <v>0.17641996000000021</v>
      </c>
      <c r="Z1193">
        <v>-1.1976772000000038E-2</v>
      </c>
    </row>
    <row r="1194" spans="1:26">
      <c r="A1194" s="54" t="str">
        <f>CONCATENATE(raw[[#This Row],[redis_ls]],raw[[#This Row],[wage_eq]],raw[[#This Row],[flex]],raw[[#This Row],[expo]],raw[[#This Row],[_date_]])</f>
        <v>000043466</v>
      </c>
      <c r="B1194" s="1">
        <v>43466</v>
      </c>
      <c r="C1194">
        <v>0</v>
      </c>
      <c r="D1194">
        <v>0</v>
      </c>
      <c r="E1194">
        <v>0</v>
      </c>
      <c r="F1194">
        <v>0</v>
      </c>
      <c r="G1194">
        <v>-0.13367092772751388</v>
      </c>
      <c r="H1194">
        <v>-3.936520000002929</v>
      </c>
      <c r="I1194">
        <v>-2.5663087084162539</v>
      </c>
      <c r="J1194">
        <v>0.26684401659335943</v>
      </c>
      <c r="K1194">
        <v>-1.2178727687856328</v>
      </c>
      <c r="L1194">
        <v>-0.5386322223150164</v>
      </c>
      <c r="M1194">
        <v>-0.27117469830562069</v>
      </c>
      <c r="N1194">
        <v>0.26580612880553467</v>
      </c>
      <c r="O1194">
        <v>-9.2772000000046484E-4</v>
      </c>
      <c r="P1194">
        <v>0.97714571355773661</v>
      </c>
      <c r="Q1194">
        <v>0.78917886888458799</v>
      </c>
      <c r="R1194">
        <v>0.36050354783692118</v>
      </c>
      <c r="S1194">
        <v>1.2165545022794211</v>
      </c>
      <c r="T1194">
        <v>0.8866741398840805</v>
      </c>
      <c r="U1194">
        <v>-4.8050153855783151E-7</v>
      </c>
      <c r="V1194">
        <v>1.067974581061204</v>
      </c>
      <c r="W1194">
        <v>-4.8993437041811028E-2</v>
      </c>
      <c r="X1194">
        <v>1.074345999999976E-2</v>
      </c>
      <c r="Y1194">
        <v>0.17221417000000022</v>
      </c>
      <c r="Z1194">
        <v>-7.5289010000000045E-3</v>
      </c>
    </row>
    <row r="1195" spans="1:26">
      <c r="A1195" s="54" t="str">
        <f>CONCATENATE(raw[[#This Row],[redis_ls]],raw[[#This Row],[wage_eq]],raw[[#This Row],[flex]],raw[[#This Row],[expo]],raw[[#This Row],[_date_]])</f>
        <v>000043831</v>
      </c>
      <c r="B1195" s="1">
        <v>43831</v>
      </c>
      <c r="C1195">
        <v>0</v>
      </c>
      <c r="D1195">
        <v>0</v>
      </c>
      <c r="E1195">
        <v>0</v>
      </c>
      <c r="F1195">
        <v>0</v>
      </c>
      <c r="G1195">
        <v>-0.13388400122310573</v>
      </c>
      <c r="H1195">
        <v>-4.8712299999970128</v>
      </c>
      <c r="I1195">
        <v>-2.5235726033012162</v>
      </c>
      <c r="J1195">
        <v>0.2643592299162778</v>
      </c>
      <c r="K1195">
        <v>-1.2135489513417363</v>
      </c>
      <c r="L1195">
        <v>-0.53252250148773106</v>
      </c>
      <c r="M1195">
        <v>-0.26722342229391627</v>
      </c>
      <c r="N1195">
        <v>0.26290846160654802</v>
      </c>
      <c r="O1195">
        <v>-1.2968200000004759E-3</v>
      </c>
      <c r="P1195">
        <v>0.95802899693886445</v>
      </c>
      <c r="Q1195">
        <v>0.77440264448658258</v>
      </c>
      <c r="R1195">
        <v>0.35416065055535739</v>
      </c>
      <c r="S1195">
        <v>1.1933387389217121</v>
      </c>
      <c r="T1195">
        <v>0.86999970348211608</v>
      </c>
      <c r="U1195">
        <v>-4.7107993061956677E-7</v>
      </c>
      <c r="V1195">
        <v>1.0449625830464049</v>
      </c>
      <c r="W1195">
        <v>-5.1291034584044493E-2</v>
      </c>
      <c r="X1195">
        <v>1.2684749999999911E-2</v>
      </c>
      <c r="Y1195">
        <v>0.16831955000000015</v>
      </c>
      <c r="Z1195">
        <v>-4.0808739999998594E-3</v>
      </c>
    </row>
    <row r="1196" spans="1:26">
      <c r="A1196" s="54" t="str">
        <f>CONCATENATE(raw[[#This Row],[redis_ls]],raw[[#This Row],[wage_eq]],raw[[#This Row],[flex]],raw[[#This Row],[expo]],raw[[#This Row],[_date_]])</f>
        <v>000044197</v>
      </c>
      <c r="B1196" s="1">
        <v>44197</v>
      </c>
      <c r="C1196">
        <v>0</v>
      </c>
      <c r="D1196">
        <v>0</v>
      </c>
      <c r="E1196">
        <v>0</v>
      </c>
      <c r="F1196">
        <v>0</v>
      </c>
      <c r="G1196">
        <v>-0.13405359267855133</v>
      </c>
      <c r="H1196">
        <v>-5.5822399999997288</v>
      </c>
      <c r="I1196">
        <v>-2.482252695757714</v>
      </c>
      <c r="J1196">
        <v>0.26055866640279923</v>
      </c>
      <c r="K1196">
        <v>-1.2077942949260123</v>
      </c>
      <c r="L1196">
        <v>-0.52512741335750679</v>
      </c>
      <c r="M1196">
        <v>-0.26417775443131619</v>
      </c>
      <c r="N1196">
        <v>0.25886980428353468</v>
      </c>
      <c r="O1196">
        <v>-1.5097199999994371E-3</v>
      </c>
      <c r="P1196">
        <v>0.93802577204669113</v>
      </c>
      <c r="Q1196">
        <v>0.758509283870068</v>
      </c>
      <c r="R1196">
        <v>0.34633057484474428</v>
      </c>
      <c r="S1196">
        <v>1.1693761617328491</v>
      </c>
      <c r="T1196">
        <v>0.85242777815024429</v>
      </c>
      <c r="U1196">
        <v>-4.6184306379259965E-7</v>
      </c>
      <c r="V1196">
        <v>1.0203374660250564</v>
      </c>
      <c r="W1196">
        <v>-5.3967582296021721E-2</v>
      </c>
      <c r="X1196">
        <v>1.4156070000000132E-2</v>
      </c>
      <c r="Y1196">
        <v>0.16472515999999998</v>
      </c>
      <c r="Z1196">
        <v>-1.5388130000000208E-3</v>
      </c>
    </row>
    <row r="1197" spans="1:26">
      <c r="A1197" s="54" t="str">
        <f>CONCATENATE(raw[[#This Row],[redis_ls]],raw[[#This Row],[wage_eq]],raw[[#This Row],[flex]],raw[[#This Row],[expo]],raw[[#This Row],[_date_]])</f>
        <v>000044562</v>
      </c>
      <c r="B1197" s="1">
        <v>44562</v>
      </c>
      <c r="C1197">
        <v>0</v>
      </c>
      <c r="D1197">
        <v>0</v>
      </c>
      <c r="E1197">
        <v>0</v>
      </c>
      <c r="F1197">
        <v>0</v>
      </c>
      <c r="G1197">
        <v>-0.13417132578129598</v>
      </c>
      <c r="H1197">
        <v>-6.1267899999984365</v>
      </c>
      <c r="I1197">
        <v>-2.4421771213948507</v>
      </c>
      <c r="J1197">
        <v>0.25567901832719286</v>
      </c>
      <c r="K1197">
        <v>-1.2006558624142016</v>
      </c>
      <c r="L1197">
        <v>-0.5167358067851624</v>
      </c>
      <c r="M1197">
        <v>-0.26183409842424066</v>
      </c>
      <c r="N1197">
        <v>0.2539270728074694</v>
      </c>
      <c r="O1197">
        <v>-1.5661999999999621E-3</v>
      </c>
      <c r="P1197">
        <v>0.91752228005836933</v>
      </c>
      <c r="Q1197">
        <v>0.74193038552745616</v>
      </c>
      <c r="R1197">
        <v>0.33751569058459996</v>
      </c>
      <c r="S1197">
        <v>1.1450282466132222</v>
      </c>
      <c r="T1197">
        <v>0.83431601227037522</v>
      </c>
      <c r="U1197">
        <v>-4.5278731874986988E-7</v>
      </c>
      <c r="V1197">
        <v>0.99465018479389933</v>
      </c>
      <c r="W1197">
        <v>-5.6973190141540453E-2</v>
      </c>
      <c r="X1197">
        <v>1.527433000000078E-2</v>
      </c>
      <c r="Y1197">
        <v>0.16140448000000024</v>
      </c>
      <c r="Z1197">
        <v>2.5824199999992942E-4</v>
      </c>
    </row>
    <row r="1198" spans="1:26">
      <c r="A1198" s="54" t="str">
        <f>CONCATENATE(raw[[#This Row],[redis_ls]],raw[[#This Row],[wage_eq]],raw[[#This Row],[flex]],raw[[#This Row],[expo]],raw[[#This Row],[_date_]])</f>
        <v>000044927</v>
      </c>
      <c r="B1198" s="1">
        <v>44927</v>
      </c>
      <c r="C1198">
        <v>0</v>
      </c>
      <c r="D1198">
        <v>0</v>
      </c>
      <c r="E1198">
        <v>0</v>
      </c>
      <c r="F1198">
        <v>0</v>
      </c>
      <c r="G1198">
        <v>-0.13418650913989971</v>
      </c>
      <c r="H1198">
        <v>-6.5356600000013714</v>
      </c>
      <c r="I1198">
        <v>-2.4031469301190156</v>
      </c>
      <c r="J1198">
        <v>0.25001108669824301</v>
      </c>
      <c r="K1198">
        <v>-1.1921272836831198</v>
      </c>
      <c r="L1198">
        <v>-0.50760642834739578</v>
      </c>
      <c r="M1198">
        <v>-0.25996391844610445</v>
      </c>
      <c r="N1198">
        <v>0.24834990384612343</v>
      </c>
      <c r="O1198">
        <v>-1.4851199999998954E-3</v>
      </c>
      <c r="P1198">
        <v>0.89685354360415914</v>
      </c>
      <c r="Q1198">
        <v>0.72504466128633371</v>
      </c>
      <c r="R1198">
        <v>0.32815767513114658</v>
      </c>
      <c r="S1198">
        <v>1.1206105116395859</v>
      </c>
      <c r="T1198">
        <v>0.81598388866528371</v>
      </c>
      <c r="U1198">
        <v>-5.0732472667291972E-7</v>
      </c>
      <c r="V1198">
        <v>0.96839167628759437</v>
      </c>
      <c r="W1198">
        <v>-6.0256839869077261E-2</v>
      </c>
      <c r="X1198">
        <v>1.609565999999979E-2</v>
      </c>
      <c r="Y1198">
        <v>0.15832246000000022</v>
      </c>
      <c r="Z1198">
        <v>1.504038999999846E-3</v>
      </c>
    </row>
    <row r="1199" spans="1:26">
      <c r="A1199" s="54" t="str">
        <f>CONCATENATE(raw[[#This Row],[redis_ls]],raw[[#This Row],[wage_eq]],raw[[#This Row],[flex]],raw[[#This Row],[expo]],raw[[#This Row],[_date_]])</f>
        <v>000045292</v>
      </c>
      <c r="B1199" s="1">
        <v>45292</v>
      </c>
      <c r="C1199">
        <v>0</v>
      </c>
      <c r="D1199">
        <v>0</v>
      </c>
      <c r="E1199">
        <v>0</v>
      </c>
      <c r="F1199">
        <v>0</v>
      </c>
      <c r="G1199">
        <v>-0.1340275321730533</v>
      </c>
      <c r="H1199">
        <v>-6.8215100000015809</v>
      </c>
      <c r="I1199">
        <v>-2.3649596650889171</v>
      </c>
      <c r="J1199">
        <v>0.24386155274838117</v>
      </c>
      <c r="K1199">
        <v>-1.1821724654269339</v>
      </c>
      <c r="L1199">
        <v>-0.49797082522934355</v>
      </c>
      <c r="M1199">
        <v>-0.25833637651460073</v>
      </c>
      <c r="N1199">
        <v>0.24241177505961442</v>
      </c>
      <c r="O1199">
        <v>-1.2962699999993776E-3</v>
      </c>
      <c r="P1199">
        <v>0.87630953149682167</v>
      </c>
      <c r="Q1199">
        <v>0.70818373152345959</v>
      </c>
      <c r="R1199">
        <v>0.31864463254311914</v>
      </c>
      <c r="S1199">
        <v>1.0963981295044167</v>
      </c>
      <c r="T1199">
        <v>0.79771485920012708</v>
      </c>
      <c r="U1199">
        <v>-4.9737718388342955E-7</v>
      </c>
      <c r="V1199">
        <v>0.94199877652809683</v>
      </c>
      <c r="W1199">
        <v>-6.3767462153241361E-2</v>
      </c>
      <c r="X1199">
        <v>1.6636970000000195E-2</v>
      </c>
      <c r="Y1199">
        <v>0.15544098000000001</v>
      </c>
      <c r="Z1199">
        <v>2.3982270000000305E-3</v>
      </c>
    </row>
    <row r="1200" spans="1:26">
      <c r="A1200" s="54" t="str">
        <f>CONCATENATE(raw[[#This Row],[redis_ls]],raw[[#This Row],[wage_eq]],raw[[#This Row],[flex]],raw[[#This Row],[expo]],raw[[#This Row],[_date_]])</f>
        <v>000045658</v>
      </c>
      <c r="B1200" s="1">
        <v>45658</v>
      </c>
      <c r="C1200">
        <v>0</v>
      </c>
      <c r="D1200">
        <v>0</v>
      </c>
      <c r="E1200">
        <v>0</v>
      </c>
      <c r="F1200">
        <v>0</v>
      </c>
      <c r="G1200">
        <v>-0.13361854193816303</v>
      </c>
      <c r="H1200">
        <v>-6.9860699999990175</v>
      </c>
      <c r="I1200">
        <v>-2.3274259957353882</v>
      </c>
      <c r="J1200">
        <v>0.23752419642699696</v>
      </c>
      <c r="K1200">
        <v>-1.1707444687922952</v>
      </c>
      <c r="L1200">
        <v>-0.48803530428090935</v>
      </c>
      <c r="M1200">
        <v>-0.2567353404602235</v>
      </c>
      <c r="N1200">
        <v>0.23636810504292782</v>
      </c>
      <c r="O1200">
        <v>-1.0336900000004756E-3</v>
      </c>
      <c r="P1200">
        <v>0.85614004668492782</v>
      </c>
      <c r="Q1200">
        <v>0.69163540620567066</v>
      </c>
      <c r="R1200">
        <v>0.30931484960077249</v>
      </c>
      <c r="S1200">
        <v>1.072628588372071</v>
      </c>
      <c r="T1200">
        <v>0.77975790557909264</v>
      </c>
      <c r="U1200">
        <v>-4.8762469617713577E-7</v>
      </c>
      <c r="V1200">
        <v>0.91585735339780872</v>
      </c>
      <c r="W1200">
        <v>-6.7454683248302505E-2</v>
      </c>
      <c r="X1200">
        <v>1.6893869999999589E-2</v>
      </c>
      <c r="Y1200">
        <v>0.15272271000000004</v>
      </c>
      <c r="Z1200">
        <v>3.127108999999989E-3</v>
      </c>
    </row>
    <row r="1201" spans="1:26">
      <c r="A1201" s="54" t="str">
        <f>CONCATENATE(raw[[#This Row],[redis_ls]],raw[[#This Row],[wage_eq]],raw[[#This Row],[flex]],raw[[#This Row],[expo]],raw[[#This Row],[_date_]])</f>
        <v>000046023</v>
      </c>
      <c r="B1201" s="1">
        <v>46023</v>
      </c>
      <c r="C1201">
        <v>0</v>
      </c>
      <c r="D1201">
        <v>0</v>
      </c>
      <c r="E1201">
        <v>0</v>
      </c>
      <c r="F1201">
        <v>0</v>
      </c>
      <c r="G1201">
        <v>-0.13289097360916768</v>
      </c>
      <c r="H1201">
        <v>-7.0259799999985262</v>
      </c>
      <c r="I1201">
        <v>-2.2903802469485535</v>
      </c>
      <c r="J1201">
        <v>0.23125992337800216</v>
      </c>
      <c r="K1201">
        <v>-1.1577990129175819</v>
      </c>
      <c r="L1201">
        <v>-0.47798261331931657</v>
      </c>
      <c r="M1201">
        <v>-0.25497069382031112</v>
      </c>
      <c r="N1201">
        <v>0.23044277603305741</v>
      </c>
      <c r="O1201">
        <v>-7.3067999999953948E-4</v>
      </c>
      <c r="P1201">
        <v>0.8365571525485338</v>
      </c>
      <c r="Q1201">
        <v>0.67564638137025401</v>
      </c>
      <c r="R1201">
        <v>0.30045909757283606</v>
      </c>
      <c r="S1201">
        <v>1.0495046491139304</v>
      </c>
      <c r="T1201">
        <v>0.76232812497154523</v>
      </c>
      <c r="U1201">
        <v>-5.3782135411850618E-7</v>
      </c>
      <c r="V1201">
        <v>0.89030376653072008</v>
      </c>
      <c r="W1201">
        <v>-7.1269876615120964E-2</v>
      </c>
      <c r="X1201">
        <v>1.6854160000000229E-2</v>
      </c>
      <c r="Y1201">
        <v>0.15013353000000002</v>
      </c>
      <c r="Z1201">
        <v>3.8514150000000177E-3</v>
      </c>
    </row>
    <row r="1202" spans="1:26">
      <c r="A1202" s="54" t="str">
        <f>CONCATENATE(raw[[#This Row],[redis_ls]],raw[[#This Row],[wage_eq]],raw[[#This Row],[flex]],raw[[#This Row],[expo]],raw[[#This Row],[_date_]])</f>
        <v>000046388</v>
      </c>
      <c r="B1202" s="1">
        <v>46388</v>
      </c>
      <c r="C1202">
        <v>0</v>
      </c>
      <c r="D1202">
        <v>0</v>
      </c>
      <c r="E1202">
        <v>0</v>
      </c>
      <c r="F1202">
        <v>0</v>
      </c>
      <c r="G1202">
        <v>-0.13179062968722288</v>
      </c>
      <c r="H1202">
        <v>-6.9369000000006054</v>
      </c>
      <c r="I1202">
        <v>-2.2536857945620659</v>
      </c>
      <c r="J1202">
        <v>0.22528548841442841</v>
      </c>
      <c r="K1202">
        <v>-1.1433034110750473</v>
      </c>
      <c r="L1202">
        <v>-0.46797296793008591</v>
      </c>
      <c r="M1202">
        <v>-0.25288478672977899</v>
      </c>
      <c r="N1202">
        <v>0.22481955612481119</v>
      </c>
      <c r="O1202">
        <v>-4.1657999999972217E-4</v>
      </c>
      <c r="P1202">
        <v>0.81773809346201709</v>
      </c>
      <c r="Q1202">
        <v>0.66042364772671558</v>
      </c>
      <c r="R1202">
        <v>0.29232219202364185</v>
      </c>
      <c r="S1202">
        <v>1.0271958419074467</v>
      </c>
      <c r="T1202">
        <v>0.745606993308634</v>
      </c>
      <c r="U1202">
        <v>-4.6868963154977905E-7</v>
      </c>
      <c r="V1202">
        <v>0.86562577451434475</v>
      </c>
      <c r="W1202">
        <v>-7.5166514013458308E-2</v>
      </c>
      <c r="X1202">
        <v>1.6506959999999793E-2</v>
      </c>
      <c r="Y1202">
        <v>0.14764392000000021</v>
      </c>
      <c r="Z1202">
        <v>4.6999570000001017E-3</v>
      </c>
    </row>
    <row r="1203" spans="1:26">
      <c r="A1203" s="54" t="str">
        <f>CONCATENATE(raw[[#This Row],[redis_ls]],raw[[#This Row],[wage_eq]],raw[[#This Row],[flex]],raw[[#This Row],[expo]],raw[[#This Row],[_date_]])</f>
        <v>000046753</v>
      </c>
      <c r="B1203" s="1">
        <v>46753</v>
      </c>
      <c r="C1203">
        <v>0</v>
      </c>
      <c r="D1203">
        <v>0</v>
      </c>
      <c r="E1203">
        <v>0</v>
      </c>
      <c r="F1203">
        <v>0</v>
      </c>
      <c r="G1203">
        <v>-0.13028094403481072</v>
      </c>
      <c r="H1203">
        <v>-6.7162299999981769</v>
      </c>
      <c r="I1203">
        <v>-2.2172366177515723</v>
      </c>
      <c r="J1203">
        <v>0.21976863517620959</v>
      </c>
      <c r="K1203">
        <v>-1.1272415833412097</v>
      </c>
      <c r="L1203">
        <v>-0.45814506354501239</v>
      </c>
      <c r="M1203">
        <v>-0.25035483599279429</v>
      </c>
      <c r="N1203">
        <v>0.2196401700134798</v>
      </c>
      <c r="O1203">
        <v>-1.1491999999946323E-4</v>
      </c>
      <c r="P1203">
        <v>0.79982626778112298</v>
      </c>
      <c r="Q1203">
        <v>0.64613615919975054</v>
      </c>
      <c r="R1203">
        <v>0.28510436263213812</v>
      </c>
      <c r="S1203">
        <v>1.0058394276842408</v>
      </c>
      <c r="T1203">
        <v>0.72974257856603941</v>
      </c>
      <c r="U1203">
        <v>-5.1693708202904531E-7</v>
      </c>
      <c r="V1203">
        <v>0.84206325299431839</v>
      </c>
      <c r="W1203">
        <v>-7.9101582447160812E-2</v>
      </c>
      <c r="X1203">
        <v>1.5848200000000146E-2</v>
      </c>
      <c r="Y1203">
        <v>0.14522934000000021</v>
      </c>
      <c r="Z1203">
        <v>5.7678360000000539E-3</v>
      </c>
    </row>
    <row r="1204" spans="1:26">
      <c r="A1204" s="54" t="str">
        <f>CONCATENATE(raw[[#This Row],[redis_ls]],raw[[#This Row],[wage_eq]],raw[[#This Row],[flex]],raw[[#This Row],[expo]],raw[[#This Row],[_date_]])</f>
        <v>000047119</v>
      </c>
      <c r="B1204" s="1">
        <v>47119</v>
      </c>
      <c r="C1204">
        <v>0</v>
      </c>
      <c r="D1204">
        <v>0</v>
      </c>
      <c r="E1204">
        <v>0</v>
      </c>
      <c r="F1204">
        <v>0</v>
      </c>
      <c r="G1204">
        <v>-0.12834355359379046</v>
      </c>
      <c r="H1204">
        <v>-6.3645700000015495</v>
      </c>
      <c r="I1204">
        <v>-2.1809561761777063</v>
      </c>
      <c r="J1204">
        <v>0.21482867753210844</v>
      </c>
      <c r="K1204">
        <v>-1.1096160596794413</v>
      </c>
      <c r="L1204">
        <v>-0.44861664632765974</v>
      </c>
      <c r="M1204">
        <v>-0.24729236494037687</v>
      </c>
      <c r="N1204">
        <v>0.21500435536110363</v>
      </c>
      <c r="O1204">
        <v>1.5713000000028288E-4</v>
      </c>
      <c r="P1204">
        <v>0.78293377837763689</v>
      </c>
      <c r="Q1204">
        <v>0.63291536662359871</v>
      </c>
      <c r="R1204">
        <v>0.27896217454326244</v>
      </c>
      <c r="S1204">
        <v>0.98554220478037635</v>
      </c>
      <c r="T1204">
        <v>0.71485068526253581</v>
      </c>
      <c r="U1204">
        <v>-5.0680107888112502E-7</v>
      </c>
      <c r="V1204">
        <v>0.81980907506695733</v>
      </c>
      <c r="W1204">
        <v>-8.3035056458324874E-2</v>
      </c>
      <c r="X1204">
        <v>1.4882880000000043E-2</v>
      </c>
      <c r="Y1204">
        <v>0.14287013000000015</v>
      </c>
      <c r="Z1204">
        <v>7.1178800000000139E-3</v>
      </c>
    </row>
    <row r="1205" spans="1:26">
      <c r="A1205" s="54" t="str">
        <f>CONCATENATE(raw[[#This Row],[redis_ls]],raw[[#This Row],[wage_eq]],raw[[#This Row],[flex]],raw[[#This Row],[expo]],raw[[#This Row],[_date_]])</f>
        <v>000047484</v>
      </c>
      <c r="B1205" s="1">
        <v>47484</v>
      </c>
      <c r="C1205">
        <v>0</v>
      </c>
      <c r="D1205">
        <v>0</v>
      </c>
      <c r="E1205">
        <v>0</v>
      </c>
      <c r="F1205">
        <v>0</v>
      </c>
      <c r="G1205">
        <v>-0.12597679892102365</v>
      </c>
      <c r="H1205">
        <v>-5.8860999999997148</v>
      </c>
      <c r="I1205">
        <v>-2.1447944888994819</v>
      </c>
      <c r="J1205">
        <v>0.21053990331270089</v>
      </c>
      <c r="K1205">
        <v>-1.0904480453219567</v>
      </c>
      <c r="L1205">
        <v>-0.43948528385188146</v>
      </c>
      <c r="M1205">
        <v>-0.2436405263293473</v>
      </c>
      <c r="N1205">
        <v>0.21097440273010193</v>
      </c>
      <c r="O1205">
        <v>3.8856999999975494E-4</v>
      </c>
      <c r="P1205">
        <v>0.76714213515953755</v>
      </c>
      <c r="Q1205">
        <v>0.62085770345594593</v>
      </c>
      <c r="R1205">
        <v>0.27401099858914701</v>
      </c>
      <c r="S1205">
        <v>0.96638159203810137</v>
      </c>
      <c r="T1205">
        <v>0.70101552605901229</v>
      </c>
      <c r="U1205">
        <v>-4.9686380565461263E-7</v>
      </c>
      <c r="V1205">
        <v>0.79901079041071466</v>
      </c>
      <c r="W1205">
        <v>-8.6930765399406695E-2</v>
      </c>
      <c r="X1205">
        <v>1.3625419999999111E-2</v>
      </c>
      <c r="Y1205">
        <v>0.14055101</v>
      </c>
      <c r="Z1205">
        <v>8.7841370000001084E-3</v>
      </c>
    </row>
    <row r="1206" spans="1:26">
      <c r="A1206" s="54" t="str">
        <f>CONCATENATE(raw[[#This Row],[redis_ls]],raw[[#This Row],[wage_eq]],raw[[#This Row],[flex]],raw[[#This Row],[expo]],raw[[#This Row],[_date_]])</f>
        <v>000047849</v>
      </c>
      <c r="B1206" s="1">
        <v>47849</v>
      </c>
      <c r="C1206">
        <v>0</v>
      </c>
      <c r="D1206">
        <v>0</v>
      </c>
      <c r="E1206">
        <v>0</v>
      </c>
      <c r="F1206">
        <v>0</v>
      </c>
      <c r="G1206">
        <v>-0.12319328186245482</v>
      </c>
      <c r="H1206">
        <v>-5.2884500000000116</v>
      </c>
      <c r="I1206">
        <v>-2.1087242727436672</v>
      </c>
      <c r="J1206">
        <v>0.20693789335626267</v>
      </c>
      <c r="K1206">
        <v>-1.0697759538465634</v>
      </c>
      <c r="L1206">
        <v>-0.43082922614441355</v>
      </c>
      <c r="M1206">
        <v>-0.23937029191659631</v>
      </c>
      <c r="N1206">
        <v>0.20757943881777319</v>
      </c>
      <c r="O1206">
        <v>5.7375000000053911E-4</v>
      </c>
      <c r="P1206">
        <v>0.75250493031098209</v>
      </c>
      <c r="Q1206">
        <v>0.61002625883490591</v>
      </c>
      <c r="R1206">
        <v>0.27032697558615482</v>
      </c>
      <c r="S1206">
        <v>0.94840766316064418</v>
      </c>
      <c r="T1206">
        <v>0.68829221241906158</v>
      </c>
      <c r="U1206">
        <v>-4.8712137656892196E-7</v>
      </c>
      <c r="V1206">
        <v>0.77977332145378053</v>
      </c>
      <c r="W1206">
        <v>-9.0756375656741994E-2</v>
      </c>
      <c r="X1206">
        <v>1.2098409999999893E-2</v>
      </c>
      <c r="Y1206">
        <v>0.13826037999999999</v>
      </c>
      <c r="Z1206">
        <v>1.0776468000000053E-2</v>
      </c>
    </row>
    <row r="1207" spans="1:26">
      <c r="A1207" s="54" t="str">
        <f>CONCATENATE(raw[[#This Row],[redis_ls]],raw[[#This Row],[wage_eq]],raw[[#This Row],[flex]],raw[[#This Row],[expo]],raw[[#This Row],[_date_]])</f>
        <v>000048214</v>
      </c>
      <c r="B1207" s="1">
        <v>48214</v>
      </c>
      <c r="C1207">
        <v>0</v>
      </c>
      <c r="D1207">
        <v>0</v>
      </c>
      <c r="E1207">
        <v>0</v>
      </c>
      <c r="F1207">
        <v>0</v>
      </c>
      <c r="G1207">
        <v>-0.12001683401823282</v>
      </c>
      <c r="H1207">
        <v>-4.582060000000638</v>
      </c>
      <c r="I1207">
        <v>-2.0727368140122215</v>
      </c>
      <c r="J1207">
        <v>0.20402607736147438</v>
      </c>
      <c r="K1207">
        <v>-1.0476532758188606</v>
      </c>
      <c r="L1207">
        <v>-0.42270827553936297</v>
      </c>
      <c r="M1207">
        <v>-0.23447610252573803</v>
      </c>
      <c r="N1207">
        <v>0.20482145080304992</v>
      </c>
      <c r="O1207">
        <v>7.1142999999995737E-4</v>
      </c>
      <c r="P1207">
        <v>0.73904955895403024</v>
      </c>
      <c r="Q1207">
        <v>0.60045323417210472</v>
      </c>
      <c r="R1207">
        <v>0.26794991769361065</v>
      </c>
      <c r="S1207">
        <v>0.9316449850262476</v>
      </c>
      <c r="T1207">
        <v>0.67670831783792629</v>
      </c>
      <c r="U1207">
        <v>-4.7756997245684829E-7</v>
      </c>
      <c r="V1207">
        <v>0.76216122414438647</v>
      </c>
      <c r="W1207">
        <v>-9.4483042421344976E-2</v>
      </c>
      <c r="X1207">
        <v>1.0330609999999185E-2</v>
      </c>
      <c r="Y1207">
        <v>0.13598964000000013</v>
      </c>
      <c r="Z1207">
        <v>1.3085493000000031E-2</v>
      </c>
    </row>
    <row r="1208" spans="1:26">
      <c r="A1208" s="54" t="str">
        <f>CONCATENATE(raw[[#This Row],[redis_ls]],raw[[#This Row],[wage_eq]],raw[[#This Row],[flex]],raw[[#This Row],[expo]],raw[[#This Row],[_date_]])</f>
        <v>000048580</v>
      </c>
      <c r="B1208" s="1">
        <v>48580</v>
      </c>
      <c r="C1208">
        <v>0</v>
      </c>
      <c r="D1208">
        <v>0</v>
      </c>
      <c r="E1208">
        <v>0</v>
      </c>
      <c r="F1208">
        <v>0</v>
      </c>
      <c r="G1208">
        <v>-0.1164793892969862</v>
      </c>
      <c r="H1208">
        <v>-3.7793299999975716</v>
      </c>
      <c r="I1208">
        <v>-2.0368379220463528</v>
      </c>
      <c r="J1208">
        <v>0.20178272614381765</v>
      </c>
      <c r="K1208">
        <v>-1.0241461959679232</v>
      </c>
      <c r="L1208">
        <v>-0.41516496421845073</v>
      </c>
      <c r="M1208">
        <v>-0.22897133987542784</v>
      </c>
      <c r="N1208">
        <v>0.20268114064270204</v>
      </c>
      <c r="O1208">
        <v>8.0355999999975891E-4</v>
      </c>
      <c r="P1208">
        <v>0.72677961173241989</v>
      </c>
      <c r="Q1208">
        <v>0.59214290803795144</v>
      </c>
      <c r="R1208">
        <v>0.26688696036434312</v>
      </c>
      <c r="S1208">
        <v>0.91609511117691778</v>
      </c>
      <c r="T1208">
        <v>0.66626691840458996</v>
      </c>
      <c r="U1208">
        <v>-4.6820586296902889E-7</v>
      </c>
      <c r="V1208">
        <v>0.74620303183574599</v>
      </c>
      <c r="W1208">
        <v>-9.808583964717732E-2</v>
      </c>
      <c r="X1208">
        <v>8.3547800000000061E-3</v>
      </c>
      <c r="Y1208">
        <v>0.13373251000000017</v>
      </c>
      <c r="Z1208">
        <v>1.5687382999999937E-2</v>
      </c>
    </row>
    <row r="1209" spans="1:26">
      <c r="A1209" s="54" t="str">
        <f>CONCATENATE(raw[[#This Row],[redis_ls]],raw[[#This Row],[wage_eq]],raw[[#This Row],[flex]],raw[[#This Row],[expo]],raw[[#This Row],[_date_]])</f>
        <v>000048945</v>
      </c>
      <c r="B1209" s="1">
        <v>48945</v>
      </c>
      <c r="C1209">
        <v>0</v>
      </c>
      <c r="D1209">
        <v>0</v>
      </c>
      <c r="E1209">
        <v>0</v>
      </c>
      <c r="F1209">
        <v>0</v>
      </c>
      <c r="G1209">
        <v>-0.11261813202682047</v>
      </c>
      <c r="H1209">
        <v>-2.8938300000008894</v>
      </c>
      <c r="I1209">
        <v>-2.0010442758452318</v>
      </c>
      <c r="J1209">
        <v>0.20016739039583342</v>
      </c>
      <c r="K1209">
        <v>-0.99933120017887678</v>
      </c>
      <c r="L1209">
        <v>-0.40822583012899427</v>
      </c>
      <c r="M1209">
        <v>-0.22288434006034752</v>
      </c>
      <c r="N1209">
        <v>0.20112260235707335</v>
      </c>
      <c r="O1209">
        <v>8.5434999999994821E-4</v>
      </c>
      <c r="P1209">
        <v>0.71567789371702606</v>
      </c>
      <c r="Q1209">
        <v>0.58507487970564931</v>
      </c>
      <c r="R1209">
        <v>0.26711597835633594</v>
      </c>
      <c r="S1209">
        <v>0.90173922821961128</v>
      </c>
      <c r="T1209">
        <v>0.65694932414386287</v>
      </c>
      <c r="U1209">
        <v>-4.590253399605615E-7</v>
      </c>
      <c r="V1209">
        <v>0.73189425183770584</v>
      </c>
      <c r="W1209">
        <v>-0.101543057385034</v>
      </c>
      <c r="X1209">
        <v>6.2054899999997026E-3</v>
      </c>
      <c r="Y1209">
        <v>0.13148446000000003</v>
      </c>
      <c r="Z1209">
        <v>1.8548185999999953E-2</v>
      </c>
    </row>
    <row r="1210" spans="1:26">
      <c r="A1210" s="54" t="str">
        <f>CONCATENATE(raw[[#This Row],[redis_ls]],raw[[#This Row],[wage_eq]],raw[[#This Row],[flex]],raw[[#This Row],[expo]],raw[[#This Row],[_date_]])</f>
        <v>000049310</v>
      </c>
      <c r="B1210" s="1">
        <v>49310</v>
      </c>
      <c r="C1210">
        <v>0</v>
      </c>
      <c r="D1210">
        <v>0</v>
      </c>
      <c r="E1210">
        <v>0</v>
      </c>
      <c r="F1210">
        <v>0</v>
      </c>
      <c r="G1210">
        <v>-0.10847313454972474</v>
      </c>
      <c r="H1210">
        <v>-1.9394899999970221</v>
      </c>
      <c r="I1210">
        <v>-1.9653802387867847</v>
      </c>
      <c r="J1210">
        <v>0.19912676950639696</v>
      </c>
      <c r="K1210">
        <v>-0.9732929107339916</v>
      </c>
      <c r="L1210">
        <v>-0.40190292377585424</v>
      </c>
      <c r="M1210">
        <v>-0.21625428032457927</v>
      </c>
      <c r="N1210">
        <v>0.20009858739467035</v>
      </c>
      <c r="O1210">
        <v>8.6923999999960477E-4</v>
      </c>
      <c r="P1210">
        <v>0.70570886853802417</v>
      </c>
      <c r="Q1210">
        <v>0.57920718266220028</v>
      </c>
      <c r="R1210">
        <v>0.26858978072192841</v>
      </c>
      <c r="S1210">
        <v>0.88854066432693113</v>
      </c>
      <c r="T1210">
        <v>0.64871822157148706</v>
      </c>
      <c r="U1210">
        <v>-4.5002483961553708E-7</v>
      </c>
      <c r="V1210">
        <v>0.71920236586793251</v>
      </c>
      <c r="W1210">
        <v>-0.10483649392141192</v>
      </c>
      <c r="X1210">
        <v>3.9172899999995181E-3</v>
      </c>
      <c r="Y1210">
        <v>0.12924225000000011</v>
      </c>
      <c r="Z1210">
        <v>2.162750300000009E-2</v>
      </c>
    </row>
    <row r="1211" spans="1:26">
      <c r="A1211" s="54" t="str">
        <f>CONCATENATE(raw[[#This Row],[redis_ls]],raw[[#This Row],[wage_eq]],raw[[#This Row],[flex]],raw[[#This Row],[expo]],raw[[#This Row],[_date_]])</f>
        <v>000049675</v>
      </c>
      <c r="B1211" s="1">
        <v>49675</v>
      </c>
      <c r="C1211">
        <v>0</v>
      </c>
      <c r="D1211">
        <v>0</v>
      </c>
      <c r="E1211">
        <v>0</v>
      </c>
      <c r="F1211">
        <v>0</v>
      </c>
      <c r="G1211">
        <v>-0.10408526300157428</v>
      </c>
      <c r="H1211">
        <v>-0.92993999999816879</v>
      </c>
      <c r="I1211">
        <v>-1.9298753403654167</v>
      </c>
      <c r="J1211">
        <v>0.19859923277203428</v>
      </c>
      <c r="K1211">
        <v>-0.94612218994043484</v>
      </c>
      <c r="L1211">
        <v>-0.39619527538358179</v>
      </c>
      <c r="M1211">
        <v>-0.20912875457363977</v>
      </c>
      <c r="N1211">
        <v>0.19955434637786151</v>
      </c>
      <c r="O1211">
        <v>8.5427000000026787E-4</v>
      </c>
      <c r="P1211">
        <v>0.6968213206541618</v>
      </c>
      <c r="Q1211">
        <v>0.5744799079849372</v>
      </c>
      <c r="R1211">
        <v>0.27123992807802644</v>
      </c>
      <c r="S1211">
        <v>0.87644790648397919</v>
      </c>
      <c r="T1211">
        <v>0.64152057125872464</v>
      </c>
      <c r="U1211">
        <v>-4.4120084252696756E-7</v>
      </c>
      <c r="V1211">
        <v>0.70807047517016386</v>
      </c>
      <c r="W1211">
        <v>-0.10795081458344624</v>
      </c>
      <c r="X1211">
        <v>1.5232199999992702E-3</v>
      </c>
      <c r="Y1211">
        <v>0.12700364000000006</v>
      </c>
      <c r="Z1211">
        <v>2.4881485000000092E-2</v>
      </c>
    </row>
    <row r="1212" spans="1:26">
      <c r="A1212" s="54" t="str">
        <f>CONCATENATE(raw[[#This Row],[redis_ls]],raw[[#This Row],[wage_eq]],raw[[#This Row],[flex]],raw[[#This Row],[expo]],raw[[#This Row],[_date_]])</f>
        <v>000050041</v>
      </c>
      <c r="B1212" s="1">
        <v>50041</v>
      </c>
      <c r="C1212">
        <v>0</v>
      </c>
      <c r="D1212">
        <v>0</v>
      </c>
      <c r="E1212">
        <v>0</v>
      </c>
      <c r="F1212">
        <v>0</v>
      </c>
      <c r="G1212">
        <v>-9.9494895220786361E-2</v>
      </c>
      <c r="H1212">
        <v>0.12192000000140979</v>
      </c>
      <c r="I1212">
        <v>-1.894562203219563</v>
      </c>
      <c r="J1212">
        <v>0.19851872070353327</v>
      </c>
      <c r="K1212">
        <v>-0.91791461478555325</v>
      </c>
      <c r="L1212">
        <v>-0.3910906103324896</v>
      </c>
      <c r="M1212">
        <v>-0.20156006751224087</v>
      </c>
      <c r="N1212">
        <v>0.19943046142838483</v>
      </c>
      <c r="O1212">
        <v>8.1549000000014082E-4</v>
      </c>
      <c r="P1212">
        <v>0.68895168197775636</v>
      </c>
      <c r="Q1212">
        <v>0.57081833231678036</v>
      </c>
      <c r="R1212">
        <v>0.27498067757829592</v>
      </c>
      <c r="S1212">
        <v>0.86539717134515026</v>
      </c>
      <c r="T1212">
        <v>0.63529089529212879</v>
      </c>
      <c r="U1212">
        <v>-4.3254985149232539E-7</v>
      </c>
      <c r="V1212">
        <v>0.69842174255911882</v>
      </c>
      <c r="W1212">
        <v>-0.1108734781948173</v>
      </c>
      <c r="X1212">
        <v>-9.4620000000017468E-4</v>
      </c>
      <c r="Y1212">
        <v>0.12476707000000017</v>
      </c>
      <c r="Z1212">
        <v>2.8265142999999923E-2</v>
      </c>
    </row>
    <row r="1213" spans="1:26">
      <c r="A1213" s="54" t="str">
        <f>CONCATENATE(raw[[#This Row],[redis_ls]],raw[[#This Row],[wage_eq]],raw[[#This Row],[flex]],raw[[#This Row],[expo]],raw[[#This Row],[_date_]])</f>
        <v>000050406</v>
      </c>
      <c r="B1213" s="1">
        <v>50406</v>
      </c>
      <c r="C1213">
        <v>0</v>
      </c>
      <c r="D1213">
        <v>0</v>
      </c>
      <c r="E1213">
        <v>0</v>
      </c>
      <c r="F1213">
        <v>0</v>
      </c>
      <c r="G1213">
        <v>-9.474075552796668E-2</v>
      </c>
      <c r="H1213">
        <v>1.2043000000012398</v>
      </c>
      <c r="I1213">
        <v>-1.8594746507802795</v>
      </c>
      <c r="J1213">
        <v>0.19881779232449048</v>
      </c>
      <c r="K1213">
        <v>-0.88876921122477137</v>
      </c>
      <c r="L1213">
        <v>-0.38656699568947461</v>
      </c>
      <c r="M1213">
        <v>-0.19360445928715553</v>
      </c>
      <c r="N1213">
        <v>0.19966589147535352</v>
      </c>
      <c r="O1213">
        <v>7.5855999999985269E-4</v>
      </c>
      <c r="P1213">
        <v>0.68202620571331529</v>
      </c>
      <c r="Q1213">
        <v>0.56813621020721516</v>
      </c>
      <c r="R1213">
        <v>0.27971301592499831</v>
      </c>
      <c r="S1213">
        <v>0.85531509431631125</v>
      </c>
      <c r="T1213">
        <v>0.62995380232986342</v>
      </c>
      <c r="U1213">
        <v>-4.7118717816374556E-7</v>
      </c>
      <c r="V1213">
        <v>0.69016310180165519</v>
      </c>
      <c r="W1213">
        <v>-0.11359486619555437</v>
      </c>
      <c r="X1213">
        <v>-3.4635700000007485E-3</v>
      </c>
      <c r="Y1213">
        <v>0.12253155999999987</v>
      </c>
      <c r="Z1213">
        <v>3.1734068999999913E-2</v>
      </c>
    </row>
    <row r="1214" spans="1:26">
      <c r="A1214" s="54" t="str">
        <f>CONCATENATE(raw[[#This Row],[redis_ls]],raw[[#This Row],[wage_eq]],raw[[#This Row],[flex]],raw[[#This Row],[expo]],raw[[#This Row],[_date_]])</f>
        <v>000050771</v>
      </c>
      <c r="B1214" s="1">
        <v>50771</v>
      </c>
      <c r="C1214">
        <v>0</v>
      </c>
      <c r="D1214">
        <v>0</v>
      </c>
      <c r="E1214">
        <v>0</v>
      </c>
      <c r="F1214">
        <v>0</v>
      </c>
      <c r="G1214">
        <v>-8.9859330661234971E-2</v>
      </c>
      <c r="H1214">
        <v>2.3066800000015064</v>
      </c>
      <c r="I1214">
        <v>-1.8246473755550885</v>
      </c>
      <c r="J1214">
        <v>0.19942962347390125</v>
      </c>
      <c r="K1214">
        <v>-0.85878749591266068</v>
      </c>
      <c r="L1214">
        <v>-0.38259442732957449</v>
      </c>
      <c r="M1214">
        <v>-0.1853191245049568</v>
      </c>
      <c r="N1214">
        <v>0.2001994798336737</v>
      </c>
      <c r="O1214">
        <v>6.88590000000322E-4</v>
      </c>
      <c r="P1214">
        <v>0.67596384303372226</v>
      </c>
      <c r="Q1214">
        <v>0.56633895633353415</v>
      </c>
      <c r="R1214">
        <v>0.28532786167245749</v>
      </c>
      <c r="S1214">
        <v>0.84612122344152052</v>
      </c>
      <c r="T1214">
        <v>0.62542698509282513</v>
      </c>
      <c r="U1214">
        <v>-4.6194823521972239E-7</v>
      </c>
      <c r="V1214">
        <v>0.68318962309212861</v>
      </c>
      <c r="W1214">
        <v>-0.1161073688752734</v>
      </c>
      <c r="X1214">
        <v>-6.0049600000000591E-3</v>
      </c>
      <c r="Y1214">
        <v>0.12029656000000014</v>
      </c>
      <c r="Z1214">
        <v>3.5245646999999998E-2</v>
      </c>
    </row>
    <row r="1215" spans="1:26">
      <c r="A1215" s="54" t="str">
        <f>CONCATENATE(raw[[#This Row],[redis_ls]],raw[[#This Row],[wage_eq]],raw[[#This Row],[flex]],raw[[#This Row],[expo]],raw[[#This Row],[_date_]])</f>
        <v>000051136</v>
      </c>
      <c r="B1215" s="1">
        <v>51136</v>
      </c>
      <c r="C1215">
        <v>0</v>
      </c>
      <c r="D1215">
        <v>0</v>
      </c>
      <c r="E1215">
        <v>0</v>
      </c>
      <c r="F1215">
        <v>0</v>
      </c>
      <c r="G1215">
        <v>-8.4884496996007197E-2</v>
      </c>
      <c r="H1215">
        <v>3.4198800000012852</v>
      </c>
      <c r="I1215">
        <v>-1.7901142351045007</v>
      </c>
      <c r="J1215">
        <v>0.2002896301127155</v>
      </c>
      <c r="K1215">
        <v>-0.82807263525157548</v>
      </c>
      <c r="L1215">
        <v>-0.37913635576122262</v>
      </c>
      <c r="M1215">
        <v>-0.1767618522337977</v>
      </c>
      <c r="N1215">
        <v>0.20097157685847744</v>
      </c>
      <c r="O1215">
        <v>6.0996000000035355E-4</v>
      </c>
      <c r="P1215">
        <v>0.67067843818098272</v>
      </c>
      <c r="Q1215">
        <v>0.56532602813612609</v>
      </c>
      <c r="R1215">
        <v>0.29170943186282994</v>
      </c>
      <c r="S1215">
        <v>0.83773032784735246</v>
      </c>
      <c r="T1215">
        <v>0.62162338664570882</v>
      </c>
      <c r="U1215">
        <v>-4.5289041405993657E-7</v>
      </c>
      <c r="V1215">
        <v>0.67738726728778786</v>
      </c>
      <c r="W1215">
        <v>-0.1184056661095334</v>
      </c>
      <c r="X1215">
        <v>-8.549830000000036E-3</v>
      </c>
      <c r="Y1215">
        <v>0.11806196999999997</v>
      </c>
      <c r="Z1215">
        <v>3.8759856000000065E-2</v>
      </c>
    </row>
    <row r="1216" spans="1:26">
      <c r="A1216" s="54" t="str">
        <f>CONCATENATE(raw[[#This Row],[redis_ls]],raw[[#This Row],[wage_eq]],raw[[#This Row],[flex]],raw[[#This Row],[expo]],raw[[#This Row],[_date_]])</f>
        <v>000051502</v>
      </c>
      <c r="B1216" s="1">
        <v>51502</v>
      </c>
      <c r="C1216">
        <v>0</v>
      </c>
      <c r="D1216">
        <v>0</v>
      </c>
      <c r="E1216">
        <v>0</v>
      </c>
      <c r="F1216">
        <v>0</v>
      </c>
      <c r="G1216">
        <v>-7.9847425212076217E-2</v>
      </c>
      <c r="H1216">
        <v>4.536019999999553</v>
      </c>
      <c r="I1216">
        <v>-1.7559077634087483</v>
      </c>
      <c r="J1216">
        <v>0.20133655858471933</v>
      </c>
      <c r="K1216">
        <v>-0.79672881847878685</v>
      </c>
      <c r="L1216">
        <v>-0.3761513474716649</v>
      </c>
      <c r="M1216">
        <v>-0.16798974122320676</v>
      </c>
      <c r="N1216">
        <v>0.20192503704086207</v>
      </c>
      <c r="O1216">
        <v>5.2635000000050836E-4</v>
      </c>
      <c r="P1216">
        <v>0.6660808490694281</v>
      </c>
      <c r="Q1216">
        <v>0.56499366595017531</v>
      </c>
      <c r="R1216">
        <v>0.29873810451805927</v>
      </c>
      <c r="S1216">
        <v>0.83005448555391048</v>
      </c>
      <c r="T1216">
        <v>0.61845356148750863</v>
      </c>
      <c r="U1216">
        <v>-4.4401022858409078E-7</v>
      </c>
      <c r="V1216">
        <v>0.67263663884014058</v>
      </c>
      <c r="W1216">
        <v>-0.12048619238043123</v>
      </c>
      <c r="X1216">
        <v>-1.1080920000000605E-2</v>
      </c>
      <c r="Y1216">
        <v>0.11582802000000003</v>
      </c>
      <c r="Z1216">
        <v>4.2239765000000054E-2</v>
      </c>
    </row>
    <row r="1217" spans="1:26">
      <c r="A1217" s="54" t="str">
        <f>CONCATENATE(raw[[#This Row],[redis_ls]],raw[[#This Row],[wage_eq]],raw[[#This Row],[flex]],raw[[#This Row],[expo]],raw[[#This Row],[_date_]])</f>
        <v>000051867</v>
      </c>
      <c r="B1217" s="1">
        <v>51867</v>
      </c>
      <c r="C1217">
        <v>0</v>
      </c>
      <c r="D1217">
        <v>0</v>
      </c>
      <c r="E1217">
        <v>0</v>
      </c>
      <c r="F1217">
        <v>0</v>
      </c>
      <c r="G1217">
        <v>-7.4776639239770848E-2</v>
      </c>
      <c r="H1217">
        <v>5.6484500000005937</v>
      </c>
      <c r="I1217">
        <v>-1.7220595938228334</v>
      </c>
      <c r="J1217">
        <v>0.20251306517446999</v>
      </c>
      <c r="K1217">
        <v>-0.76486076307114015</v>
      </c>
      <c r="L1217">
        <v>-0.37359429465385618</v>
      </c>
      <c r="M1217">
        <v>-0.1590583949647506</v>
      </c>
      <c r="N1217">
        <v>0.20300585779398084</v>
      </c>
      <c r="O1217">
        <v>4.4072000000006106E-4</v>
      </c>
      <c r="P1217">
        <v>0.66208081692125109</v>
      </c>
      <c r="Q1217">
        <v>0.56523709682183565</v>
      </c>
      <c r="R1217">
        <v>0.3062930853984458</v>
      </c>
      <c r="S1217">
        <v>0.82300452517314326</v>
      </c>
      <c r="T1217">
        <v>0.61582718520558632</v>
      </c>
      <c r="U1217">
        <v>-4.7883453868635684E-7</v>
      </c>
      <c r="V1217">
        <v>0.66881506425915394</v>
      </c>
      <c r="W1217">
        <v>-0.12234735834810717</v>
      </c>
      <c r="X1217">
        <v>-1.3583910000000698E-2</v>
      </c>
      <c r="Y1217">
        <v>0.11359530999999999</v>
      </c>
      <c r="Z1217">
        <v>4.5651786999999999E-2</v>
      </c>
    </row>
    <row r="1218" spans="1:26">
      <c r="A1218" s="54" t="str">
        <f>CONCATENATE(raw[[#This Row],[redis_ls]],raw[[#This Row],[wage_eq]],raw[[#This Row],[flex]],raw[[#This Row],[expo]],raw[[#This Row],[_date_]])</f>
        <v>000052232</v>
      </c>
      <c r="B1218" s="1">
        <v>52232</v>
      </c>
      <c r="C1218">
        <v>0</v>
      </c>
      <c r="D1218">
        <v>0</v>
      </c>
      <c r="E1218">
        <v>0</v>
      </c>
      <c r="F1218">
        <v>0</v>
      </c>
      <c r="G1218">
        <v>-6.9697970461102265E-2</v>
      </c>
      <c r="H1218">
        <v>6.7515700000003562</v>
      </c>
      <c r="I1218">
        <v>-1.6885989098299192</v>
      </c>
      <c r="J1218">
        <v>0.20376614295720685</v>
      </c>
      <c r="K1218">
        <v>-0.73257308928001974</v>
      </c>
      <c r="L1218">
        <v>-0.37141791790449297</v>
      </c>
      <c r="M1218">
        <v>-0.15002154169831972</v>
      </c>
      <c r="N1218">
        <v>0.20416357226189508</v>
      </c>
      <c r="O1218">
        <v>3.5543999999942955E-4</v>
      </c>
      <c r="P1218">
        <v>0.65858868332770992</v>
      </c>
      <c r="Q1218">
        <v>0.56595208118666029</v>
      </c>
      <c r="R1218">
        <v>0.31425441285857225</v>
      </c>
      <c r="S1218">
        <v>0.81649226808586661</v>
      </c>
      <c r="T1218">
        <v>0.61365514066609173</v>
      </c>
      <c r="U1218">
        <v>-4.6944562681616731E-7</v>
      </c>
      <c r="V1218">
        <v>0.66579966997100115</v>
      </c>
      <c r="W1218">
        <v>-0.12398885322005837</v>
      </c>
      <c r="X1218">
        <v>-1.6047040000000123E-2</v>
      </c>
      <c r="Y1218">
        <v>0.11136477000000013</v>
      </c>
      <c r="Z1218">
        <v>4.8965779000000043E-2</v>
      </c>
    </row>
    <row r="1219" spans="1:26">
      <c r="A1219" s="54" t="str">
        <f>CONCATENATE(raw[[#This Row],[redis_ls]],raw[[#This Row],[wage_eq]],raw[[#This Row],[flex]],raw[[#This Row],[expo]],raw[[#This Row],[_date_]])</f>
        <v>000052597</v>
      </c>
      <c r="B1219" s="1">
        <v>52597</v>
      </c>
      <c r="C1219">
        <v>0</v>
      </c>
      <c r="D1219">
        <v>0</v>
      </c>
      <c r="E1219">
        <v>0</v>
      </c>
      <c r="F1219">
        <v>0</v>
      </c>
      <c r="G1219">
        <v>-6.4634975797128735E-2</v>
      </c>
      <c r="H1219">
        <v>7.8407299999998941</v>
      </c>
      <c r="I1219">
        <v>-1.6555536248617386</v>
      </c>
      <c r="J1219">
        <v>0.20504719343841238</v>
      </c>
      <c r="K1219">
        <v>-0.69997002921107221</v>
      </c>
      <c r="L1219">
        <v>-0.36957317246665289</v>
      </c>
      <c r="M1219">
        <v>-0.14093045410715765</v>
      </c>
      <c r="N1219">
        <v>0.20535163269479462</v>
      </c>
      <c r="O1219">
        <v>2.7229000000017489E-4</v>
      </c>
      <c r="P1219">
        <v>0.65551659274940555</v>
      </c>
      <c r="Q1219">
        <v>0.56703688643817696</v>
      </c>
      <c r="R1219">
        <v>0.32250479329194448</v>
      </c>
      <c r="S1219">
        <v>0.8104310135355508</v>
      </c>
      <c r="T1219">
        <v>0.61185019988052591</v>
      </c>
      <c r="U1219">
        <v>-5.0208086577185895E-7</v>
      </c>
      <c r="V1219">
        <v>0.66346886444752506</v>
      </c>
      <c r="W1219">
        <v>-0.12541168155718596</v>
      </c>
      <c r="X1219">
        <v>-1.8460669999999235E-2</v>
      </c>
      <c r="Y1219">
        <v>0.10913763999999999</v>
      </c>
      <c r="Z1219">
        <v>5.2155025999999979E-2</v>
      </c>
    </row>
    <row r="1220" spans="1:26">
      <c r="A1220" s="54" t="str">
        <f>CONCATENATE(raw[[#This Row],[redis_ls]],raw[[#This Row],[wage_eq]],raw[[#This Row],[flex]],raw[[#This Row],[expo]],raw[[#This Row],[_date_]])</f>
        <v>000052963</v>
      </c>
      <c r="B1220" s="1">
        <v>52963</v>
      </c>
      <c r="C1220">
        <v>0</v>
      </c>
      <c r="D1220">
        <v>0</v>
      </c>
      <c r="E1220">
        <v>0</v>
      </c>
      <c r="F1220">
        <v>0</v>
      </c>
      <c r="G1220">
        <v>-5.9608900059937575E-2</v>
      </c>
      <c r="H1220">
        <v>8.9120299999995041</v>
      </c>
      <c r="I1220">
        <v>-1.6229490126609458</v>
      </c>
      <c r="J1220">
        <v>0.20631221596314475</v>
      </c>
      <c r="K1220">
        <v>-0.66715485155335319</v>
      </c>
      <c r="L1220">
        <v>-0.3680112519722889</v>
      </c>
      <c r="M1220">
        <v>-0.13183392133130356</v>
      </c>
      <c r="N1220">
        <v>0.20652758950183703</v>
      </c>
      <c r="O1220">
        <v>1.9262000000019874E-4</v>
      </c>
      <c r="P1220">
        <v>0.65277964076060346</v>
      </c>
      <c r="Q1220">
        <v>0.56839333919171953</v>
      </c>
      <c r="R1220">
        <v>0.33093139561812812</v>
      </c>
      <c r="S1220">
        <v>0.80473745571802979</v>
      </c>
      <c r="T1220">
        <v>0.61032874304969287</v>
      </c>
      <c r="U1220">
        <v>-4.9223616294113981E-7</v>
      </c>
      <c r="V1220">
        <v>0.66170430266936364</v>
      </c>
      <c r="W1220">
        <v>-0.12661815110215358</v>
      </c>
      <c r="X1220">
        <v>-2.0816989999999924E-2</v>
      </c>
      <c r="Y1220">
        <v>0.1069154499999999</v>
      </c>
      <c r="Z1220">
        <v>5.5196151000000068E-2</v>
      </c>
    </row>
    <row r="1221" spans="1:26">
      <c r="A1221" s="54" t="str">
        <f>CONCATENATE(raw[[#This Row],[redis_ls]],raw[[#This Row],[wage_eq]],raw[[#This Row],[flex]],raw[[#This Row],[expo]],raw[[#This Row],[_date_]])</f>
        <v>000053328</v>
      </c>
      <c r="B1221" s="1">
        <v>53328</v>
      </c>
      <c r="C1221">
        <v>0</v>
      </c>
      <c r="D1221">
        <v>0</v>
      </c>
      <c r="E1221">
        <v>0</v>
      </c>
      <c r="F1221">
        <v>0</v>
      </c>
      <c r="G1221">
        <v>-5.4639041476745032E-2</v>
      </c>
      <c r="H1221">
        <v>9.962229999997362</v>
      </c>
      <c r="I1221">
        <v>-1.5908084866940397</v>
      </c>
      <c r="J1221">
        <v>0.20752160681478671</v>
      </c>
      <c r="K1221">
        <v>-0.63422952402401034</v>
      </c>
      <c r="L1221">
        <v>-0.36668355278712816</v>
      </c>
      <c r="M1221">
        <v>-0.12277775899123267</v>
      </c>
      <c r="N1221">
        <v>0.20765290003557091</v>
      </c>
      <c r="O1221">
        <v>1.1740000000065587E-4</v>
      </c>
      <c r="P1221">
        <v>0.65029689147613201</v>
      </c>
      <c r="Q1221">
        <v>0.56992775578565968</v>
      </c>
      <c r="R1221">
        <v>0.33942651107692345</v>
      </c>
      <c r="S1221">
        <v>0.79933180517626212</v>
      </c>
      <c r="T1221">
        <v>0.60901114677271995</v>
      </c>
      <c r="U1221">
        <v>-4.8258447238325175E-7</v>
      </c>
      <c r="V1221">
        <v>0.66039217215940749</v>
      </c>
      <c r="W1221">
        <v>-0.12761123487854409</v>
      </c>
      <c r="X1221">
        <v>-2.3109550000000034E-2</v>
      </c>
      <c r="Y1221">
        <v>0.10469999000000015</v>
      </c>
      <c r="Z1221">
        <v>5.8068987000000058E-2</v>
      </c>
    </row>
    <row r="1222" spans="1:26">
      <c r="A1222" s="54" t="str">
        <f>CONCATENATE(raw[[#This Row],[redis_ls]],raw[[#This Row],[wage_eq]],raw[[#This Row],[flex]],raw[[#This Row],[expo]],raw[[#This Row],[_date_]])</f>
        <v>000053693</v>
      </c>
      <c r="B1222" s="1">
        <v>53693</v>
      </c>
      <c r="C1222">
        <v>0</v>
      </c>
      <c r="D1222">
        <v>0</v>
      </c>
      <c r="E1222">
        <v>0</v>
      </c>
      <c r="F1222">
        <v>0</v>
      </c>
      <c r="G1222">
        <v>-4.9742883255998738E-2</v>
      </c>
      <c r="H1222">
        <v>10.988549999998213</v>
      </c>
      <c r="I1222">
        <v>-1.5591531982210527</v>
      </c>
      <c r="J1222">
        <v>0.20864027174058997</v>
      </c>
      <c r="K1222">
        <v>-0.60129423874475396</v>
      </c>
      <c r="L1222">
        <v>-0.36554275286730942</v>
      </c>
      <c r="M1222">
        <v>-0.11380469253803316</v>
      </c>
      <c r="N1222">
        <v>0.2086931661873459</v>
      </c>
      <c r="O1222">
        <v>4.7300000000083386E-5</v>
      </c>
      <c r="P1222">
        <v>0.64799195450309099</v>
      </c>
      <c r="Q1222">
        <v>0.57155215090285427</v>
      </c>
      <c r="R1222">
        <v>0.34788899394726513</v>
      </c>
      <c r="S1222">
        <v>0.79413887691404117</v>
      </c>
      <c r="T1222">
        <v>0.60782263269496539</v>
      </c>
      <c r="U1222">
        <v>-4.7312203044214129E-7</v>
      </c>
      <c r="V1222">
        <v>0.65942431985230865</v>
      </c>
      <c r="W1222">
        <v>-0.12839492442602296</v>
      </c>
      <c r="X1222">
        <v>-2.5332999999999606E-2</v>
      </c>
      <c r="Y1222">
        <v>0.10249326000000003</v>
      </c>
      <c r="Z1222">
        <v>6.0756419999999978E-2</v>
      </c>
    </row>
    <row r="1223" spans="1:26">
      <c r="A1223" s="54" t="str">
        <f>CONCATENATE(raw[[#This Row],[redis_ls]],raw[[#This Row],[wage_eq]],raw[[#This Row],[flex]],raw[[#This Row],[expo]],raw[[#This Row],[_date_]])</f>
        <v>000054058</v>
      </c>
      <c r="B1223" s="1">
        <v>54058</v>
      </c>
      <c r="C1223">
        <v>0</v>
      </c>
      <c r="D1223">
        <v>0</v>
      </c>
      <c r="E1223">
        <v>0</v>
      </c>
      <c r="F1223">
        <v>0</v>
      </c>
      <c r="G1223">
        <v>-4.4936217701285752E-2</v>
      </c>
      <c r="H1223">
        <v>11.988580000001093</v>
      </c>
      <c r="I1223">
        <v>-1.5280020857897481</v>
      </c>
      <c r="J1223">
        <v>0.20963720148612364</v>
      </c>
      <c r="K1223">
        <v>-0.5684469660670155</v>
      </c>
      <c r="L1223">
        <v>-0.36454343467656747</v>
      </c>
      <c r="M1223">
        <v>-0.10495433899812001</v>
      </c>
      <c r="N1223">
        <v>0.20961788361726352</v>
      </c>
      <c r="O1223">
        <v>-1.7260000000074438E-5</v>
      </c>
      <c r="P1223">
        <v>0.64579355911289493</v>
      </c>
      <c r="Q1223">
        <v>0.57318428575690028</v>
      </c>
      <c r="R1223">
        <v>0.35622474708509877</v>
      </c>
      <c r="S1223">
        <v>0.78908853874954943</v>
      </c>
      <c r="T1223">
        <v>0.60669361808376454</v>
      </c>
      <c r="U1223">
        <v>-5.0249887584286057E-7</v>
      </c>
      <c r="V1223">
        <v>0.65869897194361648</v>
      </c>
      <c r="W1223">
        <v>-0.1289738601516377</v>
      </c>
      <c r="X1223">
        <v>-2.7482809999999913E-2</v>
      </c>
      <c r="Y1223">
        <v>0.10029743999999986</v>
      </c>
      <c r="Z1223">
        <v>6.3244213999999993E-2</v>
      </c>
    </row>
    <row r="1224" spans="1:26">
      <c r="A1224" s="54" t="str">
        <f>CONCATENATE(raw[[#This Row],[redis_ls]],raw[[#This Row],[wage_eq]],raw[[#This Row],[flex]],raw[[#This Row],[expo]],raw[[#This Row],[_date_]])</f>
        <v>000054424</v>
      </c>
      <c r="B1224" s="1">
        <v>54424</v>
      </c>
      <c r="C1224">
        <v>0</v>
      </c>
      <c r="D1224">
        <v>0</v>
      </c>
      <c r="E1224">
        <v>0</v>
      </c>
      <c r="F1224">
        <v>0</v>
      </c>
      <c r="G1224">
        <v>-4.0233359886654441E-2</v>
      </c>
      <c r="H1224">
        <v>12.960210000001098</v>
      </c>
      <c r="I1224">
        <v>-1.497371912374601</v>
      </c>
      <c r="J1224">
        <v>0.21048557217702157</v>
      </c>
      <c r="K1224">
        <v>-0.53578311691937497</v>
      </c>
      <c r="L1224">
        <v>-0.36364230938491504</v>
      </c>
      <c r="M1224">
        <v>-9.6263351205994052E-2</v>
      </c>
      <c r="N1224">
        <v>0.21040050722627157</v>
      </c>
      <c r="O1224">
        <v>-7.6039999999388819E-5</v>
      </c>
      <c r="P1224">
        <v>0.64363574398831336</v>
      </c>
      <c r="Q1224">
        <v>0.57474856479997616</v>
      </c>
      <c r="R1224">
        <v>0.36434705030037318</v>
      </c>
      <c r="S1224">
        <v>0.78411586430502389</v>
      </c>
      <c r="T1224">
        <v>0.60556012231209877</v>
      </c>
      <c r="U1224">
        <v>-4.9264597956621969E-7</v>
      </c>
      <c r="V1224">
        <v>0.65812144172407994</v>
      </c>
      <c r="W1224">
        <v>-0.12935307103708604</v>
      </c>
      <c r="X1224">
        <v>-2.9555059999999966E-2</v>
      </c>
      <c r="Y1224">
        <v>9.8114839999999953E-2</v>
      </c>
      <c r="Z1224">
        <v>6.5520836000000027E-2</v>
      </c>
    </row>
    <row r="1225" spans="1:26">
      <c r="A1225" s="54" t="str">
        <f>CONCATENATE(raw[[#This Row],[redis_ls]],raw[[#This Row],[wage_eq]],raw[[#This Row],[flex]],raw[[#This Row],[expo]],raw[[#This Row],[_date_]])</f>
        <v>000054789</v>
      </c>
      <c r="B1225" s="1">
        <v>54789</v>
      </c>
      <c r="C1225">
        <v>0</v>
      </c>
      <c r="D1225">
        <v>0</v>
      </c>
      <c r="E1225">
        <v>0</v>
      </c>
      <c r="F1225">
        <v>0</v>
      </c>
      <c r="G1225">
        <v>-3.5647229680701997E-2</v>
      </c>
      <c r="H1225">
        <v>13.901529999999184</v>
      </c>
      <c r="I1225">
        <v>-1.4672771722740063</v>
      </c>
      <c r="J1225">
        <v>0.21116223350914343</v>
      </c>
      <c r="K1225">
        <v>-0.50339510548372823</v>
      </c>
      <c r="L1225">
        <v>-0.3627987295953039</v>
      </c>
      <c r="M1225">
        <v>-8.7764683866853321E-2</v>
      </c>
      <c r="N1225">
        <v>0.21101811899564282</v>
      </c>
      <c r="O1225">
        <v>-1.2892999999986055E-4</v>
      </c>
      <c r="P1225">
        <v>0.64145830358037781</v>
      </c>
      <c r="Q1225">
        <v>0.57617587612668331</v>
      </c>
      <c r="R1225">
        <v>0.37217716163673309</v>
      </c>
      <c r="S1225">
        <v>0.77916162030564617</v>
      </c>
      <c r="T1225">
        <v>0.60436384566164847</v>
      </c>
      <c r="U1225">
        <v>-4.829862398914031E-7</v>
      </c>
      <c r="V1225">
        <v>0.65760437483626255</v>
      </c>
      <c r="W1225">
        <v>-0.12953817966244729</v>
      </c>
      <c r="X1225">
        <v>-3.154625999999966E-2</v>
      </c>
      <c r="Y1225">
        <v>9.5947890000000133E-2</v>
      </c>
      <c r="Z1225">
        <v>6.7577273000000035E-2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5287-2FC7-41EF-BCF5-42F1289786EE}">
  <dimension ref="A1:Z5"/>
  <sheetViews>
    <sheetView workbookViewId="0">
      <selection activeCell="E17" sqref="E17"/>
    </sheetView>
  </sheetViews>
  <sheetFormatPr baseColWidth="10" defaultColWidth="8.7265625" defaultRowHeight="14.5"/>
  <cols>
    <col min="3" max="3" width="12.453125" bestFit="1" customWidth="1"/>
    <col min="4" max="5" width="12.81640625" bestFit="1" customWidth="1"/>
    <col min="6" max="6" width="13.453125" bestFit="1" customWidth="1"/>
    <col min="7" max="7" width="11.81640625" bestFit="1" customWidth="1"/>
    <col min="8" max="9" width="12.26953125" bestFit="1" customWidth="1"/>
    <col min="10" max="10" width="12.7265625" bestFit="1" customWidth="1"/>
    <col min="11" max="11" width="16.453125" bestFit="1" customWidth="1"/>
    <col min="12" max="13" width="16.81640625" bestFit="1" customWidth="1"/>
    <col min="14" max="14" width="17.453125" bestFit="1" customWidth="1"/>
    <col min="15" max="15" width="13.81640625" bestFit="1" customWidth="1"/>
    <col min="16" max="17" width="14.26953125" bestFit="1" customWidth="1"/>
    <col min="18" max="18" width="14.7265625" bestFit="1" customWidth="1"/>
    <col min="19" max="19" width="13.26953125" bestFit="1" customWidth="1"/>
    <col min="20" max="21" width="13.7265625" bestFit="1" customWidth="1"/>
    <col min="22" max="22" width="14.1796875" bestFit="1" customWidth="1"/>
    <col min="23" max="23" width="17.81640625" bestFit="1" customWidth="1"/>
    <col min="24" max="25" width="18.26953125" bestFit="1" customWidth="1"/>
    <col min="26" max="26" width="18.7265625" bestFit="1" customWidth="1"/>
  </cols>
  <sheetData>
    <row r="1" spans="1:26">
      <c r="C1" t="str">
        <f>_xlfn.CONCAT(C4,"_",C5,"_",C2,"_",C3)</f>
        <v>LF_LE_LS_WS</v>
      </c>
      <c r="D1" t="str">
        <f t="shared" ref="D1:Z1" si="0">_xlfn.CONCAT(D4,"_",D5,"_",D2,"_",D3)</f>
        <v>LF_HE_LS_WS</v>
      </c>
      <c r="E1" t="str">
        <f t="shared" si="0"/>
        <v>HF_LE_LS_WS</v>
      </c>
      <c r="F1" t="str">
        <f t="shared" si="0"/>
        <v>HF_HE_LS_WS</v>
      </c>
      <c r="G1" t="str">
        <f t="shared" si="0"/>
        <v>LF_LE_LS_PC</v>
      </c>
      <c r="H1" t="str">
        <f t="shared" si="0"/>
        <v>LF_HE_LS_PC</v>
      </c>
      <c r="I1" t="str">
        <f t="shared" si="0"/>
        <v>HF_LE_LS_PC</v>
      </c>
      <c r="J1" t="str">
        <f t="shared" si="0"/>
        <v>HF_HE_LS_PC</v>
      </c>
      <c r="K1" t="str">
        <f t="shared" si="0"/>
        <v>LF_LE_LS_PC-TVN</v>
      </c>
      <c r="L1" t="str">
        <f t="shared" si="0"/>
        <v>LF_HE_LS_PC-TVN</v>
      </c>
      <c r="M1" t="str">
        <f t="shared" si="0"/>
        <v>HF_LE_LS_PC-TVN</v>
      </c>
      <c r="N1" t="str">
        <f t="shared" si="0"/>
        <v>HF_HE_LS_PC-TVN</v>
      </c>
      <c r="O1" t="str">
        <f t="shared" si="0"/>
        <v>LF_LE_SSC_WS</v>
      </c>
      <c r="P1" t="str">
        <f t="shared" si="0"/>
        <v>LF_HE_SSC_WS</v>
      </c>
      <c r="Q1" t="str">
        <f t="shared" si="0"/>
        <v>HF_LE_SSC_WS</v>
      </c>
      <c r="R1" t="str">
        <f t="shared" si="0"/>
        <v>HF_HE_SSC_WS</v>
      </c>
      <c r="S1" t="str">
        <f t="shared" si="0"/>
        <v>LF_LE_SSC_PC</v>
      </c>
      <c r="T1" t="str">
        <f t="shared" si="0"/>
        <v>LF_HE_SSC_PC</v>
      </c>
      <c r="U1" t="str">
        <f t="shared" si="0"/>
        <v>HF_LE_SSC_PC</v>
      </c>
      <c r="V1" t="str">
        <f t="shared" si="0"/>
        <v>HF_HE_SSC_PC</v>
      </c>
      <c r="W1" t="str">
        <f t="shared" si="0"/>
        <v>LF_LE_SSC_PC-TVN</v>
      </c>
      <c r="X1" t="str">
        <f t="shared" si="0"/>
        <v>LF_HE_SSC_PC-TVN</v>
      </c>
      <c r="Y1" t="str">
        <f t="shared" si="0"/>
        <v>HF_LE_SSC_PC-TVN</v>
      </c>
      <c r="Z1" t="str">
        <f t="shared" si="0"/>
        <v>HF_HE_SSC_PC-TVN</v>
      </c>
    </row>
    <row r="2" spans="1:26" s="2" customFormat="1">
      <c r="A2" s="52"/>
      <c r="C2" s="13" t="s">
        <v>152</v>
      </c>
      <c r="D2" s="13" t="s">
        <v>152</v>
      </c>
      <c r="E2" s="13" t="s">
        <v>152</v>
      </c>
      <c r="F2" s="13" t="s">
        <v>152</v>
      </c>
      <c r="G2" s="13" t="s">
        <v>152</v>
      </c>
      <c r="H2" s="13" t="s">
        <v>152</v>
      </c>
      <c r="I2" s="13" t="s">
        <v>152</v>
      </c>
      <c r="J2" s="13" t="s">
        <v>152</v>
      </c>
      <c r="K2" s="13" t="s">
        <v>152</v>
      </c>
      <c r="L2" s="13" t="s">
        <v>152</v>
      </c>
      <c r="M2" s="13" t="s">
        <v>152</v>
      </c>
      <c r="N2" s="13" t="s">
        <v>152</v>
      </c>
      <c r="O2" s="13" t="s">
        <v>159</v>
      </c>
      <c r="P2" s="13" t="s">
        <v>159</v>
      </c>
      <c r="Q2" s="13" t="s">
        <v>159</v>
      </c>
      <c r="R2" s="13" t="s">
        <v>159</v>
      </c>
      <c r="S2" s="13" t="s">
        <v>159</v>
      </c>
      <c r="T2" s="13" t="s">
        <v>159</v>
      </c>
      <c r="U2" s="13" t="s">
        <v>159</v>
      </c>
      <c r="V2" s="13" t="s">
        <v>159</v>
      </c>
      <c r="W2" s="13" t="s">
        <v>159</v>
      </c>
      <c r="X2" s="13" t="s">
        <v>159</v>
      </c>
      <c r="Y2" s="13" t="s">
        <v>159</v>
      </c>
      <c r="Z2" s="13" t="s">
        <v>159</v>
      </c>
    </row>
    <row r="3" spans="1:26" s="2" customFormat="1">
      <c r="C3" s="13" t="s">
        <v>153</v>
      </c>
      <c r="D3" s="13" t="s">
        <v>153</v>
      </c>
      <c r="E3" s="13" t="s">
        <v>153</v>
      </c>
      <c r="F3" s="13" t="s">
        <v>153</v>
      </c>
      <c r="G3" s="13" t="s">
        <v>174</v>
      </c>
      <c r="H3" s="13" t="s">
        <v>174</v>
      </c>
      <c r="I3" s="13" t="s">
        <v>174</v>
      </c>
      <c r="J3" s="13" t="s">
        <v>174</v>
      </c>
      <c r="K3" s="13" t="s">
        <v>175</v>
      </c>
      <c r="L3" s="13" t="s">
        <v>175</v>
      </c>
      <c r="M3" s="13" t="s">
        <v>175</v>
      </c>
      <c r="N3" s="13" t="s">
        <v>175</v>
      </c>
      <c r="O3" s="13" t="str">
        <f>C3</f>
        <v>WS</v>
      </c>
      <c r="P3" s="13" t="str">
        <f t="shared" ref="P3:Z3" si="1">D3</f>
        <v>WS</v>
      </c>
      <c r="Q3" s="13" t="str">
        <f t="shared" si="1"/>
        <v>WS</v>
      </c>
      <c r="R3" s="13" t="str">
        <f t="shared" si="1"/>
        <v>WS</v>
      </c>
      <c r="S3" s="13" t="str">
        <f t="shared" si="1"/>
        <v>PC</v>
      </c>
      <c r="T3" s="13" t="str">
        <f t="shared" si="1"/>
        <v>PC</v>
      </c>
      <c r="U3" s="13" t="str">
        <f t="shared" si="1"/>
        <v>PC</v>
      </c>
      <c r="V3" s="13" t="str">
        <f t="shared" si="1"/>
        <v>PC</v>
      </c>
      <c r="W3" s="13" t="str">
        <f t="shared" si="1"/>
        <v>PC-TVN</v>
      </c>
      <c r="X3" s="13" t="str">
        <f t="shared" si="1"/>
        <v>PC-TVN</v>
      </c>
      <c r="Y3" s="13" t="str">
        <f t="shared" si="1"/>
        <v>PC-TVN</v>
      </c>
      <c r="Z3" s="13" t="str">
        <f t="shared" si="1"/>
        <v>PC-TVN</v>
      </c>
    </row>
    <row r="4" spans="1:26" s="2" customFormat="1">
      <c r="C4" s="66" t="s">
        <v>154</v>
      </c>
      <c r="D4" s="66" t="s">
        <v>154</v>
      </c>
      <c r="E4" s="13" t="s">
        <v>157</v>
      </c>
      <c r="F4" s="13" t="s">
        <v>157</v>
      </c>
      <c r="G4" s="66" t="s">
        <v>154</v>
      </c>
      <c r="H4" s="66" t="s">
        <v>154</v>
      </c>
      <c r="I4" s="13" t="s">
        <v>157</v>
      </c>
      <c r="J4" s="13" t="s">
        <v>157</v>
      </c>
      <c r="K4" s="66" t="s">
        <v>154</v>
      </c>
      <c r="L4" s="66" t="s">
        <v>154</v>
      </c>
      <c r="M4" s="13" t="s">
        <v>157</v>
      </c>
      <c r="N4" s="13" t="s">
        <v>157</v>
      </c>
      <c r="O4" s="66" t="s">
        <v>154</v>
      </c>
      <c r="P4" s="66" t="s">
        <v>154</v>
      </c>
      <c r="Q4" s="13" t="s">
        <v>157</v>
      </c>
      <c r="R4" s="13" t="s">
        <v>157</v>
      </c>
      <c r="S4" s="66" t="s">
        <v>154</v>
      </c>
      <c r="T4" s="66" t="s">
        <v>154</v>
      </c>
      <c r="U4" s="13" t="s">
        <v>157</v>
      </c>
      <c r="V4" s="13" t="s">
        <v>157</v>
      </c>
      <c r="W4" s="66" t="s">
        <v>154</v>
      </c>
      <c r="X4" s="66" t="s">
        <v>154</v>
      </c>
      <c r="Y4" s="13" t="s">
        <v>157</v>
      </c>
      <c r="Z4" s="13" t="s">
        <v>157</v>
      </c>
    </row>
    <row r="5" spans="1:26" s="2" customFormat="1">
      <c r="B5" s="51"/>
      <c r="C5" s="63" t="s">
        <v>155</v>
      </c>
      <c r="D5" s="59" t="s">
        <v>156</v>
      </c>
      <c r="E5" s="57" t="s">
        <v>155</v>
      </c>
      <c r="F5" s="61" t="s">
        <v>156</v>
      </c>
      <c r="G5" s="63" t="s">
        <v>155</v>
      </c>
      <c r="H5" s="59" t="s">
        <v>156</v>
      </c>
      <c r="I5" s="57" t="s">
        <v>155</v>
      </c>
      <c r="J5" s="61" t="s">
        <v>156</v>
      </c>
      <c r="K5" s="64" t="s">
        <v>155</v>
      </c>
      <c r="L5" s="60" t="s">
        <v>156</v>
      </c>
      <c r="M5" s="58" t="s">
        <v>155</v>
      </c>
      <c r="N5" s="62" t="s">
        <v>156</v>
      </c>
      <c r="O5" s="63" t="s">
        <v>155</v>
      </c>
      <c r="P5" s="65" t="s">
        <v>156</v>
      </c>
      <c r="Q5" s="57" t="s">
        <v>155</v>
      </c>
      <c r="R5" s="61" t="s">
        <v>156</v>
      </c>
      <c r="S5" s="63" t="s">
        <v>155</v>
      </c>
      <c r="T5" s="59" t="s">
        <v>156</v>
      </c>
      <c r="U5" s="57" t="s">
        <v>155</v>
      </c>
      <c r="V5" s="61" t="s">
        <v>156</v>
      </c>
      <c r="W5" s="64" t="s">
        <v>155</v>
      </c>
      <c r="X5" s="60" t="s">
        <v>156</v>
      </c>
      <c r="Y5" s="58" t="s">
        <v>155</v>
      </c>
      <c r="Z5" s="62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A75E-13FD-4347-BCBE-0FB770434881}">
  <dimension ref="A1:Z59"/>
  <sheetViews>
    <sheetView topLeftCell="B1" zoomScaleNormal="100" workbookViewId="0">
      <pane xSplit="1" ySplit="7" topLeftCell="C54" activePane="bottomRight" state="frozen"/>
      <selection activeCell="B1" sqref="B1"/>
      <selection pane="topRight" activeCell="C1" sqref="C1"/>
      <selection pane="bottomLeft" activeCell="B8" sqref="B8"/>
      <selection pane="bottomRight" activeCell="C1" sqref="C1"/>
    </sheetView>
  </sheetViews>
  <sheetFormatPr baseColWidth="10" defaultColWidth="10.81640625" defaultRowHeight="14.5"/>
  <cols>
    <col min="1" max="2" width="10.81640625" style="2"/>
    <col min="3" max="4" width="13.1796875" style="2" bestFit="1" customWidth="1"/>
    <col min="5" max="5" width="12.54296875" style="2" bestFit="1" customWidth="1"/>
    <col min="6" max="12" width="13.1796875" style="2" bestFit="1" customWidth="1"/>
    <col min="13" max="13" width="12.54296875" style="2" bestFit="1" customWidth="1"/>
    <col min="14" max="16" width="13.1796875" style="2" bestFit="1" customWidth="1"/>
    <col min="17" max="17" width="12.54296875" style="2" bestFit="1" customWidth="1"/>
    <col min="18" max="26" width="13.1796875" style="2" bestFit="1" customWidth="1"/>
    <col min="27" max="16384" width="10.81640625" style="2"/>
  </cols>
  <sheetData>
    <row r="1" spans="1:26"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</row>
    <row r="2" spans="1:26">
      <c r="A2" s="52" t="s">
        <v>161</v>
      </c>
      <c r="B2" s="52"/>
      <c r="C2" s="52">
        <v>1000</v>
      </c>
      <c r="D2" s="52">
        <v>1001</v>
      </c>
      <c r="E2" s="52">
        <v>1010</v>
      </c>
      <c r="F2" s="52">
        <v>1011</v>
      </c>
      <c r="G2" s="52">
        <v>1100</v>
      </c>
      <c r="H2" s="52">
        <v>1101</v>
      </c>
      <c r="I2" s="52">
        <v>1110</v>
      </c>
      <c r="J2" s="52">
        <v>1111</v>
      </c>
      <c r="K2" s="52">
        <v>1200</v>
      </c>
      <c r="L2" s="52">
        <v>1201</v>
      </c>
      <c r="M2" s="52">
        <v>1210</v>
      </c>
      <c r="N2" s="52">
        <v>1211</v>
      </c>
      <c r="O2" s="52" t="s">
        <v>162</v>
      </c>
      <c r="P2" s="52" t="s">
        <v>163</v>
      </c>
      <c r="Q2" s="52" t="s">
        <v>164</v>
      </c>
      <c r="R2" s="52" t="s">
        <v>165</v>
      </c>
      <c r="S2" s="52" t="s">
        <v>166</v>
      </c>
      <c r="T2" s="52" t="s">
        <v>167</v>
      </c>
      <c r="U2" s="52" t="s">
        <v>168</v>
      </c>
      <c r="V2" s="52" t="s">
        <v>169</v>
      </c>
      <c r="W2" s="52" t="s">
        <v>170</v>
      </c>
      <c r="X2" s="52" t="s">
        <v>171</v>
      </c>
      <c r="Y2" s="52" t="s">
        <v>173</v>
      </c>
      <c r="Z2" s="52" t="s">
        <v>172</v>
      </c>
    </row>
    <row r="3" spans="1:26">
      <c r="A3" s="52" t="str">
        <f>C2&amp;A8</f>
        <v>100036526</v>
      </c>
      <c r="C3" s="78" t="s">
        <v>152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 t="s">
        <v>159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>
      <c r="C4" s="78" t="s">
        <v>153</v>
      </c>
      <c r="D4" s="78"/>
      <c r="E4" s="78"/>
      <c r="F4" s="78"/>
      <c r="G4" s="78" t="s">
        <v>66</v>
      </c>
      <c r="H4" s="78"/>
      <c r="I4" s="78"/>
      <c r="J4" s="78"/>
      <c r="K4" s="78" t="s">
        <v>158</v>
      </c>
      <c r="L4" s="78"/>
      <c r="M4" s="78"/>
      <c r="N4" s="78"/>
      <c r="O4" s="78" t="s">
        <v>153</v>
      </c>
      <c r="P4" s="78"/>
      <c r="Q4" s="78"/>
      <c r="R4" s="78"/>
      <c r="S4" s="78" t="s">
        <v>66</v>
      </c>
      <c r="T4" s="78"/>
      <c r="U4" s="78"/>
      <c r="V4" s="78"/>
      <c r="W4" s="78" t="s">
        <v>158</v>
      </c>
      <c r="X4" s="78"/>
      <c r="Y4" s="78"/>
      <c r="Z4" s="78"/>
    </row>
    <row r="5" spans="1:26">
      <c r="C5" s="78" t="s">
        <v>154</v>
      </c>
      <c r="D5" s="78"/>
      <c r="E5" s="78" t="s">
        <v>157</v>
      </c>
      <c r="F5" s="78"/>
      <c r="G5" s="78" t="s">
        <v>154</v>
      </c>
      <c r="H5" s="78"/>
      <c r="I5" s="78" t="s">
        <v>157</v>
      </c>
      <c r="J5" s="78"/>
      <c r="K5" s="79" t="s">
        <v>154</v>
      </c>
      <c r="L5" s="79"/>
      <c r="M5" s="79" t="s">
        <v>157</v>
      </c>
      <c r="N5" s="79"/>
      <c r="O5" s="78" t="s">
        <v>154</v>
      </c>
      <c r="P5" s="78"/>
      <c r="Q5" s="78" t="s">
        <v>157</v>
      </c>
      <c r="R5" s="78"/>
      <c r="S5" s="78" t="s">
        <v>154</v>
      </c>
      <c r="T5" s="78"/>
      <c r="U5" s="78" t="s">
        <v>157</v>
      </c>
      <c r="V5" s="78"/>
      <c r="W5" s="79" t="s">
        <v>154</v>
      </c>
      <c r="X5" s="79"/>
      <c r="Y5" s="79" t="s">
        <v>157</v>
      </c>
      <c r="Z5" s="79"/>
    </row>
    <row r="6" spans="1:26">
      <c r="B6" s="51"/>
      <c r="C6" s="63" t="s">
        <v>155</v>
      </c>
      <c r="D6" s="59" t="s">
        <v>156</v>
      </c>
      <c r="E6" s="57" t="s">
        <v>155</v>
      </c>
      <c r="F6" s="61" t="s">
        <v>156</v>
      </c>
      <c r="G6" s="63" t="s">
        <v>155</v>
      </c>
      <c r="H6" s="59" t="s">
        <v>156</v>
      </c>
      <c r="I6" s="57" t="s">
        <v>155</v>
      </c>
      <c r="J6" s="61" t="s">
        <v>156</v>
      </c>
      <c r="K6" s="64" t="s">
        <v>155</v>
      </c>
      <c r="L6" s="60" t="s">
        <v>156</v>
      </c>
      <c r="M6" s="58" t="s">
        <v>155</v>
      </c>
      <c r="N6" s="62" t="s">
        <v>156</v>
      </c>
      <c r="O6" s="63" t="s">
        <v>155</v>
      </c>
      <c r="P6" s="65" t="s">
        <v>156</v>
      </c>
      <c r="Q6" s="57" t="s">
        <v>155</v>
      </c>
      <c r="R6" s="61" t="s">
        <v>156</v>
      </c>
      <c r="S6" s="63" t="s">
        <v>155</v>
      </c>
      <c r="T6" s="59" t="s">
        <v>156</v>
      </c>
      <c r="U6" s="57" t="s">
        <v>155</v>
      </c>
      <c r="V6" s="61" t="s">
        <v>156</v>
      </c>
      <c r="W6" s="64" t="s">
        <v>155</v>
      </c>
      <c r="X6" s="60" t="s">
        <v>156</v>
      </c>
      <c r="Y6" s="58" t="s">
        <v>155</v>
      </c>
      <c r="Z6" s="62" t="s">
        <v>156</v>
      </c>
    </row>
    <row r="7" spans="1:26" customFormat="1">
      <c r="C7" s="67" t="str">
        <f>Combinaison!C1</f>
        <v>LF_LE_LS_WS</v>
      </c>
      <c r="D7" s="67" t="str">
        <f>Combinaison!D1</f>
        <v>LF_HE_LS_WS</v>
      </c>
      <c r="E7" s="67" t="str">
        <f>Combinaison!E1</f>
        <v>HF_LE_LS_WS</v>
      </c>
      <c r="F7" s="67" t="str">
        <f>Combinaison!F1</f>
        <v>HF_HE_LS_WS</v>
      </c>
      <c r="G7" s="67" t="str">
        <f>Combinaison!G1</f>
        <v>LF_LE_LS_PC</v>
      </c>
      <c r="H7" s="67" t="str">
        <f>Combinaison!H1</f>
        <v>LF_HE_LS_PC</v>
      </c>
      <c r="I7" s="67" t="str">
        <f>Combinaison!I1</f>
        <v>HF_LE_LS_PC</v>
      </c>
      <c r="J7" s="67" t="str">
        <f>Combinaison!J1</f>
        <v>HF_HE_LS_PC</v>
      </c>
      <c r="K7" s="67" t="str">
        <f>Combinaison!K1</f>
        <v>LF_LE_LS_PC-TVN</v>
      </c>
      <c r="L7" s="67" t="str">
        <f>Combinaison!L1</f>
        <v>LF_HE_LS_PC-TVN</v>
      </c>
      <c r="M7" s="67" t="str">
        <f>Combinaison!M1</f>
        <v>HF_LE_LS_PC-TVN</v>
      </c>
      <c r="N7" s="67" t="str">
        <f>Combinaison!N1</f>
        <v>HF_HE_LS_PC-TVN</v>
      </c>
      <c r="O7" s="67" t="str">
        <f>Combinaison!O1</f>
        <v>LF_LE_SSC_WS</v>
      </c>
      <c r="P7" s="67" t="str">
        <f>Combinaison!P1</f>
        <v>LF_HE_SSC_WS</v>
      </c>
      <c r="Q7" s="67" t="str">
        <f>Combinaison!Q1</f>
        <v>HF_LE_SSC_WS</v>
      </c>
      <c r="R7" s="67" t="str">
        <f>Combinaison!R1</f>
        <v>HF_HE_SSC_WS</v>
      </c>
      <c r="S7" s="67" t="str">
        <f>Combinaison!S1</f>
        <v>LF_LE_SSC_PC</v>
      </c>
      <c r="T7" s="67" t="str">
        <f>Combinaison!T1</f>
        <v>LF_HE_SSC_PC</v>
      </c>
      <c r="U7" s="67" t="str">
        <f>Combinaison!U1</f>
        <v>HF_LE_SSC_PC</v>
      </c>
      <c r="V7" s="67" t="str">
        <f>Combinaison!V1</f>
        <v>HF_HE_SSC_PC</v>
      </c>
      <c r="W7" s="67" t="str">
        <f>Combinaison!W1</f>
        <v>LF_LE_SSC_PC-TVN</v>
      </c>
      <c r="X7" s="67" t="str">
        <f>Combinaison!X1</f>
        <v>LF_HE_SSC_PC-TVN</v>
      </c>
      <c r="Y7" s="67" t="str">
        <f>Combinaison!Y1</f>
        <v>HF_LE_SSC_PC-TVN</v>
      </c>
      <c r="Z7" s="67" t="str">
        <f>Combinaison!Z1</f>
        <v>HF_HE_SSC_PC-TVN</v>
      </c>
    </row>
    <row r="8" spans="1:26">
      <c r="A8" s="52">
        <v>36526</v>
      </c>
      <c r="B8" s="53">
        <v>36526</v>
      </c>
      <c r="C8" s="55">
        <f>VLOOKUP(C$2&amp;$A8,'Raw'!$A$2:$Z$1225,7,FALSE)</f>
        <v>0</v>
      </c>
      <c r="D8" s="56">
        <f>VLOOKUP(D$2&amp;$A8,'Raw'!$A$2:$Z$1225,7,FALSE)</f>
        <v>0</v>
      </c>
      <c r="E8" s="55">
        <f>VLOOKUP(E$2&amp;$A8,'Raw'!$A$2:$Z$1225,7,FALSE)</f>
        <v>0</v>
      </c>
      <c r="F8" s="56">
        <f>VLOOKUP(F$2&amp;$A8,'Raw'!$A$2:$Z$1225,7,FALSE)</f>
        <v>0</v>
      </c>
      <c r="G8" s="55">
        <f>VLOOKUP(G$2&amp;$A8,'Raw'!$A$2:$Z$1225,7,FALSE)</f>
        <v>0</v>
      </c>
      <c r="H8" s="56">
        <f>VLOOKUP(H$2&amp;$A8,'Raw'!$A$2:$Z$1225,7,FALSE)</f>
        <v>0</v>
      </c>
      <c r="I8" s="55">
        <f>VLOOKUP(I$2&amp;$A8,'Raw'!$A$2:$Z$1225,7,FALSE)</f>
        <v>0</v>
      </c>
      <c r="J8" s="55">
        <f>VLOOKUP(J$2&amp;$A8,'Raw'!$A$2:$Z$1225,7,FALSE)</f>
        <v>0</v>
      </c>
      <c r="K8" s="55">
        <f>VLOOKUP(K$2&amp;$A8,'Raw'!$A$2:$Z$1225,7,FALSE)</f>
        <v>0</v>
      </c>
      <c r="L8" s="56">
        <f>VLOOKUP(L$2&amp;$A8,'Raw'!$A$2:$Z$1225,7,FALSE)</f>
        <v>0</v>
      </c>
      <c r="M8" s="55">
        <f>VLOOKUP(M$2&amp;$A8,'Raw'!$A$2:$Z$1225,7,FALSE)</f>
        <v>0</v>
      </c>
      <c r="N8" s="56">
        <f>VLOOKUP(N$2&amp;$A8,'Raw'!$A$2:$Z$1225,7,FALSE)</f>
        <v>0</v>
      </c>
      <c r="O8" s="55">
        <f>VLOOKUP(O$2&amp;$A8,'Raw'!$A$2:$Z$1225,7,FALSE)</f>
        <v>0</v>
      </c>
      <c r="P8" s="56">
        <f>VLOOKUP(P$2&amp;$A8,'Raw'!$A$2:$Z$1225,7,FALSE)</f>
        <v>0</v>
      </c>
      <c r="Q8" s="55">
        <f>VLOOKUP(Q$2&amp;$A8,'Raw'!$A$2:$Z$1225,7,FALSE)</f>
        <v>0</v>
      </c>
      <c r="R8" s="56">
        <f>VLOOKUP(R$2&amp;$A8,'Raw'!$A$2:$Z$1225,7,FALSE)</f>
        <v>0</v>
      </c>
      <c r="S8" s="55">
        <f>VLOOKUP(S$2&amp;$A8,'Raw'!$A$2:$Z$1225,7,FALSE)</f>
        <v>0</v>
      </c>
      <c r="T8" s="56">
        <f>VLOOKUP(T$2&amp;$A8,'Raw'!$A$2:$Z$1225,7,FALSE)</f>
        <v>0</v>
      </c>
      <c r="U8" s="55">
        <f>VLOOKUP(U$2&amp;$A8,'Raw'!$A$2:$Z$1225,7,FALSE)</f>
        <v>0</v>
      </c>
      <c r="V8" s="56">
        <f>VLOOKUP(V$2&amp;$A8,'Raw'!$A$2:$Z$1225,7,FALSE)</f>
        <v>0</v>
      </c>
      <c r="W8" s="55">
        <f>VLOOKUP(W$2&amp;$A8,'Raw'!$A$2:$Z$1225,7,FALSE)</f>
        <v>0</v>
      </c>
      <c r="X8" s="56">
        <f>VLOOKUP(X$2&amp;$A8,'Raw'!$A$2:$Z$1225,7,FALSE)</f>
        <v>0</v>
      </c>
      <c r="Y8" s="55">
        <f>VLOOKUP(Y$2&amp;$A8,'Raw'!$A$2:$Z$1225,7,FALSE)</f>
        <v>0</v>
      </c>
      <c r="Z8" s="56">
        <f>VLOOKUP(Z$2&amp;$A8,'Raw'!$A$2:$Z$1225,7,FALSE)</f>
        <v>0</v>
      </c>
    </row>
    <row r="9" spans="1:26">
      <c r="A9" s="52">
        <v>36892</v>
      </c>
      <c r="B9" s="53">
        <v>36892</v>
      </c>
      <c r="C9" s="55">
        <f>VLOOKUP(C$2&amp;$A9,'Raw'!$A$2:$Z$1225,7,FALSE)</f>
        <v>3.1198580247604468E-2</v>
      </c>
      <c r="D9" s="56">
        <f>VLOOKUP(D$2&amp;$A9,'Raw'!$A$2:$Z$1225,7,FALSE)</f>
        <v>1.588066502922203E-3</v>
      </c>
      <c r="E9" s="55">
        <f>VLOOKUP(E$2&amp;$A9,'Raw'!$A$2:$Z$1225,7,FALSE)</f>
        <v>0.25683058627175015</v>
      </c>
      <c r="F9" s="56">
        <f>VLOOKUP(F$2&amp;$A9,'Raw'!$A$2:$Z$1225,7,FALSE)</f>
        <v>0.21895395848681165</v>
      </c>
      <c r="G9" s="55">
        <f>VLOOKUP(G$2&amp;$A9,'Raw'!$A$2:$Z$1225,7,FALSE)</f>
        <v>3.2690832961668193E-2</v>
      </c>
      <c r="H9" s="56">
        <f>VLOOKUP(H$2&amp;$A9,'Raw'!$A$2:$Z$1225,7,FALSE)</f>
        <v>2.3494811651314507E-3</v>
      </c>
      <c r="I9" s="55">
        <f>VLOOKUP(I$2&amp;$A9,'Raw'!$A$2:$Z$1225,7,FALSE)</f>
        <v>0.25831138912779661</v>
      </c>
      <c r="J9" s="55">
        <f>VLOOKUP(J$2&amp;$A9,'Raw'!$A$2:$Z$1225,7,FALSE)</f>
        <v>0.21945389621906841</v>
      </c>
      <c r="K9" s="55">
        <f>VLOOKUP(K$2&amp;$A9,'Raw'!$A$2:$Z$1225,7,FALSE)</f>
        <v>3.2367949978984178E-2</v>
      </c>
      <c r="L9" s="56">
        <f>VLOOKUP(L$2&amp;$A9,'Raw'!$A$2:$Z$1225,7,FALSE)</f>
        <v>2.191077976476663E-3</v>
      </c>
      <c r="M9" s="55">
        <f>VLOOKUP(M$2&amp;$A9,'Raw'!$A$2:$Z$1225,7,FALSE)</f>
        <v>0.25768787005711058</v>
      </c>
      <c r="N9" s="56">
        <f>VLOOKUP(N$2&amp;$A9,'Raw'!$A$2:$Z$1225,7,FALSE)</f>
        <v>0.21913209511903453</v>
      </c>
      <c r="O9" s="55">
        <f>VLOOKUP(O$2&amp;$A9,'Raw'!$A$2:$Z$1225,7,FALSE)</f>
        <v>2.4010641986382808E-2</v>
      </c>
      <c r="P9" s="56">
        <f>VLOOKUP(P$2&amp;$A9,'Raw'!$A$2:$Z$1225,7,FALSE)</f>
        <v>-5.4580996968645046E-3</v>
      </c>
      <c r="Q9" s="55">
        <f>VLOOKUP(Q$2&amp;$A9,'Raw'!$A$2:$Z$1225,7,FALSE)</f>
        <v>0.24942851884004469</v>
      </c>
      <c r="R9" s="56">
        <f>VLOOKUP(R$2&amp;$A9,'Raw'!$A$2:$Z$1225,7,FALSE)</f>
        <v>0.2117196937236443</v>
      </c>
      <c r="S9" s="55">
        <f>VLOOKUP(S$2&amp;$A9,'Raw'!$A$2:$Z$1225,7,FALSE)</f>
        <v>2.5448153703955256E-2</v>
      </c>
      <c r="T9" s="56">
        <f>VLOOKUP(T$2&amp;$A9,'Raw'!$A$2:$Z$1225,7,FALSE)</f>
        <v>-4.7247138974859659E-3</v>
      </c>
      <c r="U9" s="55">
        <f>VLOOKUP(U$2&amp;$A9,'Raw'!$A$2:$Z$1225,7,FALSE)</f>
        <v>0.25083056127097603</v>
      </c>
      <c r="V9" s="56">
        <f>VLOOKUP(V$2&amp;$A9,'Raw'!$A$2:$Z$1225,7,FALSE)</f>
        <v>0.21217373693471764</v>
      </c>
      <c r="W9" s="55">
        <f>VLOOKUP(W$2&amp;$A9,'Raw'!$A$2:$Z$1225,7,FALSE)</f>
        <v>2.506899180145794E-2</v>
      </c>
      <c r="X9" s="56">
        <f>VLOOKUP(X$2&amp;$A9,'Raw'!$A$2:$Z$1225,7,FALSE)</f>
        <v>-4.9181975106060705E-3</v>
      </c>
      <c r="Y9" s="55">
        <f>VLOOKUP(Y$2&amp;$A9,'Raw'!$A$2:$Z$1225,7,FALSE)</f>
        <v>0.2501578167143137</v>
      </c>
      <c r="Z9" s="56">
        <f>VLOOKUP(Z$2&amp;$A9,'Raw'!$A$2:$Z$1225,7,FALSE)</f>
        <v>0.21182244977022702</v>
      </c>
    </row>
    <row r="10" spans="1:26">
      <c r="A10" s="52">
        <v>37257</v>
      </c>
      <c r="B10" s="53">
        <v>37257</v>
      </c>
      <c r="C10" s="55">
        <f>VLOOKUP(C$2&amp;$A10,'Raw'!$A$2:$Z$1225,7,FALSE)</f>
        <v>6.3863962537991092E-2</v>
      </c>
      <c r="D10" s="56">
        <f>VLOOKUP(D$2&amp;$A10,'Raw'!$A$2:$Z$1225,7,FALSE)</f>
        <v>-9.8470344685575029E-3</v>
      </c>
      <c r="E10" s="55">
        <f>VLOOKUP(E$2&amp;$A10,'Raw'!$A$2:$Z$1225,7,FALSE)</f>
        <v>0.49704620745554262</v>
      </c>
      <c r="F10" s="56">
        <f>VLOOKUP(F$2&amp;$A10,'Raw'!$A$2:$Z$1225,7,FALSE)</f>
        <v>0.38987568109816184</v>
      </c>
      <c r="G10" s="55">
        <f>VLOOKUP(G$2&amp;$A10,'Raw'!$A$2:$Z$1225,7,FALSE)</f>
        <v>6.7747563984710268E-2</v>
      </c>
      <c r="H10" s="56">
        <f>VLOOKUP(H$2&amp;$A10,'Raw'!$A$2:$Z$1225,7,FALSE)</f>
        <v>-9.2354070881484063E-3</v>
      </c>
      <c r="I10" s="55">
        <f>VLOOKUP(I$2&amp;$A10,'Raw'!$A$2:$Z$1225,7,FALSE)</f>
        <v>0.50158557672284054</v>
      </c>
      <c r="J10" s="55">
        <f>VLOOKUP(J$2&amp;$A10,'Raw'!$A$2:$Z$1225,7,FALSE)</f>
        <v>0.38919888662367619</v>
      </c>
      <c r="K10" s="55">
        <f>VLOOKUP(K$2&amp;$A10,'Raw'!$A$2:$Z$1225,7,FALSE)</f>
        <v>6.6588554650426346E-2</v>
      </c>
      <c r="L10" s="56">
        <f>VLOOKUP(L$2&amp;$A10,'Raw'!$A$2:$Z$1225,7,FALSE)</f>
        <v>-9.584903026171876E-3</v>
      </c>
      <c r="M10" s="55">
        <f>VLOOKUP(M$2&amp;$A10,'Raw'!$A$2:$Z$1225,7,FALSE)</f>
        <v>0.49930839505556435</v>
      </c>
      <c r="N10" s="56">
        <f>VLOOKUP(N$2&amp;$A10,'Raw'!$A$2:$Z$1225,7,FALSE)</f>
        <v>0.3885049524087858</v>
      </c>
      <c r="O10" s="55">
        <f>VLOOKUP(O$2&amp;$A10,'Raw'!$A$2:$Z$1225,7,FALSE)</f>
        <v>5.0275441215874572E-2</v>
      </c>
      <c r="P10" s="56">
        <f>VLOOKUP(P$2&amp;$A10,'Raw'!$A$2:$Z$1225,7,FALSE)</f>
        <v>-2.2952065689341161E-2</v>
      </c>
      <c r="Q10" s="55">
        <f>VLOOKUP(Q$2&amp;$A10,'Raw'!$A$2:$Z$1225,7,FALSE)</f>
        <v>0.48304195993948973</v>
      </c>
      <c r="R10" s="56">
        <f>VLOOKUP(R$2&amp;$A10,'Raw'!$A$2:$Z$1225,7,FALSE)</f>
        <v>0.37642845681242765</v>
      </c>
      <c r="S10" s="55">
        <f>VLOOKUP(S$2&amp;$A10,'Raw'!$A$2:$Z$1225,7,FALSE)</f>
        <v>5.4096467429043393E-2</v>
      </c>
      <c r="T10" s="56">
        <f>VLOOKUP(T$2&amp;$A10,'Raw'!$A$2:$Z$1225,7,FALSE)</f>
        <v>-2.2353043020906238E-2</v>
      </c>
      <c r="U10" s="55">
        <f>VLOOKUP(U$2&amp;$A10,'Raw'!$A$2:$Z$1225,7,FALSE)</f>
        <v>0.48744787789198885</v>
      </c>
      <c r="V10" s="56">
        <f>VLOOKUP(V$2&amp;$A10,'Raw'!$A$2:$Z$1225,7,FALSE)</f>
        <v>0.37568295251677597</v>
      </c>
      <c r="W10" s="55">
        <f>VLOOKUP(W$2&amp;$A10,'Raw'!$A$2:$Z$1225,7,FALSE)</f>
        <v>5.2736092058780493E-2</v>
      </c>
      <c r="X10" s="56">
        <f>VLOOKUP(X$2&amp;$A10,'Raw'!$A$2:$Z$1225,7,FALSE)</f>
        <v>-2.2789446085391685E-2</v>
      </c>
      <c r="Y10" s="55">
        <f>VLOOKUP(Y$2&amp;$A10,'Raw'!$A$2:$Z$1225,7,FALSE)</f>
        <v>0.48500207667847572</v>
      </c>
      <c r="Z10" s="56">
        <f>VLOOKUP(Z$2&amp;$A10,'Raw'!$A$2:$Z$1225,7,FALSE)</f>
        <v>0.37492624205575087</v>
      </c>
    </row>
    <row r="11" spans="1:26">
      <c r="A11" s="52">
        <v>37622</v>
      </c>
      <c r="B11" s="53">
        <v>37622</v>
      </c>
      <c r="C11" s="55">
        <f>VLOOKUP(C$2&amp;$A11,'Raw'!$A$2:$Z$1225,7,FALSE)</f>
        <v>8.5481765982309277E-2</v>
      </c>
      <c r="D11" s="56">
        <f>VLOOKUP(D$2&amp;$A11,'Raw'!$A$2:$Z$1225,7,FALSE)</f>
        <v>-3.993783478443147E-2</v>
      </c>
      <c r="E11" s="55">
        <f>VLOOKUP(E$2&amp;$A11,'Raw'!$A$2:$Z$1225,7,FALSE)</f>
        <v>0.68876679038254451</v>
      </c>
      <c r="F11" s="56">
        <f>VLOOKUP(F$2&amp;$A11,'Raw'!$A$2:$Z$1225,7,FALSE)</f>
        <v>0.48419045591279186</v>
      </c>
      <c r="G11" s="55">
        <f>VLOOKUP(G$2&amp;$A11,'Raw'!$A$2:$Z$1225,7,FALSE)</f>
        <v>9.2372110739602498E-2</v>
      </c>
      <c r="H11" s="56">
        <f>VLOOKUP(H$2&amp;$A11,'Raw'!$A$2:$Z$1225,7,FALSE)</f>
        <v>-4.1896138565777896E-2</v>
      </c>
      <c r="I11" s="55">
        <f>VLOOKUP(I$2&amp;$A11,'Raw'!$A$2:$Z$1225,7,FALSE)</f>
        <v>0.69774204993720002</v>
      </c>
      <c r="J11" s="55">
        <f>VLOOKUP(J$2&amp;$A11,'Raw'!$A$2:$Z$1225,7,FALSE)</f>
        <v>0.47730126026113151</v>
      </c>
      <c r="K11" s="55">
        <f>VLOOKUP(K$2&amp;$A11,'Raw'!$A$2:$Z$1225,7,FALSE)</f>
        <v>8.9920512219965332E-2</v>
      </c>
      <c r="L11" s="56">
        <f>VLOOKUP(L$2&amp;$A11,'Raw'!$A$2:$Z$1225,7,FALSE)</f>
        <v>-4.2058323036098244E-2</v>
      </c>
      <c r="M11" s="55">
        <f>VLOOKUP(M$2&amp;$A11,'Raw'!$A$2:$Z$1225,7,FALSE)</f>
        <v>0.69287625071958736</v>
      </c>
      <c r="N11" s="56">
        <f>VLOOKUP(N$2&amp;$A11,'Raw'!$A$2:$Z$1225,7,FALSE)</f>
        <v>0.47718576609172558</v>
      </c>
      <c r="O11" s="55">
        <f>VLOOKUP(O$2&amp;$A11,'Raw'!$A$2:$Z$1225,7,FALSE)</f>
        <v>6.4907496024302347E-2</v>
      </c>
      <c r="P11" s="56">
        <f>VLOOKUP(P$2&amp;$A11,'Raw'!$A$2:$Z$1225,7,FALSE)</f>
        <v>-5.9412034573036454E-2</v>
      </c>
      <c r="Q11" s="55">
        <f>VLOOKUP(Q$2&amp;$A11,'Raw'!$A$2:$Z$1225,7,FALSE)</f>
        <v>0.66767841293982055</v>
      </c>
      <c r="R11" s="56">
        <f>VLOOKUP(R$2&amp;$A11,'Raw'!$A$2:$Z$1225,7,FALSE)</f>
        <v>0.46433876461422496</v>
      </c>
      <c r="S11" s="55">
        <f>VLOOKUP(S$2&amp;$A11,'Raw'!$A$2:$Z$1225,7,FALSE)</f>
        <v>7.1686285382099868E-2</v>
      </c>
      <c r="T11" s="56">
        <f>VLOOKUP(T$2&amp;$A11,'Raw'!$A$2:$Z$1225,7,FALSE)</f>
        <v>-6.1495180697157537E-2</v>
      </c>
      <c r="U11" s="55">
        <f>VLOOKUP(U$2&amp;$A11,'Raw'!$A$2:$Z$1225,7,FALSE)</f>
        <v>0.67638289451270595</v>
      </c>
      <c r="V11" s="56">
        <f>VLOOKUP(V$2&amp;$A11,'Raw'!$A$2:$Z$1225,7,FALSE)</f>
        <v>0.45719678189073409</v>
      </c>
      <c r="W11" s="55">
        <f>VLOOKUP(W$2&amp;$A11,'Raw'!$A$2:$Z$1225,7,FALSE)</f>
        <v>6.8811836743343235E-2</v>
      </c>
      <c r="X11" s="56">
        <f>VLOOKUP(X$2&amp;$A11,'Raw'!$A$2:$Z$1225,7,FALSE)</f>
        <v>-6.1726034854270306E-2</v>
      </c>
      <c r="Y11" s="55">
        <f>VLOOKUP(Y$2&amp;$A11,'Raw'!$A$2:$Z$1225,7,FALSE)</f>
        <v>0.67118153194376529</v>
      </c>
      <c r="Z11" s="56">
        <f>VLOOKUP(Z$2&amp;$A11,'Raw'!$A$2:$Z$1225,7,FALSE)</f>
        <v>0.45706930886031394</v>
      </c>
    </row>
    <row r="12" spans="1:26">
      <c r="A12" s="52">
        <v>37987</v>
      </c>
      <c r="B12" s="53">
        <v>37987</v>
      </c>
      <c r="C12" s="55">
        <f>VLOOKUP(C$2&amp;$A12,'Raw'!$A$2:$Z$1225,7,FALSE)</f>
        <v>9.1518266003220994E-2</v>
      </c>
      <c r="D12" s="56">
        <f>VLOOKUP(D$2&amp;$A12,'Raw'!$A$2:$Z$1225,7,FALSE)</f>
        <v>-8.8370302728468797E-2</v>
      </c>
      <c r="E12" s="55">
        <f>VLOOKUP(E$2&amp;$A12,'Raw'!$A$2:$Z$1225,7,FALSE)</f>
        <v>0.83425832162591362</v>
      </c>
      <c r="F12" s="56">
        <f>VLOOKUP(F$2&amp;$A12,'Raw'!$A$2:$Z$1225,7,FALSE)</f>
        <v>0.51029402066147256</v>
      </c>
      <c r="G12" s="55">
        <f>VLOOKUP(G$2&amp;$A12,'Raw'!$A$2:$Z$1225,7,FALSE)</f>
        <v>0.10175137415742164</v>
      </c>
      <c r="H12" s="56">
        <f>VLOOKUP(H$2&amp;$A12,'Raw'!$A$2:$Z$1225,7,FALSE)</f>
        <v>-9.6577459614732852E-2</v>
      </c>
      <c r="I12" s="55">
        <f>VLOOKUP(I$2&amp;$A12,'Raw'!$A$2:$Z$1225,7,FALSE)</f>
        <v>0.84870434038721854</v>
      </c>
      <c r="J12" s="55">
        <f>VLOOKUP(J$2&amp;$A12,'Raw'!$A$2:$Z$1225,7,FALSE)</f>
        <v>0.48857955713621504</v>
      </c>
      <c r="K12" s="55">
        <f>VLOOKUP(K$2&amp;$A12,'Raw'!$A$2:$Z$1225,7,FALSE)</f>
        <v>9.7759165326816166E-2</v>
      </c>
      <c r="L12" s="56">
        <f>VLOOKUP(L$2&amp;$A12,'Raw'!$A$2:$Z$1225,7,FALSE)</f>
        <v>-9.5708064458510655E-2</v>
      </c>
      <c r="M12" s="55">
        <f>VLOOKUP(M$2&amp;$A12,'Raw'!$A$2:$Z$1225,7,FALSE)</f>
        <v>0.8407589210289057</v>
      </c>
      <c r="N12" s="56">
        <f>VLOOKUP(N$2&amp;$A12,'Raw'!$A$2:$Z$1225,7,FALSE)</f>
        <v>0.49131181403654356</v>
      </c>
      <c r="O12" s="55">
        <f>VLOOKUP(O$2&amp;$A12,'Raw'!$A$2:$Z$1225,7,FALSE)</f>
        <v>6.2889804325649834E-2</v>
      </c>
      <c r="P12" s="56">
        <f>VLOOKUP(P$2&amp;$A12,'Raw'!$A$2:$Z$1225,7,FALSE)</f>
        <v>-0.11492380911162225</v>
      </c>
      <c r="Q12" s="55">
        <f>VLOOKUP(Q$2&amp;$A12,'Raw'!$A$2:$Z$1225,7,FALSE)</f>
        <v>0.80516984493892441</v>
      </c>
      <c r="R12" s="56">
        <f>VLOOKUP(R$2&amp;$A12,'Raw'!$A$2:$Z$1225,7,FALSE)</f>
        <v>0.48349057968264386</v>
      </c>
      <c r="S12" s="55">
        <f>VLOOKUP(S$2&amp;$A12,'Raw'!$A$2:$Z$1225,7,FALSE)</f>
        <v>7.2825104207230318E-2</v>
      </c>
      <c r="T12" s="56">
        <f>VLOOKUP(T$2&amp;$A12,'Raw'!$A$2:$Z$1225,7,FALSE)</f>
        <v>-0.12372429826070785</v>
      </c>
      <c r="U12" s="55">
        <f>VLOOKUP(U$2&amp;$A12,'Raw'!$A$2:$Z$1225,7,FALSE)</f>
        <v>0.81901767419962912</v>
      </c>
      <c r="V12" s="56">
        <f>VLOOKUP(V$2&amp;$A12,'Raw'!$A$2:$Z$1225,7,FALSE)</f>
        <v>0.46095885686767701</v>
      </c>
      <c r="W12" s="55">
        <f>VLOOKUP(W$2&amp;$A12,'Raw'!$A$2:$Z$1225,7,FALSE)</f>
        <v>6.8151978718189454E-2</v>
      </c>
      <c r="X12" s="56">
        <f>VLOOKUP(X$2&amp;$A12,'Raw'!$A$2:$Z$1225,7,FALSE)</f>
        <v>-0.12271236908172334</v>
      </c>
      <c r="Y12" s="55">
        <f>VLOOKUP(Y$2&amp;$A12,'Raw'!$A$2:$Z$1225,7,FALSE)</f>
        <v>0.810567305972687</v>
      </c>
      <c r="Z12" s="56">
        <f>VLOOKUP(Z$2&amp;$A12,'Raw'!$A$2:$Z$1225,7,FALSE)</f>
        <v>0.46392756321542716</v>
      </c>
    </row>
    <row r="13" spans="1:26">
      <c r="A13" s="52">
        <v>38353</v>
      </c>
      <c r="B13" s="53">
        <v>38353</v>
      </c>
      <c r="C13" s="55">
        <f>VLOOKUP(C$2&amp;$A13,'Raw'!$A$2:$Z$1225,7,FALSE)</f>
        <v>8.4319173258728952E-2</v>
      </c>
      <c r="D13" s="56">
        <f>VLOOKUP(D$2&amp;$A13,'Raw'!$A$2:$Z$1225,7,FALSE)</f>
        <v>-0.14876528326083216</v>
      </c>
      <c r="E13" s="55">
        <f>VLOOKUP(E$2&amp;$A13,'Raw'!$A$2:$Z$1225,7,FALSE)</f>
        <v>0.94370454584680186</v>
      </c>
      <c r="F13" s="56">
        <f>VLOOKUP(F$2&amp;$A13,'Raw'!$A$2:$Z$1225,7,FALSE)</f>
        <v>0.4868675674533085</v>
      </c>
      <c r="G13" s="55">
        <f>VLOOKUP(G$2&amp;$A13,'Raw'!$A$2:$Z$1225,7,FALSE)</f>
        <v>9.8181937211494485E-2</v>
      </c>
      <c r="H13" s="56">
        <f>VLOOKUP(H$2&amp;$A13,'Raw'!$A$2:$Z$1225,7,FALSE)</f>
        <v>-0.16737296032173221</v>
      </c>
      <c r="I13" s="55">
        <f>VLOOKUP(I$2&amp;$A13,'Raw'!$A$2:$Z$1225,7,FALSE)</f>
        <v>0.96422084880081194</v>
      </c>
      <c r="J13" s="55">
        <f>VLOOKUP(J$2&amp;$A13,'Raw'!$A$2:$Z$1225,7,FALSE)</f>
        <v>0.43889933701715123</v>
      </c>
      <c r="K13" s="55">
        <f>VLOOKUP(K$2&amp;$A13,'Raw'!$A$2:$Z$1225,7,FALSE)</f>
        <v>9.2627911923304218E-2</v>
      </c>
      <c r="L13" s="56">
        <f>VLOOKUP(L$2&amp;$A13,'Raw'!$A$2:$Z$1225,7,FALSE)</f>
        <v>-0.16434649418244351</v>
      </c>
      <c r="M13" s="55">
        <f>VLOOKUP(M$2&amp;$A13,'Raw'!$A$2:$Z$1225,7,FALSE)</f>
        <v>0.95322376496655981</v>
      </c>
      <c r="N13" s="56">
        <f>VLOOKUP(N$2&amp;$A13,'Raw'!$A$2:$Z$1225,7,FALSE)</f>
        <v>0.44784291101136464</v>
      </c>
      <c r="O13" s="55">
        <f>VLOOKUP(O$2&amp;$A13,'Raw'!$A$2:$Z$1225,7,FALSE)</f>
        <v>4.6666167751929777E-2</v>
      </c>
      <c r="P13" s="56">
        <f>VLOOKUP(P$2&amp;$A13,'Raw'!$A$2:$Z$1225,7,FALSE)</f>
        <v>-0.18294161089600358</v>
      </c>
      <c r="Q13" s="55">
        <f>VLOOKUP(Q$2&amp;$A13,'Raw'!$A$2:$Z$1225,7,FALSE)</f>
        <v>0.90581856682347972</v>
      </c>
      <c r="R13" s="56">
        <f>VLOOKUP(R$2&amp;$A13,'Raw'!$A$2:$Z$1225,7,FALSE)</f>
        <v>0.45274519786564493</v>
      </c>
      <c r="S13" s="55">
        <f>VLOOKUP(S$2&amp;$A13,'Raw'!$A$2:$Z$1225,7,FALSE)</f>
        <v>5.9877167900523887E-2</v>
      </c>
      <c r="T13" s="56">
        <f>VLOOKUP(T$2&amp;$A13,'Raw'!$A$2:$Z$1225,7,FALSE)</f>
        <v>-0.20316499237439389</v>
      </c>
      <c r="U13" s="55">
        <f>VLOOKUP(U$2&amp;$A13,'Raw'!$A$2:$Z$1225,7,FALSE)</f>
        <v>0.92517910495737432</v>
      </c>
      <c r="V13" s="56">
        <f>VLOOKUP(V$2&amp;$A13,'Raw'!$A$2:$Z$1225,7,FALSE)</f>
        <v>0.40284877264229468</v>
      </c>
      <c r="W13" s="55">
        <f>VLOOKUP(W$2&amp;$A13,'Raw'!$A$2:$Z$1225,7,FALSE)</f>
        <v>5.3389675060966368E-2</v>
      </c>
      <c r="X13" s="56">
        <f>VLOOKUP(X$2&amp;$A13,'Raw'!$A$2:$Z$1225,7,FALSE)</f>
        <v>-0.19947313043194859</v>
      </c>
      <c r="Y13" s="55">
        <f>VLOOKUP(Y$2&amp;$A13,'Raw'!$A$2:$Z$1225,7,FALSE)</f>
        <v>0.91354745729821385</v>
      </c>
      <c r="Z13" s="56">
        <f>VLOOKUP(Z$2&amp;$A13,'Raw'!$A$2:$Z$1225,7,FALSE)</f>
        <v>0.41257302013655295</v>
      </c>
    </row>
    <row r="14" spans="1:26">
      <c r="A14" s="52">
        <v>38718</v>
      </c>
      <c r="B14" s="53">
        <v>38718</v>
      </c>
      <c r="C14" s="55">
        <f>VLOOKUP(C$2&amp;$A14,'Raw'!$A$2:$Z$1225,7,FALSE)</f>
        <v>6.8778920246259645E-2</v>
      </c>
      <c r="D14" s="56">
        <f>VLOOKUP(D$2&amp;$A14,'Raw'!$A$2:$Z$1225,7,FALSE)</f>
        <v>-0.21295867801980339</v>
      </c>
      <c r="E14" s="55">
        <f>VLOOKUP(E$2&amp;$A14,'Raw'!$A$2:$Z$1225,7,FALSE)</f>
        <v>1.026989153354374</v>
      </c>
      <c r="F14" s="56">
        <f>VLOOKUP(F$2&amp;$A14,'Raw'!$A$2:$Z$1225,7,FALSE)</f>
        <v>0.43298585155870928</v>
      </c>
      <c r="G14" s="55">
        <f>VLOOKUP(G$2&amp;$A14,'Raw'!$A$2:$Z$1225,7,FALSE)</f>
        <v>8.6697433432747495E-2</v>
      </c>
      <c r="H14" s="56">
        <f>VLOOKUP(H$2&amp;$A14,'Raw'!$A$2:$Z$1225,7,FALSE)</f>
        <v>-0.24562345232207461</v>
      </c>
      <c r="I14" s="55">
        <f>VLOOKUP(I$2&amp;$A14,'Raw'!$A$2:$Z$1225,7,FALSE)</f>
        <v>1.0536773158627222</v>
      </c>
      <c r="J14" s="55">
        <f>VLOOKUP(J$2&amp;$A14,'Raw'!$A$2:$Z$1225,7,FALSE)</f>
        <v>0.34606220226649498</v>
      </c>
      <c r="K14" s="55">
        <f>VLOOKUP(K$2&amp;$A14,'Raw'!$A$2:$Z$1225,7,FALSE)</f>
        <v>7.9718044944798727E-2</v>
      </c>
      <c r="L14" s="56">
        <f>VLOOKUP(L$2&amp;$A14,'Raw'!$A$2:$Z$1225,7,FALSE)</f>
        <v>-0.23936500115834258</v>
      </c>
      <c r="M14" s="55">
        <f>VLOOKUP(M$2&amp;$A14,'Raw'!$A$2:$Z$1225,7,FALSE)</f>
        <v>1.04004940288831</v>
      </c>
      <c r="N14" s="56">
        <f>VLOOKUP(N$2&amp;$A14,'Raw'!$A$2:$Z$1225,7,FALSE)</f>
        <v>0.36503783420367419</v>
      </c>
      <c r="O14" s="55">
        <f>VLOOKUP(O$2&amp;$A14,'Raw'!$A$2:$Z$1225,7,FALSE)</f>
        <v>2.155877292620012E-2</v>
      </c>
      <c r="P14" s="56">
        <f>VLOOKUP(P$2&amp;$A14,'Raw'!$A$2:$Z$1225,7,FALSE)</f>
        <v>-0.25483660225983362</v>
      </c>
      <c r="Q14" s="55">
        <f>VLOOKUP(Q$2&amp;$A14,'Raw'!$A$2:$Z$1225,7,FALSE)</f>
        <v>0.97994962510838945</v>
      </c>
      <c r="R14" s="56">
        <f>VLOOKUP(R$2&amp;$A14,'Raw'!$A$2:$Z$1225,7,FALSE)</f>
        <v>0.39164133641973464</v>
      </c>
      <c r="S14" s="55">
        <f>VLOOKUP(S$2&amp;$A14,'Raw'!$A$2:$Z$1225,7,FALSE)</f>
        <v>3.8356764164126922E-2</v>
      </c>
      <c r="T14" s="56">
        <f>VLOOKUP(T$2&amp;$A14,'Raw'!$A$2:$Z$1225,7,FALSE)</f>
        <v>-0.29081459839651602</v>
      </c>
      <c r="U14" s="55">
        <f>VLOOKUP(U$2&amp;$A14,'Raw'!$A$2:$Z$1225,7,FALSE)</f>
        <v>1.0047349413658369</v>
      </c>
      <c r="V14" s="56">
        <f>VLOOKUP(V$2&amp;$A14,'Raw'!$A$2:$Z$1225,7,FALSE)</f>
        <v>0.30105993112601315</v>
      </c>
      <c r="W14" s="55">
        <f>VLOOKUP(W$2&amp;$A14,'Raw'!$A$2:$Z$1225,7,FALSE)</f>
        <v>3.0226636603947199E-2</v>
      </c>
      <c r="X14" s="56">
        <f>VLOOKUP(X$2&amp;$A14,'Raw'!$A$2:$Z$1225,7,FALSE)</f>
        <v>-0.28297168314196375</v>
      </c>
      <c r="Y14" s="55">
        <f>VLOOKUP(Y$2&amp;$A14,'Raw'!$A$2:$Z$1225,7,FALSE)</f>
        <v>0.99040668978673807</v>
      </c>
      <c r="Z14" s="56">
        <f>VLOOKUP(Z$2&amp;$A14,'Raw'!$A$2:$Z$1225,7,FALSE)</f>
        <v>0.32171200592729932</v>
      </c>
    </row>
    <row r="15" spans="1:26">
      <c r="A15" s="52">
        <v>39083</v>
      </c>
      <c r="B15" s="53">
        <v>39083</v>
      </c>
      <c r="C15" s="55">
        <f>VLOOKUP(C$2&amp;$A15,'Raw'!$A$2:$Z$1225,7,FALSE)</f>
        <v>4.9608981564364107E-2</v>
      </c>
      <c r="D15" s="56">
        <f>VLOOKUP(D$2&amp;$A15,'Raw'!$A$2:$Z$1225,7,FALSE)</f>
        <v>-0.27386337111614534</v>
      </c>
      <c r="E15" s="55">
        <f>VLOOKUP(E$2&amp;$A15,'Raw'!$A$2:$Z$1225,7,FALSE)</f>
        <v>1.0912237862891194</v>
      </c>
      <c r="F15" s="56">
        <f>VLOOKUP(F$2&amp;$A15,'Raw'!$A$2:$Z$1225,7,FALSE)</f>
        <v>0.36420726218653332</v>
      </c>
      <c r="G15" s="55">
        <f>VLOOKUP(G$2&amp;$A15,'Raw'!$A$2:$Z$1225,7,FALSE)</f>
        <v>7.2166917218141613E-2</v>
      </c>
      <c r="H15" s="56">
        <f>VLOOKUP(H$2&amp;$A15,'Raw'!$A$2:$Z$1225,7,FALSE)</f>
        <v>-0.32285190510529249</v>
      </c>
      <c r="I15" s="55">
        <f>VLOOKUP(I$2&amp;$A15,'Raw'!$A$2:$Z$1225,7,FALSE)</f>
        <v>1.1236517291753234</v>
      </c>
      <c r="J15" s="55">
        <f>VLOOKUP(J$2&amp;$A15,'Raw'!$A$2:$Z$1225,7,FALSE)</f>
        <v>0.22632895525036556</v>
      </c>
      <c r="K15" s="55">
        <f>VLOOKUP(K$2&amp;$A15,'Raw'!$A$2:$Z$1225,7,FALSE)</f>
        <v>6.3965407008681474E-2</v>
      </c>
      <c r="L15" s="56">
        <f>VLOOKUP(L$2&amp;$A15,'Raw'!$A$2:$Z$1225,7,FALSE)</f>
        <v>-0.3127077544364143</v>
      </c>
      <c r="M15" s="55">
        <f>VLOOKUP(M$2&amp;$A15,'Raw'!$A$2:$Z$1225,7,FALSE)</f>
        <v>1.1080027973298323</v>
      </c>
      <c r="N15" s="56">
        <f>VLOOKUP(N$2&amp;$A15,'Raw'!$A$2:$Z$1225,7,FALSE)</f>
        <v>0.25877543903480849</v>
      </c>
      <c r="O15" s="55">
        <f>VLOOKUP(O$2&amp;$A15,'Raw'!$A$2:$Z$1225,7,FALSE)</f>
        <v>-7.1804128503827336E-3</v>
      </c>
      <c r="P15" s="56">
        <f>VLOOKUP(P$2&amp;$A15,'Raw'!$A$2:$Z$1225,7,FALSE)</f>
        <v>-0.32298370427740197</v>
      </c>
      <c r="Q15" s="55">
        <f>VLOOKUP(Q$2&amp;$A15,'Raw'!$A$2:$Z$1225,7,FALSE)</f>
        <v>1.035225699399267</v>
      </c>
      <c r="R15" s="56">
        <f>VLOOKUP(R$2&amp;$A15,'Raw'!$A$2:$Z$1225,7,FALSE)</f>
        <v>0.31626226322509776</v>
      </c>
      <c r="S15" s="55">
        <f>VLOOKUP(S$2&amp;$A15,'Raw'!$A$2:$Z$1225,7,FALSE)</f>
        <v>1.3780852558076262E-2</v>
      </c>
      <c r="T15" s="56">
        <f>VLOOKUP(T$2&amp;$A15,'Raw'!$A$2:$Z$1225,7,FALSE)</f>
        <v>-0.37770131639786042</v>
      </c>
      <c r="U15" s="55">
        <f>VLOOKUP(U$2&amp;$A15,'Raw'!$A$2:$Z$1225,7,FALSE)</f>
        <v>1.0649103826050998</v>
      </c>
      <c r="V15" s="56">
        <f>VLOOKUP(V$2&amp;$A15,'Raw'!$A$2:$Z$1225,7,FALSE)</f>
        <v>0.17239718286827799</v>
      </c>
      <c r="W15" s="55">
        <f>VLOOKUP(W$2&amp;$A15,'Raw'!$A$2:$Z$1225,7,FALSE)</f>
        <v>4.2589368541845474E-3</v>
      </c>
      <c r="X15" s="56">
        <f>VLOOKUP(X$2&amp;$A15,'Raw'!$A$2:$Z$1225,7,FALSE)</f>
        <v>-0.36462088068585086</v>
      </c>
      <c r="Y15" s="55">
        <f>VLOOKUP(Y$2&amp;$A15,'Raw'!$A$2:$Z$1225,7,FALSE)</f>
        <v>1.0485623344781869</v>
      </c>
      <c r="Z15" s="56">
        <f>VLOOKUP(Z$2&amp;$A15,'Raw'!$A$2:$Z$1225,7,FALSE)</f>
        <v>0.20777046956341749</v>
      </c>
    </row>
    <row r="16" spans="1:26">
      <c r="A16" s="52">
        <v>39448</v>
      </c>
      <c r="B16" s="53">
        <v>39448</v>
      </c>
      <c r="C16" s="55">
        <f>VLOOKUP(C$2&amp;$A16,'Raw'!$A$2:$Z$1225,7,FALSE)</f>
        <v>3.0297855192862322E-2</v>
      </c>
      <c r="D16" s="56">
        <f>VLOOKUP(D$2&amp;$A16,'Raw'!$A$2:$Z$1225,7,FALSE)</f>
        <v>-0.32656275070970242</v>
      </c>
      <c r="E16" s="55">
        <f>VLOOKUP(E$2&amp;$A16,'Raw'!$A$2:$Z$1225,7,FALSE)</f>
        <v>1.1408390349331388</v>
      </c>
      <c r="F16" s="56">
        <f>VLOOKUP(F$2&amp;$A16,'Raw'!$A$2:$Z$1225,7,FALSE)</f>
        <v>0.29178900833077837</v>
      </c>
      <c r="G16" s="55">
        <f>VLOOKUP(G$2&amp;$A16,'Raw'!$A$2:$Z$1225,7,FALSE)</f>
        <v>5.8100714349151872E-2</v>
      </c>
      <c r="H16" s="56">
        <f>VLOOKUP(H$2&amp;$A16,'Raw'!$A$2:$Z$1225,7,FALSE)</f>
        <v>-0.39206983401453011</v>
      </c>
      <c r="I16" s="55">
        <f>VLOOKUP(I$2&amp;$A16,'Raw'!$A$2:$Z$1225,7,FALSE)</f>
        <v>1.1780482307915729</v>
      </c>
      <c r="J16" s="55">
        <f>VLOOKUP(J$2&amp;$A16,'Raw'!$A$2:$Z$1225,7,FALSE)</f>
        <v>9.3709550356835258E-2</v>
      </c>
      <c r="K16" s="55">
        <f>VLOOKUP(K$2&amp;$A16,'Raw'!$A$2:$Z$1225,7,FALSE)</f>
        <v>4.8878629257109729E-2</v>
      </c>
      <c r="L16" s="56">
        <f>VLOOKUP(L$2&amp;$A16,'Raw'!$A$2:$Z$1225,7,FALSE)</f>
        <v>-0.37812797903791218</v>
      </c>
      <c r="M16" s="55">
        <f>VLOOKUP(M$2&amp;$A16,'Raw'!$A$2:$Z$1225,7,FALSE)</f>
        <v>1.1609955408092176</v>
      </c>
      <c r="N16" s="56">
        <f>VLOOKUP(N$2&amp;$A16,'Raw'!$A$2:$Z$1225,7,FALSE)</f>
        <v>0.14183679433337204</v>
      </c>
      <c r="O16" s="55">
        <f>VLOOKUP(O$2&amp;$A16,'Raw'!$A$2:$Z$1225,7,FALSE)</f>
        <v>-3.5559256904604819E-2</v>
      </c>
      <c r="P16" s="56">
        <f>VLOOKUP(P$2&amp;$A16,'Raw'!$A$2:$Z$1225,7,FALSE)</f>
        <v>-0.38200515024757742</v>
      </c>
      <c r="Q16" s="55">
        <f>VLOOKUP(Q$2&amp;$A16,'Raw'!$A$2:$Z$1225,7,FALSE)</f>
        <v>1.0765839157072632</v>
      </c>
      <c r="R16" s="56">
        <f>VLOOKUP(R$2&amp;$A16,'Raw'!$A$2:$Z$1225,7,FALSE)</f>
        <v>0.23829732361781986</v>
      </c>
      <c r="S16" s="55">
        <f>VLOOKUP(S$2&amp;$A16,'Raw'!$A$2:$Z$1225,7,FALSE)</f>
        <v>-9.7194643819409343E-3</v>
      </c>
      <c r="T16" s="56">
        <f>VLOOKUP(T$2&amp;$A16,'Raw'!$A$2:$Z$1225,7,FALSE)</f>
        <v>-0.45635857652328582</v>
      </c>
      <c r="U16" s="55">
        <f>VLOOKUP(U$2&amp;$A16,'Raw'!$A$2:$Z$1225,7,FALSE)</f>
        <v>1.1102266690538931</v>
      </c>
      <c r="V16" s="56">
        <f>VLOOKUP(V$2&amp;$A16,'Raw'!$A$2:$Z$1225,7,FALSE)</f>
        <v>3.1386921539700019E-2</v>
      </c>
      <c r="W16" s="55">
        <f>VLOOKUP(W$2&amp;$A16,'Raw'!$A$2:$Z$1225,7,FALSE)</f>
        <v>-2.0385427115943155E-2</v>
      </c>
      <c r="X16" s="56">
        <f>VLOOKUP(X$2&amp;$A16,'Raw'!$A$2:$Z$1225,7,FALSE)</f>
        <v>-0.43771072065134087</v>
      </c>
      <c r="Y16" s="55">
        <f>VLOOKUP(Y$2&amp;$A16,'Raw'!$A$2:$Z$1225,7,FALSE)</f>
        <v>1.0925306501931464</v>
      </c>
      <c r="Z16" s="56">
        <f>VLOOKUP(Z$2&amp;$A16,'Raw'!$A$2:$Z$1225,7,FALSE)</f>
        <v>8.4000454998878205E-2</v>
      </c>
    </row>
    <row r="17" spans="1:26">
      <c r="A17" s="52">
        <v>39814</v>
      </c>
      <c r="B17" s="53">
        <v>39814</v>
      </c>
      <c r="C17" s="55">
        <f>VLOOKUP(C$2&amp;$A17,'Raw'!$A$2:$Z$1225,7,FALSE)</f>
        <v>1.2993907352831791E-2</v>
      </c>
      <c r="D17" s="56">
        <f>VLOOKUP(D$2&amp;$A17,'Raw'!$A$2:$Z$1225,7,FALSE)</f>
        <v>-0.36836753862358185</v>
      </c>
      <c r="E17" s="55">
        <f>VLOOKUP(E$2&amp;$A17,'Raw'!$A$2:$Z$1225,7,FALSE)</f>
        <v>1.1784758110349625</v>
      </c>
      <c r="F17" s="56">
        <f>VLOOKUP(F$2&amp;$A17,'Raw'!$A$2:$Z$1225,7,FALSE)</f>
        <v>0.22321560582194699</v>
      </c>
      <c r="G17" s="55">
        <f>VLOOKUP(G$2&amp;$A17,'Raw'!$A$2:$Z$1225,7,FALSE)</f>
        <v>4.6465464353806496E-2</v>
      </c>
      <c r="H17" s="56">
        <f>VLOOKUP(H$2&amp;$A17,'Raw'!$A$2:$Z$1225,7,FALSE)</f>
        <v>-0.44811815534143706</v>
      </c>
      <c r="I17" s="55">
        <f>VLOOKUP(I$2&amp;$A17,'Raw'!$A$2:$Z$1225,7,FALSE)</f>
        <v>1.219035922360856</v>
      </c>
      <c r="J17" s="55">
        <f>VLOOKUP(J$2&amp;$A17,'Raw'!$A$2:$Z$1225,7,FALSE)</f>
        <v>-3.9751430244316932E-2</v>
      </c>
      <c r="K17" s="55">
        <f>VLOOKUP(K$2&amp;$A17,'Raw'!$A$2:$Z$1225,7,FALSE)</f>
        <v>3.6394384334514918E-2</v>
      </c>
      <c r="L17" s="56">
        <f>VLOOKUP(L$2&amp;$A17,'Raw'!$A$2:$Z$1225,7,FALSE)</f>
        <v>-0.4314184977091462</v>
      </c>
      <c r="M17" s="55">
        <f>VLOOKUP(M$2&amp;$A17,'Raw'!$A$2:$Z$1225,7,FALSE)</f>
        <v>1.2010946294091829</v>
      </c>
      <c r="N17" s="56">
        <f>VLOOKUP(N$2&amp;$A17,'Raw'!$A$2:$Z$1225,7,FALSE)</f>
        <v>2.433012431046766E-2</v>
      </c>
      <c r="O17" s="55">
        <f>VLOOKUP(O$2&amp;$A17,'Raw'!$A$2:$Z$1225,7,FALSE)</f>
        <v>-6.1043250313796982E-2</v>
      </c>
      <c r="P17" s="56">
        <f>VLOOKUP(P$2&amp;$A17,'Raw'!$A$2:$Z$1225,7,FALSE)</f>
        <v>-0.42890300397306902</v>
      </c>
      <c r="Q17" s="55">
        <f>VLOOKUP(Q$2&amp;$A17,'Raw'!$A$2:$Z$1225,7,FALSE)</f>
        <v>1.1070401683151987</v>
      </c>
      <c r="R17" s="56">
        <f>VLOOKUP(R$2&amp;$A17,'Raw'!$A$2:$Z$1225,7,FALSE)</f>
        <v>0.1654936086469494</v>
      </c>
      <c r="S17" s="55">
        <f>VLOOKUP(S$2&amp;$A17,'Raw'!$A$2:$Z$1225,7,FALSE)</f>
        <v>-2.9701561582717861E-2</v>
      </c>
      <c r="T17" s="56">
        <f>VLOOKUP(T$2&amp;$A17,'Raw'!$A$2:$Z$1225,7,FALSE)</f>
        <v>-0.52126213935643761</v>
      </c>
      <c r="U17" s="55">
        <f>VLOOKUP(U$2&amp;$A17,'Raw'!$A$2:$Z$1225,7,FALSE)</f>
        <v>1.143317852693615</v>
      </c>
      <c r="V17" s="56">
        <f>VLOOKUP(V$2&amp;$A17,'Raw'!$A$2:$Z$1225,7,FALSE)</f>
        <v>-0.10954576315130859</v>
      </c>
      <c r="W17" s="55">
        <f>VLOOKUP(W$2&amp;$A17,'Raw'!$A$2:$Z$1225,7,FALSE)</f>
        <v>-4.1302150733513177E-2</v>
      </c>
      <c r="X17" s="56">
        <f>VLOOKUP(X$2&amp;$A17,'Raw'!$A$2:$Z$1225,7,FALSE)</f>
        <v>-0.49773105367079129</v>
      </c>
      <c r="Y17" s="55">
        <f>VLOOKUP(Y$2&amp;$A17,'Raw'!$A$2:$Z$1225,7,FALSE)</f>
        <v>1.1248237875722822</v>
      </c>
      <c r="Z17" s="56">
        <f>VLOOKUP(Z$2&amp;$A17,'Raw'!$A$2:$Z$1225,7,FALSE)</f>
        <v>-3.9192985401903524E-2</v>
      </c>
    </row>
    <row r="18" spans="1:26">
      <c r="A18" s="52">
        <v>40179</v>
      </c>
      <c r="B18" s="53">
        <v>40179</v>
      </c>
      <c r="C18" s="55">
        <f>VLOOKUP(C$2&amp;$A18,'Raw'!$A$2:$Z$1225,7,FALSE)</f>
        <v>-1.2550694091228998E-3</v>
      </c>
      <c r="D18" s="56">
        <f>VLOOKUP(D$2&amp;$A18,'Raw'!$A$2:$Z$1225,7,FALSE)</f>
        <v>-0.39843166776846184</v>
      </c>
      <c r="E18" s="55">
        <f>VLOOKUP(E$2&amp;$A18,'Raw'!$A$2:$Z$1225,7,FALSE)</f>
        <v>1.205831698776394</v>
      </c>
      <c r="F18" s="56">
        <f>VLOOKUP(F$2&amp;$A18,'Raw'!$A$2:$Z$1225,7,FALSE)</f>
        <v>0.16304985983131015</v>
      </c>
      <c r="G18" s="55">
        <f>VLOOKUP(G$2&amp;$A18,'Raw'!$A$2:$Z$1225,7,FALSE)</f>
        <v>3.7947500351531716E-2</v>
      </c>
      <c r="H18" s="56">
        <f>VLOOKUP(H$2&amp;$A18,'Raw'!$A$2:$Z$1225,7,FALSE)</f>
        <v>-0.48759967938840632</v>
      </c>
      <c r="I18" s="55">
        <f>VLOOKUP(I$2&amp;$A18,'Raw'!$A$2:$Z$1225,7,FALSE)</f>
        <v>1.24793071716367</v>
      </c>
      <c r="J18" s="55">
        <f>VLOOKUP(J$2&amp;$A18,'Raw'!$A$2:$Z$1225,7,FALSE)</f>
        <v>-0.16361931881748726</v>
      </c>
      <c r="K18" s="55">
        <f>VLOOKUP(K$2&amp;$A18,'Raw'!$A$2:$Z$1225,7,FALSE)</f>
        <v>2.7176619306734651E-2</v>
      </c>
      <c r="L18" s="56">
        <f>VLOOKUP(L$2&amp;$A18,'Raw'!$A$2:$Z$1225,7,FALSE)</f>
        <v>-0.4702002653727666</v>
      </c>
      <c r="M18" s="55">
        <f>VLOOKUP(M$2&amp;$A18,'Raw'!$A$2:$Z$1225,7,FALSE)</f>
        <v>1.2294835668017479</v>
      </c>
      <c r="N18" s="56">
        <f>VLOOKUP(N$2&amp;$A18,'Raw'!$A$2:$Z$1225,7,FALSE)</f>
        <v>-8.5714112888501948E-2</v>
      </c>
      <c r="O18" s="55">
        <f>VLOOKUP(O$2&amp;$A18,'Raw'!$A$2:$Z$1225,7,FALSE)</f>
        <v>-8.2343573971255246E-2</v>
      </c>
      <c r="P18" s="56">
        <f>VLOOKUP(P$2&amp;$A18,'Raw'!$A$2:$Z$1225,7,FALSE)</f>
        <v>-0.46269456123897434</v>
      </c>
      <c r="Q18" s="55">
        <f>VLOOKUP(Q$2&amp;$A18,'Raw'!$A$2:$Z$1225,7,FALSE)</f>
        <v>1.1285046870866511</v>
      </c>
      <c r="R18" s="56">
        <f>VLOOKUP(R$2&amp;$A18,'Raw'!$A$2:$Z$1225,7,FALSE)</f>
        <v>0.10249085087168375</v>
      </c>
      <c r="S18" s="55">
        <f>VLOOKUP(S$2&amp;$A18,'Raw'!$A$2:$Z$1225,7,FALSE)</f>
        <v>-4.5193716564972952E-2</v>
      </c>
      <c r="T18" s="56">
        <f>VLOOKUP(T$2&amp;$A18,'Raw'!$A$2:$Z$1225,7,FALSE)</f>
        <v>-0.56879589080169879</v>
      </c>
      <c r="U18" s="55">
        <f>VLOOKUP(U$2&amp;$A18,'Raw'!$A$2:$Z$1225,7,FALSE)</f>
        <v>1.1657629627185528</v>
      </c>
      <c r="V18" s="56">
        <f>VLOOKUP(V$2&amp;$A18,'Raw'!$A$2:$Z$1225,7,FALSE)</f>
        <v>-0.23976287636355842</v>
      </c>
      <c r="W18" s="55">
        <f>VLOOKUP(W$2&amp;$A18,'Raw'!$A$2:$Z$1225,7,FALSE)</f>
        <v>-5.7551166532954223E-2</v>
      </c>
      <c r="X18" s="56">
        <f>VLOOKUP(X$2&amp;$A18,'Raw'!$A$2:$Z$1225,7,FALSE)</f>
        <v>-0.54218603591208447</v>
      </c>
      <c r="Y18" s="55">
        <f>VLOOKUP(Y$2&amp;$A18,'Raw'!$A$2:$Z$1225,7,FALSE)</f>
        <v>1.1468688471778954</v>
      </c>
      <c r="Z18" s="56">
        <f>VLOOKUP(Z$2&amp;$A18,'Raw'!$A$2:$Z$1225,7,FALSE)</f>
        <v>-0.1536855595901554</v>
      </c>
    </row>
    <row r="19" spans="1:26">
      <c r="A19" s="52">
        <v>40544</v>
      </c>
      <c r="B19" s="53">
        <v>40544</v>
      </c>
      <c r="C19" s="55">
        <f>VLOOKUP(C$2&amp;$A19,'Raw'!$A$2:$Z$1225,7,FALSE)</f>
        <v>-1.2184269381942947E-2</v>
      </c>
      <c r="D19" s="56">
        <f>VLOOKUP(D$2&amp;$A19,'Raw'!$A$2:$Z$1225,7,FALSE)</f>
        <v>-0.41724841186308037</v>
      </c>
      <c r="E19" s="55">
        <f>VLOOKUP(E$2&amp;$A19,'Raw'!$A$2:$Z$1225,7,FALSE)</f>
        <v>1.2242078725165362</v>
      </c>
      <c r="F19" s="56">
        <f>VLOOKUP(F$2&amp;$A19,'Raw'!$A$2:$Z$1225,7,FALSE)</f>
        <v>0.11371069345817997</v>
      </c>
      <c r="G19" s="55">
        <f>VLOOKUP(G$2&amp;$A19,'Raw'!$A$2:$Z$1225,7,FALSE)</f>
        <v>3.2353039482990731E-2</v>
      </c>
      <c r="H19" s="56">
        <f>VLOOKUP(H$2&amp;$A19,'Raw'!$A$2:$Z$1225,7,FALSE)</f>
        <v>-0.50870019990745252</v>
      </c>
      <c r="I19" s="55">
        <f>VLOOKUP(I$2&amp;$A19,'Raw'!$A$2:$Z$1225,7,FALSE)</f>
        <v>1.2657576478474875</v>
      </c>
      <c r="J19" s="55">
        <f>VLOOKUP(J$2&amp;$A19,'Raw'!$A$2:$Z$1225,7,FALSE)</f>
        <v>-0.2689642220959243</v>
      </c>
      <c r="K19" s="55">
        <f>VLOOKUP(K$2&amp;$A19,'Raw'!$A$2:$Z$1225,7,FALSE)</f>
        <v>2.1036745425617731E-2</v>
      </c>
      <c r="L19" s="56">
        <f>VLOOKUP(L$2&amp;$A19,'Raw'!$A$2:$Z$1225,7,FALSE)</f>
        <v>-0.49358734207270993</v>
      </c>
      <c r="M19" s="55">
        <f>VLOOKUP(M$2&amp;$A19,'Raw'!$A$2:$Z$1225,7,FALSE)</f>
        <v>1.2470851995763033</v>
      </c>
      <c r="N19" s="56">
        <f>VLOOKUP(N$2&amp;$A19,'Raw'!$A$2:$Z$1225,7,FALSE)</f>
        <v>-0.18193930023282512</v>
      </c>
      <c r="O19" s="55">
        <f>VLOOKUP(O$2&amp;$A19,'Raw'!$A$2:$Z$1225,7,FALSE)</f>
        <v>-9.9093294432295309E-2</v>
      </c>
      <c r="P19" s="56">
        <f>VLOOKUP(P$2&amp;$A19,'Raw'!$A$2:$Z$1225,7,FALSE)</f>
        <v>-0.48389212325895548</v>
      </c>
      <c r="Q19" s="55">
        <f>VLOOKUP(Q$2&amp;$A19,'Raw'!$A$2:$Z$1225,7,FALSE)</f>
        <v>1.1423379071004325</v>
      </c>
      <c r="R19" s="56">
        <f>VLOOKUP(R$2&amp;$A19,'Raw'!$A$2:$Z$1225,7,FALSE)</f>
        <v>5.1624802091465583E-2</v>
      </c>
      <c r="S19" s="55">
        <f>VLOOKUP(S$2&amp;$A19,'Raw'!$A$2:$Z$1225,7,FALSE)</f>
        <v>-5.6289101212014803E-2</v>
      </c>
      <c r="T19" s="56">
        <f>VLOOKUP(T$2&amp;$A19,'Raw'!$A$2:$Z$1225,7,FALSE)</f>
        <v>-0.59706183124359491</v>
      </c>
      <c r="U19" s="55">
        <f>VLOOKUP(U$2&amp;$A19,'Raw'!$A$2:$Z$1225,7,FALSE)</f>
        <v>1.1786546462794867</v>
      </c>
      <c r="V19" s="56">
        <f>VLOOKUP(V$2&amp;$A19,'Raw'!$A$2:$Z$1225,7,FALSE)</f>
        <v>-0.35029897913969599</v>
      </c>
      <c r="W19" s="55">
        <f>VLOOKUP(W$2&amp;$A19,'Raw'!$A$2:$Z$1225,7,FALSE)</f>
        <v>-6.922631816663749E-2</v>
      </c>
      <c r="X19" s="56">
        <f>VLOOKUP(X$2&amp;$A19,'Raw'!$A$2:$Z$1225,7,FALSE)</f>
        <v>-0.57024007345233274</v>
      </c>
      <c r="Y19" s="55">
        <f>VLOOKUP(Y$2&amp;$A19,'Raw'!$A$2:$Z$1225,7,FALSE)</f>
        <v>1.1596417055920849</v>
      </c>
      <c r="Z19" s="56">
        <f>VLOOKUP(Z$2&amp;$A19,'Raw'!$A$2:$Z$1225,7,FALSE)</f>
        <v>-0.25320854928156944</v>
      </c>
    </row>
    <row r="20" spans="1:26">
      <c r="A20" s="52">
        <v>40909</v>
      </c>
      <c r="B20" s="53">
        <v>40909</v>
      </c>
      <c r="C20" s="55">
        <f>VLOOKUP(C$2&amp;$A20,'Raw'!$A$2:$Z$1225,7,FALSE)</f>
        <v>-2.0025883577312609E-2</v>
      </c>
      <c r="D20" s="56">
        <f>VLOOKUP(D$2&amp;$A20,'Raw'!$A$2:$Z$1225,7,FALSE)</f>
        <v>-0.42617004724614382</v>
      </c>
      <c r="E20" s="55">
        <f>VLOOKUP(E$2&amp;$A20,'Raw'!$A$2:$Z$1225,7,FALSE)</f>
        <v>1.234775409457467</v>
      </c>
      <c r="F20" s="56">
        <f>VLOOKUP(F$2&amp;$A20,'Raw'!$A$2:$Z$1225,7,FALSE)</f>
        <v>7.6084136353116172E-2</v>
      </c>
      <c r="G20" s="55">
        <f>VLOOKUP(G$2&amp;$A20,'Raw'!$A$2:$Z$1225,7,FALSE)</f>
        <v>2.8995810581178283E-2</v>
      </c>
      <c r="H20" s="56">
        <f>VLOOKUP(H$2&amp;$A20,'Raw'!$A$2:$Z$1225,7,FALSE)</f>
        <v>-0.51101074197087426</v>
      </c>
      <c r="I20" s="55">
        <f>VLOOKUP(I$2&amp;$A20,'Raw'!$A$2:$Z$1225,7,FALSE)</f>
        <v>1.2735157949629095</v>
      </c>
      <c r="J20" s="55">
        <f>VLOOKUP(J$2&amp;$A20,'Raw'!$A$2:$Z$1225,7,FALSE)</f>
        <v>-0.34851295335939225</v>
      </c>
      <c r="K20" s="55">
        <f>VLOOKUP(K$2&amp;$A20,'Raw'!$A$2:$Z$1225,7,FALSE)</f>
        <v>1.732389174353699E-2</v>
      </c>
      <c r="L20" s="56">
        <f>VLOOKUP(L$2&amp;$A20,'Raw'!$A$2:$Z$1225,7,FALSE)</f>
        <v>-0.50186245653603967</v>
      </c>
      <c r="M20" s="55">
        <f>VLOOKUP(M$2&amp;$A20,'Raw'!$A$2:$Z$1225,7,FALSE)</f>
        <v>1.2548581313311047</v>
      </c>
      <c r="N20" s="56">
        <f>VLOOKUP(N$2&amp;$A20,'Raw'!$A$2:$Z$1225,7,FALSE)</f>
        <v>-0.25948906515110837</v>
      </c>
      <c r="O20" s="55">
        <f>VLOOKUP(O$2&amp;$A20,'Raw'!$A$2:$Z$1225,7,FALSE)</f>
        <v>-0.1115360913171104</v>
      </c>
      <c r="P20" s="56">
        <f>VLOOKUP(P$2&amp;$A20,'Raw'!$A$2:$Z$1225,7,FALSE)</f>
        <v>-0.49398717836389716</v>
      </c>
      <c r="Q20" s="55">
        <f>VLOOKUP(Q$2&amp;$A20,'Raw'!$A$2:$Z$1225,7,FALSE)</f>
        <v>1.1496473063803636</v>
      </c>
      <c r="R20" s="56">
        <f>VLOOKUP(R$2&amp;$A20,'Raw'!$A$2:$Z$1225,7,FALSE)</f>
        <v>1.3582904443332211E-2</v>
      </c>
      <c r="S20" s="55">
        <f>VLOOKUP(S$2&amp;$A20,'Raw'!$A$2:$Z$1225,7,FALSE)</f>
        <v>-6.3720461939154038E-2</v>
      </c>
      <c r="T20" s="56">
        <f>VLOOKUP(T$2&amp;$A20,'Raw'!$A$2:$Z$1225,7,FALSE)</f>
        <v>-0.60566579542957744</v>
      </c>
      <c r="U20" s="55">
        <f>VLOOKUP(U$2&amp;$A20,'Raw'!$A$2:$Z$1225,7,FALSE)</f>
        <v>1.1829041611447932</v>
      </c>
      <c r="V20" s="56">
        <f>VLOOKUP(V$2&amp;$A20,'Raw'!$A$2:$Z$1225,7,FALSE)</f>
        <v>-0.4339739833055245</v>
      </c>
      <c r="W20" s="55">
        <f>VLOOKUP(W$2&amp;$A20,'Raw'!$A$2:$Z$1225,7,FALSE)</f>
        <v>-7.7026233291555002E-2</v>
      </c>
      <c r="X20" s="56">
        <f>VLOOKUP(X$2&amp;$A20,'Raw'!$A$2:$Z$1225,7,FALSE)</f>
        <v>-0.58234826949091767</v>
      </c>
      <c r="Y20" s="55">
        <f>VLOOKUP(Y$2&amp;$A20,'Raw'!$A$2:$Z$1225,7,FALSE)</f>
        <v>1.1640053641092551</v>
      </c>
      <c r="Z20" s="56">
        <f>VLOOKUP(Z$2&amp;$A20,'Raw'!$A$2:$Z$1225,7,FALSE)</f>
        <v>-0.3331267025726059</v>
      </c>
    </row>
    <row r="21" spans="1:26">
      <c r="A21" s="52">
        <v>41275</v>
      </c>
      <c r="B21" s="53">
        <v>41275</v>
      </c>
      <c r="C21" s="55">
        <f>VLOOKUP(C$2&amp;$A21,'Raw'!$A$2:$Z$1225,7,FALSE)</f>
        <v>-2.5282988103991766E-2</v>
      </c>
      <c r="D21" s="56">
        <f>VLOOKUP(D$2&amp;$A21,'Raw'!$A$2:$Z$1225,7,FALSE)</f>
        <v>-0.42700444102526935</v>
      </c>
      <c r="E21" s="55">
        <f>VLOOKUP(E$2&amp;$A21,'Raw'!$A$2:$Z$1225,7,FALSE)</f>
        <v>1.2386596690290519</v>
      </c>
      <c r="F21" s="56">
        <f>VLOOKUP(F$2&amp;$A21,'Raw'!$A$2:$Z$1225,7,FALSE)</f>
        <v>4.9986528204915004E-2</v>
      </c>
      <c r="G21" s="55">
        <f>VLOOKUP(G$2&amp;$A21,'Raw'!$A$2:$Z$1225,7,FALSE)</f>
        <v>2.7010086949519341E-2</v>
      </c>
      <c r="H21" s="56">
        <f>VLOOKUP(H$2&amp;$A21,'Raw'!$A$2:$Z$1225,7,FALSE)</f>
        <v>-0.49536669460873428</v>
      </c>
      <c r="I21" s="55">
        <f>VLOOKUP(I$2&amp;$A21,'Raw'!$A$2:$Z$1225,7,FALSE)</f>
        <v>1.2722529416069772</v>
      </c>
      <c r="J21" s="55">
        <f>VLOOKUP(J$2&amp;$A21,'Raw'!$A$2:$Z$1225,7,FALSE)</f>
        <v>-0.39694349256650385</v>
      </c>
      <c r="K21" s="55">
        <f>VLOOKUP(K$2&amp;$A21,'Raw'!$A$2:$Z$1225,7,FALSE)</f>
        <v>1.5228338763484395E-2</v>
      </c>
      <c r="L21" s="56">
        <f>VLOOKUP(L$2&amp;$A21,'Raw'!$A$2:$Z$1225,7,FALSE)</f>
        <v>-0.49619919478398611</v>
      </c>
      <c r="M21" s="55">
        <f>VLOOKUP(M$2&amp;$A21,'Raw'!$A$2:$Z$1225,7,FALSE)</f>
        <v>1.2538746055310357</v>
      </c>
      <c r="N21" s="56">
        <f>VLOOKUP(N$2&amp;$A21,'Raw'!$A$2:$Z$1225,7,FALSE)</f>
        <v>-0.31498585666278611</v>
      </c>
      <c r="O21" s="55">
        <f>VLOOKUP(O$2&amp;$A21,'Raw'!$A$2:$Z$1225,7,FALSE)</f>
        <v>-0.12026754990916988</v>
      </c>
      <c r="P21" s="56">
        <f>VLOOKUP(P$2&amp;$A21,'Raw'!$A$2:$Z$1225,7,FALSE)</f>
        <v>-0.49500437779586015</v>
      </c>
      <c r="Q21" s="55">
        <f>VLOOKUP(Q$2&amp;$A21,'Raw'!$A$2:$Z$1225,7,FALSE)</f>
        <v>1.1514110228431296</v>
      </c>
      <c r="R21" s="56">
        <f>VLOOKUP(R$2&amp;$A21,'Raw'!$A$2:$Z$1225,7,FALSE)</f>
        <v>-1.2081658594464972E-2</v>
      </c>
      <c r="S21" s="55">
        <f>VLOOKUP(S$2&amp;$A21,'Raw'!$A$2:$Z$1225,7,FALSE)</f>
        <v>-6.8498205746903018E-2</v>
      </c>
      <c r="T21" s="56">
        <f>VLOOKUP(T$2&amp;$A21,'Raw'!$A$2:$Z$1225,7,FALSE)</f>
        <v>-0.59551133386276378</v>
      </c>
      <c r="U21" s="55">
        <f>VLOOKUP(U$2&amp;$A21,'Raw'!$A$2:$Z$1225,7,FALSE)</f>
        <v>1.1793706277261951</v>
      </c>
      <c r="V21" s="56">
        <f>VLOOKUP(V$2&amp;$A21,'Raw'!$A$2:$Z$1225,7,FALSE)</f>
        <v>-0.48563647886382677</v>
      </c>
      <c r="W21" s="55">
        <f>VLOOKUP(W$2&amp;$A21,'Raw'!$A$2:$Z$1225,7,FALSE)</f>
        <v>-8.1902854725324215E-2</v>
      </c>
      <c r="X21" s="56">
        <f>VLOOKUP(X$2&amp;$A21,'Raw'!$A$2:$Z$1225,7,FALSE)</f>
        <v>-0.57992432816854622</v>
      </c>
      <c r="Y21" s="55">
        <f>VLOOKUP(Y$2&amp;$A21,'Raw'!$A$2:$Z$1225,7,FALSE)</f>
        <v>1.1608420531019847</v>
      </c>
      <c r="Z21" s="56">
        <f>VLOOKUP(Z$2&amp;$A21,'Raw'!$A$2:$Z$1225,7,FALSE)</f>
        <v>-0.3903578303066646</v>
      </c>
    </row>
    <row r="22" spans="1:26">
      <c r="A22" s="52">
        <v>41640</v>
      </c>
      <c r="B22" s="53">
        <v>41640</v>
      </c>
      <c r="C22" s="55">
        <f>VLOOKUP(C$2&amp;$A22,'Raw'!$A$2:$Z$1225,7,FALSE)</f>
        <v>-2.8564038386225121E-2</v>
      </c>
      <c r="D22" s="56">
        <f>VLOOKUP(D$2&amp;$A22,'Raw'!$A$2:$Z$1225,7,FALSE)</f>
        <v>-0.421702913235944</v>
      </c>
      <c r="E22" s="55">
        <f>VLOOKUP(E$2&amp;$A22,'Raw'!$A$2:$Z$1225,7,FALSE)</f>
        <v>1.236934179292537</v>
      </c>
      <c r="F22" s="56">
        <f>VLOOKUP(F$2&amp;$A22,'Raw'!$A$2:$Z$1225,7,FALSE)</f>
        <v>3.4519675803235117E-2</v>
      </c>
      <c r="G22" s="55">
        <f>VLOOKUP(G$2&amp;$A22,'Raw'!$A$2:$Z$1225,7,FALSE)</f>
        <v>2.5569813792358786E-2</v>
      </c>
      <c r="H22" s="56">
        <f>VLOOKUP(H$2&amp;$A22,'Raw'!$A$2:$Z$1225,7,FALSE)</f>
        <v>-0.46368304009939409</v>
      </c>
      <c r="I22" s="55">
        <f>VLOOKUP(I$2&amp;$A22,'Raw'!$A$2:$Z$1225,7,FALSE)</f>
        <v>1.2630492823979989</v>
      </c>
      <c r="J22" s="55">
        <f>VLOOKUP(J$2&amp;$A22,'Raw'!$A$2:$Z$1225,7,FALSE)</f>
        <v>-0.41118810840017339</v>
      </c>
      <c r="K22" s="55">
        <f>VLOOKUP(K$2&amp;$A22,'Raw'!$A$2:$Z$1225,7,FALSE)</f>
        <v>1.3984025260960209E-2</v>
      </c>
      <c r="L22" s="56">
        <f>VLOOKUP(L$2&amp;$A22,'Raw'!$A$2:$Z$1225,7,FALSE)</f>
        <v>-0.47842747765011184</v>
      </c>
      <c r="M22" s="55">
        <f>VLOOKUP(M$2&amp;$A22,'Raw'!$A$2:$Z$1225,7,FALSE)</f>
        <v>1.2452888158692943</v>
      </c>
      <c r="N22" s="56">
        <f>VLOOKUP(N$2&amp;$A22,'Raw'!$A$2:$Z$1225,7,FALSE)</f>
        <v>-0.34656269711825782</v>
      </c>
      <c r="O22" s="55">
        <f>VLOOKUP(O$2&amp;$A22,'Raw'!$A$2:$Z$1225,7,FALSE)</f>
        <v>-0.12603747315432789</v>
      </c>
      <c r="P22" s="56">
        <f>VLOOKUP(P$2&amp;$A22,'Raw'!$A$2:$Z$1225,7,FALSE)</f>
        <v>-0.48914893625597866</v>
      </c>
      <c r="Q22" s="55">
        <f>VLOOKUP(Q$2&amp;$A22,'Raw'!$A$2:$Z$1225,7,FALSE)</f>
        <v>1.1485107318512711</v>
      </c>
      <c r="R22" s="56">
        <f>VLOOKUP(R$2&amp;$A22,'Raw'!$A$2:$Z$1225,7,FALSE)</f>
        <v>-2.6549175623080679E-2</v>
      </c>
      <c r="S22" s="55">
        <f>VLOOKUP(S$2&amp;$A22,'Raw'!$A$2:$Z$1225,7,FALSE)</f>
        <v>-7.1643960852485478E-2</v>
      </c>
      <c r="T22" s="56">
        <f>VLOOKUP(T$2&amp;$A22,'Raw'!$A$2:$Z$1225,7,FALSE)</f>
        <v>-0.56859203872567932</v>
      </c>
      <c r="U22" s="55">
        <f>VLOOKUP(U$2&amp;$A22,'Raw'!$A$2:$Z$1225,7,FALSE)</f>
        <v>1.1688976435202836</v>
      </c>
      <c r="V22" s="56">
        <f>VLOOKUP(V$2&amp;$A22,'Raw'!$A$2:$Z$1225,7,FALSE)</f>
        <v>-0.50241644973152422</v>
      </c>
      <c r="W22" s="55">
        <f>VLOOKUP(W$2&amp;$A22,'Raw'!$A$2:$Z$1225,7,FALSE)</f>
        <v>-8.4813140051009928E-2</v>
      </c>
      <c r="X22" s="56">
        <f>VLOOKUP(X$2&amp;$A22,'Raw'!$A$2:$Z$1225,7,FALSE)</f>
        <v>-0.56505272805599249</v>
      </c>
      <c r="Y22" s="55">
        <f>VLOOKUP(Y$2&amp;$A22,'Raw'!$A$2:$Z$1225,7,FALSE)</f>
        <v>1.1510722074139057</v>
      </c>
      <c r="Z22" s="56">
        <f>VLOOKUP(Z$2&amp;$A22,'Raw'!$A$2:$Z$1225,7,FALSE)</f>
        <v>-0.42334838033371014</v>
      </c>
    </row>
    <row r="23" spans="1:26">
      <c r="A23" s="52">
        <v>42005</v>
      </c>
      <c r="B23" s="53">
        <v>42005</v>
      </c>
      <c r="C23" s="55">
        <f>VLOOKUP(C$2&amp;$A23,'Raw'!$A$2:$Z$1225,7,FALSE)</f>
        <v>-3.0470413933003648E-2</v>
      </c>
      <c r="D23" s="56">
        <f>VLOOKUP(D$2&amp;$A23,'Raw'!$A$2:$Z$1225,7,FALSE)</f>
        <v>-0.41213734400573632</v>
      </c>
      <c r="E23" s="55">
        <f>VLOOKUP(E$2&amp;$A23,'Raw'!$A$2:$Z$1225,7,FALSE)</f>
        <v>1.2305855497056761</v>
      </c>
      <c r="F23" s="56">
        <f>VLOOKUP(F$2&amp;$A23,'Raw'!$A$2:$Z$1225,7,FALSE)</f>
        <v>2.8347956432894783E-2</v>
      </c>
      <c r="G23" s="55">
        <f>VLOOKUP(G$2&amp;$A23,'Raw'!$A$2:$Z$1225,7,FALSE)</f>
        <v>2.401726029535034E-2</v>
      </c>
      <c r="H23" s="56">
        <f>VLOOKUP(H$2&amp;$A23,'Raw'!$A$2:$Z$1225,7,FALSE)</f>
        <v>-0.41875994718919562</v>
      </c>
      <c r="I23" s="55">
        <f>VLOOKUP(I$2&amp;$A23,'Raw'!$A$2:$Z$1225,7,FALSE)</f>
        <v>1.2469754859596671</v>
      </c>
      <c r="J23" s="55">
        <f>VLOOKUP(J$2&amp;$A23,'Raw'!$A$2:$Z$1225,7,FALSE)</f>
        <v>-0.39063435070715302</v>
      </c>
      <c r="K23" s="55">
        <f>VLOOKUP(K$2&amp;$A23,'Raw'!$A$2:$Z$1225,7,FALSE)</f>
        <v>1.2982020253682336E-2</v>
      </c>
      <c r="L23" s="56">
        <f>VLOOKUP(L$2&amp;$A23,'Raw'!$A$2:$Z$1225,7,FALSE)</f>
        <v>-0.45082603491161111</v>
      </c>
      <c r="M23" s="55">
        <f>VLOOKUP(M$2&amp;$A23,'Raw'!$A$2:$Z$1225,7,FALSE)</f>
        <v>1.2302686683884012</v>
      </c>
      <c r="N23" s="56">
        <f>VLOOKUP(N$2&amp;$A23,'Raw'!$A$2:$Z$1225,7,FALSE)</f>
        <v>-0.35387127081888403</v>
      </c>
      <c r="O23" s="55">
        <f>VLOOKUP(O$2&amp;$A23,'Raw'!$A$2:$Z$1225,7,FALSE)</f>
        <v>-0.12960942686874866</v>
      </c>
      <c r="P23" s="56">
        <f>VLOOKUP(P$2&amp;$A23,'Raw'!$A$2:$Z$1225,7,FALSE)</f>
        <v>-0.47854888664107254</v>
      </c>
      <c r="Q23" s="55">
        <f>VLOOKUP(Q$2&amp;$A23,'Raw'!$A$2:$Z$1225,7,FALSE)</f>
        <v>1.1417287375765861</v>
      </c>
      <c r="R23" s="56">
        <f>VLOOKUP(R$2&amp;$A23,'Raw'!$A$2:$Z$1225,7,FALSE)</f>
        <v>-3.1420510740520768E-2</v>
      </c>
      <c r="S23" s="55">
        <f>VLOOKUP(S$2&amp;$A23,'Raw'!$A$2:$Z$1225,7,FALSE)</f>
        <v>-7.4024062320054984E-2</v>
      </c>
      <c r="T23" s="56">
        <f>VLOOKUP(T$2&amp;$A23,'Raw'!$A$2:$Z$1225,7,FALSE)</f>
        <v>-0.52776440142427994</v>
      </c>
      <c r="U23" s="55">
        <f>VLOOKUP(U$2&amp;$A23,'Raw'!$A$2:$Z$1225,7,FALSE)</f>
        <v>1.1523144354014248</v>
      </c>
      <c r="V23" s="56">
        <f>VLOOKUP(V$2&amp;$A23,'Raw'!$A$2:$Z$1225,7,FALSE)</f>
        <v>-0.48388525697072859</v>
      </c>
      <c r="W23" s="55">
        <f>VLOOKUP(W$2&amp;$A23,'Raw'!$A$2:$Z$1225,7,FALSE)</f>
        <v>-8.6570174432853975E-2</v>
      </c>
      <c r="X23" s="56">
        <f>VLOOKUP(X$2&amp;$A23,'Raw'!$A$2:$Z$1225,7,FALSE)</f>
        <v>-0.54023755157551756</v>
      </c>
      <c r="Y23" s="55">
        <f>VLOOKUP(Y$2&amp;$A23,'Raw'!$A$2:$Z$1225,7,FALSE)</f>
        <v>1.1356272875462148</v>
      </c>
      <c r="Z23" s="56">
        <f>VLOOKUP(Z$2&amp;$A23,'Raw'!$A$2:$Z$1225,7,FALSE)</f>
        <v>-0.43203508060637441</v>
      </c>
    </row>
    <row r="24" spans="1:26">
      <c r="A24" s="52">
        <v>42370</v>
      </c>
      <c r="B24" s="53">
        <v>42370</v>
      </c>
      <c r="C24" s="55">
        <f>VLOOKUP(C$2&amp;$A24,'Raw'!$A$2:$Z$1225,7,FALSE)</f>
        <v>-3.1527151672572362E-2</v>
      </c>
      <c r="D24" s="56">
        <f>VLOOKUP(D$2&amp;$A24,'Raw'!$A$2:$Z$1225,7,FALSE)</f>
        <v>-0.39995679826227981</v>
      </c>
      <c r="E24" s="55">
        <f>VLOOKUP(E$2&amp;$A24,'Raw'!$A$2:$Z$1225,7,FALSE)</f>
        <v>1.2204805695521515</v>
      </c>
      <c r="F24" s="56">
        <f>VLOOKUP(F$2&amp;$A24,'Raw'!$A$2:$Z$1225,7,FALSE)</f>
        <v>2.9914967846766949E-2</v>
      </c>
      <c r="G24" s="55">
        <f>VLOOKUP(G$2&amp;$A24,'Raw'!$A$2:$Z$1225,7,FALSE)</f>
        <v>2.1916427609314226E-2</v>
      </c>
      <c r="H24" s="56">
        <f>VLOOKUP(H$2&amp;$A24,'Raw'!$A$2:$Z$1225,7,FALSE)</f>
        <v>-0.36404682218568185</v>
      </c>
      <c r="I24" s="55">
        <f>VLOOKUP(I$2&amp;$A24,'Raw'!$A$2:$Z$1225,7,FALSE)</f>
        <v>1.2250569027664193</v>
      </c>
      <c r="J24" s="55">
        <f>VLOOKUP(J$2&amp;$A24,'Raw'!$A$2:$Z$1225,7,FALSE)</f>
        <v>-0.33714967590566802</v>
      </c>
      <c r="K24" s="55">
        <f>VLOOKUP(K$2&amp;$A24,'Raw'!$A$2:$Z$1225,7,FALSE)</f>
        <v>1.1812174980962986E-2</v>
      </c>
      <c r="L24" s="56">
        <f>VLOOKUP(L$2&amp;$A24,'Raw'!$A$2:$Z$1225,7,FALSE)</f>
        <v>-0.41593157466183195</v>
      </c>
      <c r="M24" s="55">
        <f>VLOOKUP(M$2&amp;$A24,'Raw'!$A$2:$Z$1225,7,FALSE)</f>
        <v>1.2099324612886653</v>
      </c>
      <c r="N24" s="56">
        <f>VLOOKUP(N$2&amp;$A24,'Raw'!$A$2:$Z$1225,7,FALSE)</f>
        <v>-0.33801746730290905</v>
      </c>
      <c r="O24" s="55">
        <f>VLOOKUP(O$2&amp;$A24,'Raw'!$A$2:$Z$1225,7,FALSE)</f>
        <v>-0.13167006453113084</v>
      </c>
      <c r="P24" s="56">
        <f>VLOOKUP(P$2&amp;$A24,'Raw'!$A$2:$Z$1225,7,FALSE)</f>
        <v>-0.46508637273456888</v>
      </c>
      <c r="Q24" s="55">
        <f>VLOOKUP(Q$2&amp;$A24,'Raw'!$A$2:$Z$1225,7,FALSE)</f>
        <v>1.1317393738156101</v>
      </c>
      <c r="R24" s="56">
        <f>VLOOKUP(R$2&amp;$A24,'Raw'!$A$2:$Z$1225,7,FALSE)</f>
        <v>-2.8476501873353488E-2</v>
      </c>
      <c r="S24" s="55">
        <f>VLOOKUP(S$2&amp;$A24,'Raw'!$A$2:$Z$1225,7,FALSE)</f>
        <v>-7.62711942211447E-2</v>
      </c>
      <c r="T24" s="56">
        <f>VLOOKUP(T$2&amp;$A24,'Raw'!$A$2:$Z$1225,7,FALSE)</f>
        <v>-0.47649257243521648</v>
      </c>
      <c r="U24" s="55">
        <f>VLOOKUP(U$2&amp;$A24,'Raw'!$A$2:$Z$1225,7,FALSE)</f>
        <v>1.1304285355117516</v>
      </c>
      <c r="V24" s="56">
        <f>VLOOKUP(V$2&amp;$A24,'Raw'!$A$2:$Z$1225,7,FALSE)</f>
        <v>-0.43205174974291216</v>
      </c>
      <c r="W24" s="55">
        <f>VLOOKUP(W$2&amp;$A24,'Raw'!$A$2:$Z$1225,7,FALSE)</f>
        <v>-8.7777812641365305E-2</v>
      </c>
      <c r="X24" s="56">
        <f>VLOOKUP(X$2&amp;$A24,'Raw'!$A$2:$Z$1225,7,FALSE)</f>
        <v>-0.50818045378483445</v>
      </c>
      <c r="Y24" s="55">
        <f>VLOOKUP(Y$2&amp;$A24,'Raw'!$A$2:$Z$1225,7,FALSE)</f>
        <v>1.1154130080321512</v>
      </c>
      <c r="Z24" s="56">
        <f>VLOOKUP(Z$2&amp;$A24,'Raw'!$A$2:$Z$1225,7,FALSE)</f>
        <v>-0.41774793461593074</v>
      </c>
    </row>
    <row r="25" spans="1:26">
      <c r="A25" s="52">
        <v>42736</v>
      </c>
      <c r="B25" s="53">
        <v>42736</v>
      </c>
      <c r="C25" s="55">
        <f>VLOOKUP(C$2&amp;$A25,'Raw'!$A$2:$Z$1225,7,FALSE)</f>
        <v>-3.2148556226851976E-2</v>
      </c>
      <c r="D25" s="56">
        <f>VLOOKUP(D$2&amp;$A25,'Raw'!$A$2:$Z$1225,7,FALSE)</f>
        <v>-0.38651139847549754</v>
      </c>
      <c r="E25" s="55">
        <f>VLOOKUP(E$2&amp;$A25,'Raw'!$A$2:$Z$1225,7,FALSE)</f>
        <v>1.2073473331306372</v>
      </c>
      <c r="F25" s="56">
        <f>VLOOKUP(F$2&amp;$A25,'Raw'!$A$2:$Z$1225,7,FALSE)</f>
        <v>3.7608217022833124E-2</v>
      </c>
      <c r="G25" s="55">
        <f>VLOOKUP(G$2&amp;$A25,'Raw'!$A$2:$Z$1225,7,FALSE)</f>
        <v>1.9052178716272294E-2</v>
      </c>
      <c r="H25" s="56">
        <f>VLOOKUP(H$2&amp;$A25,'Raw'!$A$2:$Z$1225,7,FALSE)</f>
        <v>-0.30336906552844711</v>
      </c>
      <c r="I25" s="55">
        <f>VLOOKUP(I$2&amp;$A25,'Raw'!$A$2:$Z$1225,7,FALSE)</f>
        <v>1.1982527248712627</v>
      </c>
      <c r="J25" s="55">
        <f>VLOOKUP(J$2&amp;$A25,'Raw'!$A$2:$Z$1225,7,FALSE)</f>
        <v>-0.2548971422657087</v>
      </c>
      <c r="K25" s="55">
        <f>VLOOKUP(K$2&amp;$A25,'Raw'!$A$2:$Z$1225,7,FALSE)</f>
        <v>1.0256786625362224E-2</v>
      </c>
      <c r="L25" s="56">
        <f>VLOOKUP(L$2&amp;$A25,'Raw'!$A$2:$Z$1225,7,FALSE)</f>
        <v>-0.37635948474096237</v>
      </c>
      <c r="M25" s="55">
        <f>VLOOKUP(M$2&amp;$A25,'Raw'!$A$2:$Z$1225,7,FALSE)</f>
        <v>1.1853048728241777</v>
      </c>
      <c r="N25" s="56">
        <f>VLOOKUP(N$2&amp;$A25,'Raw'!$A$2:$Z$1225,7,FALSE)</f>
        <v>-0.30140655766328628</v>
      </c>
      <c r="O25" s="55">
        <f>VLOOKUP(O$2&amp;$A25,'Raw'!$A$2:$Z$1225,7,FALSE)</f>
        <v>-0.13277973817931166</v>
      </c>
      <c r="P25" s="56">
        <f>VLOOKUP(P$2&amp;$A25,'Raw'!$A$2:$Z$1225,7,FALSE)</f>
        <v>-0.4503047123904147</v>
      </c>
      <c r="Q25" s="55">
        <f>VLOOKUP(Q$2&amp;$A25,'Raw'!$A$2:$Z$1225,7,FALSE)</f>
        <v>1.1191052791237777</v>
      </c>
      <c r="R25" s="56">
        <f>VLOOKUP(R$2&amp;$A25,'Raw'!$A$2:$Z$1225,7,FALSE)</f>
        <v>-1.9500476187339633E-2</v>
      </c>
      <c r="S25" s="55">
        <f>VLOOKUP(S$2&amp;$A25,'Raw'!$A$2:$Z$1225,7,FALSE)</f>
        <v>-7.8771661144005911E-2</v>
      </c>
      <c r="T25" s="56">
        <f>VLOOKUP(T$2&amp;$A25,'Raw'!$A$2:$Z$1225,7,FALSE)</f>
        <v>-0.4185704077922181</v>
      </c>
      <c r="U25" s="55">
        <f>VLOOKUP(U$2&amp;$A25,'Raw'!$A$2:$Z$1225,7,FALSE)</f>
        <v>1.1040202808514588</v>
      </c>
      <c r="V25" s="56">
        <f>VLOOKUP(V$2&amp;$A25,'Raw'!$A$2:$Z$1225,7,FALSE)</f>
        <v>-0.35116336977981666</v>
      </c>
      <c r="W25" s="55">
        <f>VLOOKUP(W$2&amp;$A25,'Raw'!$A$2:$Z$1225,7,FALSE)</f>
        <v>-8.8823928928072338E-2</v>
      </c>
      <c r="X25" s="56">
        <f>VLOOKUP(X$2&amp;$A25,'Raw'!$A$2:$Z$1225,7,FALSE)</f>
        <v>-0.47158475249817755</v>
      </c>
      <c r="Y25" s="55">
        <f>VLOOKUP(Y$2&amp;$A25,'Raw'!$A$2:$Z$1225,7,FALSE)</f>
        <v>1.0912793970612844</v>
      </c>
      <c r="Z25" s="56">
        <f>VLOOKUP(Z$2&amp;$A25,'Raw'!$A$2:$Z$1225,7,FALSE)</f>
        <v>-0.38303645780071172</v>
      </c>
    </row>
    <row r="26" spans="1:26">
      <c r="A26" s="52">
        <v>43101</v>
      </c>
      <c r="B26" s="53">
        <v>43101</v>
      </c>
      <c r="C26" s="55">
        <f>VLOOKUP(C$2&amp;$A26,'Raw'!$A$2:$Z$1225,7,FALSE)</f>
        <v>-3.262798046546056E-2</v>
      </c>
      <c r="D26" s="56">
        <f>VLOOKUP(D$2&amp;$A26,'Raw'!$A$2:$Z$1225,7,FALSE)</f>
        <v>-0.37282816840106259</v>
      </c>
      <c r="E26" s="55">
        <f>VLOOKUP(E$2&amp;$A26,'Raw'!$A$2:$Z$1225,7,FALSE)</f>
        <v>1.1917732165123374</v>
      </c>
      <c r="F26" s="56">
        <f>VLOOKUP(F$2&amp;$A26,'Raw'!$A$2:$Z$1225,7,FALSE)</f>
        <v>4.9878801403857587E-2</v>
      </c>
      <c r="G26" s="55">
        <f>VLOOKUP(G$2&amp;$A26,'Raw'!$A$2:$Z$1225,7,FALSE)</f>
        <v>1.5395303800036508E-2</v>
      </c>
      <c r="H26" s="56">
        <f>VLOOKUP(H$2&amp;$A26,'Raw'!$A$2:$Z$1225,7,FALSE)</f>
        <v>-0.24063622988165223</v>
      </c>
      <c r="I26" s="55">
        <f>VLOOKUP(I$2&amp;$A26,'Raw'!$A$2:$Z$1225,7,FALSE)</f>
        <v>1.1674479170237451</v>
      </c>
      <c r="J26" s="55">
        <f>VLOOKUP(J$2&amp;$A26,'Raw'!$A$2:$Z$1225,7,FALSE)</f>
        <v>-0.1499493154638265</v>
      </c>
      <c r="K26" s="55">
        <f>VLOOKUP(K$2&amp;$A26,'Raw'!$A$2:$Z$1225,7,FALSE)</f>
        <v>8.2561304538542046E-3</v>
      </c>
      <c r="L26" s="56">
        <f>VLOOKUP(L$2&amp;$A26,'Raw'!$A$2:$Z$1225,7,FALSE)</f>
        <v>-0.33463986516613087</v>
      </c>
      <c r="M26" s="55">
        <f>VLOOKUP(M$2&amp;$A26,'Raw'!$A$2:$Z$1225,7,FALSE)</f>
        <v>1.157294402857123</v>
      </c>
      <c r="N26" s="56">
        <f>VLOOKUP(N$2&amp;$A26,'Raw'!$A$2:$Z$1225,7,FALSE)</f>
        <v>-0.24750041088119623</v>
      </c>
      <c r="O26" s="55">
        <f>VLOOKUP(O$2&amp;$A26,'Raw'!$A$2:$Z$1225,7,FALSE)</f>
        <v>-0.13335458168054481</v>
      </c>
      <c r="P26" s="56">
        <f>VLOOKUP(P$2&amp;$A26,'Raw'!$A$2:$Z$1225,7,FALSE)</f>
        <v>-0.4353763438806002</v>
      </c>
      <c r="Q26" s="55">
        <f>VLOOKUP(Q$2&amp;$A26,'Raw'!$A$2:$Z$1225,7,FALSE)</f>
        <v>1.1042826107531045</v>
      </c>
      <c r="R26" s="56">
        <f>VLOOKUP(R$2&amp;$A26,'Raw'!$A$2:$Z$1225,7,FALSE)</f>
        <v>-6.155383445938245E-3</v>
      </c>
      <c r="S26" s="55">
        <f>VLOOKUP(S$2&amp;$A26,'Raw'!$A$2:$Z$1225,7,FALSE)</f>
        <v>-8.1696000252540202E-2</v>
      </c>
      <c r="T26" s="56">
        <f>VLOOKUP(T$2&amp;$A26,'Raw'!$A$2:$Z$1225,7,FALSE)</f>
        <v>-0.35783722393158968</v>
      </c>
      <c r="U26" s="55">
        <f>VLOOKUP(U$2&amp;$A26,'Raw'!$A$2:$Z$1225,7,FALSE)</f>
        <v>1.0738389625617462</v>
      </c>
      <c r="V26" s="56">
        <f>VLOOKUP(V$2&amp;$A26,'Raw'!$A$2:$Z$1225,7,FALSE)</f>
        <v>-0.24731756945907124</v>
      </c>
      <c r="W26" s="55">
        <f>VLOOKUP(W$2&amp;$A26,'Raw'!$A$2:$Z$1225,7,FALSE)</f>
        <v>-8.991100825921361E-2</v>
      </c>
      <c r="X26" s="56">
        <f>VLOOKUP(X$2&amp;$A26,'Raw'!$A$2:$Z$1225,7,FALSE)</f>
        <v>-0.43298865809551224</v>
      </c>
      <c r="Y26" s="55">
        <f>VLOOKUP(Y$2&amp;$A26,'Raw'!$A$2:$Z$1225,7,FALSE)</f>
        <v>1.0640018320602129</v>
      </c>
      <c r="Z26" s="56">
        <f>VLOOKUP(Z$2&amp;$A26,'Raw'!$A$2:$Z$1225,7,FALSE)</f>
        <v>-0.33142115590895083</v>
      </c>
    </row>
    <row r="27" spans="1:26">
      <c r="A27" s="52">
        <v>43466</v>
      </c>
      <c r="B27" s="53">
        <v>43466</v>
      </c>
      <c r="C27" s="55">
        <f>VLOOKUP(C$2&amp;$A27,'Raw'!$A$2:$Z$1225,7,FALSE)</f>
        <v>-3.3145894604302839E-2</v>
      </c>
      <c r="D27" s="56">
        <f>VLOOKUP(D$2&amp;$A27,'Raw'!$A$2:$Z$1225,7,FALSE)</f>
        <v>-0.35962466623766787</v>
      </c>
      <c r="E27" s="55">
        <f>VLOOKUP(E$2&amp;$A27,'Raw'!$A$2:$Z$1225,7,FALSE)</f>
        <v>1.1742142459608695</v>
      </c>
      <c r="F27" s="56">
        <f>VLOOKUP(F$2&amp;$A27,'Raw'!$A$2:$Z$1225,7,FALSE)</f>
        <v>6.5320810721813949E-2</v>
      </c>
      <c r="G27" s="55">
        <f>VLOOKUP(G$2&amp;$A27,'Raw'!$A$2:$Z$1225,7,FALSE)</f>
        <v>1.1052009915735184E-2</v>
      </c>
      <c r="H27" s="56">
        <f>VLOOKUP(H$2&amp;$A27,'Raw'!$A$2:$Z$1225,7,FALSE)</f>
        <v>-0.1795582970346099</v>
      </c>
      <c r="I27" s="55">
        <f>VLOOKUP(I$2&amp;$A27,'Raw'!$A$2:$Z$1225,7,FALSE)</f>
        <v>1.1334524144106739</v>
      </c>
      <c r="J27" s="55">
        <f>VLOOKUP(J$2&amp;$A27,'Raw'!$A$2:$Z$1225,7,FALSE)</f>
        <v>-2.9739945209150687E-2</v>
      </c>
      <c r="K27" s="55">
        <f>VLOOKUP(K$2&amp;$A27,'Raw'!$A$2:$Z$1225,7,FALSE)</f>
        <v>5.8621828466165482E-3</v>
      </c>
      <c r="L27" s="56">
        <f>VLOOKUP(L$2&amp;$A27,'Raw'!$A$2:$Z$1225,7,FALSE)</f>
        <v>-0.29307570947492145</v>
      </c>
      <c r="M27" s="55">
        <f>VLOOKUP(M$2&amp;$A27,'Raw'!$A$2:$Z$1225,7,FALSE)</f>
        <v>1.126687073180821</v>
      </c>
      <c r="N27" s="56">
        <f>VLOOKUP(N$2&amp;$A27,'Raw'!$A$2:$Z$1225,7,FALSE)</f>
        <v>-0.18050691573892053</v>
      </c>
      <c r="O27" s="55">
        <f>VLOOKUP(O$2&amp;$A27,'Raw'!$A$2:$Z$1225,7,FALSE)</f>
        <v>-0.13367092772751388</v>
      </c>
      <c r="P27" s="56">
        <f>VLOOKUP(P$2&amp;$A27,'Raw'!$A$2:$Z$1225,7,FALSE)</f>
        <v>-0.42111527456769604</v>
      </c>
      <c r="Q27" s="55">
        <f>VLOOKUP(Q$2&amp;$A27,'Raw'!$A$2:$Z$1225,7,FALSE)</f>
        <v>1.0876320257900307</v>
      </c>
      <c r="R27" s="56">
        <f>VLOOKUP(R$2&amp;$A27,'Raw'!$A$2:$Z$1225,7,FALSE)</f>
        <v>1.0092027427321959E-2</v>
      </c>
      <c r="S27" s="55">
        <f>VLOOKUP(S$2&amp;$A27,'Raw'!$A$2:$Z$1225,7,FALSE)</f>
        <v>-8.505116031273241E-2</v>
      </c>
      <c r="T27" s="56">
        <f>VLOOKUP(T$2&amp;$A27,'Raw'!$A$2:$Z$1225,7,FALSE)</f>
        <v>-0.29791081473162784</v>
      </c>
      <c r="U27" s="55">
        <f>VLOOKUP(U$2&amp;$A27,'Raw'!$A$2:$Z$1225,7,FALSE)</f>
        <v>1.0405990566878298</v>
      </c>
      <c r="V27" s="56">
        <f>VLOOKUP(V$2&amp;$A27,'Raw'!$A$2:$Z$1225,7,FALSE)</f>
        <v>-0.12792148797936553</v>
      </c>
      <c r="W27" s="55">
        <f>VLOOKUP(W$2&amp;$A27,'Raw'!$A$2:$Z$1225,7,FALSE)</f>
        <v>-9.1102803510967334E-2</v>
      </c>
      <c r="X27" s="56">
        <f>VLOOKUP(X$2&amp;$A27,'Raw'!$A$2:$Z$1225,7,FALSE)</f>
        <v>-0.39463188198827215</v>
      </c>
      <c r="Y27" s="55">
        <f>VLOOKUP(Y$2&amp;$A27,'Raw'!$A$2:$Z$1225,7,FALSE)</f>
        <v>1.0342717139148361</v>
      </c>
      <c r="Z27" s="56">
        <f>VLOOKUP(Z$2&amp;$A27,'Raw'!$A$2:$Z$1225,7,FALSE)</f>
        <v>-0.26708785783267075</v>
      </c>
    </row>
    <row r="28" spans="1:26">
      <c r="A28" s="52">
        <v>43831</v>
      </c>
      <c r="B28" s="53">
        <v>43831</v>
      </c>
      <c r="C28" s="55">
        <f>VLOOKUP(C$2&amp;$A28,'Raw'!$A$2:$Z$1225,7,FALSE)</f>
        <v>-3.3787749752633989E-2</v>
      </c>
      <c r="D28" s="56">
        <f>VLOOKUP(D$2&amp;$A28,'Raw'!$A$2:$Z$1225,7,FALSE)</f>
        <v>-0.34734662685705908</v>
      </c>
      <c r="E28" s="55">
        <f>VLOOKUP(E$2&amp;$A28,'Raw'!$A$2:$Z$1225,7,FALSE)</f>
        <v>1.1550138093799234</v>
      </c>
      <c r="F28" s="56">
        <f>VLOOKUP(F$2&amp;$A28,'Raw'!$A$2:$Z$1225,7,FALSE)</f>
        <v>8.2717217954542122E-2</v>
      </c>
      <c r="G28" s="55">
        <f>VLOOKUP(G$2&amp;$A28,'Raw'!$A$2:$Z$1225,7,FALSE)</f>
        <v>6.2099985958852244E-3</v>
      </c>
      <c r="H28" s="56">
        <f>VLOOKUP(H$2&amp;$A28,'Raw'!$A$2:$Z$1225,7,FALSE)</f>
        <v>-0.12339765289560711</v>
      </c>
      <c r="I28" s="55">
        <f>VLOOKUP(I$2&amp;$A28,'Raw'!$A$2:$Z$1225,7,FALSE)</f>
        <v>1.0970023985814148</v>
      </c>
      <c r="J28" s="55">
        <f>VLOOKUP(J$2&amp;$A28,'Raw'!$A$2:$Z$1225,7,FALSE)</f>
        <v>9.7582828520414999E-2</v>
      </c>
      <c r="K28" s="55">
        <f>VLOOKUP(K$2&amp;$A28,'Raw'!$A$2:$Z$1225,7,FALSE)</f>
        <v>3.192562387677178E-3</v>
      </c>
      <c r="L28" s="56">
        <f>VLOOKUP(L$2&amp;$A28,'Raw'!$A$2:$Z$1225,7,FALSE)</f>
        <v>-0.25363056402392115</v>
      </c>
      <c r="M28" s="55">
        <f>VLOOKUP(M$2&amp;$A28,'Raw'!$A$2:$Z$1225,7,FALSE)</f>
        <v>1.0941498229880109</v>
      </c>
      <c r="N28" s="56">
        <f>VLOOKUP(N$2&amp;$A28,'Raw'!$A$2:$Z$1225,7,FALSE)</f>
        <v>-0.10503211782334487</v>
      </c>
      <c r="O28" s="55">
        <f>VLOOKUP(O$2&amp;$A28,'Raw'!$A$2:$Z$1225,7,FALSE)</f>
        <v>-0.13388400122310573</v>
      </c>
      <c r="P28" s="56">
        <f>VLOOKUP(P$2&amp;$A28,'Raw'!$A$2:$Z$1225,7,FALSE)</f>
        <v>-0.40801889181381057</v>
      </c>
      <c r="Q28" s="55">
        <f>VLOOKUP(Q$2&amp;$A28,'Raw'!$A$2:$Z$1225,7,FALSE)</f>
        <v>1.0694342571795357</v>
      </c>
      <c r="R28" s="56">
        <f>VLOOKUP(R$2&amp;$A28,'Raw'!$A$2:$Z$1225,7,FALSE)</f>
        <v>2.8008706313786824E-2</v>
      </c>
      <c r="S28" s="55">
        <f>VLOOKUP(S$2&amp;$A28,'Raw'!$A$2:$Z$1225,7,FALSE)</f>
        <v>-8.8738422251166682E-2</v>
      </c>
      <c r="T28" s="56">
        <f>VLOOKUP(T$2&amp;$A28,'Raw'!$A$2:$Z$1225,7,FALSE)</f>
        <v>-0.24196086799272987</v>
      </c>
      <c r="U28" s="55">
        <f>VLOOKUP(U$2&amp;$A28,'Raw'!$A$2:$Z$1225,7,FALSE)</f>
        <v>1.00497441211711</v>
      </c>
      <c r="V28" s="56">
        <f>VLOOKUP(V$2&amp;$A28,'Raw'!$A$2:$Z$1225,7,FALSE)</f>
        <v>-1.0597455724514759E-3</v>
      </c>
      <c r="W28" s="55">
        <f>VLOOKUP(W$2&amp;$A28,'Raw'!$A$2:$Z$1225,7,FALSE)</f>
        <v>-9.2374077601764526E-2</v>
      </c>
      <c r="X28" s="56">
        <f>VLOOKUP(X$2&amp;$A28,'Raw'!$A$2:$Z$1225,7,FALSE)</f>
        <v>-0.35836103437656419</v>
      </c>
      <c r="Y28" s="55">
        <f>VLOOKUP(Y$2&amp;$A28,'Raw'!$A$2:$Z$1225,7,FALSE)</f>
        <v>1.0026930014928048</v>
      </c>
      <c r="Z28" s="56">
        <f>VLOOKUP(Z$2&amp;$A28,'Raw'!$A$2:$Z$1225,7,FALSE)</f>
        <v>-0.19455324798064444</v>
      </c>
    </row>
    <row r="29" spans="1:26">
      <c r="A29" s="52">
        <v>44197</v>
      </c>
      <c r="B29" s="53">
        <v>44197</v>
      </c>
      <c r="C29" s="55">
        <f>VLOOKUP(C$2&amp;$A29,'Raw'!$A$2:$Z$1225,7,FALSE)</f>
        <v>-3.4566631695820416E-2</v>
      </c>
      <c r="D29" s="56">
        <f>VLOOKUP(D$2&amp;$A29,'Raw'!$A$2:$Z$1225,7,FALSE)</f>
        <v>-0.33621839812282284</v>
      </c>
      <c r="E29" s="55">
        <f>VLOOKUP(E$2&amp;$A29,'Raw'!$A$2:$Z$1225,7,FALSE)</f>
        <v>1.1344238720075506</v>
      </c>
      <c r="F29" s="56">
        <f>VLOOKUP(F$2&amp;$A29,'Raw'!$A$2:$Z$1225,7,FALSE)</f>
        <v>0.1010587535127172</v>
      </c>
      <c r="G29" s="55">
        <f>VLOOKUP(G$2&amp;$A29,'Raw'!$A$2:$Z$1225,7,FALSE)</f>
        <v>1.0910623167159628E-3</v>
      </c>
      <c r="H29" s="56">
        <f>VLOOKUP(H$2&amp;$A29,'Raw'!$A$2:$Z$1225,7,FALSE)</f>
        <v>-7.4779206514252738E-2</v>
      </c>
      <c r="I29" s="55">
        <f>VLOOKUP(I$2&amp;$A29,'Raw'!$A$2:$Z$1225,7,FALSE)</f>
        <v>1.0587596781358899</v>
      </c>
      <c r="J29" s="55">
        <f>VLOOKUP(J$2&amp;$A29,'Raw'!$A$2:$Z$1225,7,FALSE)</f>
        <v>0.22382769012785353</v>
      </c>
      <c r="K29" s="55">
        <f>VLOOKUP(K$2&amp;$A29,'Raw'!$A$2:$Z$1225,7,FALSE)</f>
        <v>3.9142390970692276E-4</v>
      </c>
      <c r="L29" s="56">
        <f>VLOOKUP(L$2&amp;$A29,'Raw'!$A$2:$Z$1225,7,FALSE)</f>
        <v>-0.21785247090044813</v>
      </c>
      <c r="M29" s="55">
        <f>VLOOKUP(M$2&amp;$A29,'Raw'!$A$2:$Z$1225,7,FALSE)</f>
        <v>1.0602390941213624</v>
      </c>
      <c r="N29" s="56">
        <f>VLOOKUP(N$2&amp;$A29,'Raw'!$A$2:$Z$1225,7,FALSE)</f>
        <v>-2.5727856530211035E-2</v>
      </c>
      <c r="O29" s="55">
        <f>VLOOKUP(O$2&amp;$A29,'Raw'!$A$2:$Z$1225,7,FALSE)</f>
        <v>-0.13405359267855133</v>
      </c>
      <c r="P29" s="56">
        <f>VLOOKUP(P$2&amp;$A29,'Raw'!$A$2:$Z$1225,7,FALSE)</f>
        <v>-0.39632549575000509</v>
      </c>
      <c r="Q29" s="55">
        <f>VLOOKUP(Q$2&amp;$A29,'Raw'!$A$2:$Z$1225,7,FALSE)</f>
        <v>1.0499062589659935</v>
      </c>
      <c r="R29" s="56">
        <f>VLOOKUP(R$2&amp;$A29,'Raw'!$A$2:$Z$1225,7,FALSE)</f>
        <v>4.6603658374344548E-2</v>
      </c>
      <c r="S29" s="55">
        <f>VLOOKUP(S$2&amp;$A29,'Raw'!$A$2:$Z$1225,7,FALSE)</f>
        <v>-9.2605693740477335E-2</v>
      </c>
      <c r="T29" s="56">
        <f>VLOOKUP(T$2&amp;$A29,'Raw'!$A$2:$Z$1225,7,FALSE)</f>
        <v>-0.19254083733545313</v>
      </c>
      <c r="U29" s="55">
        <f>VLOOKUP(U$2&amp;$A29,'Raw'!$A$2:$Z$1225,7,FALSE)</f>
        <v>0.96758930062015303</v>
      </c>
      <c r="V29" s="56">
        <f>VLOOKUP(V$2&amp;$A29,'Raw'!$A$2:$Z$1225,7,FALSE)</f>
        <v>0.12515846158240862</v>
      </c>
      <c r="W29" s="55">
        <f>VLOOKUP(W$2&amp;$A29,'Raw'!$A$2:$Z$1225,7,FALSE)</f>
        <v>-9.3653737080634514E-2</v>
      </c>
      <c r="X29" s="56">
        <f>VLOOKUP(X$2&amp;$A29,'Raw'!$A$2:$Z$1225,7,FALSE)</f>
        <v>-0.32557534110781994</v>
      </c>
      <c r="Y29" s="55">
        <f>VLOOKUP(Y$2&amp;$A29,'Raw'!$A$2:$Z$1225,7,FALSE)</f>
        <v>0.9697828724029689</v>
      </c>
      <c r="Z29" s="56">
        <f>VLOOKUP(Z$2&amp;$A29,'Raw'!$A$2:$Z$1225,7,FALSE)</f>
        <v>-0.118331159884566</v>
      </c>
    </row>
    <row r="30" spans="1:26">
      <c r="A30" s="52">
        <v>44562</v>
      </c>
      <c r="B30" s="53">
        <v>44562</v>
      </c>
      <c r="C30" s="55">
        <f>VLOOKUP(C$2&amp;$A30,'Raw'!$A$2:$Z$1225,7,FALSE)</f>
        <v>-3.5446244871373267E-2</v>
      </c>
      <c r="D30" s="56">
        <f>VLOOKUP(D$2&amp;$A30,'Raw'!$A$2:$Z$1225,7,FALSE)</f>
        <v>-0.32629734194651316</v>
      </c>
      <c r="E30" s="55">
        <f>VLOOKUP(E$2&amp;$A30,'Raw'!$A$2:$Z$1225,7,FALSE)</f>
        <v>1.1126278454068883</v>
      </c>
      <c r="F30" s="56">
        <f>VLOOKUP(F$2&amp;$A30,'Raw'!$A$2:$Z$1225,7,FALSE)</f>
        <v>0.11954288383073663</v>
      </c>
      <c r="G30" s="55">
        <f>VLOOKUP(G$2&amp;$A30,'Raw'!$A$2:$Z$1225,7,FALSE)</f>
        <v>-4.0860463537017999E-3</v>
      </c>
      <c r="H30" s="56">
        <f>VLOOKUP(H$2&amp;$A30,'Raw'!$A$2:$Z$1225,7,FALSE)</f>
        <v>-3.5572989779852904E-2</v>
      </c>
      <c r="I30" s="55">
        <f>VLOOKUP(I$2&amp;$A30,'Raw'!$A$2:$Z$1225,7,FALSE)</f>
        <v>1.0193091620551487</v>
      </c>
      <c r="J30" s="55">
        <f>VLOOKUP(J$2&amp;$A30,'Raw'!$A$2:$Z$1225,7,FALSE)</f>
        <v>0.34138504587764018</v>
      </c>
      <c r="K30" s="55">
        <f>VLOOKUP(K$2&amp;$A30,'Raw'!$A$2:$Z$1225,7,FALSE)</f>
        <v>-2.3999064240332046E-3</v>
      </c>
      <c r="L30" s="56">
        <f>VLOOKUP(L$2&amp;$A30,'Raw'!$A$2:$Z$1225,7,FALSE)</f>
        <v>-0.18683603634871426</v>
      </c>
      <c r="M30" s="55">
        <f>VLOOKUP(M$2&amp;$A30,'Raw'!$A$2:$Z$1225,7,FALSE)</f>
        <v>1.0254109067808326</v>
      </c>
      <c r="N30" s="56">
        <f>VLOOKUP(N$2&amp;$A30,'Raw'!$A$2:$Z$1225,7,FALSE)</f>
        <v>5.3030608366366749E-2</v>
      </c>
      <c r="O30" s="55">
        <f>VLOOKUP(O$2&amp;$A30,'Raw'!$A$2:$Z$1225,7,FALSE)</f>
        <v>-0.13417132578129598</v>
      </c>
      <c r="P30" s="56">
        <f>VLOOKUP(P$2&amp;$A30,'Raw'!$A$2:$Z$1225,7,FALSE)</f>
        <v>-0.38607731412226842</v>
      </c>
      <c r="Q30" s="55">
        <f>VLOOKUP(Q$2&amp;$A30,'Raw'!$A$2:$Z$1225,7,FALSE)</f>
        <v>1.0292172519437592</v>
      </c>
      <c r="R30" s="56">
        <f>VLOOKUP(R$2&amp;$A30,'Raw'!$A$2:$Z$1225,7,FALSE)</f>
        <v>6.5115975267104886E-2</v>
      </c>
      <c r="S30" s="55">
        <f>VLOOKUP(S$2&amp;$A30,'Raw'!$A$2:$Z$1225,7,FALSE)</f>
        <v>-9.6488899260738226E-2</v>
      </c>
      <c r="T30" s="56">
        <f>VLOOKUP(T$2&amp;$A30,'Raw'!$A$2:$Z$1225,7,FALSE)</f>
        <v>-0.15148855360701541</v>
      </c>
      <c r="U30" s="55">
        <f>VLOOKUP(U$2&amp;$A30,'Raw'!$A$2:$Z$1225,7,FALSE)</f>
        <v>0.9290081400322503</v>
      </c>
      <c r="V30" s="56">
        <f>VLOOKUP(V$2&amp;$A30,'Raw'!$A$2:$Z$1225,7,FALSE)</f>
        <v>0.24320531219998998</v>
      </c>
      <c r="W30" s="55">
        <f>VLOOKUP(W$2&amp;$A30,'Raw'!$A$2:$Z$1225,7,FALSE)</f>
        <v>-9.4858093306704472E-2</v>
      </c>
      <c r="X30" s="56">
        <f>VLOOKUP(X$2&amp;$A30,'Raw'!$A$2:$Z$1225,7,FALSE)</f>
        <v>-0.2972120943736889</v>
      </c>
      <c r="Y30" s="55">
        <f>VLOOKUP(Y$2&amp;$A30,'Raw'!$A$2:$Z$1225,7,FALSE)</f>
        <v>0.93597431237573137</v>
      </c>
      <c r="Z30" s="56">
        <f>VLOOKUP(Z$2&amp;$A30,'Raw'!$A$2:$Z$1225,7,FALSE)</f>
        <v>-4.2631412977633953E-2</v>
      </c>
    </row>
    <row r="31" spans="1:26">
      <c r="A31" s="52">
        <v>44927</v>
      </c>
      <c r="B31" s="53">
        <v>44927</v>
      </c>
      <c r="C31" s="55">
        <f>VLOOKUP(C$2&amp;$A31,'Raw'!$A$2:$Z$1225,7,FALSE)</f>
        <v>-3.6361956607711132E-2</v>
      </c>
      <c r="D31" s="56">
        <f>VLOOKUP(D$2&amp;$A31,'Raw'!$A$2:$Z$1225,7,FALSE)</f>
        <v>-0.31752467024374065</v>
      </c>
      <c r="E31" s="55">
        <f>VLOOKUP(E$2&amp;$A31,'Raw'!$A$2:$Z$1225,7,FALSE)</f>
        <v>1.0897606674091564</v>
      </c>
      <c r="F31" s="56">
        <f>VLOOKUP(F$2&amp;$A31,'Raw'!$A$2:$Z$1225,7,FALSE)</f>
        <v>0.13755891138096388</v>
      </c>
      <c r="G31" s="55">
        <f>VLOOKUP(G$2&amp;$A31,'Raw'!$A$2:$Z$1225,7,FALSE)</f>
        <v>-9.1308411715340654E-3</v>
      </c>
      <c r="H31" s="56">
        <f>VLOOKUP(H$2&amp;$A31,'Raw'!$A$2:$Z$1225,7,FALSE)</f>
        <v>-6.8529638457603959E-3</v>
      </c>
      <c r="I31" s="55">
        <f>VLOOKUP(I$2&amp;$A31,'Raw'!$A$2:$Z$1225,7,FALSE)</f>
        <v>0.97915577339655613</v>
      </c>
      <c r="J31" s="55">
        <f>VLOOKUP(J$2&amp;$A31,'Raw'!$A$2:$Z$1225,7,FALSE)</f>
        <v>0.44374900696497743</v>
      </c>
      <c r="K31" s="55">
        <f>VLOOKUP(K$2&amp;$A31,'Raw'!$A$2:$Z$1225,7,FALSE)</f>
        <v>-5.0616598166630666E-3</v>
      </c>
      <c r="L31" s="56">
        <f>VLOOKUP(L$2&amp;$A31,'Raw'!$A$2:$Z$1225,7,FALSE)</f>
        <v>-0.16122142724362964</v>
      </c>
      <c r="M31" s="55">
        <f>VLOOKUP(M$2&amp;$A31,'Raw'!$A$2:$Z$1225,7,FALSE)</f>
        <v>0.99003163764037616</v>
      </c>
      <c r="N31" s="56">
        <f>VLOOKUP(N$2&amp;$A31,'Raw'!$A$2:$Z$1225,7,FALSE)</f>
        <v>0.12741080177762765</v>
      </c>
      <c r="O31" s="55">
        <f>VLOOKUP(O$2&amp;$A31,'Raw'!$A$2:$Z$1225,7,FALSE)</f>
        <v>-0.13418650913989971</v>
      </c>
      <c r="P31" s="56">
        <f>VLOOKUP(P$2&amp;$A31,'Raw'!$A$2:$Z$1225,7,FALSE)</f>
        <v>-0.37718082882605142</v>
      </c>
      <c r="Q31" s="55">
        <f>VLOOKUP(Q$2&amp;$A31,'Raw'!$A$2:$Z$1225,7,FALSE)</f>
        <v>1.0075025023729589</v>
      </c>
      <c r="R31" s="56">
        <f>VLOOKUP(R$2&amp;$A31,'Raw'!$A$2:$Z$1225,7,FALSE)</f>
        <v>8.2989594389681898E-2</v>
      </c>
      <c r="S31" s="55">
        <f>VLOOKUP(S$2&amp;$A31,'Raw'!$A$2:$Z$1225,7,FALSE)</f>
        <v>-0.10024025009586213</v>
      </c>
      <c r="T31" s="56">
        <f>VLOOKUP(T$2&amp;$A31,'Raw'!$A$2:$Z$1225,7,FALSE)</f>
        <v>-0.11989711593821673</v>
      </c>
      <c r="U31" s="55">
        <f>VLOOKUP(U$2&amp;$A31,'Raw'!$A$2:$Z$1225,7,FALSE)</f>
        <v>0.8897258607541314</v>
      </c>
      <c r="V31" s="56">
        <f>VLOOKUP(V$2&amp;$A31,'Raw'!$A$2:$Z$1225,7,FALSE)</f>
        <v>0.34663950066353699</v>
      </c>
      <c r="W31" s="55">
        <f>VLOOKUP(W$2&amp;$A31,'Raw'!$A$2:$Z$1225,7,FALSE)</f>
        <v>-9.5912610016568589E-2</v>
      </c>
      <c r="X31" s="56">
        <f>VLOOKUP(X$2&amp;$A31,'Raw'!$A$2:$Z$1225,7,FALSE)</f>
        <v>-0.27376680451408619</v>
      </c>
      <c r="Y31" s="55">
        <f>VLOOKUP(Y$2&amp;$A31,'Raw'!$A$2:$Z$1225,7,FALSE)</f>
        <v>0.9016208714648144</v>
      </c>
      <c r="Z31" s="56">
        <f>VLOOKUP(Z$2&amp;$A31,'Raw'!$A$2:$Z$1225,7,FALSE)</f>
        <v>2.8885188694460773E-2</v>
      </c>
    </row>
    <row r="32" spans="1:26">
      <c r="A32" s="52">
        <v>45292</v>
      </c>
      <c r="B32" s="53">
        <v>45292</v>
      </c>
      <c r="C32" s="55">
        <f>VLOOKUP(C$2&amp;$A32,'Raw'!$A$2:$Z$1225,7,FALSE)</f>
        <v>-3.7237753305408017E-2</v>
      </c>
      <c r="D32" s="56">
        <f>VLOOKUP(D$2&amp;$A32,'Raw'!$A$2:$Z$1225,7,FALSE)</f>
        <v>-0.30977047665404767</v>
      </c>
      <c r="E32" s="55">
        <f>VLOOKUP(E$2&amp;$A32,'Raw'!$A$2:$Z$1225,7,FALSE)</f>
        <v>1.0659265380060345</v>
      </c>
      <c r="F32" s="56">
        <f>VLOOKUP(F$2&amp;$A32,'Raw'!$A$2:$Z$1225,7,FALSE)</f>
        <v>0.15466510875266071</v>
      </c>
      <c r="G32" s="55">
        <f>VLOOKUP(G$2&amp;$A32,'Raw'!$A$2:$Z$1225,7,FALSE)</f>
        <v>-1.3894852190488027E-2</v>
      </c>
      <c r="H32" s="56">
        <f>VLOOKUP(H$2&amp;$A32,'Raw'!$A$2:$Z$1225,7,FALSE)</f>
        <v>1.1074163445212726E-2</v>
      </c>
      <c r="I32" s="55">
        <f>VLOOKUP(I$2&amp;$A32,'Raw'!$A$2:$Z$1225,7,FALSE)</f>
        <v>0.93872234092153839</v>
      </c>
      <c r="J32" s="55">
        <f>VLOOKUP(J$2&amp;$A32,'Raw'!$A$2:$Z$1225,7,FALSE)</f>
        <v>0.52589988732303361</v>
      </c>
      <c r="K32" s="55">
        <f>VLOOKUP(K$2&amp;$A32,'Raw'!$A$2:$Z$1225,7,FALSE)</f>
        <v>-7.505309727262599E-3</v>
      </c>
      <c r="L32" s="56">
        <f>VLOOKUP(L$2&amp;$A32,'Raw'!$A$2:$Z$1225,7,FALSE)</f>
        <v>-0.14122622500969406</v>
      </c>
      <c r="M32" s="55">
        <f>VLOOKUP(M$2&amp;$A32,'Raw'!$A$2:$Z$1225,7,FALSE)</f>
        <v>0.95438876641804615</v>
      </c>
      <c r="N32" s="56">
        <f>VLOOKUP(N$2&amp;$A32,'Raw'!$A$2:$Z$1225,7,FALSE)</f>
        <v>0.19431502426723313</v>
      </c>
      <c r="O32" s="55">
        <f>VLOOKUP(O$2&amp;$A32,'Raw'!$A$2:$Z$1225,7,FALSE)</f>
        <v>-0.1340275321730533</v>
      </c>
      <c r="P32" s="56">
        <f>VLOOKUP(P$2&amp;$A32,'Raw'!$A$2:$Z$1225,7,FALSE)</f>
        <v>-0.36945968365243997</v>
      </c>
      <c r="Q32" s="55">
        <f>VLOOKUP(Q$2&amp;$A32,'Raw'!$A$2:$Z$1225,7,FALSE)</f>
        <v>0.98487509664630934</v>
      </c>
      <c r="R32" s="56">
        <f>VLOOKUP(R$2&amp;$A32,'Raw'!$A$2:$Z$1225,7,FALSE)</f>
        <v>9.9841897727714901E-2</v>
      </c>
      <c r="S32" s="55">
        <f>VLOOKUP(S$2&amp;$A32,'Raw'!$A$2:$Z$1225,7,FALSE)</f>
        <v>-0.10374419636561827</v>
      </c>
      <c r="T32" s="56">
        <f>VLOOKUP(T$2&amp;$A32,'Raw'!$A$2:$Z$1225,7,FALSE)</f>
        <v>-9.8148229654138053E-2</v>
      </c>
      <c r="U32" s="55">
        <f>VLOOKUP(U$2&amp;$A32,'Raw'!$A$2:$Z$1225,7,FALSE)</f>
        <v>0.85016141405753753</v>
      </c>
      <c r="V32" s="56">
        <f>VLOOKUP(V$2&amp;$A32,'Raw'!$A$2:$Z$1225,7,FALSE)</f>
        <v>0.43047630378560964</v>
      </c>
      <c r="W32" s="55">
        <f>VLOOKUP(W$2&amp;$A32,'Raw'!$A$2:$Z$1225,7,FALSE)</f>
        <v>-9.6763640450758803E-2</v>
      </c>
      <c r="X32" s="56">
        <f>VLOOKUP(X$2&amp;$A32,'Raw'!$A$2:$Z$1225,7,FALSE)</f>
        <v>-0.25534182681791195</v>
      </c>
      <c r="Y32" s="55">
        <f>VLOOKUP(Y$2&amp;$A32,'Raw'!$A$2:$Z$1225,7,FALSE)</f>
        <v>0.8670029264231438</v>
      </c>
      <c r="Z32" s="56">
        <f>VLOOKUP(Z$2&amp;$A32,'Raw'!$A$2:$Z$1225,7,FALSE)</f>
        <v>9.3280039482701582E-2</v>
      </c>
    </row>
    <row r="33" spans="1:26">
      <c r="A33" s="52">
        <v>45658</v>
      </c>
      <c r="B33" s="53">
        <v>45658</v>
      </c>
      <c r="C33" s="55">
        <f>VLOOKUP(C$2&amp;$A33,'Raw'!$A$2:$Z$1225,7,FALSE)</f>
        <v>-3.7999046394432412E-2</v>
      </c>
      <c r="D33" s="56">
        <f>VLOOKUP(D$2&amp;$A33,'Raw'!$A$2:$Z$1225,7,FALSE)</f>
        <v>-0.30286935988919073</v>
      </c>
      <c r="E33" s="55">
        <f>VLOOKUP(E$2&amp;$A33,'Raw'!$A$2:$Z$1225,7,FALSE)</f>
        <v>1.0412125299326114</v>
      </c>
      <c r="F33" s="56">
        <f>VLOOKUP(F$2&amp;$A33,'Raw'!$A$2:$Z$1225,7,FALSE)</f>
        <v>0.17056199674654327</v>
      </c>
      <c r="G33" s="55">
        <f>VLOOKUP(G$2&amp;$A33,'Raw'!$A$2:$Z$1225,7,FALSE)</f>
        <v>-1.8276039049214265E-2</v>
      </c>
      <c r="H33" s="56">
        <f>VLOOKUP(H$2&amp;$A33,'Raw'!$A$2:$Z$1225,7,FALSE)</f>
        <v>1.8584305758762021E-2</v>
      </c>
      <c r="I33" s="55">
        <f>VLOOKUP(I$2&amp;$A33,'Raw'!$A$2:$Z$1225,7,FALSE)</f>
        <v>0.89835105134885573</v>
      </c>
      <c r="J33" s="55">
        <f>VLOOKUP(J$2&amp;$A33,'Raw'!$A$2:$Z$1225,7,FALSE)</f>
        <v>0.58452992589381747</v>
      </c>
      <c r="K33" s="55">
        <f>VLOOKUP(K$2&amp;$A33,'Raw'!$A$2:$Z$1225,7,FALSE)</f>
        <v>-9.6757818746073809E-3</v>
      </c>
      <c r="L33" s="56">
        <f>VLOOKUP(L$2&amp;$A33,'Raw'!$A$2:$Z$1225,7,FALSE)</f>
        <v>-0.12670175296665143</v>
      </c>
      <c r="M33" s="55">
        <f>VLOOKUP(M$2&amp;$A33,'Raw'!$A$2:$Z$1225,7,FALSE)</f>
        <v>0.91870305129837515</v>
      </c>
      <c r="N33" s="56">
        <f>VLOOKUP(N$2&amp;$A33,'Raw'!$A$2:$Z$1225,7,FALSE)</f>
        <v>0.25149003918256696</v>
      </c>
      <c r="O33" s="55">
        <f>VLOOKUP(O$2&amp;$A33,'Raw'!$A$2:$Z$1225,7,FALSE)</f>
        <v>-0.13361854193816303</v>
      </c>
      <c r="P33" s="56">
        <f>VLOOKUP(P$2&amp;$A33,'Raw'!$A$2:$Z$1225,7,FALSE)</f>
        <v>-0.36269752891618934</v>
      </c>
      <c r="Q33" s="55">
        <f>VLOOKUP(Q$2&amp;$A33,'Raw'!$A$2:$Z$1225,7,FALSE)</f>
        <v>0.96143482976922545</v>
      </c>
      <c r="R33" s="56">
        <f>VLOOKUP(R$2&amp;$A33,'Raw'!$A$2:$Z$1225,7,FALSE)</f>
        <v>0.11543033834866545</v>
      </c>
      <c r="S33" s="55">
        <f>VLOOKUP(S$2&amp;$A33,'Raw'!$A$2:$Z$1225,7,FALSE)</f>
        <v>-0.10692345728789965</v>
      </c>
      <c r="T33" s="56">
        <f>VLOOKUP(T$2&amp;$A33,'Raw'!$A$2:$Z$1225,7,FALSE)</f>
        <v>-8.5994776881881396E-2</v>
      </c>
      <c r="U33" s="55">
        <f>VLOOKUP(U$2&amp;$A33,'Raw'!$A$2:$Z$1225,7,FALSE)</f>
        <v>0.81065582334252095</v>
      </c>
      <c r="V33" s="56">
        <f>VLOOKUP(V$2&amp;$A33,'Raw'!$A$2:$Z$1225,7,FALSE)</f>
        <v>0.49140484303207277</v>
      </c>
      <c r="W33" s="55">
        <f>VLOOKUP(W$2&amp;$A33,'Raw'!$A$2:$Z$1225,7,FALSE)</f>
        <v>-9.7382906365561794E-2</v>
      </c>
      <c r="X33" s="56">
        <f>VLOOKUP(X$2&amp;$A33,'Raw'!$A$2:$Z$1225,7,FALSE)</f>
        <v>-0.2417136879722892</v>
      </c>
      <c r="Y33" s="55">
        <f>VLOOKUP(Y$2&amp;$A33,'Raw'!$A$2:$Z$1225,7,FALSE)</f>
        <v>0.83233683219525734</v>
      </c>
      <c r="Z33" s="56">
        <f>VLOOKUP(Z$2&amp;$A33,'Raw'!$A$2:$Z$1225,7,FALSE)</f>
        <v>0.14843143860747698</v>
      </c>
    </row>
    <row r="34" spans="1:26">
      <c r="A34" s="52">
        <v>46023</v>
      </c>
      <c r="B34" s="53">
        <v>46023</v>
      </c>
      <c r="C34" s="55">
        <f>VLOOKUP(C$2&amp;$A34,'Raw'!$A$2:$Z$1225,7,FALSE)</f>
        <v>-3.8580976502877729E-2</v>
      </c>
      <c r="D34" s="56">
        <f>VLOOKUP(D$2&amp;$A34,'Raw'!$A$2:$Z$1225,7,FALSE)</f>
        <v>-0.29664731936852595</v>
      </c>
      <c r="E34" s="55">
        <f>VLOOKUP(E$2&amp;$A34,'Raw'!$A$2:$Z$1225,7,FALSE)</f>
        <v>1.0156989371083114</v>
      </c>
      <c r="F34" s="56">
        <f>VLOOKUP(F$2&amp;$A34,'Raw'!$A$2:$Z$1225,7,FALSE)</f>
        <v>0.18506514059946078</v>
      </c>
      <c r="G34" s="55">
        <f>VLOOKUP(G$2&amp;$A34,'Raw'!$A$2:$Z$1225,7,FALSE)</f>
        <v>-2.2215906031142207E-2</v>
      </c>
      <c r="H34" s="56">
        <f>VLOOKUP(H$2&amp;$A34,'Raw'!$A$2:$Z$1225,7,FALSE)</f>
        <v>1.6613428712974887E-2</v>
      </c>
      <c r="I34" s="55">
        <f>VLOOKUP(I$2&amp;$A34,'Raw'!$A$2:$Z$1225,7,FALSE)</f>
        <v>0.85830979207470737</v>
      </c>
      <c r="J34" s="55">
        <f>VLOOKUP(J$2&amp;$A34,'Raw'!$A$2:$Z$1225,7,FALSE)</f>
        <v>0.61811041305546155</v>
      </c>
      <c r="K34" s="55">
        <f>VLOOKUP(K$2&amp;$A34,'Raw'!$A$2:$Z$1225,7,FALSE)</f>
        <v>-1.1548810924399966E-2</v>
      </c>
      <c r="L34" s="56">
        <f>VLOOKUP(L$2&amp;$A34,'Raw'!$A$2:$Z$1225,7,FALSE)</f>
        <v>-0.1172059981674578</v>
      </c>
      <c r="M34" s="55">
        <f>VLOOKUP(M$2&amp;$A34,'Raw'!$A$2:$Z$1225,7,FALSE)</f>
        <v>0.88314145023469237</v>
      </c>
      <c r="N34" s="56">
        <f>VLOOKUP(N$2&amp;$A34,'Raw'!$A$2:$Z$1225,7,FALSE)</f>
        <v>0.29755644554012584</v>
      </c>
      <c r="O34" s="55">
        <f>VLOOKUP(O$2&amp;$A34,'Raw'!$A$2:$Z$1225,7,FALSE)</f>
        <v>-0.13289097360916768</v>
      </c>
      <c r="P34" s="56">
        <f>VLOOKUP(P$2&amp;$A34,'Raw'!$A$2:$Z$1225,7,FALSE)</f>
        <v>-0.356670388809599</v>
      </c>
      <c r="Q34" s="55">
        <f>VLOOKUP(Q$2&amp;$A34,'Raw'!$A$2:$Z$1225,7,FALSE)</f>
        <v>0.93727482336916079</v>
      </c>
      <c r="R34" s="56">
        <f>VLOOKUP(R$2&amp;$A34,'Raw'!$A$2:$Z$1225,7,FALSE)</f>
        <v>0.12962073217530623</v>
      </c>
      <c r="S34" s="55">
        <f>VLOOKUP(S$2&amp;$A34,'Raw'!$A$2:$Z$1225,7,FALSE)</f>
        <v>-0.1097374786352634</v>
      </c>
      <c r="T34" s="56">
        <f>VLOOKUP(T$2&amp;$A34,'Raw'!$A$2:$Z$1225,7,FALSE)</f>
        <v>-8.2675026654277506E-2</v>
      </c>
      <c r="U34" s="55">
        <f>VLOOKUP(U$2&amp;$A34,'Raw'!$A$2:$Z$1225,7,FALSE)</f>
        <v>0.77147696787944753</v>
      </c>
      <c r="V34" s="56">
        <f>VLOOKUP(V$2&amp;$A34,'Raw'!$A$2:$Z$1225,7,FALSE)</f>
        <v>0.52785307894260836</v>
      </c>
      <c r="W34" s="55">
        <f>VLOOKUP(W$2&amp;$A34,'Raw'!$A$2:$Z$1225,7,FALSE)</f>
        <v>-9.7766122366094166E-2</v>
      </c>
      <c r="X34" s="56">
        <f>VLOOKUP(X$2&amp;$A34,'Raw'!$A$2:$Z$1225,7,FALSE)</f>
        <v>-0.23241077262149412</v>
      </c>
      <c r="Y34" s="55">
        <f>VLOOKUP(Y$2&amp;$A34,'Raw'!$A$2:$Z$1225,7,FALSE)</f>
        <v>0.79778628942752672</v>
      </c>
      <c r="Z34" s="56">
        <f>VLOOKUP(Z$2&amp;$A34,'Raw'!$A$2:$Z$1225,7,FALSE)</f>
        <v>0.19305408314873596</v>
      </c>
    </row>
    <row r="35" spans="1:26">
      <c r="A35" s="52">
        <v>46388</v>
      </c>
      <c r="B35" s="53">
        <v>46388</v>
      </c>
      <c r="C35" s="55">
        <f>VLOOKUP(C$2&amp;$A35,'Raw'!$A$2:$Z$1225,7,FALSE)</f>
        <v>-3.8933448554245853E-2</v>
      </c>
      <c r="D35" s="56">
        <f>VLOOKUP(D$2&amp;$A35,'Raw'!$A$2:$Z$1225,7,FALSE)</f>
        <v>-0.29093965910255148</v>
      </c>
      <c r="E35" s="55">
        <f>VLOOKUP(E$2&amp;$A35,'Raw'!$A$2:$Z$1225,7,FALSE)</f>
        <v>0.98946595465754239</v>
      </c>
      <c r="F35" s="56">
        <f>VLOOKUP(F$2&amp;$A35,'Raw'!$A$2:$Z$1225,7,FALSE)</f>
        <v>0.1980796731437362</v>
      </c>
      <c r="G35" s="55">
        <f>VLOOKUP(G$2&amp;$A35,'Raw'!$A$2:$Z$1225,7,FALSE)</f>
        <v>-2.5692179760905542E-2</v>
      </c>
      <c r="H35" s="56">
        <f>VLOOKUP(H$2&amp;$A35,'Raw'!$A$2:$Z$1225,7,FALSE)</f>
        <v>6.515399995743465E-3</v>
      </c>
      <c r="I35" s="55">
        <f>VLOOKUP(I$2&amp;$A35,'Raw'!$A$2:$Z$1225,7,FALSE)</f>
        <v>0.81880329395265239</v>
      </c>
      <c r="J35" s="55">
        <f>VLOOKUP(J$2&amp;$A35,'Raw'!$A$2:$Z$1225,7,FALSE)</f>
        <v>0.62681384029585896</v>
      </c>
      <c r="K35" s="55">
        <f>VLOOKUP(K$2&amp;$A35,'Raw'!$A$2:$Z$1225,7,FALSE)</f>
        <v>-1.3125138424541216E-2</v>
      </c>
      <c r="L35" s="56">
        <f>VLOOKUP(L$2&amp;$A35,'Raw'!$A$2:$Z$1225,7,FALSE)</f>
        <v>-0.11208376094478112</v>
      </c>
      <c r="M35" s="55">
        <f>VLOOKUP(M$2&amp;$A35,'Raw'!$A$2:$Z$1225,7,FALSE)</f>
        <v>0.84783157792158725</v>
      </c>
      <c r="N35" s="56">
        <f>VLOOKUP(N$2&amp;$A35,'Raw'!$A$2:$Z$1225,7,FALSE)</f>
        <v>0.33196734850298171</v>
      </c>
      <c r="O35" s="55">
        <f>VLOOKUP(O$2&amp;$A35,'Raw'!$A$2:$Z$1225,7,FALSE)</f>
        <v>-0.13179062968722288</v>
      </c>
      <c r="P35" s="56">
        <f>VLOOKUP(P$2&amp;$A35,'Raw'!$A$2:$Z$1225,7,FALSE)</f>
        <v>-0.35116832336750115</v>
      </c>
      <c r="Q35" s="55">
        <f>VLOOKUP(Q$2&amp;$A35,'Raw'!$A$2:$Z$1225,7,FALSE)</f>
        <v>0.91248575515279207</v>
      </c>
      <c r="R35" s="56">
        <f>VLOOKUP(R$2&amp;$A35,'Raw'!$A$2:$Z$1225,7,FALSE)</f>
        <v>0.14235918188461039</v>
      </c>
      <c r="S35" s="55">
        <f>VLOOKUP(S$2&amp;$A35,'Raw'!$A$2:$Z$1225,7,FALSE)</f>
        <v>-0.11217622857335741</v>
      </c>
      <c r="T35" s="56">
        <f>VLOOKUP(T$2&amp;$A35,'Raw'!$A$2:$Z$1225,7,FALSE)</f>
        <v>-8.7042386740820987E-2</v>
      </c>
      <c r="U35" s="55">
        <f>VLOOKUP(U$2&amp;$A35,'Raw'!$A$2:$Z$1225,7,FALSE)</f>
        <v>0.73282976636619424</v>
      </c>
      <c r="V35" s="56">
        <f>VLOOKUP(V$2&amp;$A35,'Raw'!$A$2:$Z$1225,7,FALSE)</f>
        <v>0.53991173483329824</v>
      </c>
      <c r="W35" s="55">
        <f>VLOOKUP(W$2&amp;$A35,'Raw'!$A$2:$Z$1225,7,FALSE)</f>
        <v>-9.7928933330315715E-2</v>
      </c>
      <c r="X35" s="56">
        <f>VLOOKUP(X$2&amp;$A35,'Raw'!$A$2:$Z$1225,7,FALSE)</f>
        <v>-0.22679280740615093</v>
      </c>
      <c r="Y35" s="55">
        <f>VLOOKUP(Y$2&amp;$A35,'Raw'!$A$2:$Z$1225,7,FALSE)</f>
        <v>0.76347579203250859</v>
      </c>
      <c r="Z35" s="56">
        <f>VLOOKUP(Z$2&amp;$A35,'Raw'!$A$2:$Z$1225,7,FALSE)</f>
        <v>0.22665276303530657</v>
      </c>
    </row>
    <row r="36" spans="1:26">
      <c r="A36" s="52">
        <v>46753</v>
      </c>
      <c r="B36" s="53">
        <v>46753</v>
      </c>
      <c r="C36" s="55">
        <f>VLOOKUP(C$2&amp;$A36,'Raw'!$A$2:$Z$1225,7,FALSE)</f>
        <v>-3.902260604177199E-2</v>
      </c>
      <c r="D36" s="56">
        <f>VLOOKUP(D$2&amp;$A36,'Raw'!$A$2:$Z$1225,7,FALSE)</f>
        <v>-0.28560200569274219</v>
      </c>
      <c r="E36" s="55">
        <f>VLOOKUP(E$2&amp;$A36,'Raw'!$A$2:$Z$1225,7,FALSE)</f>
        <v>0.96259764638852996</v>
      </c>
      <c r="F36" s="56">
        <f>VLOOKUP(F$2&amp;$A36,'Raw'!$A$2:$Z$1225,7,FALSE)</f>
        <v>0.20957777923571452</v>
      </c>
      <c r="G36" s="55">
        <f>VLOOKUP(G$2&amp;$A36,'Raw'!$A$2:$Z$1225,7,FALSE)</f>
        <v>-2.8709350460676131E-2</v>
      </c>
      <c r="H36" s="56">
        <f>VLOOKUP(H$2&amp;$A36,'Raw'!$A$2:$Z$1225,7,FALSE)</f>
        <v>-1.008159640791817E-2</v>
      </c>
      <c r="I36" s="55">
        <f>VLOOKUP(I$2&amp;$A36,'Raw'!$A$2:$Z$1225,7,FALSE)</f>
        <v>0.77998844096933695</v>
      </c>
      <c r="J36" s="55">
        <f>VLOOKUP(J$2&amp;$A36,'Raw'!$A$2:$Z$1225,7,FALSE)</f>
        <v>0.61231298116020128</v>
      </c>
      <c r="K36" s="55">
        <f>VLOOKUP(K$2&amp;$A36,'Raw'!$A$2:$Z$1225,7,FALSE)</f>
        <v>-1.4423676705899169E-2</v>
      </c>
      <c r="L36" s="56">
        <f>VLOOKUP(L$2&amp;$A36,'Raw'!$A$2:$Z$1225,7,FALSE)</f>
        <v>-0.11054653753853616</v>
      </c>
      <c r="M36" s="55">
        <f>VLOOKUP(M$2&amp;$A36,'Raw'!$A$2:$Z$1225,7,FALSE)</f>
        <v>0.81287666054536967</v>
      </c>
      <c r="N36" s="56">
        <f>VLOOKUP(N$2&amp;$A36,'Raw'!$A$2:$Z$1225,7,FALSE)</f>
        <v>0.35491200225126196</v>
      </c>
      <c r="O36" s="55">
        <f>VLOOKUP(O$2&amp;$A36,'Raw'!$A$2:$Z$1225,7,FALSE)</f>
        <v>-0.13028094403481072</v>
      </c>
      <c r="P36" s="56">
        <f>VLOOKUP(P$2&amp;$A36,'Raw'!$A$2:$Z$1225,7,FALSE)</f>
        <v>-0.34600862418953104</v>
      </c>
      <c r="Q36" s="55">
        <f>VLOOKUP(Q$2&amp;$A36,'Raw'!$A$2:$Z$1225,7,FALSE)</f>
        <v>0.88715859666725905</v>
      </c>
      <c r="R36" s="56">
        <f>VLOOKUP(R$2&amp;$A36,'Raw'!$A$2:$Z$1225,7,FALSE)</f>
        <v>0.15364849661172464</v>
      </c>
      <c r="S36" s="55">
        <f>VLOOKUP(S$2&amp;$A36,'Raw'!$A$2:$Z$1225,7,FALSE)</f>
        <v>-0.11425229120241021</v>
      </c>
      <c r="T36" s="56">
        <f>VLOOKUP(T$2&amp;$A36,'Raw'!$A$2:$Z$1225,7,FALSE)</f>
        <v>-9.7694625047439754E-2</v>
      </c>
      <c r="U36" s="55">
        <f>VLOOKUP(U$2&amp;$A36,'Raw'!$A$2:$Z$1225,7,FALSE)</f>
        <v>0.69487116968438567</v>
      </c>
      <c r="V36" s="56">
        <f>VLOOKUP(V$2&amp;$A36,'Raw'!$A$2:$Z$1225,7,FALSE)</f>
        <v>0.5291399780378514</v>
      </c>
      <c r="W36" s="55">
        <f>VLOOKUP(W$2&amp;$A36,'Raw'!$A$2:$Z$1225,7,FALSE)</f>
        <v>-9.7901495034291575E-2</v>
      </c>
      <c r="X36" s="56">
        <f>VLOOKUP(X$2&amp;$A36,'Raw'!$A$2:$Z$1225,7,FALSE)</f>
        <v>-0.22412557875235439</v>
      </c>
      <c r="Y36" s="55">
        <f>VLOOKUP(Y$2&amp;$A36,'Raw'!$A$2:$Z$1225,7,FALSE)</f>
        <v>0.72950522641810345</v>
      </c>
      <c r="Z36" s="56">
        <f>VLOOKUP(Z$2&amp;$A36,'Raw'!$A$2:$Z$1225,7,FALSE)</f>
        <v>0.2494258156141349</v>
      </c>
    </row>
    <row r="37" spans="1:26">
      <c r="A37" s="52">
        <v>47119</v>
      </c>
      <c r="B37" s="53">
        <v>47119</v>
      </c>
      <c r="C37" s="55">
        <f>VLOOKUP(C$2&amp;$A37,'Raw'!$A$2:$Z$1225,7,FALSE)</f>
        <v>-3.8830824050606338E-2</v>
      </c>
      <c r="D37" s="56">
        <f>VLOOKUP(D$2&amp;$A37,'Raw'!$A$2:$Z$1225,7,FALSE)</f>
        <v>-0.28051512833077163</v>
      </c>
      <c r="E37" s="55">
        <f>VLOOKUP(E$2&amp;$A37,'Raw'!$A$2:$Z$1225,7,FALSE)</f>
        <v>0.93518362766915608</v>
      </c>
      <c r="F37" s="56">
        <f>VLOOKUP(F$2&amp;$A37,'Raw'!$A$2:$Z$1225,7,FALSE)</f>
        <v>0.21957991570442648</v>
      </c>
      <c r="G37" s="55">
        <f>VLOOKUP(G$2&amp;$A37,'Raw'!$A$2:$Z$1225,7,FALSE)</f>
        <v>-3.1288981601118593E-2</v>
      </c>
      <c r="H37" s="56">
        <f>VLOOKUP(H$2&amp;$A37,'Raw'!$A$2:$Z$1225,7,FALSE)</f>
        <v>-3.1408147011757759E-2</v>
      </c>
      <c r="I37" s="55">
        <f>VLOOKUP(I$2&amp;$A37,'Raw'!$A$2:$Z$1225,7,FALSE)</f>
        <v>0.74199132103363041</v>
      </c>
      <c r="J37" s="55">
        <f>VLOOKUP(J$2&amp;$A37,'Raw'!$A$2:$Z$1225,7,FALSE)</f>
        <v>0.5774900185490317</v>
      </c>
      <c r="K37" s="55">
        <f>VLOOKUP(K$2&amp;$A37,'Raw'!$A$2:$Z$1225,7,FALSE)</f>
        <v>-1.5474292372918974E-2</v>
      </c>
      <c r="L37" s="56">
        <f>VLOOKUP(L$2&amp;$A37,'Raw'!$A$2:$Z$1225,7,FALSE)</f>
        <v>-0.11174570556492514</v>
      </c>
      <c r="M37" s="55">
        <f>VLOOKUP(M$2&amp;$A37,'Raw'!$A$2:$Z$1225,7,FALSE)</f>
        <v>0.77836971986160464</v>
      </c>
      <c r="N37" s="56">
        <f>VLOOKUP(N$2&amp;$A37,'Raw'!$A$2:$Z$1225,7,FALSE)</f>
        <v>0.3671806048121784</v>
      </c>
      <c r="O37" s="55">
        <f>VLOOKUP(O$2&amp;$A37,'Raw'!$A$2:$Z$1225,7,FALSE)</f>
        <v>-0.12834355359379046</v>
      </c>
      <c r="P37" s="56">
        <f>VLOOKUP(P$2&amp;$A37,'Raw'!$A$2:$Z$1225,7,FALSE)</f>
        <v>-0.34104207779297457</v>
      </c>
      <c r="Q37" s="55">
        <f>VLOOKUP(Q$2&amp;$A37,'Raw'!$A$2:$Z$1225,7,FALSE)</f>
        <v>0.86138542314186939</v>
      </c>
      <c r="R37" s="56">
        <f>VLOOKUP(R$2&amp;$A37,'Raw'!$A$2:$Z$1225,7,FALSE)</f>
        <v>0.16352955062768348</v>
      </c>
      <c r="S37" s="55">
        <f>VLOOKUP(S$2&amp;$A37,'Raw'!$A$2:$Z$1225,7,FALSE)</f>
        <v>-0.11599213063747671</v>
      </c>
      <c r="T37" s="56">
        <f>VLOOKUP(T$2&amp;$A37,'Raw'!$A$2:$Z$1225,7,FALSE)</f>
        <v>-0.11309222430087029</v>
      </c>
      <c r="U37" s="55">
        <f>VLOOKUP(U$2&amp;$A37,'Raw'!$A$2:$Z$1225,7,FALSE)</f>
        <v>0.65772703040392066</v>
      </c>
      <c r="V37" s="56">
        <f>VLOOKUP(V$2&amp;$A37,'Raw'!$A$2:$Z$1225,7,FALSE)</f>
        <v>0.49828338762420987</v>
      </c>
      <c r="W37" s="55">
        <f>VLOOKUP(W$2&amp;$A37,'Raw'!$A$2:$Z$1225,7,FALSE)</f>
        <v>-9.7722605614369851E-2</v>
      </c>
      <c r="X37" s="56">
        <f>VLOOKUP(X$2&amp;$A37,'Raw'!$A$2:$Z$1225,7,FALSE)</f>
        <v>-0.22364582369150954</v>
      </c>
      <c r="Y37" s="55">
        <f>VLOOKUP(Y$2&amp;$A37,'Raw'!$A$2:$Z$1225,7,FALSE)</f>
        <v>0.69596395812911993</v>
      </c>
      <c r="Z37" s="56">
        <f>VLOOKUP(Z$2&amp;$A37,'Raw'!$A$2:$Z$1225,7,FALSE)</f>
        <v>0.26213385965707658</v>
      </c>
    </row>
    <row r="38" spans="1:26">
      <c r="A38" s="52">
        <v>47484</v>
      </c>
      <c r="B38" s="53">
        <v>47484</v>
      </c>
      <c r="C38" s="55">
        <f>VLOOKUP(C$2&amp;$A38,'Raw'!$A$2:$Z$1225,7,FALSE)</f>
        <v>-3.8354621336633699E-2</v>
      </c>
      <c r="D38" s="56">
        <f>VLOOKUP(D$2&amp;$A38,'Raw'!$A$2:$Z$1225,7,FALSE)</f>
        <v>-0.27558609067240836</v>
      </c>
      <c r="E38" s="55">
        <f>VLOOKUP(E$2&amp;$A38,'Raw'!$A$2:$Z$1225,7,FALSE)</f>
        <v>0.90731928397129735</v>
      </c>
      <c r="F38" s="56">
        <f>VLOOKUP(F$2&amp;$A38,'Raw'!$A$2:$Z$1225,7,FALSE)</f>
        <v>0.22813947080400077</v>
      </c>
      <c r="G38" s="55">
        <f>VLOOKUP(G$2&amp;$A38,'Raw'!$A$2:$Z$1225,7,FALSE)</f>
        <v>-3.3461358890962689E-2</v>
      </c>
      <c r="H38" s="56">
        <f>VLOOKUP(H$2&amp;$A38,'Raw'!$A$2:$Z$1225,7,FALSE)</f>
        <v>-5.566756032038267E-2</v>
      </c>
      <c r="I38" s="55">
        <f>VLOOKUP(I$2&amp;$A38,'Raw'!$A$2:$Z$1225,7,FALSE)</f>
        <v>0.70492387133120893</v>
      </c>
      <c r="J38" s="55">
        <f>VLOOKUP(J$2&amp;$A38,'Raw'!$A$2:$Z$1225,7,FALSE)</f>
        <v>0.5260931544062597</v>
      </c>
      <c r="K38" s="55">
        <f>VLOOKUP(K$2&amp;$A38,'Raw'!$A$2:$Z$1225,7,FALSE)</f>
        <v>-1.6312086289382854E-2</v>
      </c>
      <c r="L38" s="56">
        <f>VLOOKUP(L$2&amp;$A38,'Raw'!$A$2:$Z$1225,7,FALSE)</f>
        <v>-0.11483499275553033</v>
      </c>
      <c r="M38" s="55">
        <f>VLOOKUP(M$2&amp;$A38,'Raw'!$A$2:$Z$1225,7,FALSE)</f>
        <v>0.74440536696620541</v>
      </c>
      <c r="N38" s="56">
        <f>VLOOKUP(N$2&amp;$A38,'Raw'!$A$2:$Z$1225,7,FALSE)</f>
        <v>0.37000950370917884</v>
      </c>
      <c r="O38" s="55">
        <f>VLOOKUP(O$2&amp;$A38,'Raw'!$A$2:$Z$1225,7,FALSE)</f>
        <v>-0.12597679892102365</v>
      </c>
      <c r="P38" s="56">
        <f>VLOOKUP(P$2&amp;$A38,'Raw'!$A$2:$Z$1225,7,FALSE)</f>
        <v>-0.33615378363011095</v>
      </c>
      <c r="Q38" s="55">
        <f>VLOOKUP(Q$2&amp;$A38,'Raw'!$A$2:$Z$1225,7,FALSE)</f>
        <v>0.83525992049169329</v>
      </c>
      <c r="R38" s="56">
        <f>VLOOKUP(R$2&amp;$A38,'Raw'!$A$2:$Z$1225,7,FALSE)</f>
        <v>0.17206710260930791</v>
      </c>
      <c r="S38" s="55">
        <f>VLOOKUP(S$2&amp;$A38,'Raw'!$A$2:$Z$1225,7,FALSE)</f>
        <v>-0.11742878043415894</v>
      </c>
      <c r="T38" s="56">
        <f>VLOOKUP(T$2&amp;$A38,'Raw'!$A$2:$Z$1225,7,FALSE)</f>
        <v>-0.13165858791702734</v>
      </c>
      <c r="U38" s="55">
        <f>VLOOKUP(U$2&amp;$A38,'Raw'!$A$2:$Z$1225,7,FALSE)</f>
        <v>0.62150866180070707</v>
      </c>
      <c r="V38" s="56">
        <f>VLOOKUP(V$2&amp;$A38,'Raw'!$A$2:$Z$1225,7,FALSE)</f>
        <v>0.45094149385958016</v>
      </c>
      <c r="W38" s="55">
        <f>VLOOKUP(W$2&amp;$A38,'Raw'!$A$2:$Z$1225,7,FALSE)</f>
        <v>-9.743483083114457E-2</v>
      </c>
      <c r="X38" s="56">
        <f>VLOOKUP(X$2&amp;$A38,'Raw'!$A$2:$Z$1225,7,FALSE)</f>
        <v>-0.22461384815575247</v>
      </c>
      <c r="Y38" s="55">
        <f>VLOOKUP(Y$2&amp;$A38,'Raw'!$A$2:$Z$1225,7,FALSE)</f>
        <v>0.66294261657673381</v>
      </c>
      <c r="Z38" s="56">
        <f>VLOOKUP(Z$2&amp;$A38,'Raw'!$A$2:$Z$1225,7,FALSE)</f>
        <v>0.26595156865112379</v>
      </c>
    </row>
    <row r="39" spans="1:26">
      <c r="A39" s="52">
        <v>47849</v>
      </c>
      <c r="B39" s="53">
        <v>47849</v>
      </c>
      <c r="C39" s="55">
        <f>VLOOKUP(C$2&amp;$A39,'Raw'!$A$2:$Z$1225,7,FALSE)</f>
        <v>-3.7602398833580519E-2</v>
      </c>
      <c r="D39" s="56">
        <f>VLOOKUP(D$2&amp;$A39,'Raw'!$A$2:$Z$1225,7,FALSE)</f>
        <v>-0.27074608381733034</v>
      </c>
      <c r="E39" s="55">
        <f>VLOOKUP(E$2&amp;$A39,'Raw'!$A$2:$Z$1225,7,FALSE)</f>
        <v>0.87910465141731731</v>
      </c>
      <c r="F39" s="56">
        <f>VLOOKUP(F$2&amp;$A39,'Raw'!$A$2:$Z$1225,7,FALSE)</f>
        <v>0.23533121471546181</v>
      </c>
      <c r="G39" s="55">
        <f>VLOOKUP(G$2&amp;$A39,'Raw'!$A$2:$Z$1225,7,FALSE)</f>
        <v>-3.5259006905352663E-2</v>
      </c>
      <c r="H39" s="56">
        <f>VLOOKUP(H$2&amp;$A39,'Raw'!$A$2:$Z$1225,7,FALSE)</f>
        <v>-8.1126969846667674E-2</v>
      </c>
      <c r="I39" s="55">
        <f>VLOOKUP(I$2&amp;$A39,'Raw'!$A$2:$Z$1225,7,FALSE)</f>
        <v>0.66889729076660132</v>
      </c>
      <c r="J39" s="55">
        <f>VLOOKUP(J$2&amp;$A39,'Raw'!$A$2:$Z$1225,7,FALSE)</f>
        <v>0.46238049251550173</v>
      </c>
      <c r="K39" s="55">
        <f>VLOOKUP(K$2&amp;$A39,'Raw'!$A$2:$Z$1225,7,FALSE)</f>
        <v>-1.6972688715533035E-2</v>
      </c>
      <c r="L39" s="56">
        <f>VLOOKUP(L$2&amp;$A39,'Raw'!$A$2:$Z$1225,7,FALSE)</f>
        <v>-0.11902011723595729</v>
      </c>
      <c r="M39" s="55">
        <f>VLOOKUP(M$2&amp;$A39,'Raw'!$A$2:$Z$1225,7,FALSE)</f>
        <v>0.71108839606321972</v>
      </c>
      <c r="N39" s="56">
        <f>VLOOKUP(N$2&amp;$A39,'Raw'!$A$2:$Z$1225,7,FALSE)</f>
        <v>0.36492212190701867</v>
      </c>
      <c r="O39" s="55">
        <f>VLOOKUP(O$2&amp;$A39,'Raw'!$A$2:$Z$1225,7,FALSE)</f>
        <v>-0.12319328186245482</v>
      </c>
      <c r="P39" s="56">
        <f>VLOOKUP(P$2&amp;$A39,'Raw'!$A$2:$Z$1225,7,FALSE)</f>
        <v>-0.33126076054070808</v>
      </c>
      <c r="Q39" s="55">
        <f>VLOOKUP(Q$2&amp;$A39,'Raw'!$A$2:$Z$1225,7,FALSE)</f>
        <v>0.8088765724394209</v>
      </c>
      <c r="R39" s="56">
        <f>VLOOKUP(R$2&amp;$A39,'Raw'!$A$2:$Z$1225,7,FALSE)</f>
        <v>0.17933970983521341</v>
      </c>
      <c r="S39" s="55">
        <f>VLOOKUP(S$2&amp;$A39,'Raw'!$A$2:$Z$1225,7,FALSE)</f>
        <v>-0.11859601743118287</v>
      </c>
      <c r="T39" s="56">
        <f>VLOOKUP(T$2&amp;$A39,'Raw'!$A$2:$Z$1225,7,FALSE)</f>
        <v>-0.15185987291533865</v>
      </c>
      <c r="U39" s="55">
        <f>VLOOKUP(U$2&amp;$A39,'Raw'!$A$2:$Z$1225,7,FALSE)</f>
        <v>0.58632652240080407</v>
      </c>
      <c r="V39" s="56">
        <f>VLOOKUP(V$2&amp;$A39,'Raw'!$A$2:$Z$1225,7,FALSE)</f>
        <v>0.39122274410376967</v>
      </c>
      <c r="W39" s="55">
        <f>VLOOKUP(W$2&amp;$A39,'Raw'!$A$2:$Z$1225,7,FALSE)</f>
        <v>-9.70805560625565E-2</v>
      </c>
      <c r="X39" s="56">
        <f>VLOOKUP(X$2&amp;$A39,'Raw'!$A$2:$Z$1225,7,FALSE)</f>
        <v>-0.22635315260446376</v>
      </c>
      <c r="Y39" s="55">
        <f>VLOOKUP(Y$2&amp;$A39,'Raw'!$A$2:$Z$1225,7,FALSE)</f>
        <v>0.63054175940533419</v>
      </c>
      <c r="Z39" s="56">
        <f>VLOOKUP(Z$2&amp;$A39,'Raw'!$A$2:$Z$1225,7,FALSE)</f>
        <v>0.26231716477564948</v>
      </c>
    </row>
    <row r="40" spans="1:26">
      <c r="A40" s="52">
        <v>48214</v>
      </c>
      <c r="B40" s="53">
        <v>48214</v>
      </c>
      <c r="C40" s="55">
        <f>VLOOKUP(C$2&amp;$A40,'Raw'!$A$2:$Z$1225,7,FALSE)</f>
        <v>-3.6591608794633856E-2</v>
      </c>
      <c r="D40" s="56">
        <f>VLOOKUP(D$2&amp;$A40,'Raw'!$A$2:$Z$1225,7,FALSE)</f>
        <v>-0.26594721693361523</v>
      </c>
      <c r="E40" s="55">
        <f>VLOOKUP(E$2&amp;$A40,'Raw'!$A$2:$Z$1225,7,FALSE)</f>
        <v>0.85064292523278073</v>
      </c>
      <c r="F40" s="56">
        <f>VLOOKUP(F$2&amp;$A40,'Raw'!$A$2:$Z$1225,7,FALSE)</f>
        <v>0.24124251125212659</v>
      </c>
      <c r="G40" s="55">
        <f>VLOOKUP(G$2&amp;$A40,'Raw'!$A$2:$Z$1225,7,FALSE)</f>
        <v>-3.6712813851746962E-2</v>
      </c>
      <c r="H40" s="56">
        <f>VLOOKUP(H$2&amp;$A40,'Raw'!$A$2:$Z$1225,7,FALSE)</f>
        <v>-0.10618662055541517</v>
      </c>
      <c r="I40" s="55">
        <f>VLOOKUP(I$2&amp;$A40,'Raw'!$A$2:$Z$1225,7,FALSE)</f>
        <v>0.63402999841410956</v>
      </c>
      <c r="J40" s="55">
        <f>VLOOKUP(J$2&amp;$A40,'Raw'!$A$2:$Z$1225,7,FALSE)</f>
        <v>0.39078565429198076</v>
      </c>
      <c r="K40" s="55">
        <f>VLOOKUP(K$2&amp;$A40,'Raw'!$A$2:$Z$1225,7,FALSE)</f>
        <v>-1.7489363665601498E-2</v>
      </c>
      <c r="L40" s="56">
        <f>VLOOKUP(L$2&amp;$A40,'Raw'!$A$2:$Z$1225,7,FALSE)</f>
        <v>-0.12359509628714349</v>
      </c>
      <c r="M40" s="55">
        <f>VLOOKUP(M$2&amp;$A40,'Raw'!$A$2:$Z$1225,7,FALSE)</f>
        <v>0.67853705547340493</v>
      </c>
      <c r="N40" s="56">
        <f>VLOOKUP(N$2&amp;$A40,'Raw'!$A$2:$Z$1225,7,FALSE)</f>
        <v>0.35357940656024489</v>
      </c>
      <c r="O40" s="55">
        <f>VLOOKUP(O$2&amp;$A40,'Raw'!$A$2:$Z$1225,7,FALSE)</f>
        <v>-0.12001683401823282</v>
      </c>
      <c r="P40" s="56">
        <f>VLOOKUP(P$2&amp;$A40,'Raw'!$A$2:$Z$1225,7,FALSE)</f>
        <v>-0.32630752269914298</v>
      </c>
      <c r="Q40" s="55">
        <f>VLOOKUP(Q$2&amp;$A40,'Raw'!$A$2:$Z$1225,7,FALSE)</f>
        <v>0.78232984121551219</v>
      </c>
      <c r="R40" s="56">
        <f>VLOOKUP(R$2&amp;$A40,'Raw'!$A$2:$Z$1225,7,FALSE)</f>
        <v>0.1854324697850851</v>
      </c>
      <c r="S40" s="55">
        <f>VLOOKUP(S$2&amp;$A40,'Raw'!$A$2:$Z$1225,7,FALSE)</f>
        <v>-0.1195247209938799</v>
      </c>
      <c r="T40" s="56">
        <f>VLOOKUP(T$2&amp;$A40,'Raw'!$A$2:$Z$1225,7,FALSE)</f>
        <v>-0.1722651791519092</v>
      </c>
      <c r="U40" s="55">
        <f>VLOOKUP(U$2&amp;$A40,'Raw'!$A$2:$Z$1225,7,FALSE)</f>
        <v>0.55229798950695574</v>
      </c>
      <c r="V40" s="56">
        <f>VLOOKUP(V$2&amp;$A40,'Raw'!$A$2:$Z$1225,7,FALSE)</f>
        <v>0.32342001484431115</v>
      </c>
      <c r="W40" s="55">
        <f>VLOOKUP(W$2&amp;$A40,'Raw'!$A$2:$Z$1225,7,FALSE)</f>
        <v>-9.6698922920679387E-2</v>
      </c>
      <c r="X40" s="56">
        <f>VLOOKUP(X$2&amp;$A40,'Raw'!$A$2:$Z$1225,7,FALSE)</f>
        <v>-0.22827727293582845</v>
      </c>
      <c r="Y40" s="55">
        <f>VLOOKUP(Y$2&amp;$A40,'Raw'!$A$2:$Z$1225,7,FALSE)</f>
        <v>0.59887515387708756</v>
      </c>
      <c r="Z40" s="56">
        <f>VLOOKUP(Z$2&amp;$A40,'Raw'!$A$2:$Z$1225,7,FALSE)</f>
        <v>0.25279192786873406</v>
      </c>
    </row>
    <row r="41" spans="1:26">
      <c r="A41" s="52">
        <v>48580</v>
      </c>
      <c r="B41" s="53">
        <v>48580</v>
      </c>
      <c r="C41" s="55">
        <f>VLOOKUP(C$2&amp;$A41,'Raw'!$A$2:$Z$1225,7,FALSE)</f>
        <v>-3.5345818053489353E-2</v>
      </c>
      <c r="D41" s="56">
        <f>VLOOKUP(D$2&amp;$A41,'Raw'!$A$2:$Z$1225,7,FALSE)</f>
        <v>-0.26115828779800232</v>
      </c>
      <c r="E41" s="55">
        <f>VLOOKUP(E$2&amp;$A41,'Raw'!$A$2:$Z$1225,7,FALSE)</f>
        <v>0.82203841389927312</v>
      </c>
      <c r="F41" s="56">
        <f>VLOOKUP(F$2&amp;$A41,'Raw'!$A$2:$Z$1225,7,FALSE)</f>
        <v>0.24596694430314425</v>
      </c>
      <c r="G41" s="55">
        <f>VLOOKUP(G$2&amp;$A41,'Raw'!$A$2:$Z$1225,7,FALSE)</f>
        <v>-3.7850406501804823E-2</v>
      </c>
      <c r="H41" s="56">
        <f>VLOOKUP(H$2&amp;$A41,'Raw'!$A$2:$Z$1225,7,FALSE)</f>
        <v>-0.12943022867241138</v>
      </c>
      <c r="I41" s="55">
        <f>VLOOKUP(I$2&amp;$A41,'Raw'!$A$2:$Z$1225,7,FALSE)</f>
        <v>0.60045009841069863</v>
      </c>
      <c r="J41" s="55">
        <f>VLOOKUP(J$2&amp;$A41,'Raw'!$A$2:$Z$1225,7,FALSE)</f>
        <v>0.31563107500089949</v>
      </c>
      <c r="K41" s="55">
        <f>VLOOKUP(K$2&amp;$A41,'Raw'!$A$2:$Z$1225,7,FALSE)</f>
        <v>-1.7891431971561733E-2</v>
      </c>
      <c r="L41" s="56">
        <f>VLOOKUP(L$2&amp;$A41,'Raw'!$A$2:$Z$1225,7,FALSE)</f>
        <v>-0.12796567951468552</v>
      </c>
      <c r="M41" s="55">
        <f>VLOOKUP(M$2&amp;$A41,'Raw'!$A$2:$Z$1225,7,FALSE)</f>
        <v>0.64688197561670879</v>
      </c>
      <c r="N41" s="56">
        <f>VLOOKUP(N$2&amp;$A41,'Raw'!$A$2:$Z$1225,7,FALSE)</f>
        <v>0.33764991763993724</v>
      </c>
      <c r="O41" s="55">
        <f>VLOOKUP(O$2&amp;$A41,'Raw'!$A$2:$Z$1225,7,FALSE)</f>
        <v>-0.1164793892969862</v>
      </c>
      <c r="P41" s="56">
        <f>VLOOKUP(P$2&amp;$A41,'Raw'!$A$2:$Z$1225,7,FALSE)</f>
        <v>-0.32126076332181785</v>
      </c>
      <c r="Q41" s="55">
        <f>VLOOKUP(Q$2&amp;$A41,'Raw'!$A$2:$Z$1225,7,FALSE)</f>
        <v>0.75571300229335669</v>
      </c>
      <c r="R41" s="56">
        <f>VLOOKUP(R$2&amp;$A41,'Raw'!$A$2:$Z$1225,7,FALSE)</f>
        <v>0.19043275407590876</v>
      </c>
      <c r="S41" s="55">
        <f>VLOOKUP(S$2&amp;$A41,'Raw'!$A$2:$Z$1225,7,FALSE)</f>
        <v>-0.12024106038930338</v>
      </c>
      <c r="T41" s="56">
        <f>VLOOKUP(T$2&amp;$A41,'Raw'!$A$2:$Z$1225,7,FALSE)</f>
        <v>-0.19159070291770997</v>
      </c>
      <c r="U41" s="55">
        <f>VLOOKUP(U$2&amp;$A41,'Raw'!$A$2:$Z$1225,7,FALSE)</f>
        <v>0.51954982167550234</v>
      </c>
      <c r="V41" s="56">
        <f>VLOOKUP(V$2&amp;$A41,'Raw'!$A$2:$Z$1225,7,FALSE)</f>
        <v>0.2517324946497812</v>
      </c>
      <c r="W41" s="55">
        <f>VLOOKUP(W$2&amp;$A41,'Raw'!$A$2:$Z$1225,7,FALSE)</f>
        <v>-9.6324106401546317E-2</v>
      </c>
      <c r="X41" s="56">
        <f>VLOOKUP(X$2&amp;$A41,'Raw'!$A$2:$Z$1225,7,FALSE)</f>
        <v>-0.22990525093036229</v>
      </c>
      <c r="Y41" s="55">
        <f>VLOOKUP(Y$2&amp;$A41,'Raw'!$A$2:$Z$1225,7,FALSE)</f>
        <v>0.56806897676950907</v>
      </c>
      <c r="Z41" s="56">
        <f>VLOOKUP(Z$2&amp;$A41,'Raw'!$A$2:$Z$1225,7,FALSE)</f>
        <v>0.23893918809849701</v>
      </c>
    </row>
    <row r="42" spans="1:26">
      <c r="A42" s="52">
        <v>48945</v>
      </c>
      <c r="B42" s="53">
        <v>48945</v>
      </c>
      <c r="C42" s="55">
        <f>VLOOKUP(C$2&amp;$A42,'Raw'!$A$2:$Z$1225,7,FALSE)</f>
        <v>-3.3892505059607281E-2</v>
      </c>
      <c r="D42" s="56">
        <f>VLOOKUP(D$2&amp;$A42,'Raw'!$A$2:$Z$1225,7,FALSE)</f>
        <v>-0.25636086137484915</v>
      </c>
      <c r="E42" s="55">
        <f>VLOOKUP(E$2&amp;$A42,'Raw'!$A$2:$Z$1225,7,FALSE)</f>
        <v>0.79339457192202367</v>
      </c>
      <c r="F42" s="56">
        <f>VLOOKUP(F$2&amp;$A42,'Raw'!$A$2:$Z$1225,7,FALSE)</f>
        <v>0.24960014459063373</v>
      </c>
      <c r="G42" s="55">
        <f>VLOOKUP(G$2&amp;$A42,'Raw'!$A$2:$Z$1225,7,FALSE)</f>
        <v>-3.8696318997122336E-2</v>
      </c>
      <c r="H42" s="56">
        <f>VLOOKUP(H$2&amp;$A42,'Raw'!$A$2:$Z$1225,7,FALSE)</f>
        <v>-0.14966118319273969</v>
      </c>
      <c r="I42" s="55">
        <f>VLOOKUP(I$2&amp;$A42,'Raw'!$A$2:$Z$1225,7,FALSE)</f>
        <v>0.56829109743434802</v>
      </c>
      <c r="J42" s="55">
        <f>VLOOKUP(J$2&amp;$A42,'Raw'!$A$2:$Z$1225,7,FALSE)</f>
        <v>0.24090363851361207</v>
      </c>
      <c r="K42" s="55">
        <f>VLOOKUP(K$2&amp;$A42,'Raw'!$A$2:$Z$1225,7,FALSE)</f>
        <v>-1.8203816542294859E-2</v>
      </c>
      <c r="L42" s="56">
        <f>VLOOKUP(L$2&amp;$A42,'Raw'!$A$2:$Z$1225,7,FALSE)</f>
        <v>-0.1316620231116894</v>
      </c>
      <c r="M42" s="55">
        <f>VLOOKUP(M$2&amp;$A42,'Raw'!$A$2:$Z$1225,7,FALSE)</f>
        <v>0.61626031735475539</v>
      </c>
      <c r="N42" s="56">
        <f>VLOOKUP(N$2&amp;$A42,'Raw'!$A$2:$Z$1225,7,FALSE)</f>
        <v>0.31870583790098994</v>
      </c>
      <c r="O42" s="55">
        <f>VLOOKUP(O$2&amp;$A42,'Raw'!$A$2:$Z$1225,7,FALSE)</f>
        <v>-0.11261813202682047</v>
      </c>
      <c r="P42" s="56">
        <f>VLOOKUP(P$2&amp;$A42,'Raw'!$A$2:$Z$1225,7,FALSE)</f>
        <v>-0.3161041266120157</v>
      </c>
      <c r="Q42" s="55">
        <f>VLOOKUP(Q$2&amp;$A42,'Raw'!$A$2:$Z$1225,7,FALSE)</f>
        <v>0.72911694724726583</v>
      </c>
      <c r="R42" s="56">
        <f>VLOOKUP(R$2&amp;$A42,'Raw'!$A$2:$Z$1225,7,FALSE)</f>
        <v>0.19442712388417771</v>
      </c>
      <c r="S42" s="55">
        <f>VLOOKUP(S$2&amp;$A42,'Raw'!$A$2:$Z$1225,7,FALSE)</f>
        <v>-0.12076621556302847</v>
      </c>
      <c r="T42" s="56">
        <f>VLOOKUP(T$2&amp;$A42,'Raw'!$A$2:$Z$1225,7,FALSE)</f>
        <v>-0.20873167499634304</v>
      </c>
      <c r="U42" s="55">
        <f>VLOOKUP(U$2&amp;$A42,'Raw'!$A$2:$Z$1225,7,FALSE)</f>
        <v>0.48821405981425148</v>
      </c>
      <c r="V42" s="56">
        <f>VLOOKUP(V$2&amp;$A42,'Raw'!$A$2:$Z$1225,7,FALSE)</f>
        <v>0.18004746312065834</v>
      </c>
      <c r="W42" s="55">
        <f>VLOOKUP(W$2&amp;$A42,'Raw'!$A$2:$Z$1225,7,FALSE)</f>
        <v>-9.5984138398352847E-2</v>
      </c>
      <c r="X42" s="56">
        <f>VLOOKUP(X$2&amp;$A42,'Raw'!$A$2:$Z$1225,7,FALSE)</f>
        <v>-0.23086818534607811</v>
      </c>
      <c r="Y42" s="55">
        <f>VLOOKUP(Y$2&amp;$A42,'Raw'!$A$2:$Z$1225,7,FALSE)</f>
        <v>0.53825585114513075</v>
      </c>
      <c r="Z42" s="56">
        <f>VLOOKUP(Z$2&amp;$A42,'Raw'!$A$2:$Z$1225,7,FALSE)</f>
        <v>0.22222809145475697</v>
      </c>
    </row>
    <row r="43" spans="1:26">
      <c r="A43" s="52">
        <v>49310</v>
      </c>
      <c r="B43" s="53">
        <v>49310</v>
      </c>
      <c r="C43" s="55">
        <f>VLOOKUP(C$2&amp;$A43,'Raw'!$A$2:$Z$1225,7,FALSE)</f>
        <v>-3.2260951001550353E-2</v>
      </c>
      <c r="D43" s="56">
        <f>VLOOKUP(D$2&amp;$A43,'Raw'!$A$2:$Z$1225,7,FALSE)</f>
        <v>-0.25154554181553435</v>
      </c>
      <c r="E43" s="55">
        <f>VLOOKUP(E$2&amp;$A43,'Raw'!$A$2:$Z$1225,7,FALSE)</f>
        <v>0.76481247380340012</v>
      </c>
      <c r="F43" s="56">
        <f>VLOOKUP(F$2&amp;$A43,'Raw'!$A$2:$Z$1225,7,FALSE)</f>
        <v>0.25223685028614717</v>
      </c>
      <c r="G43" s="55">
        <f>VLOOKUP(G$2&amp;$A43,'Raw'!$A$2:$Z$1225,7,FALSE)</f>
        <v>-3.9273224237401649E-2</v>
      </c>
      <c r="H43" s="56">
        <f>VLOOKUP(H$2&amp;$A43,'Raw'!$A$2:$Z$1225,7,FALSE)</f>
        <v>-0.16592875871042079</v>
      </c>
      <c r="I43" s="55">
        <f>VLOOKUP(I$2&amp;$A43,'Raw'!$A$2:$Z$1225,7,FALSE)</f>
        <v>0.53768282761412767</v>
      </c>
      <c r="J43" s="55">
        <f>VLOOKUP(J$2&amp;$A43,'Raw'!$A$2:$Z$1225,7,FALSE)</f>
        <v>0.17009494887432197</v>
      </c>
      <c r="K43" s="55">
        <f>VLOOKUP(K$2&amp;$A43,'Raw'!$A$2:$Z$1225,7,FALSE)</f>
        <v>-1.8447632468077124E-2</v>
      </c>
      <c r="L43" s="56">
        <f>VLOOKUP(L$2&amp;$A43,'Raw'!$A$2:$Z$1225,7,FALSE)</f>
        <v>-0.13434158124060458</v>
      </c>
      <c r="M43" s="55">
        <f>VLOOKUP(M$2&amp;$A43,'Raw'!$A$2:$Z$1225,7,FALSE)</f>
        <v>0.58680632278043099</v>
      </c>
      <c r="N43" s="56">
        <f>VLOOKUP(N$2&amp;$A43,'Raw'!$A$2:$Z$1225,7,FALSE)</f>
        <v>0.29814748166474558</v>
      </c>
      <c r="O43" s="55">
        <f>VLOOKUP(O$2&amp;$A43,'Raw'!$A$2:$Z$1225,7,FALSE)</f>
        <v>-0.10847313454972474</v>
      </c>
      <c r="P43" s="56">
        <f>VLOOKUP(P$2&amp;$A43,'Raw'!$A$2:$Z$1225,7,FALSE)</f>
        <v>-0.31083334731469847</v>
      </c>
      <c r="Q43" s="55">
        <f>VLOOKUP(Q$2&amp;$A43,'Raw'!$A$2:$Z$1225,7,FALSE)</f>
        <v>0.70262919872241536</v>
      </c>
      <c r="R43" s="56">
        <f>VLOOKUP(R$2&amp;$A43,'Raw'!$A$2:$Z$1225,7,FALSE)</f>
        <v>0.19749993465372206</v>
      </c>
      <c r="S43" s="55">
        <f>VLOOKUP(S$2&amp;$A43,'Raw'!$A$2:$Z$1225,7,FALSE)</f>
        <v>-0.1211170161068198</v>
      </c>
      <c r="T43" s="56">
        <f>VLOOKUP(T$2&amp;$A43,'Raw'!$A$2:$Z$1225,7,FALSE)</f>
        <v>-0.2227864073324759</v>
      </c>
      <c r="U43" s="55">
        <f>VLOOKUP(U$2&amp;$A43,'Raw'!$A$2:$Z$1225,7,FALSE)</f>
        <v>0.45841906980084168</v>
      </c>
      <c r="V43" s="56">
        <f>VLOOKUP(V$2&amp;$A43,'Raw'!$A$2:$Z$1225,7,FALSE)</f>
        <v>0.1117845691477326</v>
      </c>
      <c r="W43" s="55">
        <f>VLOOKUP(W$2&amp;$A43,'Raw'!$A$2:$Z$1225,7,FALSE)</f>
        <v>-9.5700793130926165E-2</v>
      </c>
      <c r="X43" s="56">
        <f>VLOOKUP(X$2&amp;$A43,'Raw'!$A$2:$Z$1225,7,FALSE)</f>
        <v>-0.23090774311673723</v>
      </c>
      <c r="Y43" s="55">
        <f>VLOOKUP(Y$2&amp;$A43,'Raw'!$A$2:$Z$1225,7,FALSE)</f>
        <v>0.50956597507094692</v>
      </c>
      <c r="Z43" s="56">
        <f>VLOOKUP(Z$2&amp;$A43,'Raw'!$A$2:$Z$1225,7,FALSE)</f>
        <v>0.20396456484483849</v>
      </c>
    </row>
    <row r="44" spans="1:26">
      <c r="A44" s="52">
        <v>49675</v>
      </c>
      <c r="B44" s="53">
        <v>49675</v>
      </c>
      <c r="C44" s="55">
        <f>VLOOKUP(C$2&amp;$A44,'Raw'!$A$2:$Z$1225,7,FALSE)</f>
        <v>-3.0480602796312262E-2</v>
      </c>
      <c r="D44" s="56">
        <f>VLOOKUP(D$2&amp;$A44,'Raw'!$A$2:$Z$1225,7,FALSE)</f>
        <v>-0.24670916249092123</v>
      </c>
      <c r="E44" s="55">
        <f>VLOOKUP(E$2&amp;$A44,'Raw'!$A$2:$Z$1225,7,FALSE)</f>
        <v>0.736389005694571</v>
      </c>
      <c r="F44" s="56">
        <f>VLOOKUP(F$2&amp;$A44,'Raw'!$A$2:$Z$1225,7,FALSE)</f>
        <v>0.25396891360225382</v>
      </c>
      <c r="G44" s="55">
        <f>VLOOKUP(G$2&amp;$A44,'Raw'!$A$2:$Z$1225,7,FALSE)</f>
        <v>-3.9603873518379018E-2</v>
      </c>
      <c r="H44" s="56">
        <f>VLOOKUP(H$2&amp;$A44,'Raw'!$A$2:$Z$1225,7,FALSE)</f>
        <v>-0.17754683678935512</v>
      </c>
      <c r="I44" s="55">
        <f>VLOOKUP(I$2&amp;$A44,'Raw'!$A$2:$Z$1225,7,FALSE)</f>
        <v>0.50873952750976059</v>
      </c>
      <c r="J44" s="55">
        <f>VLOOKUP(J$2&amp;$A44,'Raw'!$A$2:$Z$1225,7,FALSE)</f>
        <v>0.10610094809238024</v>
      </c>
      <c r="K44" s="55">
        <f>VLOOKUP(K$2&amp;$A44,'Raw'!$A$2:$Z$1225,7,FALSE)</f>
        <v>-1.8640902888167332E-2</v>
      </c>
      <c r="L44" s="56">
        <f>VLOOKUP(L$2&amp;$A44,'Raw'!$A$2:$Z$1225,7,FALSE)</f>
        <v>-0.13578507725505728</v>
      </c>
      <c r="M44" s="55">
        <f>VLOOKUP(M$2&amp;$A44,'Raw'!$A$2:$Z$1225,7,FALSE)</f>
        <v>0.55864079492955465</v>
      </c>
      <c r="N44" s="56">
        <f>VLOOKUP(N$2&amp;$A44,'Raw'!$A$2:$Z$1225,7,FALSE)</f>
        <v>0.27715623045796445</v>
      </c>
      <c r="O44" s="55">
        <f>VLOOKUP(O$2&amp;$A44,'Raw'!$A$2:$Z$1225,7,FALSE)</f>
        <v>-0.10408526300157428</v>
      </c>
      <c r="P44" s="56">
        <f>VLOOKUP(P$2&amp;$A44,'Raw'!$A$2:$Z$1225,7,FALSE)</f>
        <v>-0.30545231772930448</v>
      </c>
      <c r="Q44" s="55">
        <f>VLOOKUP(Q$2&amp;$A44,'Raw'!$A$2:$Z$1225,7,FALSE)</f>
        <v>0.67633306456811315</v>
      </c>
      <c r="R44" s="56">
        <f>VLOOKUP(R$2&amp;$A44,'Raw'!$A$2:$Z$1225,7,FALSE)</f>
        <v>0.19973239804038645</v>
      </c>
      <c r="S44" s="55">
        <f>VLOOKUP(S$2&amp;$A44,'Raw'!$A$2:$Z$1225,7,FALSE)</f>
        <v>-0.12130744214797762</v>
      </c>
      <c r="T44" s="56">
        <f>VLOOKUP(T$2&amp;$A44,'Raw'!$A$2:$Z$1225,7,FALSE)</f>
        <v>-0.23307423702034757</v>
      </c>
      <c r="U44" s="55">
        <f>VLOOKUP(U$2&amp;$A44,'Raw'!$A$2:$Z$1225,7,FALSE)</f>
        <v>0.43027783285456422</v>
      </c>
      <c r="V44" s="56">
        <f>VLOOKUP(V$2&amp;$A44,'Raw'!$A$2:$Z$1225,7,FALSE)</f>
        <v>4.9797086182890027E-2</v>
      </c>
      <c r="W44" s="55">
        <f>VLOOKUP(W$2&amp;$A44,'Raw'!$A$2:$Z$1225,7,FALSE)</f>
        <v>-9.5489546082905274E-2</v>
      </c>
      <c r="X44" s="56">
        <f>VLOOKUP(X$2&amp;$A44,'Raw'!$A$2:$Z$1225,7,FALSE)</f>
        <v>-0.22986966801752384</v>
      </c>
      <c r="Y44" s="55">
        <f>VLOOKUP(Y$2&amp;$A44,'Raw'!$A$2:$Z$1225,7,FALSE)</f>
        <v>0.48211662518549137</v>
      </c>
      <c r="Z44" s="56">
        <f>VLOOKUP(Z$2&amp;$A44,'Raw'!$A$2:$Z$1225,7,FALSE)</f>
        <v>0.18524881996029308</v>
      </c>
    </row>
    <row r="45" spans="1:26">
      <c r="A45" s="52">
        <v>50041</v>
      </c>
      <c r="B45" s="53">
        <v>50041</v>
      </c>
      <c r="C45" s="55">
        <f>VLOOKUP(C$2&amp;$A45,'Raw'!$A$2:$Z$1225,7,FALSE)</f>
        <v>-2.8579957092933483E-2</v>
      </c>
      <c r="D45" s="56">
        <f>VLOOKUP(D$2&amp;$A45,'Raw'!$A$2:$Z$1225,7,FALSE)</f>
        <v>-0.24185233058410249</v>
      </c>
      <c r="E45" s="55">
        <f>VLOOKUP(E$2&amp;$A45,'Raw'!$A$2:$Z$1225,7,FALSE)</f>
        <v>0.70821585648326302</v>
      </c>
      <c r="F45" s="56">
        <f>VLOOKUP(F$2&amp;$A45,'Raw'!$A$2:$Z$1225,7,FALSE)</f>
        <v>0.25488429424607162</v>
      </c>
      <c r="G45" s="55">
        <f>VLOOKUP(G$2&amp;$A45,'Raw'!$A$2:$Z$1225,7,FALSE)</f>
        <v>-3.9712639611988454E-2</v>
      </c>
      <c r="H45" s="56">
        <f>VLOOKUP(H$2&amp;$A45,'Raw'!$A$2:$Z$1225,7,FALSE)</f>
        <v>-0.18410656464467046</v>
      </c>
      <c r="I45" s="55">
        <f>VLOOKUP(I$2&amp;$A45,'Raw'!$A$2:$Z$1225,7,FALSE)</f>
        <v>0.48154680823671026</v>
      </c>
      <c r="J45" s="55">
        <f>VLOOKUP(J$2&amp;$A45,'Raw'!$A$2:$Z$1225,7,FALSE)</f>
        <v>5.11688437563107E-2</v>
      </c>
      <c r="K45" s="55">
        <f>VLOOKUP(K$2&amp;$A45,'Raw'!$A$2:$Z$1225,7,FALSE)</f>
        <v>-1.8799401285030104E-2</v>
      </c>
      <c r="L45" s="56">
        <f>VLOOKUP(L$2&amp;$A45,'Raw'!$A$2:$Z$1225,7,FALSE)</f>
        <v>-0.13588643911555121</v>
      </c>
      <c r="M45" s="55">
        <f>VLOOKUP(M$2&amp;$A45,'Raw'!$A$2:$Z$1225,7,FALSE)</f>
        <v>0.53185988879200785</v>
      </c>
      <c r="N45" s="56">
        <f>VLOOKUP(N$2&amp;$A45,'Raw'!$A$2:$Z$1225,7,FALSE)</f>
        <v>0.25667310092085671</v>
      </c>
      <c r="O45" s="55">
        <f>VLOOKUP(O$2&amp;$A45,'Raw'!$A$2:$Z$1225,7,FALSE)</f>
        <v>-9.9494895220786361E-2</v>
      </c>
      <c r="P45" s="56">
        <f>VLOOKUP(P$2&amp;$A45,'Raw'!$A$2:$Z$1225,7,FALSE)</f>
        <v>-0.29996984397900883</v>
      </c>
      <c r="Q45" s="55">
        <f>VLOOKUP(Q$2&amp;$A45,'Raw'!$A$2:$Z$1225,7,FALSE)</f>
        <v>0.6503067510865046</v>
      </c>
      <c r="R45" s="56">
        <f>VLOOKUP(R$2&amp;$A45,'Raw'!$A$2:$Z$1225,7,FALSE)</f>
        <v>0.20120209913012665</v>
      </c>
      <c r="S45" s="55">
        <f>VLOOKUP(S$2&amp;$A45,'Raw'!$A$2:$Z$1225,7,FALSE)</f>
        <v>-0.12134991574497267</v>
      </c>
      <c r="T45" s="56">
        <f>VLOOKUP(T$2&amp;$A45,'Raw'!$A$2:$Z$1225,7,FALSE)</f>
        <v>-0.2391489444628192</v>
      </c>
      <c r="U45" s="55">
        <f>VLOOKUP(U$2&amp;$A45,'Raw'!$A$2:$Z$1225,7,FALSE)</f>
        <v>0.4038751001291363</v>
      </c>
      <c r="V45" s="56">
        <f>VLOOKUP(V$2&amp;$A45,'Raw'!$A$2:$Z$1225,7,FALSE)</f>
        <v>-3.6809913470658984E-3</v>
      </c>
      <c r="W45" s="55">
        <f>VLOOKUP(W$2&amp;$A45,'Raw'!$A$2:$Z$1225,7,FALSE)</f>
        <v>-9.5360107351916135E-2</v>
      </c>
      <c r="X45" s="56">
        <f>VLOOKUP(X$2&amp;$A45,'Raw'!$A$2:$Z$1225,7,FALSE)</f>
        <v>-0.22769302962037941</v>
      </c>
      <c r="Y45" s="55">
        <f>VLOOKUP(Y$2&amp;$A45,'Raw'!$A$2:$Z$1225,7,FALSE)</f>
        <v>0.45600144506818818</v>
      </c>
      <c r="Z45" s="56">
        <f>VLOOKUP(Z$2&amp;$A45,'Raw'!$A$2:$Z$1225,7,FALSE)</f>
        <v>0.16695664730566051</v>
      </c>
    </row>
    <row r="46" spans="1:26">
      <c r="A46" s="52">
        <v>50406</v>
      </c>
      <c r="B46" s="53">
        <v>50406</v>
      </c>
      <c r="C46" s="55">
        <f>VLOOKUP(C$2&amp;$A46,'Raw'!$A$2:$Z$1225,7,FALSE)</f>
        <v>-2.658583456554009E-2</v>
      </c>
      <c r="D46" s="56">
        <f>VLOOKUP(D$2&amp;$A46,'Raw'!$A$2:$Z$1225,7,FALSE)</f>
        <v>-0.23697787375458468</v>
      </c>
      <c r="E46" s="55">
        <f>VLOOKUP(E$2&amp;$A46,'Raw'!$A$2:$Z$1225,7,FALSE)</f>
        <v>0.6803784688999448</v>
      </c>
      <c r="F46" s="56">
        <f>VLOOKUP(F$2&amp;$A46,'Raw'!$A$2:$Z$1225,7,FALSE)</f>
        <v>0.25506631933700508</v>
      </c>
      <c r="G46" s="55">
        <f>VLOOKUP(G$2&amp;$A46,'Raw'!$A$2:$Z$1225,7,FALSE)</f>
        <v>-3.9626684263993628E-2</v>
      </c>
      <c r="H46" s="56">
        <f>VLOOKUP(H$2&amp;$A46,'Raw'!$A$2:$Z$1225,7,FALSE)</f>
        <v>-0.18548106298305056</v>
      </c>
      <c r="I46" s="55">
        <f>VLOOKUP(I$2&amp;$A46,'Raw'!$A$2:$Z$1225,7,FALSE)</f>
        <v>0.45615046757851996</v>
      </c>
      <c r="J46" s="55">
        <f>VLOOKUP(J$2&amp;$A46,'Raw'!$A$2:$Z$1225,7,FALSE)</f>
        <v>6.8798835811900716E-3</v>
      </c>
      <c r="K46" s="55">
        <f>VLOOKUP(K$2&amp;$A46,'Raw'!$A$2:$Z$1225,7,FALSE)</f>
        <v>-1.8937453346801192E-2</v>
      </c>
      <c r="L46" s="56">
        <f>VLOOKUP(L$2&amp;$A46,'Raw'!$A$2:$Z$1225,7,FALSE)</f>
        <v>-0.13463909354657355</v>
      </c>
      <c r="M46" s="55">
        <f>VLOOKUP(M$2&amp;$A46,'Raw'!$A$2:$Z$1225,7,FALSE)</f>
        <v>0.50652624777602906</v>
      </c>
      <c r="N46" s="56">
        <f>VLOOKUP(N$2&amp;$A46,'Raw'!$A$2:$Z$1225,7,FALSE)</f>
        <v>0.23739819807615525</v>
      </c>
      <c r="O46" s="55">
        <f>VLOOKUP(O$2&amp;$A46,'Raw'!$A$2:$Z$1225,7,FALSE)</f>
        <v>-9.474075552796668E-2</v>
      </c>
      <c r="P46" s="56">
        <f>VLOOKUP(P$2&amp;$A46,'Raw'!$A$2:$Z$1225,7,FALSE)</f>
        <v>-0.29439740923967728</v>
      </c>
      <c r="Q46" s="55">
        <f>VLOOKUP(Q$2&amp;$A46,'Raw'!$A$2:$Z$1225,7,FALSE)</f>
        <v>0.62462288016467138</v>
      </c>
      <c r="R46" s="56">
        <f>VLOOKUP(R$2&amp;$A46,'Raw'!$A$2:$Z$1225,7,FALSE)</f>
        <v>0.20198279362071414</v>
      </c>
      <c r="S46" s="55">
        <f>VLOOKUP(S$2&amp;$A46,'Raw'!$A$2:$Z$1225,7,FALSE)</f>
        <v>-0.12125628773711483</v>
      </c>
      <c r="T46" s="56">
        <f>VLOOKUP(T$2&amp;$A46,'Raw'!$A$2:$Z$1225,7,FALSE)</f>
        <v>-0.24080581686730662</v>
      </c>
      <c r="U46" s="55">
        <f>VLOOKUP(U$2&amp;$A46,'Raw'!$A$2:$Z$1225,7,FALSE)</f>
        <v>0.37925658296666942</v>
      </c>
      <c r="V46" s="56">
        <f>VLOOKUP(V$2&amp;$A46,'Raw'!$A$2:$Z$1225,7,FALSE)</f>
        <v>-4.7053876682345841E-2</v>
      </c>
      <c r="W46" s="55">
        <f>VLOOKUP(W$2&amp;$A46,'Raw'!$A$2:$Z$1225,7,FALSE)</f>
        <v>-9.5316972364511976E-2</v>
      </c>
      <c r="X46" s="56">
        <f>VLOOKUP(X$2&amp;$A46,'Raw'!$A$2:$Z$1225,7,FALSE)</f>
        <v>-0.22439690386325539</v>
      </c>
      <c r="Y46" s="55">
        <f>VLOOKUP(Y$2&amp;$A46,'Raw'!$A$2:$Z$1225,7,FALSE)</f>
        <v>0.43128187489602787</v>
      </c>
      <c r="Z46" s="56">
        <f>VLOOKUP(Z$2&amp;$A46,'Raw'!$A$2:$Z$1225,7,FALSE)</f>
        <v>0.14974024838381172</v>
      </c>
    </row>
    <row r="47" spans="1:26">
      <c r="A47" s="52">
        <v>50771</v>
      </c>
      <c r="B47" s="53">
        <v>50771</v>
      </c>
      <c r="C47" s="55">
        <f>VLOOKUP(C$2&amp;$A47,'Raw'!$A$2:$Z$1225,7,FALSE)</f>
        <v>-2.4522834926554715E-2</v>
      </c>
      <c r="D47" s="56">
        <f>VLOOKUP(D$2&amp;$A47,'Raw'!$A$2:$Z$1225,7,FALSE)</f>
        <v>-0.23208977732850355</v>
      </c>
      <c r="E47" s="55">
        <f>VLOOKUP(E$2&amp;$A47,'Raw'!$A$2:$Z$1225,7,FALSE)</f>
        <v>0.65295567175791547</v>
      </c>
      <c r="F47" s="56">
        <f>VLOOKUP(F$2&amp;$A47,'Raw'!$A$2:$Z$1225,7,FALSE)</f>
        <v>0.25459320597889246</v>
      </c>
      <c r="G47" s="55">
        <f>VLOOKUP(G$2&amp;$A47,'Raw'!$A$2:$Z$1225,7,FALSE)</f>
        <v>-3.9376352194686604E-2</v>
      </c>
      <c r="H47" s="56">
        <f>VLOOKUP(H$2&amp;$A47,'Raw'!$A$2:$Z$1225,7,FALSE)</f>
        <v>-0.18182040209983041</v>
      </c>
      <c r="I47" s="55">
        <f>VLOOKUP(I$2&amp;$A47,'Raw'!$A$2:$Z$1225,7,FALSE)</f>
        <v>0.43254859473538243</v>
      </c>
      <c r="J47" s="55">
        <f>VLOOKUP(J$2&amp;$A47,'Raw'!$A$2:$Z$1225,7,FALSE)</f>
        <v>-2.5842005005471957E-2</v>
      </c>
      <c r="K47" s="55">
        <f>VLOOKUP(K$2&amp;$A47,'Raw'!$A$2:$Z$1225,7,FALSE)</f>
        <v>-1.906837233752734E-2</v>
      </c>
      <c r="L47" s="56">
        <f>VLOOKUP(L$2&amp;$A47,'Raw'!$A$2:$Z$1225,7,FALSE)</f>
        <v>-0.13211936139192471</v>
      </c>
      <c r="M47" s="55">
        <f>VLOOKUP(M$2&amp;$A47,'Raw'!$A$2:$Z$1225,7,FALSE)</f>
        <v>0.48266306447986018</v>
      </c>
      <c r="N47" s="56">
        <f>VLOOKUP(N$2&amp;$A47,'Raw'!$A$2:$Z$1225,7,FALSE)</f>
        <v>0.21980659513811673</v>
      </c>
      <c r="O47" s="55">
        <f>VLOOKUP(O$2&amp;$A47,'Raw'!$A$2:$Z$1225,7,FALSE)</f>
        <v>-8.9859330661234971E-2</v>
      </c>
      <c r="P47" s="56">
        <f>VLOOKUP(P$2&amp;$A47,'Raw'!$A$2:$Z$1225,7,FALSE)</f>
        <v>-0.2887476885793494</v>
      </c>
      <c r="Q47" s="55">
        <f>VLOOKUP(Q$2&amp;$A47,'Raw'!$A$2:$Z$1225,7,FALSE)</f>
        <v>0.59934833989165881</v>
      </c>
      <c r="R47" s="56">
        <f>VLOOKUP(R$2&amp;$A47,'Raw'!$A$2:$Z$1225,7,FALSE)</f>
        <v>0.20214423965094763</v>
      </c>
      <c r="S47" s="55">
        <f>VLOOKUP(S$2&amp;$A47,'Raw'!$A$2:$Z$1225,7,FALSE)</f>
        <v>-0.12103881427726337</v>
      </c>
      <c r="T47" s="56">
        <f>VLOOKUP(T$2&amp;$A47,'Raw'!$A$2:$Z$1225,7,FALSE)</f>
        <v>-0.23808065835485559</v>
      </c>
      <c r="U47" s="55">
        <f>VLOOKUP(U$2&amp;$A47,'Raw'!$A$2:$Z$1225,7,FALSE)</f>
        <v>0.35642120222083573</v>
      </c>
      <c r="V47" s="56">
        <f>VLOOKUP(V$2&amp;$A47,'Raw'!$A$2:$Z$1225,7,FALSE)</f>
        <v>-7.935783449356526E-2</v>
      </c>
      <c r="W47" s="55">
        <f>VLOOKUP(W$2&amp;$A47,'Raw'!$A$2:$Z$1225,7,FALSE)</f>
        <v>-9.5360101551833498E-2</v>
      </c>
      <c r="X47" s="56">
        <f>VLOOKUP(X$2&amp;$A47,'Raw'!$A$2:$Z$1225,7,FALSE)</f>
        <v>-0.22006550289969118</v>
      </c>
      <c r="Y47" s="55">
        <f>VLOOKUP(Y$2&amp;$A47,'Raw'!$A$2:$Z$1225,7,FALSE)</f>
        <v>0.40798130341721528</v>
      </c>
      <c r="Z47" s="56">
        <f>VLOOKUP(Z$2&amp;$A47,'Raw'!$A$2:$Z$1225,7,FALSE)</f>
        <v>0.13404365020543985</v>
      </c>
    </row>
    <row r="48" spans="1:26">
      <c r="A48" s="52">
        <v>51136</v>
      </c>
      <c r="B48" s="53">
        <v>51136</v>
      </c>
      <c r="C48" s="55">
        <f>VLOOKUP(C$2&amp;$A48,'Raw'!$A$2:$Z$1225,7,FALSE)</f>
        <v>-2.2413207874327767E-2</v>
      </c>
      <c r="D48" s="56">
        <f>VLOOKUP(D$2&amp;$A48,'Raw'!$A$2:$Z$1225,7,FALSE)</f>
        <v>-0.22719255713691267</v>
      </c>
      <c r="E48" s="55">
        <f>VLOOKUP(E$2&amp;$A48,'Raw'!$A$2:$Z$1225,7,FALSE)</f>
        <v>0.62601907501369514</v>
      </c>
      <c r="F48" s="56">
        <f>VLOOKUP(F$2&amp;$A48,'Raw'!$A$2:$Z$1225,7,FALSE)</f>
        <v>0.25353800137373206</v>
      </c>
      <c r="G48" s="55">
        <f>VLOOKUP(G$2&amp;$A48,'Raw'!$A$2:$Z$1225,7,FALSE)</f>
        <v>-3.899482594542647E-2</v>
      </c>
      <c r="H48" s="56">
        <f>VLOOKUP(H$2&amp;$A48,'Raw'!$A$2:$Z$1225,7,FALSE)</f>
        <v>-0.17353448673552707</v>
      </c>
      <c r="I48" s="55">
        <f>VLOOKUP(I$2&amp;$A48,'Raw'!$A$2:$Z$1225,7,FALSE)</f>
        <v>0.41068819202132456</v>
      </c>
      <c r="J48" s="55">
        <f>VLOOKUP(J$2&amp;$A48,'Raw'!$A$2:$Z$1225,7,FALSE)</f>
        <v>-4.6702692973199511E-2</v>
      </c>
      <c r="K48" s="55">
        <f>VLOOKUP(K$2&amp;$A48,'Raw'!$A$2:$Z$1225,7,FALSE)</f>
        <v>-1.920441616091173E-2</v>
      </c>
      <c r="L48" s="56">
        <f>VLOOKUP(L$2&amp;$A48,'Raw'!$A$2:$Z$1225,7,FALSE)</f>
        <v>-0.12846861420459099</v>
      </c>
      <c r="M48" s="55">
        <f>VLOOKUP(M$2&amp;$A48,'Raw'!$A$2:$Z$1225,7,FALSE)</f>
        <v>0.46025169727634818</v>
      </c>
      <c r="N48" s="56">
        <f>VLOOKUP(N$2&amp;$A48,'Raw'!$A$2:$Z$1225,7,FALSE)</f>
        <v>0.20417481073051746</v>
      </c>
      <c r="O48" s="55">
        <f>VLOOKUP(O$2&amp;$A48,'Raw'!$A$2:$Z$1225,7,FALSE)</f>
        <v>-8.4884496996007197E-2</v>
      </c>
      <c r="P48" s="56">
        <f>VLOOKUP(P$2&amp;$A48,'Raw'!$A$2:$Z$1225,7,FALSE)</f>
        <v>-0.28303343008366788</v>
      </c>
      <c r="Q48" s="55">
        <f>VLOOKUP(Q$2&amp;$A48,'Raw'!$A$2:$Z$1225,7,FALSE)</f>
        <v>0.57454373220473531</v>
      </c>
      <c r="R48" s="56">
        <f>VLOOKUP(R$2&amp;$A48,'Raw'!$A$2:$Z$1225,7,FALSE)</f>
        <v>0.20175217688056524</v>
      </c>
      <c r="S48" s="55">
        <f>VLOOKUP(S$2&amp;$A48,'Raw'!$A$2:$Z$1225,7,FALSE)</f>
        <v>-0.12071027787214916</v>
      </c>
      <c r="T48" s="56">
        <f>VLOOKUP(T$2&amp;$A48,'Raw'!$A$2:$Z$1225,7,FALSE)</f>
        <v>-0.23123878340373105</v>
      </c>
      <c r="U48" s="55">
        <f>VLOOKUP(U$2&amp;$A48,'Raw'!$A$2:$Z$1225,7,FALSE)</f>
        <v>0.33531780746183237</v>
      </c>
      <c r="V48" s="56">
        <f>VLOOKUP(V$2&amp;$A48,'Raw'!$A$2:$Z$1225,7,FALSE)</f>
        <v>-0.10023737310256298</v>
      </c>
      <c r="W48" s="55">
        <f>VLOOKUP(W$2&amp;$A48,'Raw'!$A$2:$Z$1225,7,FALSE)</f>
        <v>-9.5485502780012776E-2</v>
      </c>
      <c r="X48" s="56">
        <f>VLOOKUP(X$2&amp;$A48,'Raw'!$A$2:$Z$1225,7,FALSE)</f>
        <v>-0.21483272794303732</v>
      </c>
      <c r="Y48" s="55">
        <f>VLOOKUP(Y$2&amp;$A48,'Raw'!$A$2:$Z$1225,7,FALSE)</f>
        <v>0.38608304444185393</v>
      </c>
      <c r="Z48" s="56">
        <f>VLOOKUP(Z$2&amp;$A48,'Raw'!$A$2:$Z$1225,7,FALSE)</f>
        <v>0.1201279329214433</v>
      </c>
    </row>
    <row r="49" spans="1:26">
      <c r="A49" s="52">
        <v>51502</v>
      </c>
      <c r="B49" s="53">
        <v>51502</v>
      </c>
      <c r="C49" s="55">
        <f>VLOOKUP(C$2&amp;$A49,'Raw'!$A$2:$Z$1225,7,FALSE)</f>
        <v>-2.0276680278341619E-2</v>
      </c>
      <c r="D49" s="56">
        <f>VLOOKUP(D$2&amp;$A49,'Raw'!$A$2:$Z$1225,7,FALSE)</f>
        <v>-0.22229099250473672</v>
      </c>
      <c r="E49" s="55">
        <f>VLOOKUP(E$2&amp;$A49,'Raw'!$A$2:$Z$1225,7,FALSE)</f>
        <v>0.59963310681239168</v>
      </c>
      <c r="F49" s="56">
        <f>VLOOKUP(F$2&amp;$A49,'Raw'!$A$2:$Z$1225,7,FALSE)</f>
        <v>0.25196829919742481</v>
      </c>
      <c r="G49" s="55">
        <f>VLOOKUP(G$2&amp;$A49,'Raw'!$A$2:$Z$1225,7,FALSE)</f>
        <v>-3.8516897346818624E-2</v>
      </c>
      <c r="H49" s="56">
        <f>VLOOKUP(H$2&amp;$A49,'Raw'!$A$2:$Z$1225,7,FALSE)</f>
        <v>-0.16126222019197112</v>
      </c>
      <c r="I49" s="55">
        <f>VLOOKUP(I$2&amp;$A49,'Raw'!$A$2:$Z$1225,7,FALSE)</f>
        <v>0.39046690215838176</v>
      </c>
      <c r="J49" s="55">
        <f>VLOOKUP(J$2&amp;$A49,'Raw'!$A$2:$Z$1225,7,FALSE)</f>
        <v>-5.5993900015560705E-2</v>
      </c>
      <c r="K49" s="55">
        <f>VLOOKUP(K$2&amp;$A49,'Raw'!$A$2:$Z$1225,7,FALSE)</f>
        <v>-1.9356822559146725E-2</v>
      </c>
      <c r="L49" s="56">
        <f>VLOOKUP(L$2&amp;$A49,'Raw'!$A$2:$Z$1225,7,FALSE)</f>
        <v>-0.12387487751333026</v>
      </c>
      <c r="M49" s="55">
        <f>VLOOKUP(M$2&amp;$A49,'Raw'!$A$2:$Z$1225,7,FALSE)</f>
        <v>0.43923360931381605</v>
      </c>
      <c r="N49" s="56">
        <f>VLOOKUP(N$2&amp;$A49,'Raw'!$A$2:$Z$1225,7,FALSE)</f>
        <v>0.19061335690793157</v>
      </c>
      <c r="O49" s="55">
        <f>VLOOKUP(O$2&amp;$A49,'Raw'!$A$2:$Z$1225,7,FALSE)</f>
        <v>-7.9847425212076217E-2</v>
      </c>
      <c r="P49" s="56">
        <f>VLOOKUP(P$2&amp;$A49,'Raw'!$A$2:$Z$1225,7,FALSE)</f>
        <v>-0.27726722757884792</v>
      </c>
      <c r="Q49" s="55">
        <f>VLOOKUP(Q$2&amp;$A49,'Raw'!$A$2:$Z$1225,7,FALSE)</f>
        <v>0.5502636339445921</v>
      </c>
      <c r="R49" s="56">
        <f>VLOOKUP(R$2&amp;$A49,'Raw'!$A$2:$Z$1225,7,FALSE)</f>
        <v>0.20086795912861444</v>
      </c>
      <c r="S49" s="55">
        <f>VLOOKUP(S$2&amp;$A49,'Raw'!$A$2:$Z$1225,7,FALSE)</f>
        <v>-0.12028370354287832</v>
      </c>
      <c r="T49" s="56">
        <f>VLOOKUP(T$2&amp;$A49,'Raw'!$A$2:$Z$1225,7,FALSE)</f>
        <v>-0.22075208138371272</v>
      </c>
      <c r="U49" s="55">
        <f>VLOOKUP(U$2&amp;$A49,'Raw'!$A$2:$Z$1225,7,FALSE)</f>
        <v>0.31584706777638694</v>
      </c>
      <c r="V49" s="56">
        <f>VLOOKUP(V$2&amp;$A49,'Raw'!$A$2:$Z$1225,7,FALSE)</f>
        <v>-0.10990540993267572</v>
      </c>
      <c r="W49" s="55">
        <f>VLOOKUP(W$2&amp;$A49,'Raw'!$A$2:$Z$1225,7,FALSE)</f>
        <v>-9.5686038466702428E-2</v>
      </c>
      <c r="X49" s="56">
        <f>VLOOKUP(X$2&amp;$A49,'Raw'!$A$2:$Z$1225,7,FALSE)</f>
        <v>-0.20886669343493924</v>
      </c>
      <c r="Y49" s="55">
        <f>VLOOKUP(Y$2&amp;$A49,'Raw'!$A$2:$Z$1225,7,FALSE)</f>
        <v>0.36553220859887325</v>
      </c>
      <c r="Z49" s="56">
        <f>VLOOKUP(Z$2&amp;$A49,'Raw'!$A$2:$Z$1225,7,FALSE)</f>
        <v>0.10810158920488977</v>
      </c>
    </row>
    <row r="50" spans="1:26">
      <c r="A50" s="52">
        <v>51867</v>
      </c>
      <c r="B50" s="53">
        <v>51867</v>
      </c>
      <c r="C50" s="55">
        <f>VLOOKUP(C$2&amp;$A50,'Raw'!$A$2:$Z$1225,7,FALSE)</f>
        <v>-1.8130779612124392E-2</v>
      </c>
      <c r="D50" s="56">
        <f>VLOOKUP(D$2&amp;$A50,'Raw'!$A$2:$Z$1225,7,FALSE)</f>
        <v>-0.2173899765729459</v>
      </c>
      <c r="E50" s="55">
        <f>VLOOKUP(E$2&amp;$A50,'Raw'!$A$2:$Z$1225,7,FALSE)</f>
        <v>0.57385494008841409</v>
      </c>
      <c r="F50" s="56">
        <f>VLOOKUP(F$2&amp;$A50,'Raw'!$A$2:$Z$1225,7,FALSE)</f>
        <v>0.24994634246087166</v>
      </c>
      <c r="G50" s="55">
        <f>VLOOKUP(G$2&amp;$A50,'Raw'!$A$2:$Z$1225,7,FALSE)</f>
        <v>-3.7977614969020301E-2</v>
      </c>
      <c r="H50" s="56">
        <f>VLOOKUP(H$2&amp;$A50,'Raw'!$A$2:$Z$1225,7,FALSE)</f>
        <v>-0.14582733376015122</v>
      </c>
      <c r="I50" s="55">
        <f>VLOOKUP(I$2&amp;$A50,'Raw'!$A$2:$Z$1225,7,FALSE)</f>
        <v>0.37173908384902088</v>
      </c>
      <c r="J50" s="55">
        <f>VLOOKUP(J$2&amp;$A50,'Raw'!$A$2:$Z$1225,7,FALSE)</f>
        <v>-5.453366261943815E-2</v>
      </c>
      <c r="K50" s="55">
        <f>VLOOKUP(K$2&amp;$A50,'Raw'!$A$2:$Z$1225,7,FALSE)</f>
        <v>-1.9535366128320408E-2</v>
      </c>
      <c r="L50" s="56">
        <f>VLOOKUP(L$2&amp;$A50,'Raw'!$A$2:$Z$1225,7,FALSE)</f>
        <v>-0.11855492854627725</v>
      </c>
      <c r="M50" s="55">
        <f>VLOOKUP(M$2&amp;$A50,'Raw'!$A$2:$Z$1225,7,FALSE)</f>
        <v>0.4195154303937132</v>
      </c>
      <c r="N50" s="56">
        <f>VLOOKUP(N$2&amp;$A50,'Raw'!$A$2:$Z$1225,7,FALSE)</f>
        <v>0.17910144990029853</v>
      </c>
      <c r="O50" s="55">
        <f>VLOOKUP(O$2&amp;$A50,'Raw'!$A$2:$Z$1225,7,FALSE)</f>
        <v>-7.4776639239770848E-2</v>
      </c>
      <c r="P50" s="56">
        <f>VLOOKUP(P$2&amp;$A50,'Raw'!$A$2:$Z$1225,7,FALSE)</f>
        <v>-0.27146096397424602</v>
      </c>
      <c r="Q50" s="55">
        <f>VLOOKUP(Q$2&amp;$A50,'Raw'!$A$2:$Z$1225,7,FALSE)</f>
        <v>0.52655649588644327</v>
      </c>
      <c r="R50" s="56">
        <f>VLOOKUP(R$2&amp;$A50,'Raw'!$A$2:$Z$1225,7,FALSE)</f>
        <v>0.19954868863616415</v>
      </c>
      <c r="S50" s="55">
        <f>VLOOKUP(S$2&amp;$A50,'Raw'!$A$2:$Z$1225,7,FALSE)</f>
        <v>-0.11977214113637613</v>
      </c>
      <c r="T50" s="56">
        <f>VLOOKUP(T$2&amp;$A50,'Raw'!$A$2:$Z$1225,7,FALSE)</f>
        <v>-0.20726460462688889</v>
      </c>
      <c r="U50" s="55">
        <f>VLOOKUP(U$2&amp;$A50,'Raw'!$A$2:$Z$1225,7,FALSE)</f>
        <v>0.29786735813013276</v>
      </c>
      <c r="V50" s="56">
        <f>VLOOKUP(V$2&amp;$A50,'Raw'!$A$2:$Z$1225,7,FALSE)</f>
        <v>-0.10908864049008482</v>
      </c>
      <c r="W50" s="55">
        <f>VLOOKUP(W$2&amp;$A50,'Raw'!$A$2:$Z$1225,7,FALSE)</f>
        <v>-9.5951920113601652E-2</v>
      </c>
      <c r="X50" s="56">
        <f>VLOOKUP(X$2&amp;$A50,'Raw'!$A$2:$Z$1225,7,FALSE)</f>
        <v>-0.20235504131299598</v>
      </c>
      <c r="Y50" s="55">
        <f>VLOOKUP(Y$2&amp;$A50,'Raw'!$A$2:$Z$1225,7,FALSE)</f>
        <v>0.34624043711823926</v>
      </c>
      <c r="Z50" s="56">
        <f>VLOOKUP(Z$2&amp;$A50,'Raw'!$A$2:$Z$1225,7,FALSE)</f>
        <v>9.7952680743951248E-2</v>
      </c>
    </row>
    <row r="51" spans="1:26">
      <c r="A51" s="52">
        <v>52232</v>
      </c>
      <c r="B51" s="53">
        <v>52232</v>
      </c>
      <c r="C51" s="55">
        <f>VLOOKUP(C$2&amp;$A51,'Raw'!$A$2:$Z$1225,7,FALSE)</f>
        <v>-1.5990695738399285E-2</v>
      </c>
      <c r="D51" s="56">
        <f>VLOOKUP(D$2&amp;$A51,'Raw'!$A$2:$Z$1225,7,FALSE)</f>
        <v>-0.21249449026840006</v>
      </c>
      <c r="E51" s="55">
        <f>VLOOKUP(E$2&amp;$A51,'Raw'!$A$2:$Z$1225,7,FALSE)</f>
        <v>0.54873478591683789</v>
      </c>
      <c r="F51" s="56">
        <f>VLOOKUP(F$2&amp;$A51,'Raw'!$A$2:$Z$1225,7,FALSE)</f>
        <v>0.24752896108510836</v>
      </c>
      <c r="G51" s="55">
        <f>VLOOKUP(G$2&amp;$A51,'Raw'!$A$2:$Z$1225,7,FALSE)</f>
        <v>-3.741061655793132E-2</v>
      </c>
      <c r="H51" s="56">
        <f>VLOOKUP(H$2&amp;$A51,'Raw'!$A$2:$Z$1225,7,FALSE)</f>
        <v>-0.12818290213769679</v>
      </c>
      <c r="I51" s="55">
        <f>VLOOKUP(I$2&amp;$A51,'Raw'!$A$2:$Z$1225,7,FALSE)</f>
        <v>0.35432561790034178</v>
      </c>
      <c r="J51" s="55">
        <f>VLOOKUP(J$2&amp;$A51,'Raw'!$A$2:$Z$1225,7,FALSE)</f>
        <v>-4.3590714668650943E-2</v>
      </c>
      <c r="K51" s="55">
        <f>VLOOKUP(K$2&amp;$A51,'Raw'!$A$2:$Z$1225,7,FALSE)</f>
        <v>-1.9747997362817848E-2</v>
      </c>
      <c r="L51" s="56">
        <f>VLOOKUP(L$2&amp;$A51,'Raw'!$A$2:$Z$1225,7,FALSE)</f>
        <v>-0.11273777745431923</v>
      </c>
      <c r="M51" s="55">
        <f>VLOOKUP(M$2&amp;$A51,'Raw'!$A$2:$Z$1225,7,FALSE)</f>
        <v>0.40097678832415884</v>
      </c>
      <c r="N51" s="56">
        <f>VLOOKUP(N$2&amp;$A51,'Raw'!$A$2:$Z$1225,7,FALSE)</f>
        <v>0.16952065968318664</v>
      </c>
      <c r="O51" s="55">
        <f>VLOOKUP(O$2&amp;$A51,'Raw'!$A$2:$Z$1225,7,FALSE)</f>
        <v>-6.9697970461102265E-2</v>
      </c>
      <c r="P51" s="56">
        <f>VLOOKUP(P$2&amp;$A51,'Raw'!$A$2:$Z$1225,7,FALSE)</f>
        <v>-0.26562607976347019</v>
      </c>
      <c r="Q51" s="55">
        <f>VLOOKUP(Q$2&amp;$A51,'Raw'!$A$2:$Z$1225,7,FALSE)</f>
        <v>0.503464797831632</v>
      </c>
      <c r="R51" s="56">
        <f>VLOOKUP(R$2&amp;$A51,'Raw'!$A$2:$Z$1225,7,FALSE)</f>
        <v>0.19784685014743175</v>
      </c>
      <c r="S51" s="55">
        <f>VLOOKUP(S$2&amp;$A51,'Raw'!$A$2:$Z$1225,7,FALSE)</f>
        <v>-0.11918775498148682</v>
      </c>
      <c r="T51" s="56">
        <f>VLOOKUP(T$2&amp;$A51,'Raw'!$A$2:$Z$1225,7,FALSE)</f>
        <v>-0.19154785189897661</v>
      </c>
      <c r="U51" s="55">
        <f>VLOOKUP(U$2&amp;$A51,'Raw'!$A$2:$Z$1225,7,FALSE)</f>
        <v>0.28120442912706878</v>
      </c>
      <c r="V51" s="56">
        <f>VLOOKUP(V$2&amp;$A51,'Raw'!$A$2:$Z$1225,7,FALSE)</f>
        <v>-9.8957161846469077E-2</v>
      </c>
      <c r="W51" s="55">
        <f>VLOOKUP(W$2&amp;$A51,'Raw'!$A$2:$Z$1225,7,FALSE)</f>
        <v>-9.627148447528544E-2</v>
      </c>
      <c r="X51" s="56">
        <f>VLOOKUP(X$2&amp;$A51,'Raw'!$A$2:$Z$1225,7,FALSE)</f>
        <v>-0.19549169057454518</v>
      </c>
      <c r="Y51" s="55">
        <f>VLOOKUP(Y$2&amp;$A51,'Raw'!$A$2:$Z$1225,7,FALSE)</f>
        <v>0.32809380807723443</v>
      </c>
      <c r="Z51" s="56">
        <f>VLOOKUP(Z$2&amp;$A51,'Raw'!$A$2:$Z$1225,7,FALSE)</f>
        <v>8.9579762513092298E-2</v>
      </c>
    </row>
    <row r="52" spans="1:26">
      <c r="A52" s="52">
        <v>52597</v>
      </c>
      <c r="B52" s="53">
        <v>52597</v>
      </c>
      <c r="C52" s="55">
        <f>VLOOKUP(C$2&amp;$A52,'Raw'!$A$2:$Z$1225,7,FALSE)</f>
        <v>-1.3869680530187445E-2</v>
      </c>
      <c r="D52" s="56">
        <f>VLOOKUP(D$2&amp;$A52,'Raw'!$A$2:$Z$1225,7,FALSE)</f>
        <v>-0.20760983401336697</v>
      </c>
      <c r="E52" s="55">
        <f>VLOOKUP(E$2&amp;$A52,'Raw'!$A$2:$Z$1225,7,FALSE)</f>
        <v>0.52431601188924759</v>
      </c>
      <c r="F52" s="56">
        <f>VLOOKUP(F$2&amp;$A52,'Raw'!$A$2:$Z$1225,7,FALSE)</f>
        <v>0.24476777413640072</v>
      </c>
      <c r="G52" s="55">
        <f>VLOOKUP(G$2&amp;$A52,'Raw'!$A$2:$Z$1225,7,FALSE)</f>
        <v>-3.6846470281159949E-2</v>
      </c>
      <c r="H52" s="56">
        <f>VLOOKUP(H$2&amp;$A52,'Raw'!$A$2:$Z$1225,7,FALSE)</f>
        <v>-0.10934836584789442</v>
      </c>
      <c r="I52" s="55">
        <f>VLOOKUP(I$2&amp;$A52,'Raw'!$A$2:$Z$1225,7,FALSE)</f>
        <v>0.33802589662466076</v>
      </c>
      <c r="J52" s="55">
        <f>VLOOKUP(J$2&amp;$A52,'Raw'!$A$2:$Z$1225,7,FALSE)</f>
        <v>-2.4793507319609276E-2</v>
      </c>
      <c r="K52" s="55">
        <f>VLOOKUP(K$2&amp;$A52,'Raw'!$A$2:$Z$1225,7,FALSE)</f>
        <v>-2.0000471728798264E-2</v>
      </c>
      <c r="L52" s="56">
        <f>VLOOKUP(L$2&amp;$A52,'Raw'!$A$2:$Z$1225,7,FALSE)</f>
        <v>-0.10664989443889272</v>
      </c>
      <c r="M52" s="55">
        <f>VLOOKUP(M$2&amp;$A52,'Raw'!$A$2:$Z$1225,7,FALSE)</f>
        <v>0.38347959541609189</v>
      </c>
      <c r="N52" s="56">
        <f>VLOOKUP(N$2&amp;$A52,'Raw'!$A$2:$Z$1225,7,FALSE)</f>
        <v>0.16168558582969617</v>
      </c>
      <c r="O52" s="55">
        <f>VLOOKUP(O$2&amp;$A52,'Raw'!$A$2:$Z$1225,7,FALSE)</f>
        <v>-6.4634975797128735E-2</v>
      </c>
      <c r="P52" s="56">
        <f>VLOOKUP(P$2&amp;$A52,'Raw'!$A$2:$Z$1225,7,FALSE)</f>
        <v>-0.25977357787604349</v>
      </c>
      <c r="Q52" s="55">
        <f>VLOOKUP(Q$2&amp;$A52,'Raw'!$A$2:$Z$1225,7,FALSE)</f>
        <v>0.48102531730591647</v>
      </c>
      <c r="R52" s="56">
        <f>VLOOKUP(R$2&amp;$A52,'Raw'!$A$2:$Z$1225,7,FALSE)</f>
        <v>0.19581053822734784</v>
      </c>
      <c r="S52" s="55">
        <f>VLOOKUP(S$2&amp;$A52,'Raw'!$A$2:$Z$1225,7,FALSE)</f>
        <v>-0.1185413657221801</v>
      </c>
      <c r="T52" s="56">
        <f>VLOOKUP(T$2&amp;$A52,'Raw'!$A$2:$Z$1225,7,FALSE)</f>
        <v>-0.1744489630145063</v>
      </c>
      <c r="U52" s="55">
        <f>VLOOKUP(U$2&amp;$A52,'Raw'!$A$2:$Z$1225,7,FALSE)</f>
        <v>0.26566301900734501</v>
      </c>
      <c r="V52" s="56">
        <f>VLOOKUP(V$2&amp;$A52,'Raw'!$A$2:$Z$1225,7,FALSE)</f>
        <v>-8.1038898930463343E-2</v>
      </c>
      <c r="W52" s="55">
        <f>VLOOKUP(W$2&amp;$A52,'Raw'!$A$2:$Z$1225,7,FALSE)</f>
        <v>-9.6631601126706546E-2</v>
      </c>
      <c r="X52" s="56">
        <f>VLOOKUP(X$2&amp;$A52,'Raw'!$A$2:$Z$1225,7,FALSE)</f>
        <v>-0.18846513308785617</v>
      </c>
      <c r="Y52" s="55">
        <f>VLOOKUP(Y$2&amp;$A52,'Raw'!$A$2:$Z$1225,7,FALSE)</f>
        <v>0.31096156375274298</v>
      </c>
      <c r="Z52" s="56">
        <f>VLOOKUP(Z$2&amp;$A52,'Raw'!$A$2:$Z$1225,7,FALSE)</f>
        <v>8.2819752990270779E-2</v>
      </c>
    </row>
    <row r="53" spans="1:26">
      <c r="A53" s="52">
        <v>52963</v>
      </c>
      <c r="B53" s="53">
        <v>52963</v>
      </c>
      <c r="C53" s="55">
        <f>VLOOKUP(C$2&amp;$A53,'Raw'!$A$2:$Z$1225,7,FALSE)</f>
        <v>-1.1779202411177359E-2</v>
      </c>
      <c r="D53" s="56">
        <f>VLOOKUP(D$2&amp;$A53,'Raw'!$A$2:$Z$1225,7,FALSE)</f>
        <v>-0.20274143433781644</v>
      </c>
      <c r="E53" s="55">
        <f>VLOOKUP(E$2&amp;$A53,'Raw'!$A$2:$Z$1225,7,FALSE)</f>
        <v>0.50063550767445175</v>
      </c>
      <c r="F53" s="56">
        <f>VLOOKUP(F$2&amp;$A53,'Raw'!$A$2:$Z$1225,7,FALSE)</f>
        <v>0.24170930690130543</v>
      </c>
      <c r="G53" s="55">
        <f>VLOOKUP(G$2&amp;$A53,'Raw'!$A$2:$Z$1225,7,FALSE)</f>
        <v>-3.6311465091931616E-2</v>
      </c>
      <c r="H53" s="56">
        <f>VLOOKUP(H$2&amp;$A53,'Raw'!$A$2:$Z$1225,7,FALSE)</f>
        <v>-9.0344138526654572E-2</v>
      </c>
      <c r="I53" s="55">
        <f>VLOOKUP(I$2&amp;$A53,'Raw'!$A$2:$Z$1225,7,FALSE)</f>
        <v>0.32263050657512782</v>
      </c>
      <c r="J53" s="55">
        <f>VLOOKUP(J$2&amp;$A53,'Raw'!$A$2:$Z$1225,7,FALSE)</f>
        <v>-2.601375638233705E-5</v>
      </c>
      <c r="K53" s="55">
        <f>VLOOKUP(K$2&amp;$A53,'Raw'!$A$2:$Z$1225,7,FALSE)</f>
        <v>-2.0296095952576643E-2</v>
      </c>
      <c r="L53" s="56">
        <f>VLOOKUP(L$2&amp;$A53,'Raw'!$A$2:$Z$1225,7,FALSE)</f>
        <v>-0.10050285071339093</v>
      </c>
      <c r="M53" s="55">
        <f>VLOOKUP(M$2&amp;$A53,'Raw'!$A$2:$Z$1225,7,FALSE)</f>
        <v>0.36687789142006988</v>
      </c>
      <c r="N53" s="56">
        <f>VLOOKUP(N$2&amp;$A53,'Raw'!$A$2:$Z$1225,7,FALSE)</f>
        <v>0.15537030231793647</v>
      </c>
      <c r="O53" s="55">
        <f>VLOOKUP(O$2&amp;$A53,'Raw'!$A$2:$Z$1225,7,FALSE)</f>
        <v>-5.9608900059937575E-2</v>
      </c>
      <c r="P53" s="56">
        <f>VLOOKUP(P$2&amp;$A53,'Raw'!$A$2:$Z$1225,7,FALSE)</f>
        <v>-0.25391402959418219</v>
      </c>
      <c r="Q53" s="55">
        <f>VLOOKUP(Q$2&amp;$A53,'Raw'!$A$2:$Z$1225,7,FALSE)</f>
        <v>0.45926928884554297</v>
      </c>
      <c r="R53" s="56">
        <f>VLOOKUP(R$2&amp;$A53,'Raw'!$A$2:$Z$1225,7,FALSE)</f>
        <v>0.19348323728540784</v>
      </c>
      <c r="S53" s="55">
        <f>VLOOKUP(S$2&amp;$A53,'Raw'!$A$2:$Z$1225,7,FALSE)</f>
        <v>-0.11784187028274218</v>
      </c>
      <c r="T53" s="56">
        <f>VLOOKUP(T$2&amp;$A53,'Raw'!$A$2:$Z$1225,7,FALSE)</f>
        <v>-0.15683579215145516</v>
      </c>
      <c r="U53" s="55">
        <f>VLOOKUP(U$2&amp;$A53,'Raw'!$A$2:$Z$1225,7,FALSE)</f>
        <v>0.25103937674137988</v>
      </c>
      <c r="V53" s="56">
        <f>VLOOKUP(V$2&amp;$A53,'Raw'!$A$2:$Z$1225,7,FALSE)</f>
        <v>-5.7120779239427932E-2</v>
      </c>
      <c r="W53" s="55">
        <f>VLOOKUP(W$2&amp;$A53,'Raw'!$A$2:$Z$1225,7,FALSE)</f>
        <v>-9.7018290400385787E-2</v>
      </c>
      <c r="X53" s="56">
        <f>VLOOKUP(X$2&amp;$A53,'Raw'!$A$2:$Z$1225,7,FALSE)</f>
        <v>-0.1814488262593783</v>
      </c>
      <c r="Y53" s="55">
        <f>VLOOKUP(Y$2&amp;$A53,'Raw'!$A$2:$Z$1225,7,FALSE)</f>
        <v>0.29470557269462017</v>
      </c>
      <c r="Z53" s="56">
        <f>VLOOKUP(Z$2&amp;$A53,'Raw'!$A$2:$Z$1225,7,FALSE)</f>
        <v>7.7471970579923166E-2</v>
      </c>
    </row>
    <row r="54" spans="1:26">
      <c r="A54" s="52">
        <v>53328</v>
      </c>
      <c r="B54" s="53">
        <v>53328</v>
      </c>
      <c r="C54" s="55">
        <f>VLOOKUP(C$2&amp;$A54,'Raw'!$A$2:$Z$1225,7,FALSE)</f>
        <v>-9.7291121399112335E-3</v>
      </c>
      <c r="D54" s="56">
        <f>VLOOKUP(D$2&amp;$A54,'Raw'!$A$2:$Z$1225,7,FALSE)</f>
        <v>-0.19789501850673297</v>
      </c>
      <c r="E54" s="55">
        <f>VLOOKUP(E$2&amp;$A54,'Raw'!$A$2:$Z$1225,7,FALSE)</f>
        <v>0.47772410025224143</v>
      </c>
      <c r="F54" s="56">
        <f>VLOOKUP(F$2&amp;$A54,'Raw'!$A$2:$Z$1225,7,FALSE)</f>
        <v>0.23839519910175966</v>
      </c>
      <c r="G54" s="55">
        <f>VLOOKUP(G$2&amp;$A54,'Raw'!$A$2:$Z$1225,7,FALSE)</f>
        <v>-3.5826616855039184E-2</v>
      </c>
      <c r="H54" s="56">
        <f>VLOOKUP(H$2&amp;$A54,'Raw'!$A$2:$Z$1225,7,FALSE)</f>
        <v>-7.2128992281295101E-2</v>
      </c>
      <c r="I54" s="55">
        <f>VLOOKUP(I$2&amp;$A54,'Raw'!$A$2:$Z$1225,7,FALSE)</f>
        <v>0.30793355086833341</v>
      </c>
      <c r="J54" s="55">
        <f>VLOOKUP(J$2&amp;$A54,'Raw'!$A$2:$Z$1225,7,FALSE)</f>
        <v>2.8685662147220903E-2</v>
      </c>
      <c r="K54" s="55">
        <f>VLOOKUP(K$2&amp;$A54,'Raw'!$A$2:$Z$1225,7,FALSE)</f>
        <v>-2.0635658114198652E-2</v>
      </c>
      <c r="L54" s="56">
        <f>VLOOKUP(L$2&amp;$A54,'Raw'!$A$2:$Z$1225,7,FALSE)</f>
        <v>-9.4483607113260426E-2</v>
      </c>
      <c r="M54" s="55">
        <f>VLOOKUP(M$2&amp;$A54,'Raw'!$A$2:$Z$1225,7,FALSE)</f>
        <v>0.35102690899162514</v>
      </c>
      <c r="N54" s="56">
        <f>VLOOKUP(N$2&amp;$A54,'Raw'!$A$2:$Z$1225,7,FALSE)</f>
        <v>0.15033013770198167</v>
      </c>
      <c r="O54" s="55">
        <f>VLOOKUP(O$2&amp;$A54,'Raw'!$A$2:$Z$1225,7,FALSE)</f>
        <v>-5.4639041476745032E-2</v>
      </c>
      <c r="P54" s="56">
        <f>VLOOKUP(P$2&amp;$A54,'Raw'!$A$2:$Z$1225,7,FALSE)</f>
        <v>-0.24805772339021592</v>
      </c>
      <c r="Q54" s="55">
        <f>VLOOKUP(Q$2&amp;$A54,'Raw'!$A$2:$Z$1225,7,FALSE)</f>
        <v>0.43822277530407572</v>
      </c>
      <c r="R54" s="56">
        <f>VLOOKUP(R$2&amp;$A54,'Raw'!$A$2:$Z$1225,7,FALSE)</f>
        <v>0.1909041176141546</v>
      </c>
      <c r="S54" s="55">
        <f>VLOOKUP(S$2&amp;$A54,'Raw'!$A$2:$Z$1225,7,FALSE)</f>
        <v>-0.11709594003737056</v>
      </c>
      <c r="T54" s="56">
        <f>VLOOKUP(T$2&amp;$A54,'Raw'!$A$2:$Z$1225,7,FALSE)</f>
        <v>-0.13954342853998991</v>
      </c>
      <c r="U54" s="55">
        <f>VLOOKUP(U$2&amp;$A54,'Raw'!$A$2:$Z$1225,7,FALSE)</f>
        <v>0.23713304330561513</v>
      </c>
      <c r="V54" s="56">
        <f>VLOOKUP(V$2&amp;$A54,'Raw'!$A$2:$Z$1225,7,FALSE)</f>
        <v>-2.9140452330844724E-2</v>
      </c>
      <c r="W54" s="55">
        <f>VLOOKUP(W$2&amp;$A54,'Raw'!$A$2:$Z$1225,7,FALSE)</f>
        <v>-9.7417217093187514E-2</v>
      </c>
      <c r="X54" s="56">
        <f>VLOOKUP(X$2&amp;$A54,'Raw'!$A$2:$Z$1225,7,FALSE)</f>
        <v>-0.17459392609079361</v>
      </c>
      <c r="Y54" s="55">
        <f>VLOOKUP(Y$2&amp;$A54,'Raw'!$A$2:$Z$1225,7,FALSE)</f>
        <v>0.27918915159323987</v>
      </c>
      <c r="Z54" s="56">
        <f>VLOOKUP(Z$2&amp;$A54,'Raw'!$A$2:$Z$1225,7,FALSE)</f>
        <v>7.3317818094098541E-2</v>
      </c>
    </row>
    <row r="55" spans="1:26">
      <c r="A55" s="52">
        <v>53693</v>
      </c>
      <c r="B55" s="53">
        <v>53693</v>
      </c>
      <c r="C55" s="55">
        <f>VLOOKUP(C$2&amp;$A55,'Raw'!$A$2:$Z$1225,7,FALSE)</f>
        <v>-7.7278577344186417E-3</v>
      </c>
      <c r="D55" s="56">
        <f>VLOOKUP(D$2&amp;$A55,'Raw'!$A$2:$Z$1225,7,FALSE)</f>
        <v>-0.19307662681983251</v>
      </c>
      <c r="E55" s="55">
        <f>VLOOKUP(E$2&amp;$A55,'Raw'!$A$2:$Z$1225,7,FALSE)</f>
        <v>0.45560680905984974</v>
      </c>
      <c r="F55" s="56">
        <f>VLOOKUP(F$2&amp;$A55,'Raw'!$A$2:$Z$1225,7,FALSE)</f>
        <v>0.23486249104263113</v>
      </c>
      <c r="G55" s="55">
        <f>VLOOKUP(G$2&amp;$A55,'Raw'!$A$2:$Z$1225,7,FALSE)</f>
        <v>-3.5407263904951858E-2</v>
      </c>
      <c r="H55" s="56">
        <f>VLOOKUP(H$2&amp;$A55,'Raw'!$A$2:$Z$1225,7,FALSE)</f>
        <v>-5.5545392479272593E-2</v>
      </c>
      <c r="I55" s="55">
        <f>VLOOKUP(I$2&amp;$A55,'Raw'!$A$2:$Z$1225,7,FALSE)</f>
        <v>0.29374321808979253</v>
      </c>
      <c r="J55" s="55">
        <f>VLOOKUP(J$2&amp;$A55,'Raw'!$A$2:$Z$1225,7,FALSE)</f>
        <v>5.9289476366974903E-2</v>
      </c>
      <c r="K55" s="55">
        <f>VLOOKUP(K$2&amp;$A55,'Raw'!$A$2:$Z$1225,7,FALSE)</f>
        <v>-2.1017478287599367E-2</v>
      </c>
      <c r="L55" s="56">
        <f>VLOOKUP(L$2&amp;$A55,'Raw'!$A$2:$Z$1225,7,FALSE)</f>
        <v>-8.8747791640853002E-2</v>
      </c>
      <c r="M55" s="55">
        <f>VLOOKUP(M$2&amp;$A55,'Raw'!$A$2:$Z$1225,7,FALSE)</f>
        <v>0.33579108818939662</v>
      </c>
      <c r="N55" s="56">
        <f>VLOOKUP(N$2&amp;$A55,'Raw'!$A$2:$Z$1225,7,FALSE)</f>
        <v>0.146318695742087</v>
      </c>
      <c r="O55" s="55">
        <f>VLOOKUP(O$2&amp;$A55,'Raw'!$A$2:$Z$1225,7,FALSE)</f>
        <v>-4.9742883255998738E-2</v>
      </c>
      <c r="P55" s="56">
        <f>VLOOKUP(P$2&amp;$A55,'Raw'!$A$2:$Z$1225,7,FALSE)</f>
        <v>-0.24221477757890852</v>
      </c>
      <c r="Q55" s="55">
        <f>VLOOKUP(Q$2&amp;$A55,'Raw'!$A$2:$Z$1225,7,FALSE)</f>
        <v>0.41790692013392583</v>
      </c>
      <c r="R55" s="56">
        <f>VLOOKUP(R$2&amp;$A55,'Raw'!$A$2:$Z$1225,7,FALSE)</f>
        <v>0.18810799485158292</v>
      </c>
      <c r="S55" s="55">
        <f>VLOOKUP(S$2&amp;$A55,'Raw'!$A$2:$Z$1225,7,FALSE)</f>
        <v>-0.11630782228470027</v>
      </c>
      <c r="T55" s="56">
        <f>VLOOKUP(T$2&amp;$A55,'Raw'!$A$2:$Z$1225,7,FALSE)</f>
        <v>-0.12332613064557352</v>
      </c>
      <c r="U55" s="55">
        <f>VLOOKUP(U$2&amp;$A55,'Raw'!$A$2:$Z$1225,7,FALSE)</f>
        <v>0.22375728884691526</v>
      </c>
      <c r="V55" s="56">
        <f>VLOOKUP(V$2&amp;$A55,'Raw'!$A$2:$Z$1225,7,FALSE)</f>
        <v>9.2551605606061571E-4</v>
      </c>
      <c r="W55" s="55">
        <f>VLOOKUP(W$2&amp;$A55,'Raw'!$A$2:$Z$1225,7,FALSE)</f>
        <v>-9.7814209595492585E-2</v>
      </c>
      <c r="X55" s="56">
        <f>VLOOKUP(X$2&amp;$A55,'Raw'!$A$2:$Z$1225,7,FALSE)</f>
        <v>-0.16802442975558662</v>
      </c>
      <c r="Y55" s="55">
        <f>VLOOKUP(Y$2&amp;$A55,'Raw'!$A$2:$Z$1225,7,FALSE)</f>
        <v>0.26428442073180847</v>
      </c>
      <c r="Z55" s="56">
        <f>VLOOKUP(Z$2&amp;$A55,'Raw'!$A$2:$Z$1225,7,FALSE)</f>
        <v>7.0135960429618116E-2</v>
      </c>
    </row>
    <row r="56" spans="1:26">
      <c r="A56" s="52">
        <v>54058</v>
      </c>
      <c r="B56" s="53">
        <v>54058</v>
      </c>
      <c r="C56" s="55">
        <f>VLOOKUP(C$2&amp;$A56,'Raw'!$A$2:$Z$1225,7,FALSE)</f>
        <v>-5.7826620152967578E-3</v>
      </c>
      <c r="D56" s="56">
        <f>VLOOKUP(D$2&amp;$A56,'Raw'!$A$2:$Z$1225,7,FALSE)</f>
        <v>-0.18829238468871523</v>
      </c>
      <c r="E56" s="55">
        <f>VLOOKUP(E$2&amp;$A56,'Raw'!$A$2:$Z$1225,7,FALSE)</f>
        <v>0.43430337535395047</v>
      </c>
      <c r="F56" s="56">
        <f>VLOOKUP(F$2&amp;$A56,'Raw'!$A$2:$Z$1225,7,FALSE)</f>
        <v>0.23114397739507631</v>
      </c>
      <c r="G56" s="55">
        <f>VLOOKUP(G$2&amp;$A56,'Raw'!$A$2:$Z$1225,7,FALSE)</f>
        <v>-3.5062772334681913E-2</v>
      </c>
      <c r="H56" s="56">
        <f>VLOOKUP(H$2&amp;$A56,'Raw'!$A$2:$Z$1225,7,FALSE)</f>
        <v>-4.1276638559450962E-2</v>
      </c>
      <c r="I56" s="55">
        <f>VLOOKUP(I$2&amp;$A56,'Raw'!$A$2:$Z$1225,7,FALSE)</f>
        <v>0.27989028037056496</v>
      </c>
      <c r="J56" s="55">
        <f>VLOOKUP(J$2&amp;$A56,'Raw'!$A$2:$Z$1225,7,FALSE)</f>
        <v>8.9819636909016509E-2</v>
      </c>
      <c r="K56" s="55">
        <f>VLOOKUP(K$2&amp;$A56,'Raw'!$A$2:$Z$1225,7,FALSE)</f>
        <v>-2.143764051154573E-2</v>
      </c>
      <c r="L56" s="56">
        <f>VLOOKUP(L$2&amp;$A56,'Raw'!$A$2:$Z$1225,7,FALSE)</f>
        <v>-8.3415669853026397E-2</v>
      </c>
      <c r="M56" s="55">
        <f>VLOOKUP(M$2&amp;$A56,'Raw'!$A$2:$Z$1225,7,FALSE)</f>
        <v>0.32104993780923685</v>
      </c>
      <c r="N56" s="56">
        <f>VLOOKUP(N$2&amp;$A56,'Raw'!$A$2:$Z$1225,7,FALSE)</f>
        <v>0.1431004406704961</v>
      </c>
      <c r="O56" s="55">
        <f>VLOOKUP(O$2&amp;$A56,'Raw'!$A$2:$Z$1225,7,FALSE)</f>
        <v>-4.4936217701285752E-2</v>
      </c>
      <c r="P56" s="56">
        <f>VLOOKUP(P$2&amp;$A56,'Raw'!$A$2:$Z$1225,7,FALSE)</f>
        <v>-0.23639504308836656</v>
      </c>
      <c r="Q56" s="55">
        <f>VLOOKUP(Q$2&amp;$A56,'Raw'!$A$2:$Z$1225,7,FALSE)</f>
        <v>0.39833827294832869</v>
      </c>
      <c r="R56" s="56">
        <f>VLOOKUP(R$2&amp;$A56,'Raw'!$A$2:$Z$1225,7,FALSE)</f>
        <v>0.18512578659652945</v>
      </c>
      <c r="S56" s="55">
        <f>VLOOKUP(S$2&amp;$A56,'Raw'!$A$2:$Z$1225,7,FALSE)</f>
        <v>-0.11547934751504618</v>
      </c>
      <c r="T56" s="56">
        <f>VLOOKUP(T$2&amp;$A56,'Raw'!$A$2:$Z$1225,7,FALSE)</f>
        <v>-0.10881845388635014</v>
      </c>
      <c r="U56" s="55">
        <f>VLOOKUP(U$2&amp;$A56,'Raw'!$A$2:$Z$1225,7,FALSE)</f>
        <v>0.21074709758281962</v>
      </c>
      <c r="V56" s="56">
        <f>VLOOKUP(V$2&amp;$A56,'Raw'!$A$2:$Z$1225,7,FALSE)</f>
        <v>3.1170193514107325E-2</v>
      </c>
      <c r="W56" s="55">
        <f>VLOOKUP(W$2&amp;$A56,'Raw'!$A$2:$Z$1225,7,FALSE)</f>
        <v>-9.8195584661964208E-2</v>
      </c>
      <c r="X56" s="56">
        <f>VLOOKUP(X$2&amp;$A56,'Raw'!$A$2:$Z$1225,7,FALSE)</f>
        <v>-0.16183426992230077</v>
      </c>
      <c r="Y56" s="55">
        <f>VLOOKUP(Y$2&amp;$A56,'Raw'!$A$2:$Z$1225,7,FALSE)</f>
        <v>0.24987803543949916</v>
      </c>
      <c r="Z56" s="56">
        <f>VLOOKUP(Z$2&amp;$A56,'Raw'!$A$2:$Z$1225,7,FALSE)</f>
        <v>6.7713728023455211E-2</v>
      </c>
    </row>
    <row r="57" spans="1:26">
      <c r="A57" s="52">
        <v>54424</v>
      </c>
      <c r="B57" s="53">
        <v>54424</v>
      </c>
      <c r="C57" s="55">
        <f>VLOOKUP(C$2&amp;$A57,'Raw'!$A$2:$Z$1225,7,FALSE)</f>
        <v>-3.8996278929337436E-3</v>
      </c>
      <c r="D57" s="56">
        <f>VLOOKUP(D$2&amp;$A57,'Raw'!$A$2:$Z$1225,7,FALSE)</f>
        <v>-0.18354862686500439</v>
      </c>
      <c r="E57" s="55">
        <f>VLOOKUP(E$2&amp;$A57,'Raw'!$A$2:$Z$1225,7,FALSE)</f>
        <v>0.41382842823478594</v>
      </c>
      <c r="F57" s="56">
        <f>VLOOKUP(F$2&amp;$A57,'Raw'!$A$2:$Z$1225,7,FALSE)</f>
        <v>0.22726848175937953</v>
      </c>
      <c r="G57" s="55">
        <f>VLOOKUP(G$2&amp;$A57,'Raw'!$A$2:$Z$1225,7,FALSE)</f>
        <v>-3.4797155178423189E-2</v>
      </c>
      <c r="H57" s="56">
        <f>VLOOKUP(H$2&amp;$A57,'Raw'!$A$2:$Z$1225,7,FALSE)</f>
        <v>-2.981826467729487E-2</v>
      </c>
      <c r="I57" s="55">
        <f>VLOOKUP(I$2&amp;$A57,'Raw'!$A$2:$Z$1225,7,FALSE)</f>
        <v>0.26623384236670322</v>
      </c>
      <c r="J57" s="55">
        <f>VLOOKUP(J$2&amp;$A57,'Raw'!$A$2:$Z$1225,7,FALSE)</f>
        <v>0.11849745210323892</v>
      </c>
      <c r="K57" s="55">
        <f>VLOOKUP(K$2&amp;$A57,'Raw'!$A$2:$Z$1225,7,FALSE)</f>
        <v>-2.1890361382748136E-2</v>
      </c>
      <c r="L57" s="56">
        <f>VLOOKUP(L$2&amp;$A57,'Raw'!$A$2:$Z$1225,7,FALSE)</f>
        <v>-7.8570746982531414E-2</v>
      </c>
      <c r="M57" s="55">
        <f>VLOOKUP(M$2&amp;$A57,'Raw'!$A$2:$Z$1225,7,FALSE)</f>
        <v>0.30670222986011186</v>
      </c>
      <c r="N57" s="56">
        <f>VLOOKUP(N$2&amp;$A57,'Raw'!$A$2:$Z$1225,7,FALSE)</f>
        <v>0.14045952060321998</v>
      </c>
      <c r="O57" s="55">
        <f>VLOOKUP(O$2&amp;$A57,'Raw'!$A$2:$Z$1225,7,FALSE)</f>
        <v>-4.0233359886654441E-2</v>
      </c>
      <c r="P57" s="56">
        <f>VLOOKUP(P$2&amp;$A57,'Raw'!$A$2:$Z$1225,7,FALSE)</f>
        <v>-0.23060813254934809</v>
      </c>
      <c r="Q57" s="55">
        <f>VLOOKUP(Q$2&amp;$A57,'Raw'!$A$2:$Z$1225,7,FALSE)</f>
        <v>0.3795290998524159</v>
      </c>
      <c r="R57" s="56">
        <f>VLOOKUP(R$2&amp;$A57,'Raw'!$A$2:$Z$1225,7,FALSE)</f>
        <v>0.18198466425709547</v>
      </c>
      <c r="S57" s="55">
        <f>VLOOKUP(S$2&amp;$A57,'Raw'!$A$2:$Z$1225,7,FALSE)</f>
        <v>-0.11461036034662309</v>
      </c>
      <c r="T57" s="56">
        <f>VLOOKUP(T$2&amp;$A57,'Raw'!$A$2:$Z$1225,7,FALSE)</f>
        <v>-9.6507513329280314E-2</v>
      </c>
      <c r="U57" s="55">
        <f>VLOOKUP(U$2&amp;$A57,'Raw'!$A$2:$Z$1225,7,FALSE)</f>
        <v>0.19796485704659528</v>
      </c>
      <c r="V57" s="56">
        <f>VLOOKUP(V$2&amp;$A57,'Raw'!$A$2:$Z$1225,7,FALSE)</f>
        <v>5.9854968418315835E-2</v>
      </c>
      <c r="W57" s="55">
        <f>VLOOKUP(W$2&amp;$A57,'Raw'!$A$2:$Z$1225,7,FALSE)</f>
        <v>-9.8548545413068567E-2</v>
      </c>
      <c r="X57" s="56">
        <f>VLOOKUP(X$2&amp;$A57,'Raw'!$A$2:$Z$1225,7,FALSE)</f>
        <v>-0.15608695210496126</v>
      </c>
      <c r="Y57" s="55">
        <f>VLOOKUP(Y$2&amp;$A57,'Raw'!$A$2:$Z$1225,7,FALSE)</f>
        <v>0.23587506598394814</v>
      </c>
      <c r="Z57" s="56">
        <f>VLOOKUP(Z$2&amp;$A57,'Raw'!$A$2:$Z$1225,7,FALSE)</f>
        <v>6.585498287419167E-2</v>
      </c>
    </row>
    <row r="58" spans="1:26">
      <c r="A58" s="52">
        <v>54789</v>
      </c>
      <c r="B58" s="53">
        <v>54789</v>
      </c>
      <c r="C58" s="55">
        <f>VLOOKUP(C$2&amp;$A58,'Raw'!$A$2:$Z$1225,7,FALSE)</f>
        <v>-2.0839506793324247E-3</v>
      </c>
      <c r="D58" s="56">
        <f>VLOOKUP(D$2&amp;$A58,'Raw'!$A$2:$Z$1225,7,FALSE)</f>
        <v>-0.17885162719704084</v>
      </c>
      <c r="E58" s="55">
        <f>VLOOKUP(E$2&amp;$A58,'Raw'!$A$2:$Z$1225,7,FALSE)</f>
        <v>0.39419209249444975</v>
      </c>
      <c r="F58" s="56">
        <f>VLOOKUP(F$2&amp;$A58,'Raw'!$A$2:$Z$1225,7,FALSE)</f>
        <v>0.22326130832472924</v>
      </c>
      <c r="G58" s="55">
        <f>VLOOKUP(G$2&amp;$A58,'Raw'!$A$2:$Z$1225,7,FALSE)</f>
        <v>-3.460935028188894E-2</v>
      </c>
      <c r="H58" s="56">
        <f>VLOOKUP(H$2&amp;$A58,'Raw'!$A$2:$Z$1225,7,FALSE)</f>
        <v>-2.1464766985923589E-2</v>
      </c>
      <c r="I58" s="55">
        <f>VLOOKUP(I$2&amp;$A58,'Raw'!$A$2:$Z$1225,7,FALSE)</f>
        <v>0.25266444122524767</v>
      </c>
      <c r="J58" s="55">
        <f>VLOOKUP(J$2&amp;$A58,'Raw'!$A$2:$Z$1225,7,FALSE)</f>
        <v>0.14381470747850678</v>
      </c>
      <c r="K58" s="55">
        <f>VLOOKUP(K$2&amp;$A58,'Raw'!$A$2:$Z$1225,7,FALSE)</f>
        <v>-2.2368400658134835E-2</v>
      </c>
      <c r="L58" s="56">
        <f>VLOOKUP(L$2&amp;$A58,'Raw'!$A$2:$Z$1225,7,FALSE)</f>
        <v>-7.4260871731313127E-2</v>
      </c>
      <c r="M58" s="55">
        <f>VLOOKUP(M$2&amp;$A58,'Raw'!$A$2:$Z$1225,7,FALSE)</f>
        <v>0.29266794661404472</v>
      </c>
      <c r="N58" s="56">
        <f>VLOOKUP(N$2&amp;$A58,'Raw'!$A$2:$Z$1225,7,FALSE)</f>
        <v>0.13820538439877073</v>
      </c>
      <c r="O58" s="55">
        <f>VLOOKUP(O$2&amp;$A58,'Raw'!$A$2:$Z$1225,7,FALSE)</f>
        <v>-3.5647229680701997E-2</v>
      </c>
      <c r="P58" s="56">
        <f>VLOOKUP(P$2&amp;$A58,'Raw'!$A$2:$Z$1225,7,FALSE)</f>
        <v>-0.22486338967598885</v>
      </c>
      <c r="Q58" s="55">
        <f>VLOOKUP(Q$2&amp;$A58,'Raw'!$A$2:$Z$1225,7,FALSE)</f>
        <v>0.36148764179566584</v>
      </c>
      <c r="R58" s="56">
        <f>VLOOKUP(R$2&amp;$A58,'Raw'!$A$2:$Z$1225,7,FALSE)</f>
        <v>0.17870841356879552</v>
      </c>
      <c r="S58" s="55">
        <f>VLOOKUP(S$2&amp;$A58,'Raw'!$A$2:$Z$1225,7,FALSE)</f>
        <v>-0.11369894005810455</v>
      </c>
      <c r="T58" s="56">
        <f>VLOOKUP(T$2&amp;$A58,'Raw'!$A$2:$Z$1225,7,FALSE)</f>
        <v>-8.6717533076940967E-2</v>
      </c>
      <c r="U58" s="55">
        <f>VLOOKUP(U$2&amp;$A58,'Raw'!$A$2:$Z$1225,7,FALSE)</f>
        <v>0.18530322979957159</v>
      </c>
      <c r="V58" s="56">
        <f>VLOOKUP(V$2&amp;$A58,'Raw'!$A$2:$Z$1225,7,FALSE)</f>
        <v>8.549161697435359E-2</v>
      </c>
      <c r="W58" s="55">
        <f>VLOOKUP(W$2&amp;$A58,'Raw'!$A$2:$Z$1225,7,FALSE)</f>
        <v>-9.8861435917230178E-2</v>
      </c>
      <c r="X58" s="56">
        <f>VLOOKUP(X$2&amp;$A58,'Raw'!$A$2:$Z$1225,7,FALSE)</f>
        <v>-0.15081669367371653</v>
      </c>
      <c r="Y58" s="55">
        <f>VLOOKUP(Y$2&amp;$A58,'Raw'!$A$2:$Z$1225,7,FALSE)</f>
        <v>0.22220074384060595</v>
      </c>
      <c r="Z58" s="56">
        <f>VLOOKUP(Z$2&amp;$A58,'Raw'!$A$2:$Z$1225,7,FALSE)</f>
        <v>6.4385248843978893E-2</v>
      </c>
    </row>
    <row r="59" spans="1:26">
      <c r="V59" s="56"/>
    </row>
  </sheetData>
  <mergeCells count="20">
    <mergeCell ref="C3:N3"/>
    <mergeCell ref="C4:F4"/>
    <mergeCell ref="G4:J4"/>
    <mergeCell ref="K4:N4"/>
    <mergeCell ref="C5:D5"/>
    <mergeCell ref="E5:F5"/>
    <mergeCell ref="G5:H5"/>
    <mergeCell ref="I5:J5"/>
    <mergeCell ref="K5:L5"/>
    <mergeCell ref="M5:N5"/>
    <mergeCell ref="O3:Z3"/>
    <mergeCell ref="O4:R4"/>
    <mergeCell ref="S4:V4"/>
    <mergeCell ref="W4:Z4"/>
    <mergeCell ref="O5:P5"/>
    <mergeCell ref="Q5:R5"/>
    <mergeCell ref="S5:T5"/>
    <mergeCell ref="U5:V5"/>
    <mergeCell ref="W5:X5"/>
    <mergeCell ref="Y5:Z5"/>
  </mergeCells>
  <conditionalFormatting sqref="C8:Z58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C71E-CE8E-4FD2-9EF3-2F3F66F1834B}">
  <dimension ref="A2:Z59"/>
  <sheetViews>
    <sheetView topLeftCell="A6" zoomScale="106" zoomScaleNormal="100" workbookViewId="0">
      <selection activeCell="B18" sqref="B18"/>
    </sheetView>
  </sheetViews>
  <sheetFormatPr baseColWidth="10" defaultColWidth="10.81640625" defaultRowHeight="14.5"/>
  <cols>
    <col min="1" max="2" width="10.81640625" style="2"/>
    <col min="3" max="4" width="13.1796875" style="2" bestFit="1" customWidth="1"/>
    <col min="5" max="5" width="12.54296875" style="2" bestFit="1" customWidth="1"/>
    <col min="6" max="12" width="13.1796875" style="2" bestFit="1" customWidth="1"/>
    <col min="13" max="13" width="12.54296875" style="2" bestFit="1" customWidth="1"/>
    <col min="14" max="16" width="13.1796875" style="2" bestFit="1" customWidth="1"/>
    <col min="17" max="17" width="12.54296875" style="2" bestFit="1" customWidth="1"/>
    <col min="18" max="26" width="13.1796875" style="2" bestFit="1" customWidth="1"/>
    <col min="27" max="16384" width="10.81640625" style="2"/>
  </cols>
  <sheetData>
    <row r="2" spans="1:26">
      <c r="A2" s="52" t="s">
        <v>161</v>
      </c>
      <c r="B2" s="52"/>
      <c r="C2" s="52">
        <v>1000</v>
      </c>
      <c r="D2" s="52">
        <v>1001</v>
      </c>
      <c r="E2" s="52">
        <v>1010</v>
      </c>
      <c r="F2" s="52">
        <v>1011</v>
      </c>
      <c r="G2" s="52">
        <v>1100</v>
      </c>
      <c r="H2" s="52">
        <v>1101</v>
      </c>
      <c r="I2" s="52">
        <v>1110</v>
      </c>
      <c r="J2" s="52">
        <v>1111</v>
      </c>
      <c r="K2" s="52">
        <v>1200</v>
      </c>
      <c r="L2" s="52">
        <v>1201</v>
      </c>
      <c r="M2" s="52">
        <v>1210</v>
      </c>
      <c r="N2" s="52">
        <v>1211</v>
      </c>
      <c r="O2" s="52" t="s">
        <v>162</v>
      </c>
      <c r="P2" s="52" t="s">
        <v>163</v>
      </c>
      <c r="Q2" s="52" t="s">
        <v>164</v>
      </c>
      <c r="R2" s="52" t="s">
        <v>165</v>
      </c>
      <c r="S2" s="52" t="s">
        <v>166</v>
      </c>
      <c r="T2" s="52" t="s">
        <v>167</v>
      </c>
      <c r="U2" s="52" t="s">
        <v>168</v>
      </c>
      <c r="V2" s="52" t="s">
        <v>169</v>
      </c>
      <c r="W2" s="52" t="s">
        <v>170</v>
      </c>
      <c r="X2" s="52" t="s">
        <v>171</v>
      </c>
      <c r="Y2" s="52" t="s">
        <v>173</v>
      </c>
      <c r="Z2" s="52" t="s">
        <v>172</v>
      </c>
    </row>
    <row r="3" spans="1:26">
      <c r="A3" s="52" t="str">
        <f>C2&amp;A8</f>
        <v>100036526</v>
      </c>
      <c r="C3" s="78" t="s">
        <v>152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 t="s">
        <v>159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>
      <c r="C4" s="78" t="s">
        <v>153</v>
      </c>
      <c r="D4" s="78"/>
      <c r="E4" s="78"/>
      <c r="F4" s="78"/>
      <c r="G4" s="78" t="s">
        <v>66</v>
      </c>
      <c r="H4" s="78"/>
      <c r="I4" s="78"/>
      <c r="J4" s="78"/>
      <c r="K4" s="78" t="s">
        <v>158</v>
      </c>
      <c r="L4" s="78"/>
      <c r="M4" s="78"/>
      <c r="N4" s="78"/>
      <c r="O4" s="78" t="s">
        <v>153</v>
      </c>
      <c r="P4" s="78"/>
      <c r="Q4" s="78"/>
      <c r="R4" s="78"/>
      <c r="S4" s="78" t="s">
        <v>66</v>
      </c>
      <c r="T4" s="78"/>
      <c r="U4" s="78"/>
      <c r="V4" s="78"/>
      <c r="W4" s="78" t="s">
        <v>158</v>
      </c>
      <c r="X4" s="78"/>
      <c r="Y4" s="78"/>
      <c r="Z4" s="78"/>
    </row>
    <row r="5" spans="1:26">
      <c r="C5" s="78" t="s">
        <v>154</v>
      </c>
      <c r="D5" s="78"/>
      <c r="E5" s="78" t="s">
        <v>157</v>
      </c>
      <c r="F5" s="78"/>
      <c r="G5" s="78" t="s">
        <v>154</v>
      </c>
      <c r="H5" s="78"/>
      <c r="I5" s="78" t="s">
        <v>157</v>
      </c>
      <c r="J5" s="78"/>
      <c r="K5" s="79" t="s">
        <v>154</v>
      </c>
      <c r="L5" s="79"/>
      <c r="M5" s="79" t="s">
        <v>157</v>
      </c>
      <c r="N5" s="79"/>
      <c r="O5" s="78" t="s">
        <v>154</v>
      </c>
      <c r="P5" s="78"/>
      <c r="Q5" s="78" t="s">
        <v>157</v>
      </c>
      <c r="R5" s="78"/>
      <c r="S5" s="78" t="s">
        <v>154</v>
      </c>
      <c r="T5" s="78"/>
      <c r="U5" s="78" t="s">
        <v>157</v>
      </c>
      <c r="V5" s="78"/>
      <c r="W5" s="79" t="s">
        <v>154</v>
      </c>
      <c r="X5" s="79"/>
      <c r="Y5" s="79" t="s">
        <v>157</v>
      </c>
      <c r="Z5" s="79"/>
    </row>
    <row r="6" spans="1:26">
      <c r="B6" s="51"/>
      <c r="C6" s="63" t="s">
        <v>155</v>
      </c>
      <c r="D6" s="59" t="s">
        <v>156</v>
      </c>
      <c r="E6" s="57" t="s">
        <v>155</v>
      </c>
      <c r="F6" s="61" t="s">
        <v>156</v>
      </c>
      <c r="G6" s="63" t="s">
        <v>155</v>
      </c>
      <c r="H6" s="59" t="s">
        <v>156</v>
      </c>
      <c r="I6" s="57" t="s">
        <v>155</v>
      </c>
      <c r="J6" s="61" t="s">
        <v>156</v>
      </c>
      <c r="K6" s="64" t="s">
        <v>155</v>
      </c>
      <c r="L6" s="60" t="s">
        <v>156</v>
      </c>
      <c r="M6" s="58" t="s">
        <v>155</v>
      </c>
      <c r="N6" s="62" t="s">
        <v>156</v>
      </c>
      <c r="O6" s="63" t="s">
        <v>155</v>
      </c>
      <c r="P6" s="65" t="s">
        <v>156</v>
      </c>
      <c r="Q6" s="57" t="s">
        <v>155</v>
      </c>
      <c r="R6" s="61" t="s">
        <v>156</v>
      </c>
      <c r="S6" s="63" t="s">
        <v>155</v>
      </c>
      <c r="T6" s="59" t="s">
        <v>156</v>
      </c>
      <c r="U6" s="57" t="s">
        <v>155</v>
      </c>
      <c r="V6" s="61" t="s">
        <v>156</v>
      </c>
      <c r="W6" s="64" t="s">
        <v>155</v>
      </c>
      <c r="X6" s="60" t="s">
        <v>156</v>
      </c>
      <c r="Y6" s="58" t="s">
        <v>155</v>
      </c>
      <c r="Z6" s="62" t="s">
        <v>156</v>
      </c>
    </row>
    <row r="7" spans="1:26" customFormat="1">
      <c r="C7" s="67" t="str">
        <f>Combinaison!C1</f>
        <v>LF_LE_LS_WS</v>
      </c>
      <c r="D7" s="67" t="str">
        <f>Combinaison!D1</f>
        <v>LF_HE_LS_WS</v>
      </c>
      <c r="E7" s="67" t="str">
        <f>Combinaison!E1</f>
        <v>HF_LE_LS_WS</v>
      </c>
      <c r="F7" s="67" t="str">
        <f>Combinaison!F1</f>
        <v>HF_HE_LS_WS</v>
      </c>
      <c r="G7" s="67" t="str">
        <f>Combinaison!G1</f>
        <v>LF_LE_LS_PC</v>
      </c>
      <c r="H7" s="67" t="str">
        <f>Combinaison!H1</f>
        <v>LF_HE_LS_PC</v>
      </c>
      <c r="I7" s="67" t="str">
        <f>Combinaison!I1</f>
        <v>HF_LE_LS_PC</v>
      </c>
      <c r="J7" s="67" t="str">
        <f>Combinaison!J1</f>
        <v>HF_HE_LS_PC</v>
      </c>
      <c r="K7" s="67" t="str">
        <f>Combinaison!K1</f>
        <v>LF_LE_LS_PC-TVN</v>
      </c>
      <c r="L7" s="67" t="str">
        <f>Combinaison!L1</f>
        <v>LF_HE_LS_PC-TVN</v>
      </c>
      <c r="M7" s="67" t="str">
        <f>Combinaison!M1</f>
        <v>HF_LE_LS_PC-TVN</v>
      </c>
      <c r="N7" s="67" t="str">
        <f>Combinaison!N1</f>
        <v>HF_HE_LS_PC-TVN</v>
      </c>
      <c r="O7" s="67" t="str">
        <f>Combinaison!O1</f>
        <v>LF_LE_SSC_WS</v>
      </c>
      <c r="P7" s="67" t="str">
        <f>Combinaison!P1</f>
        <v>LF_HE_SSC_WS</v>
      </c>
      <c r="Q7" s="67" t="str">
        <f>Combinaison!Q1</f>
        <v>HF_LE_SSC_WS</v>
      </c>
      <c r="R7" s="67" t="str">
        <f>Combinaison!R1</f>
        <v>HF_HE_SSC_WS</v>
      </c>
      <c r="S7" s="67" t="str">
        <f>Combinaison!S1</f>
        <v>LF_LE_SSC_PC</v>
      </c>
      <c r="T7" s="67" t="str">
        <f>Combinaison!T1</f>
        <v>LF_HE_SSC_PC</v>
      </c>
      <c r="U7" s="67" t="str">
        <f>Combinaison!U1</f>
        <v>HF_LE_SSC_PC</v>
      </c>
      <c r="V7" s="67" t="str">
        <f>Combinaison!V1</f>
        <v>HF_HE_SSC_PC</v>
      </c>
      <c r="W7" s="67" t="str">
        <f>Combinaison!W1</f>
        <v>LF_LE_SSC_PC-TVN</v>
      </c>
      <c r="X7" s="67" t="str">
        <f>Combinaison!X1</f>
        <v>LF_HE_SSC_PC-TVN</v>
      </c>
      <c r="Y7" s="67" t="str">
        <f>Combinaison!Y1</f>
        <v>HF_LE_SSC_PC-TVN</v>
      </c>
      <c r="Z7" s="67" t="str">
        <f>Combinaison!Z1</f>
        <v>HF_HE_SSC_PC-TVN</v>
      </c>
    </row>
    <row r="8" spans="1:26">
      <c r="A8" s="52">
        <v>36526</v>
      </c>
      <c r="B8" s="53">
        <v>36526</v>
      </c>
      <c r="C8" s="55">
        <f>VLOOKUP(C$2&amp;$A8,'Raw'!$A$2:$Z$1225,9,FALSE)</f>
        <v>0</v>
      </c>
      <c r="D8" s="56">
        <f>VLOOKUP(D$2&amp;$A8,'Raw'!$A$2:$Z$1225,9,FALSE)</f>
        <v>0</v>
      </c>
      <c r="E8" s="55">
        <f>VLOOKUP(E$2&amp;$A8,'Raw'!$A$2:$Z$1225,9,FALSE)</f>
        <v>0</v>
      </c>
      <c r="F8" s="56">
        <f>VLOOKUP(F$2&amp;$A8,'Raw'!$A$2:$Z$1225,9,FALSE)</f>
        <v>0</v>
      </c>
      <c r="G8" s="55">
        <f>VLOOKUP(G$2&amp;$A8,'Raw'!$A$2:$Z$1225,9,FALSE)</f>
        <v>0</v>
      </c>
      <c r="H8" s="56">
        <f>VLOOKUP(H$2&amp;$A8,'Raw'!$A$2:$Z$1225,9,FALSE)</f>
        <v>0</v>
      </c>
      <c r="I8" s="55">
        <f>VLOOKUP(I$2&amp;$A8,'Raw'!$A$2:$Z$1225,9,FALSE)</f>
        <v>0</v>
      </c>
      <c r="J8" s="55">
        <f>VLOOKUP(J$2&amp;$A8,'Raw'!$A$2:$Z$1225,9,FALSE)</f>
        <v>0</v>
      </c>
      <c r="K8" s="55">
        <f>VLOOKUP(K$2&amp;$A8,'Raw'!$A$2:$Z$1225,9,FALSE)</f>
        <v>0</v>
      </c>
      <c r="L8" s="56">
        <f>VLOOKUP(L$2&amp;$A8,'Raw'!$A$2:$Z$1225,9,FALSE)</f>
        <v>0</v>
      </c>
      <c r="M8" s="55">
        <f>VLOOKUP(M$2&amp;$A8,'Raw'!$A$2:$Z$1225,9,FALSE)</f>
        <v>0</v>
      </c>
      <c r="N8" s="56">
        <f>VLOOKUP(N$2&amp;$A8,'Raw'!$A$2:$Z$1225,9,FALSE)</f>
        <v>0</v>
      </c>
      <c r="O8" s="55">
        <f>VLOOKUP(O$2&amp;$A8,'Raw'!$A$2:$Z$1225,9,FALSE)</f>
        <v>0</v>
      </c>
      <c r="P8" s="56">
        <f>VLOOKUP(P$2&amp;$A8,'Raw'!$A$2:$Z$1225,9,FALSE)</f>
        <v>0</v>
      </c>
      <c r="Q8" s="55">
        <f>VLOOKUP(Q$2&amp;$A8,'Raw'!$A$2:$Z$1225,9,FALSE)</f>
        <v>0</v>
      </c>
      <c r="R8" s="56">
        <f>VLOOKUP(R$2&amp;$A8,'Raw'!$A$2:$Z$1225,9,FALSE)</f>
        <v>0</v>
      </c>
      <c r="S8" s="55">
        <f>VLOOKUP(S$2&amp;$A8,'Raw'!$A$2:$Z$1225,9,FALSE)</f>
        <v>0</v>
      </c>
      <c r="T8" s="56">
        <f>VLOOKUP(T$2&amp;$A8,'Raw'!$A$2:$Z$1225,9,FALSE)</f>
        <v>0</v>
      </c>
      <c r="U8" s="55">
        <f>VLOOKUP(U$2&amp;$A8,'Raw'!$A$2:$Z$1225,9,FALSE)</f>
        <v>0</v>
      </c>
      <c r="V8" s="56">
        <f>VLOOKUP(V$2&amp;$A8,'Raw'!$A$2:$Z$1225,9,FALSE)</f>
        <v>0</v>
      </c>
      <c r="W8" s="55">
        <f>VLOOKUP(W$2&amp;$A8,'Raw'!$A$2:$Z$1225,9,FALSE)</f>
        <v>0</v>
      </c>
      <c r="X8" s="56">
        <f>VLOOKUP(X$2&amp;$A8,'Raw'!$A$2:$Z$1225,9,FALSE)</f>
        <v>0</v>
      </c>
      <c r="Y8" s="55">
        <f>VLOOKUP(Y$2&amp;$A8,'Raw'!$A$2:$Z$1225,9,FALSE)</f>
        <v>0</v>
      </c>
      <c r="Z8" s="56">
        <f>VLOOKUP(Z$2&amp;$A8,'Raw'!$A$2:$Z$1225,9,FALSE)</f>
        <v>0</v>
      </c>
    </row>
    <row r="9" spans="1:26">
      <c r="A9" s="52">
        <v>36892</v>
      </c>
      <c r="B9" s="53">
        <v>36892</v>
      </c>
      <c r="C9" s="55">
        <f>VLOOKUP(C$2&amp;$A9,'Raw'!$A$2:$Z$1225,9,FALSE)</f>
        <v>-1.1929823961905117</v>
      </c>
      <c r="D9" s="56">
        <f>VLOOKUP(D$2&amp;$A9,'Raw'!$A$2:$Z$1225,9,FALSE)</f>
        <v>-1.242762565466482</v>
      </c>
      <c r="E9" s="55">
        <f>VLOOKUP(E$2&amp;$A9,'Raw'!$A$2:$Z$1225,9,FALSE)</f>
        <v>-5.3351140785127704</v>
      </c>
      <c r="F9" s="56">
        <f>VLOOKUP(F$2&amp;$A9,'Raw'!$A$2:$Z$1225,9,FALSE)</f>
        <v>-5.3968471436278804</v>
      </c>
      <c r="G9" s="55">
        <f>VLOOKUP(G$2&amp;$A9,'Raw'!$A$2:$Z$1225,9,FALSE)</f>
        <v>-1.1961777909335725</v>
      </c>
      <c r="H9" s="56">
        <f>VLOOKUP(H$2&amp;$A9,'Raw'!$A$2:$Z$1225,9,FALSE)</f>
        <v>-1.2461890787078156</v>
      </c>
      <c r="I9" s="55">
        <f>VLOOKUP(I$2&amp;$A9,'Raw'!$A$2:$Z$1225,9,FALSE)</f>
        <v>-5.3296635539064718</v>
      </c>
      <c r="J9" s="55">
        <f>VLOOKUP(J$2&amp;$A9,'Raw'!$A$2:$Z$1225,9,FALSE)</f>
        <v>-5.3901452471495359</v>
      </c>
      <c r="K9" s="55">
        <f>VLOOKUP(K$2&amp;$A9,'Raw'!$A$2:$Z$1225,9,FALSE)</f>
        <v>-1.1966467138824211</v>
      </c>
      <c r="L9" s="56">
        <f>VLOOKUP(L$2&amp;$A9,'Raw'!$A$2:$Z$1225,9,FALSE)</f>
        <v>-1.2464563744634227</v>
      </c>
      <c r="M9" s="55">
        <f>VLOOKUP(M$2&amp;$A9,'Raw'!$A$2:$Z$1225,9,FALSE)</f>
        <v>-5.3312624926288628</v>
      </c>
      <c r="N9" s="56">
        <f>VLOOKUP(N$2&amp;$A9,'Raw'!$A$2:$Z$1225,9,FALSE)</f>
        <v>-5.3912633683332434</v>
      </c>
      <c r="O9" s="55">
        <f>VLOOKUP(O$2&amp;$A9,'Raw'!$A$2:$Z$1225,9,FALSE)</f>
        <v>-1.2549789394302402</v>
      </c>
      <c r="P9" s="56">
        <f>VLOOKUP(P$2&amp;$A9,'Raw'!$A$2:$Z$1225,9,FALSE)</f>
        <v>-1.3045212542810436</v>
      </c>
      <c r="Q9" s="55">
        <f>VLOOKUP(Q$2&amp;$A9,'Raw'!$A$2:$Z$1225,9,FALSE)</f>
        <v>-5.3852166944267417</v>
      </c>
      <c r="R9" s="56">
        <f>VLOOKUP(R$2&amp;$A9,'Raw'!$A$2:$Z$1225,9,FALSE)</f>
        <v>-5.4466406693244762</v>
      </c>
      <c r="S9" s="55">
        <f>VLOOKUP(S$2&amp;$A9,'Raw'!$A$2:$Z$1225,9,FALSE)</f>
        <v>-1.2594970787614734</v>
      </c>
      <c r="T9" s="56">
        <f>VLOOKUP(T$2&amp;$A9,'Raw'!$A$2:$Z$1225,9,FALSE)</f>
        <v>-1.3092525297650148</v>
      </c>
      <c r="U9" s="55">
        <f>VLOOKUP(U$2&amp;$A9,'Raw'!$A$2:$Z$1225,9,FALSE)</f>
        <v>-5.3801289179695626</v>
      </c>
      <c r="V9" s="56">
        <f>VLOOKUP(V$2&amp;$A9,'Raw'!$A$2:$Z$1225,9,FALSE)</f>
        <v>-5.4403858646526748</v>
      </c>
      <c r="W9" s="55">
        <f>VLOOKUP(W$2&amp;$A9,'Raw'!$A$2:$Z$1225,9,FALSE)</f>
        <v>-1.2600491113287871</v>
      </c>
      <c r="X9" s="56">
        <f>VLOOKUP(X$2&amp;$A9,'Raw'!$A$2:$Z$1225,9,FALSE)</f>
        <v>-1.3095808318201674</v>
      </c>
      <c r="Y9" s="55">
        <f>VLOOKUP(Y$2&amp;$A9,'Raw'!$A$2:$Z$1225,9,FALSE)</f>
        <v>-5.3818534742874675</v>
      </c>
      <c r="Z9" s="56">
        <f>VLOOKUP(Z$2&amp;$A9,'Raw'!$A$2:$Z$1225,9,FALSE)</f>
        <v>-5.4416065249545227</v>
      </c>
    </row>
    <row r="10" spans="1:26">
      <c r="A10" s="52">
        <v>37257</v>
      </c>
      <c r="B10" s="53">
        <v>37257</v>
      </c>
      <c r="C10" s="55">
        <f>VLOOKUP(C$2&amp;$A10,'Raw'!$A$2:$Z$1225,9,FALSE)</f>
        <v>-1.9405678799803705</v>
      </c>
      <c r="D10" s="56">
        <f>VLOOKUP(D$2&amp;$A10,'Raw'!$A$2:$Z$1225,9,FALSE)</f>
        <v>-2.064787919465505</v>
      </c>
      <c r="E10" s="55">
        <f>VLOOKUP(E$2&amp;$A10,'Raw'!$A$2:$Z$1225,9,FALSE)</f>
        <v>-8.4612548895093393</v>
      </c>
      <c r="F10" s="56">
        <f>VLOOKUP(F$2&amp;$A10,'Raw'!$A$2:$Z$1225,9,FALSE)</f>
        <v>-8.6351518080518659</v>
      </c>
      <c r="G10" s="55">
        <f>VLOOKUP(G$2&amp;$A10,'Raw'!$A$2:$Z$1225,9,FALSE)</f>
        <v>-1.9460355310856547</v>
      </c>
      <c r="H10" s="56">
        <f>VLOOKUP(H$2&amp;$A10,'Raw'!$A$2:$Z$1225,9,FALSE)</f>
        <v>-2.0719559948140898</v>
      </c>
      <c r="I10" s="55">
        <f>VLOOKUP(I$2&amp;$A10,'Raw'!$A$2:$Z$1225,9,FALSE)</f>
        <v>-8.4323106205189902</v>
      </c>
      <c r="J10" s="55">
        <f>VLOOKUP(J$2&amp;$A10,'Raw'!$A$2:$Z$1225,9,FALSE)</f>
        <v>-8.606373131372413</v>
      </c>
      <c r="K10" s="55">
        <f>VLOOKUP(K$2&amp;$A10,'Raw'!$A$2:$Z$1225,9,FALSE)</f>
        <v>-1.9478706386541811</v>
      </c>
      <c r="L10" s="56">
        <f>VLOOKUP(L$2&amp;$A10,'Raw'!$A$2:$Z$1225,9,FALSE)</f>
        <v>-2.0727360156766128</v>
      </c>
      <c r="M10" s="55">
        <f>VLOOKUP(M$2&amp;$A10,'Raw'!$A$2:$Z$1225,9,FALSE)</f>
        <v>-8.4391268055591055</v>
      </c>
      <c r="N10" s="56">
        <f>VLOOKUP(N$2&amp;$A10,'Raw'!$A$2:$Z$1225,9,FALSE)</f>
        <v>-8.6105152457849226</v>
      </c>
      <c r="O10" s="55">
        <f>VLOOKUP(O$2&amp;$A10,'Raw'!$A$2:$Z$1225,9,FALSE)</f>
        <v>-2.0509436478016951</v>
      </c>
      <c r="P10" s="56">
        <f>VLOOKUP(P$2&amp;$A10,'Raw'!$A$2:$Z$1225,9,FALSE)</f>
        <v>-2.1743181053399341</v>
      </c>
      <c r="Q10" s="55">
        <f>VLOOKUP(Q$2&amp;$A10,'Raw'!$A$2:$Z$1225,9,FALSE)</f>
        <v>-8.5444931169784688</v>
      </c>
      <c r="R10" s="56">
        <f>VLOOKUP(R$2&amp;$A10,'Raw'!$A$2:$Z$1225,9,FALSE)</f>
        <v>-8.7173113657151085</v>
      </c>
      <c r="S10" s="55">
        <f>VLOOKUP(S$2&amp;$A10,'Raw'!$A$2:$Z$1225,9,FALSE)</f>
        <v>-2.0592107064904108</v>
      </c>
      <c r="T10" s="56">
        <f>VLOOKUP(T$2&amp;$A10,'Raw'!$A$2:$Z$1225,9,FALSE)</f>
        <v>-2.1842686992514682</v>
      </c>
      <c r="U10" s="55">
        <f>VLOOKUP(U$2&amp;$A10,'Raw'!$A$2:$Z$1225,9,FALSE)</f>
        <v>-8.5158070576137561</v>
      </c>
      <c r="V10" s="56">
        <f>VLOOKUP(V$2&amp;$A10,'Raw'!$A$2:$Z$1225,9,FALSE)</f>
        <v>-8.6890562482747402</v>
      </c>
      <c r="W10" s="55">
        <f>VLOOKUP(W$2&amp;$A10,'Raw'!$A$2:$Z$1225,9,FALSE)</f>
        <v>-2.0613670653592431</v>
      </c>
      <c r="X10" s="56">
        <f>VLOOKUP(X$2&amp;$A10,'Raw'!$A$2:$Z$1225,9,FALSE)</f>
        <v>-2.1852424634165146</v>
      </c>
      <c r="Y10" s="55">
        <f>VLOOKUP(Y$2&amp;$A10,'Raw'!$A$2:$Z$1225,9,FALSE)</f>
        <v>-8.5231241060869767</v>
      </c>
      <c r="Z10" s="56">
        <f>VLOOKUP(Z$2&amp;$A10,'Raw'!$A$2:$Z$1225,9,FALSE)</f>
        <v>-8.6935721316829362</v>
      </c>
    </row>
    <row r="11" spans="1:26">
      <c r="A11" s="52">
        <v>37622</v>
      </c>
      <c r="B11" s="53">
        <v>37622</v>
      </c>
      <c r="C11" s="55">
        <f>VLOOKUP(C$2&amp;$A11,'Raw'!$A$2:$Z$1225,9,FALSE)</f>
        <v>-2.369092307156806</v>
      </c>
      <c r="D11" s="56">
        <f>VLOOKUP(D$2&amp;$A11,'Raw'!$A$2:$Z$1225,9,FALSE)</f>
        <v>-2.5755414599256343</v>
      </c>
      <c r="E11" s="55">
        <f>VLOOKUP(E$2&amp;$A11,'Raw'!$A$2:$Z$1225,9,FALSE)</f>
        <v>-10.187797487968231</v>
      </c>
      <c r="F11" s="56">
        <f>VLOOKUP(F$2&amp;$A11,'Raw'!$A$2:$Z$1225,9,FALSE)</f>
        <v>-10.517960072177212</v>
      </c>
      <c r="G11" s="55">
        <f>VLOOKUP(G$2&amp;$A11,'Raw'!$A$2:$Z$1225,9,FALSE)</f>
        <v>-2.3767796964146881</v>
      </c>
      <c r="H11" s="56">
        <f>VLOOKUP(H$2&amp;$A11,'Raw'!$A$2:$Z$1225,9,FALSE)</f>
        <v>-2.589123347275768</v>
      </c>
      <c r="I11" s="55">
        <f>VLOOKUP(I$2&amp;$A11,'Raw'!$A$2:$Z$1225,9,FALSE)</f>
        <v>-10.121136377564998</v>
      </c>
      <c r="J11" s="55">
        <f>VLOOKUP(J$2&amp;$A11,'Raw'!$A$2:$Z$1225,9,FALSE)</f>
        <v>-10.462111168795463</v>
      </c>
      <c r="K11" s="55">
        <f>VLOOKUP(K$2&amp;$A11,'Raw'!$A$2:$Z$1225,9,FALSE)</f>
        <v>-2.3810164611574702</v>
      </c>
      <c r="L11" s="56">
        <f>VLOOKUP(L$2&amp;$A11,'Raw'!$A$2:$Z$1225,9,FALSE)</f>
        <v>-2.5902621440557549</v>
      </c>
      <c r="M11" s="55">
        <f>VLOOKUP(M$2&amp;$A11,'Raw'!$A$2:$Z$1225,9,FALSE)</f>
        <v>-10.138467251410511</v>
      </c>
      <c r="N11" s="56">
        <f>VLOOKUP(N$2&amp;$A11,'Raw'!$A$2:$Z$1225,9,FALSE)</f>
        <v>-10.470941995530369</v>
      </c>
      <c r="O11" s="55">
        <f>VLOOKUP(O$2&amp;$A11,'Raw'!$A$2:$Z$1225,9,FALSE)</f>
        <v>-2.5129017139396748</v>
      </c>
      <c r="P11" s="56">
        <f>VLOOKUP(P$2&amp;$A11,'Raw'!$A$2:$Z$1225,9,FALSE)</f>
        <v>-2.717478436539722</v>
      </c>
      <c r="Q11" s="55">
        <f>VLOOKUP(Q$2&amp;$A11,'Raw'!$A$2:$Z$1225,9,FALSE)</f>
        <v>-10.291010653516553</v>
      </c>
      <c r="R11" s="56">
        <f>VLOOKUP(R$2&amp;$A11,'Raw'!$A$2:$Z$1225,9,FALSE)</f>
        <v>-10.618765499061256</v>
      </c>
      <c r="S11" s="55">
        <f>VLOOKUP(S$2&amp;$A11,'Raw'!$A$2:$Z$1225,9,FALSE)</f>
        <v>-2.5250093440937094</v>
      </c>
      <c r="T11" s="56">
        <f>VLOOKUP(T$2&amp;$A11,'Raw'!$A$2:$Z$1225,9,FALSE)</f>
        <v>-2.7355571540341406</v>
      </c>
      <c r="U11" s="55">
        <f>VLOOKUP(U$2&amp;$A11,'Raw'!$A$2:$Z$1225,9,FALSE)</f>
        <v>-10.223860686852893</v>
      </c>
      <c r="V11" s="56">
        <f>VLOOKUP(V$2&amp;$A11,'Raw'!$A$2:$Z$1225,9,FALSE)</f>
        <v>-10.56309580819793</v>
      </c>
      <c r="W11" s="55">
        <f>VLOOKUP(W$2&amp;$A11,'Raw'!$A$2:$Z$1225,9,FALSE)</f>
        <v>-2.5299812976706693</v>
      </c>
      <c r="X11" s="56">
        <f>VLOOKUP(X$2&amp;$A11,'Raw'!$A$2:$Z$1225,9,FALSE)</f>
        <v>-2.7370280331425523</v>
      </c>
      <c r="Y11" s="55">
        <f>VLOOKUP(Y$2&amp;$A11,'Raw'!$A$2:$Z$1225,9,FALSE)</f>
        <v>-10.242386070500952</v>
      </c>
      <c r="Z11" s="56">
        <f>VLOOKUP(Z$2&amp;$A11,'Raw'!$A$2:$Z$1225,9,FALSE)</f>
        <v>-10.572722869801277</v>
      </c>
    </row>
    <row r="12" spans="1:26">
      <c r="A12" s="52">
        <v>37987</v>
      </c>
      <c r="B12" s="53">
        <v>37987</v>
      </c>
      <c r="C12" s="55">
        <f>VLOOKUP(C$2&amp;$A12,'Raw'!$A$2:$Z$1225,9,FALSE)</f>
        <v>-2.6067880924451114</v>
      </c>
      <c r="D12" s="56">
        <f>VLOOKUP(D$2&amp;$A12,'Raw'!$A$2:$Z$1225,9,FALSE)</f>
        <v>-2.8943109704306802</v>
      </c>
      <c r="E12" s="55">
        <f>VLOOKUP(E$2&amp;$A12,'Raw'!$A$2:$Z$1225,9,FALSE)</f>
        <v>-11.093352932271195</v>
      </c>
      <c r="F12" s="56">
        <f>VLOOKUP(F$2&amp;$A12,'Raw'!$A$2:$Z$1225,9,FALSE)</f>
        <v>-11.618399651576095</v>
      </c>
      <c r="G12" s="55">
        <f>VLOOKUP(G$2&amp;$A12,'Raw'!$A$2:$Z$1225,9,FALSE)</f>
        <v>-2.6173318111449295</v>
      </c>
      <c r="H12" s="56">
        <f>VLOOKUP(H$2&amp;$A12,'Raw'!$A$2:$Z$1225,9,FALSE)</f>
        <v>-2.9189934464727174</v>
      </c>
      <c r="I12" s="55">
        <f>VLOOKUP(I$2&amp;$A12,'Raw'!$A$2:$Z$1225,9,FALSE)</f>
        <v>-10.979435374958136</v>
      </c>
      <c r="J12" s="55">
        <f>VLOOKUP(J$2&amp;$A12,'Raw'!$A$2:$Z$1225,9,FALSE)</f>
        <v>-11.543301859110521</v>
      </c>
      <c r="K12" s="55">
        <f>VLOOKUP(K$2&amp;$A12,'Raw'!$A$2:$Z$1225,9,FALSE)</f>
        <v>-2.6249001786671999</v>
      </c>
      <c r="L12" s="56">
        <f>VLOOKUP(L$2&amp;$A12,'Raw'!$A$2:$Z$1225,9,FALSE)</f>
        <v>-2.9197788399525249</v>
      </c>
      <c r="M12" s="55">
        <f>VLOOKUP(M$2&amp;$A12,'Raw'!$A$2:$Z$1225,9,FALSE)</f>
        <v>-11.013566148075393</v>
      </c>
      <c r="N12" s="56">
        <f>VLOOKUP(N$2&amp;$A12,'Raw'!$A$2:$Z$1225,9,FALSE)</f>
        <v>-11.55710359621569</v>
      </c>
      <c r="O12" s="55">
        <f>VLOOKUP(O$2&amp;$A12,'Raw'!$A$2:$Z$1225,9,FALSE)</f>
        <v>-2.7742020046313542</v>
      </c>
      <c r="P12" s="56">
        <f>VLOOKUP(P$2&amp;$A12,'Raw'!$A$2:$Z$1225,9,FALSE)</f>
        <v>-3.0583596912547417</v>
      </c>
      <c r="Q12" s="55">
        <f>VLOOKUP(Q$2&amp;$A12,'Raw'!$A$2:$Z$1225,9,FALSE)</f>
        <v>-11.210246057886408</v>
      </c>
      <c r="R12" s="56">
        <f>VLOOKUP(R$2&amp;$A12,'Raw'!$A$2:$Z$1225,9,FALSE)</f>
        <v>-11.730895426419718</v>
      </c>
      <c r="S12" s="55">
        <f>VLOOKUP(S$2&amp;$A12,'Raw'!$A$2:$Z$1225,9,FALSE)</f>
        <v>-2.791043283159278</v>
      </c>
      <c r="T12" s="56">
        <f>VLOOKUP(T$2&amp;$A12,'Raw'!$A$2:$Z$1225,9,FALSE)</f>
        <v>-3.0897059695717655</v>
      </c>
      <c r="U12" s="55">
        <f>VLOOKUP(U$2&amp;$A12,'Raw'!$A$2:$Z$1225,9,FALSE)</f>
        <v>-11.094509807789866</v>
      </c>
      <c r="V12" s="56">
        <f>VLOOKUP(V$2&amp;$A12,'Raw'!$A$2:$Z$1225,9,FALSE)</f>
        <v>-11.655434835006151</v>
      </c>
      <c r="W12" s="55">
        <f>VLOOKUP(W$2&amp;$A12,'Raw'!$A$2:$Z$1225,9,FALSE)</f>
        <v>-2.7999136862463136</v>
      </c>
      <c r="X12" s="56">
        <f>VLOOKUP(X$2&amp;$A12,'Raw'!$A$2:$Z$1225,9,FALSE)</f>
        <v>-3.0908481692667467</v>
      </c>
      <c r="Y12" s="55">
        <f>VLOOKUP(Y$2&amp;$A12,'Raw'!$A$2:$Z$1225,9,FALSE)</f>
        <v>-11.130843015065384</v>
      </c>
      <c r="Z12" s="56">
        <f>VLOOKUP(Z$2&amp;$A12,'Raw'!$A$2:$Z$1225,9,FALSE)</f>
        <v>-11.67050131245313</v>
      </c>
    </row>
    <row r="13" spans="1:26">
      <c r="A13" s="52">
        <v>38353</v>
      </c>
      <c r="B13" s="53">
        <v>38353</v>
      </c>
      <c r="C13" s="55">
        <f>VLOOKUP(C$2&amp;$A13,'Raw'!$A$2:$Z$1225,9,FALSE)</f>
        <v>-2.7332303703467731</v>
      </c>
      <c r="D13" s="56">
        <f>VLOOKUP(D$2&amp;$A13,'Raw'!$A$2:$Z$1225,9,FALSE)</f>
        <v>-3.0957171466149846</v>
      </c>
      <c r="E13" s="55">
        <f>VLOOKUP(E$2&amp;$A13,'Raw'!$A$2:$Z$1225,9,FALSE)</f>
        <v>-11.516958010076539</v>
      </c>
      <c r="F13" s="56">
        <f>VLOOKUP(F$2&amp;$A13,'Raw'!$A$2:$Z$1225,9,FALSE)</f>
        <v>-12.267591860876593</v>
      </c>
      <c r="G13" s="55">
        <f>VLOOKUP(G$2&amp;$A13,'Raw'!$A$2:$Z$1225,9,FALSE)</f>
        <v>-2.7472576306653007</v>
      </c>
      <c r="H13" s="56">
        <f>VLOOKUP(H$2&amp;$A13,'Raw'!$A$2:$Z$1225,9,FALSE)</f>
        <v>-3.1368031501287641</v>
      </c>
      <c r="I13" s="55">
        <f>VLOOKUP(I$2&amp;$A13,'Raw'!$A$2:$Z$1225,9,FALSE)</f>
        <v>-11.350754803907604</v>
      </c>
      <c r="J13" s="55">
        <f>VLOOKUP(J$2&amp;$A13,'Raw'!$A$2:$Z$1225,9,FALSE)</f>
        <v>-12.193158838984298</v>
      </c>
      <c r="K13" s="55">
        <f>VLOOKUP(K$2&amp;$A13,'Raw'!$A$2:$Z$1225,9,FALSE)</f>
        <v>-2.7588739897370429</v>
      </c>
      <c r="L13" s="56">
        <f>VLOOKUP(L$2&amp;$A13,'Raw'!$A$2:$Z$1225,9,FALSE)</f>
        <v>-3.1360940219408495</v>
      </c>
      <c r="M13" s="55">
        <f>VLOOKUP(M$2&amp;$A13,'Raw'!$A$2:$Z$1225,9,FALSE)</f>
        <v>-11.408210351571491</v>
      </c>
      <c r="N13" s="56">
        <f>VLOOKUP(N$2&amp;$A13,'Raw'!$A$2:$Z$1225,9,FALSE)</f>
        <v>-12.210065304380635</v>
      </c>
      <c r="O13" s="55">
        <f>VLOOKUP(O$2&amp;$A13,'Raw'!$A$2:$Z$1225,9,FALSE)</f>
        <v>-2.9181553789826009</v>
      </c>
      <c r="P13" s="56">
        <f>VLOOKUP(P$2&amp;$A13,'Raw'!$A$2:$Z$1225,9,FALSE)</f>
        <v>-3.2752740007824355</v>
      </c>
      <c r="Q13" s="55">
        <f>VLOOKUP(Q$2&amp;$A13,'Raw'!$A$2:$Z$1225,9,FALSE)</f>
        <v>-11.645305414986606</v>
      </c>
      <c r="R13" s="56">
        <f>VLOOKUP(R$2&amp;$A13,'Raw'!$A$2:$Z$1225,9,FALSE)</f>
        <v>-12.388798984799598</v>
      </c>
      <c r="S13" s="55">
        <f>VLOOKUP(S$2&amp;$A13,'Raw'!$A$2:$Z$1225,9,FALSE)</f>
        <v>-2.9406613489474709</v>
      </c>
      <c r="T13" s="56">
        <f>VLOOKUP(T$2&amp;$A13,'Raw'!$A$2:$Z$1225,9,FALSE)</f>
        <v>-3.3258092586058718</v>
      </c>
      <c r="U13" s="55">
        <f>VLOOKUP(U$2&amp;$A13,'Raw'!$A$2:$Z$1225,9,FALSE)</f>
        <v>-11.475524753898025</v>
      </c>
      <c r="V13" s="56">
        <f>VLOOKUP(V$2&amp;$A13,'Raw'!$A$2:$Z$1225,9,FALSE)</f>
        <v>-12.313591007493784</v>
      </c>
      <c r="W13" s="55">
        <f>VLOOKUP(W$2&amp;$A13,'Raw'!$A$2:$Z$1225,9,FALSE)</f>
        <v>-2.9542568665491542</v>
      </c>
      <c r="X13" s="56">
        <f>VLOOKUP(X$2&amp;$A13,'Raw'!$A$2:$Z$1225,9,FALSE)</f>
        <v>-3.3252402533297643</v>
      </c>
      <c r="Y13" s="55">
        <f>VLOOKUP(Y$2&amp;$A13,'Raw'!$A$2:$Z$1225,9,FALSE)</f>
        <v>-11.536436854066491</v>
      </c>
      <c r="Z13" s="56">
        <f>VLOOKUP(Z$2&amp;$A13,'Raw'!$A$2:$Z$1225,9,FALSE)</f>
        <v>-12.332112886833235</v>
      </c>
    </row>
    <row r="14" spans="1:26">
      <c r="A14" s="52">
        <v>38718</v>
      </c>
      <c r="B14" s="53">
        <v>38718</v>
      </c>
      <c r="C14" s="55">
        <f>VLOOKUP(C$2&amp;$A14,'Raw'!$A$2:$Z$1225,9,FALSE)</f>
        <v>-2.7935593728201424</v>
      </c>
      <c r="D14" s="56">
        <f>VLOOKUP(D$2&amp;$A14,'Raw'!$A$2:$Z$1225,9,FALSE)</f>
        <v>-3.2219461532857818</v>
      </c>
      <c r="E14" s="55">
        <f>VLOOKUP(E$2&amp;$A14,'Raw'!$A$2:$Z$1225,9,FALSE)</f>
        <v>-11.654312008092216</v>
      </c>
      <c r="F14" s="56">
        <f>VLOOKUP(F$2&amp;$A14,'Raw'!$A$2:$Z$1225,9,FALSE)</f>
        <v>-12.650947015259039</v>
      </c>
      <c r="G14" s="55">
        <f>VLOOKUP(G$2&amp;$A14,'Raw'!$A$2:$Z$1225,9,FALSE)</f>
        <v>-2.8112208159629115</v>
      </c>
      <c r="H14" s="56">
        <f>VLOOKUP(H$2&amp;$A14,'Raw'!$A$2:$Z$1225,9,FALSE)</f>
        <v>-3.2839082938444952</v>
      </c>
      <c r="I14" s="55">
        <f>VLOOKUP(I$2&amp;$A14,'Raw'!$A$2:$Z$1225,9,FALSE)</f>
        <v>-11.434822451713744</v>
      </c>
      <c r="J14" s="55">
        <f>VLOOKUP(J$2&amp;$A14,'Raw'!$A$2:$Z$1225,9,FALSE)</f>
        <v>-12.606433288021702</v>
      </c>
      <c r="K14" s="55">
        <f>VLOOKUP(K$2&amp;$A14,'Raw'!$A$2:$Z$1225,9,FALSE)</f>
        <v>-2.8273933804939588</v>
      </c>
      <c r="L14" s="56">
        <f>VLOOKUP(L$2&amp;$A14,'Raw'!$A$2:$Z$1225,9,FALSE)</f>
        <v>-3.2804710246273516</v>
      </c>
      <c r="M14" s="55">
        <f>VLOOKUP(M$2&amp;$A14,'Raw'!$A$2:$Z$1225,9,FALSE)</f>
        <v>-11.521736202110656</v>
      </c>
      <c r="N14" s="56">
        <f>VLOOKUP(N$2&amp;$A14,'Raw'!$A$2:$Z$1225,9,FALSE)</f>
        <v>-12.622295611270484</v>
      </c>
      <c r="O14" s="55">
        <f>VLOOKUP(O$2&amp;$A14,'Raw'!$A$2:$Z$1225,9,FALSE)</f>
        <v>-2.9920541278004698</v>
      </c>
      <c r="P14" s="56">
        <f>VLOOKUP(P$2&amp;$A14,'Raw'!$A$2:$Z$1225,9,FALSE)</f>
        <v>-3.4125375666890223</v>
      </c>
      <c r="Q14" s="55">
        <f>VLOOKUP(Q$2&amp;$A14,'Raw'!$A$2:$Z$1225,9,FALSE)</f>
        <v>-11.793801425327</v>
      </c>
      <c r="R14" s="56">
        <f>VLOOKUP(R$2&amp;$A14,'Raw'!$A$2:$Z$1225,9,FALSE)</f>
        <v>-12.779740866229982</v>
      </c>
      <c r="S14" s="55">
        <f>VLOOKUP(S$2&amp;$A14,'Raw'!$A$2:$Z$1225,9,FALSE)</f>
        <v>-3.0206361547591487</v>
      </c>
      <c r="T14" s="56">
        <f>VLOOKUP(T$2&amp;$A14,'Raw'!$A$2:$Z$1225,9,FALSE)</f>
        <v>-3.4874204454114932</v>
      </c>
      <c r="U14" s="55">
        <f>VLOOKUP(U$2&amp;$A14,'Raw'!$A$2:$Z$1225,9,FALSE)</f>
        <v>-11.568720104277974</v>
      </c>
      <c r="V14" s="56">
        <f>VLOOKUP(V$2&amp;$A14,'Raw'!$A$2:$Z$1225,9,FALSE)</f>
        <v>-12.734503149577158</v>
      </c>
      <c r="W14" s="55">
        <f>VLOOKUP(W$2&amp;$A14,'Raw'!$A$2:$Z$1225,9,FALSE)</f>
        <v>-3.0395328593395776</v>
      </c>
      <c r="X14" s="56">
        <f>VLOOKUP(X$2&amp;$A14,'Raw'!$A$2:$Z$1225,9,FALSE)</f>
        <v>-3.4835664955514822</v>
      </c>
      <c r="Y14" s="55">
        <f>VLOOKUP(Y$2&amp;$A14,'Raw'!$A$2:$Z$1225,9,FALSE)</f>
        <v>-11.660480441498544</v>
      </c>
      <c r="Z14" s="56">
        <f>VLOOKUP(Z$2&amp;$A14,'Raw'!$A$2:$Z$1225,9,FALSE)</f>
        <v>-12.752033481328095</v>
      </c>
    </row>
    <row r="15" spans="1:26">
      <c r="A15" s="52">
        <v>39083</v>
      </c>
      <c r="B15" s="53">
        <v>39083</v>
      </c>
      <c r="C15" s="55">
        <f>VLOOKUP(C$2&amp;$A15,'Raw'!$A$2:$Z$1225,9,FALSE)</f>
        <v>-2.8131719883357609</v>
      </c>
      <c r="D15" s="56">
        <f>VLOOKUP(D$2&amp;$A15,'Raw'!$A$2:$Z$1225,9,FALSE)</f>
        <v>-3.2966910152924189</v>
      </c>
      <c r="E15" s="55">
        <f>VLOOKUP(E$2&amp;$A15,'Raw'!$A$2:$Z$1225,9,FALSE)</f>
        <v>-11.620280187718269</v>
      </c>
      <c r="F15" s="56">
        <f>VLOOKUP(F$2&amp;$A15,'Raw'!$A$2:$Z$1225,9,FALSE)</f>
        <v>-12.87194415314783</v>
      </c>
      <c r="G15" s="55">
        <f>VLOOKUP(G$2&amp;$A15,'Raw'!$A$2:$Z$1225,9,FALSE)</f>
        <v>-2.8340396886694319</v>
      </c>
      <c r="H15" s="56">
        <f>VLOOKUP(H$2&amp;$A15,'Raw'!$A$2:$Z$1225,9,FALSE)</f>
        <v>-3.3820411948801143</v>
      </c>
      <c r="I15" s="55">
        <f>VLOOKUP(I$2&amp;$A15,'Raw'!$A$2:$Z$1225,9,FALSE)</f>
        <v>-11.349977723519778</v>
      </c>
      <c r="J15" s="55">
        <f>VLOOKUP(J$2&amp;$A15,'Raw'!$A$2:$Z$1225,9,FALSE)</f>
        <v>-12.891956347505518</v>
      </c>
      <c r="K15" s="55">
        <f>VLOOKUP(K$2&amp;$A15,'Raw'!$A$2:$Z$1225,9,FALSE)</f>
        <v>-2.8551247724878825</v>
      </c>
      <c r="L15" s="56">
        <f>VLOOKUP(L$2&amp;$A15,'Raw'!$A$2:$Z$1225,9,FALSE)</f>
        <v>-3.3749646689292145</v>
      </c>
      <c r="M15" s="55">
        <f>VLOOKUP(M$2&amp;$A15,'Raw'!$A$2:$Z$1225,9,FALSE)</f>
        <v>-11.47163464214006</v>
      </c>
      <c r="N15" s="56">
        <f>VLOOKUP(N$2&amp;$A15,'Raw'!$A$2:$Z$1225,9,FALSE)</f>
        <v>-12.900872710483135</v>
      </c>
      <c r="O15" s="55">
        <f>VLOOKUP(O$2&amp;$A15,'Raw'!$A$2:$Z$1225,9,FALSE)</f>
        <v>-3.0224276108648307</v>
      </c>
      <c r="P15" s="56">
        <f>VLOOKUP(P$2&amp;$A15,'Raw'!$A$2:$Z$1225,9,FALSE)</f>
        <v>-3.494988715610825</v>
      </c>
      <c r="Q15" s="55">
        <f>VLOOKUP(Q$2&amp;$A15,'Raw'!$A$2:$Z$1225,9,FALSE)</f>
        <v>-11.771232664761033</v>
      </c>
      <c r="R15" s="56">
        <f>VLOOKUP(R$2&amp;$A15,'Raw'!$A$2:$Z$1225,9,FALSE)</f>
        <v>-13.007828820060075</v>
      </c>
      <c r="S15" s="55">
        <f>VLOOKUP(S$2&amp;$A15,'Raw'!$A$2:$Z$1225,9,FALSE)</f>
        <v>-3.056816961829234</v>
      </c>
      <c r="T15" s="56">
        <f>VLOOKUP(T$2&amp;$A15,'Raw'!$A$2:$Z$1225,9,FALSE)</f>
        <v>-3.5973938369128211</v>
      </c>
      <c r="U15" s="55">
        <f>VLOOKUP(U$2&amp;$A15,'Raw'!$A$2:$Z$1225,9,FALSE)</f>
        <v>-11.493225471663449</v>
      </c>
      <c r="V15" s="56">
        <f>VLOOKUP(V$2&amp;$A15,'Raw'!$A$2:$Z$1225,9,FALSE)</f>
        <v>-13.027911364421429</v>
      </c>
      <c r="W15" s="55">
        <f>VLOOKUP(W$2&amp;$A15,'Raw'!$A$2:$Z$1225,9,FALSE)</f>
        <v>-3.0814064533051466</v>
      </c>
      <c r="X15" s="56">
        <f>VLOOKUP(X$2&amp;$A15,'Raw'!$A$2:$Z$1225,9,FALSE)</f>
        <v>-3.5889556875852713</v>
      </c>
      <c r="Y15" s="55">
        <f>VLOOKUP(Y$2&amp;$A15,'Raw'!$A$2:$Z$1225,9,FALSE)</f>
        <v>-11.621127500412653</v>
      </c>
      <c r="Z15" s="56">
        <f>VLOOKUP(Z$2&amp;$A15,'Raw'!$A$2:$Z$1225,9,FALSE)</f>
        <v>-13.038094950606427</v>
      </c>
    </row>
    <row r="16" spans="1:26">
      <c r="A16" s="52">
        <v>39448</v>
      </c>
      <c r="B16" s="53">
        <v>39448</v>
      </c>
      <c r="C16" s="55">
        <f>VLOOKUP(C$2&amp;$A16,'Raw'!$A$2:$Z$1225,9,FALSE)</f>
        <v>-2.806801579723428</v>
      </c>
      <c r="D16" s="56">
        <f>VLOOKUP(D$2&amp;$A16,'Raw'!$A$2:$Z$1225,9,FALSE)</f>
        <v>-3.3339571564016901</v>
      </c>
      <c r="E16" s="55">
        <f>VLOOKUP(E$2&amp;$A16,'Raw'!$A$2:$Z$1225,9,FALSE)</f>
        <v>-11.484108132688553</v>
      </c>
      <c r="F16" s="56">
        <f>VLOOKUP(F$2&amp;$A16,'Raw'!$A$2:$Z$1225,9,FALSE)</f>
        <v>-12.988695054501632</v>
      </c>
      <c r="G16" s="55">
        <f>VLOOKUP(G$2&amp;$A16,'Raw'!$A$2:$Z$1225,9,FALSE)</f>
        <v>-2.8300433288909854</v>
      </c>
      <c r="H16" s="56">
        <f>VLOOKUP(H$2&amp;$A16,'Raw'!$A$2:$Z$1225,9,FALSE)</f>
        <v>-3.4425310551390087</v>
      </c>
      <c r="I16" s="55">
        <f>VLOOKUP(I$2&amp;$A16,'Raw'!$A$2:$Z$1225,9,FALSE)</f>
        <v>-11.168377096418558</v>
      </c>
      <c r="J16" s="55">
        <f>VLOOKUP(J$2&amp;$A16,'Raw'!$A$2:$Z$1225,9,FALSE)</f>
        <v>-13.108598301225527</v>
      </c>
      <c r="K16" s="55">
        <f>VLOOKUP(K$2&amp;$A16,'Raw'!$A$2:$Z$1225,9,FALSE)</f>
        <v>-2.8562975320497452</v>
      </c>
      <c r="L16" s="56">
        <f>VLOOKUP(L$2&amp;$A16,'Raw'!$A$2:$Z$1225,9,FALSE)</f>
        <v>-3.4316047094403834</v>
      </c>
      <c r="M16" s="55">
        <f>VLOOKUP(M$2&amp;$A16,'Raw'!$A$2:$Z$1225,9,FALSE)</f>
        <v>-11.328917197434784</v>
      </c>
      <c r="N16" s="56">
        <f>VLOOKUP(N$2&amp;$A16,'Raw'!$A$2:$Z$1225,9,FALSE)</f>
        <v>-13.103971145738335</v>
      </c>
      <c r="O16" s="55">
        <f>VLOOKUP(O$2&amp;$A16,'Raw'!$A$2:$Z$1225,9,FALSE)</f>
        <v>-3.0245826385922214</v>
      </c>
      <c r="P16" s="56">
        <f>VLOOKUP(P$2&amp;$A16,'Raw'!$A$2:$Z$1225,9,FALSE)</f>
        <v>-3.5372573031576704</v>
      </c>
      <c r="Q16" s="55">
        <f>VLOOKUP(Q$2&amp;$A16,'Raw'!$A$2:$Z$1225,9,FALSE)</f>
        <v>-11.646794454708143</v>
      </c>
      <c r="R16" s="56">
        <f>VLOOKUP(R$2&amp;$A16,'Raw'!$A$2:$Z$1225,9,FALSE)</f>
        <v>-13.131185272787215</v>
      </c>
      <c r="S16" s="55">
        <f>VLOOKUP(S$2&amp;$A16,'Raw'!$A$2:$Z$1225,9,FALSE)</f>
        <v>-3.063993876777249</v>
      </c>
      <c r="T16" s="56">
        <f>VLOOKUP(T$2&amp;$A16,'Raw'!$A$2:$Z$1225,9,FALSE)</f>
        <v>-3.6675971380343841</v>
      </c>
      <c r="U16" s="55">
        <f>VLOOKUP(U$2&amp;$A16,'Raw'!$A$2:$Z$1225,9,FALSE)</f>
        <v>-11.32127434888549</v>
      </c>
      <c r="V16" s="56">
        <f>VLOOKUP(V$2&amp;$A16,'Raw'!$A$2:$Z$1225,9,FALSE)</f>
        <v>-13.25289391758615</v>
      </c>
      <c r="W16" s="55">
        <f>VLOOKUP(W$2&amp;$A16,'Raw'!$A$2:$Z$1225,9,FALSE)</f>
        <v>-3.0945465043906495</v>
      </c>
      <c r="X16" s="56">
        <f>VLOOKUP(X$2&amp;$A16,'Raw'!$A$2:$Z$1225,9,FALSE)</f>
        <v>-3.6539854872802868</v>
      </c>
      <c r="Y16" s="55">
        <f>VLOOKUP(Y$2&amp;$A16,'Raw'!$A$2:$Z$1225,9,FALSE)</f>
        <v>-11.489343429472921</v>
      </c>
      <c r="Z16" s="56">
        <f>VLOOKUP(Z$2&amp;$A16,'Raw'!$A$2:$Z$1225,9,FALSE)</f>
        <v>-13.248579970319396</v>
      </c>
    </row>
    <row r="17" spans="1:26">
      <c r="A17" s="52">
        <v>39814</v>
      </c>
      <c r="B17" s="53">
        <v>39814</v>
      </c>
      <c r="C17" s="55">
        <f>VLOOKUP(C$2&amp;$A17,'Raw'!$A$2:$Z$1225,9,FALSE)</f>
        <v>-2.7834659711138299</v>
      </c>
      <c r="D17" s="56">
        <f>VLOOKUP(D$2&amp;$A17,'Raw'!$A$2:$Z$1225,9,FALSE)</f>
        <v>-3.3428494589568536</v>
      </c>
      <c r="E17" s="55">
        <f>VLOOKUP(E$2&amp;$A17,'Raw'!$A$2:$Z$1225,9,FALSE)</f>
        <v>-11.288731736695489</v>
      </c>
      <c r="F17" s="56">
        <f>VLOOKUP(F$2&amp;$A17,'Raw'!$A$2:$Z$1225,9,FALSE)</f>
        <v>-13.034274212083075</v>
      </c>
      <c r="G17" s="55">
        <f>VLOOKUP(G$2&amp;$A17,'Raw'!$A$2:$Z$1225,9,FALSE)</f>
        <v>-2.8081409551752978</v>
      </c>
      <c r="H17" s="56">
        <f>VLOOKUP(H$2&amp;$A17,'Raw'!$A$2:$Z$1225,9,FALSE)</f>
        <v>-3.4715045172974968</v>
      </c>
      <c r="I17" s="55">
        <f>VLOOKUP(I$2&amp;$A17,'Raw'!$A$2:$Z$1225,9,FALSE)</f>
        <v>-10.935301081020143</v>
      </c>
      <c r="J17" s="55">
        <f>VLOOKUP(J$2&amp;$A17,'Raw'!$A$2:$Z$1225,9,FALSE)</f>
        <v>-13.285570928879487</v>
      </c>
      <c r="K17" s="55">
        <f>VLOOKUP(K$2&amp;$A17,'Raw'!$A$2:$Z$1225,9,FALSE)</f>
        <v>-2.8397422837543096</v>
      </c>
      <c r="L17" s="56">
        <f>VLOOKUP(L$2&amp;$A17,'Raw'!$A$2:$Z$1225,9,FALSE)</f>
        <v>-3.4574779607653872</v>
      </c>
      <c r="M17" s="55">
        <f>VLOOKUP(M$2&amp;$A17,'Raw'!$A$2:$Z$1225,9,FALSE)</f>
        <v>-11.13754470769126</v>
      </c>
      <c r="N17" s="56">
        <f>VLOOKUP(N$2&amp;$A17,'Raw'!$A$2:$Z$1225,9,FALSE)</f>
        <v>-13.261457360411288</v>
      </c>
      <c r="O17" s="55">
        <f>VLOOKUP(O$2&amp;$A17,'Raw'!$A$2:$Z$1225,9,FALSE)</f>
        <v>-3.0078438939011964</v>
      </c>
      <c r="P17" s="56">
        <f>VLOOKUP(P$2&amp;$A17,'Raw'!$A$2:$Z$1225,9,FALSE)</f>
        <v>-3.5488410005609317</v>
      </c>
      <c r="Q17" s="55">
        <f>VLOOKUP(Q$2&amp;$A17,'Raw'!$A$2:$Z$1225,9,FALSE)</f>
        <v>-11.463062371921618</v>
      </c>
      <c r="R17" s="56">
        <f>VLOOKUP(R$2&amp;$A17,'Raw'!$A$2:$Z$1225,9,FALSE)</f>
        <v>-13.182650703576481</v>
      </c>
      <c r="S17" s="55">
        <f>VLOOKUP(S$2&amp;$A17,'Raw'!$A$2:$Z$1225,9,FALSE)</f>
        <v>-3.0512969092853059</v>
      </c>
      <c r="T17" s="56">
        <f>VLOOKUP(T$2&amp;$A17,'Raw'!$A$2:$Z$1225,9,FALSE)</f>
        <v>-3.7044295913419178</v>
      </c>
      <c r="U17" s="55">
        <f>VLOOKUP(U$2&amp;$A17,'Raw'!$A$2:$Z$1225,9,FALSE)</f>
        <v>-11.097882082535405</v>
      </c>
      <c r="V17" s="56">
        <f>VLOOKUP(V$2&amp;$A17,'Raw'!$A$2:$Z$1225,9,FALSE)</f>
        <v>-13.438533302473965</v>
      </c>
      <c r="W17" s="55">
        <f>VLOOKUP(W$2&amp;$A17,'Raw'!$A$2:$Z$1225,9,FALSE)</f>
        <v>-3.0879901094134299</v>
      </c>
      <c r="X17" s="56">
        <f>VLOOKUP(X$2&amp;$A17,'Raw'!$A$2:$Z$1225,9,FALSE)</f>
        <v>-3.6860783711567424</v>
      </c>
      <c r="Y17" s="55">
        <f>VLOOKUP(Y$2&amp;$A17,'Raw'!$A$2:$Z$1225,9,FALSE)</f>
        <v>-11.308720842461584</v>
      </c>
      <c r="Z17" s="56">
        <f>VLOOKUP(Z$2&amp;$A17,'Raw'!$A$2:$Z$1225,9,FALSE)</f>
        <v>-13.413197664734167</v>
      </c>
    </row>
    <row r="18" spans="1:26">
      <c r="A18" s="52">
        <v>40179</v>
      </c>
      <c r="B18" s="53">
        <v>40179</v>
      </c>
      <c r="C18" s="55">
        <f>VLOOKUP(C$2&amp;$A18,'Raw'!$A$2:$Z$1225,9,FALSE)</f>
        <v>-2.7490331075876506</v>
      </c>
      <c r="D18" s="56">
        <f>VLOOKUP(D$2&amp;$A18,'Raw'!$A$2:$Z$1225,9,FALSE)</f>
        <v>-3.3299709957429591</v>
      </c>
      <c r="E18" s="55">
        <f>VLOOKUP(E$2&amp;$A18,'Raw'!$A$2:$Z$1225,9,FALSE)</f>
        <v>-11.061342663207929</v>
      </c>
      <c r="F18" s="56">
        <f>VLOOKUP(F$2&amp;$A18,'Raw'!$A$2:$Z$1225,9,FALSE)</f>
        <v>-13.027904579585137</v>
      </c>
      <c r="G18" s="55">
        <f>VLOOKUP(G$2&amp;$A18,'Raw'!$A$2:$Z$1225,9,FALSE)</f>
        <v>-2.7743723084300065</v>
      </c>
      <c r="H18" s="56">
        <f>VLOOKUP(H$2&amp;$A18,'Raw'!$A$2:$Z$1225,9,FALSE)</f>
        <v>-3.4726707577042326</v>
      </c>
      <c r="I18" s="55">
        <f>VLOOKUP(I$2&amp;$A18,'Raw'!$A$2:$Z$1225,9,FALSE)</f>
        <v>-10.679720228529455</v>
      </c>
      <c r="J18" s="55">
        <f>VLOOKUP(J$2&amp;$A18,'Raw'!$A$2:$Z$1225,9,FALSE)</f>
        <v>-13.434131034862462</v>
      </c>
      <c r="K18" s="55">
        <f>VLOOKUP(K$2&amp;$A18,'Raw'!$A$2:$Z$1225,9,FALSE)</f>
        <v>-2.8114090396685443</v>
      </c>
      <c r="L18" s="56">
        <f>VLOOKUP(L$2&amp;$A18,'Raw'!$A$2:$Z$1225,9,FALSE)</f>
        <v>-3.4573497245000806</v>
      </c>
      <c r="M18" s="55">
        <f>VLOOKUP(M$2&amp;$A18,'Raw'!$A$2:$Z$1225,9,FALSE)</f>
        <v>-10.925081858522301</v>
      </c>
      <c r="N18" s="56">
        <f>VLOOKUP(N$2&amp;$A18,'Raw'!$A$2:$Z$1225,9,FALSE)</f>
        <v>-13.386621069586614</v>
      </c>
      <c r="O18" s="55">
        <f>VLOOKUP(O$2&amp;$A18,'Raw'!$A$2:$Z$1225,9,FALSE)</f>
        <v>-2.9782837035949083</v>
      </c>
      <c r="P18" s="56">
        <f>VLOOKUP(P$2&amp;$A18,'Raw'!$A$2:$Z$1225,9,FALSE)</f>
        <v>-3.5366615393710665</v>
      </c>
      <c r="Q18" s="55">
        <f>VLOOKUP(Q$2&amp;$A18,'Raw'!$A$2:$Z$1225,9,FALSE)</f>
        <v>-11.246783187299425</v>
      </c>
      <c r="R18" s="56">
        <f>VLOOKUP(R$2&amp;$A18,'Raw'!$A$2:$Z$1225,9,FALSE)</f>
        <v>-13.181184758939434</v>
      </c>
      <c r="S18" s="55">
        <f>VLOOKUP(S$2&amp;$A18,'Raw'!$A$2:$Z$1225,9,FALSE)</f>
        <v>-3.0249268972800225</v>
      </c>
      <c r="T18" s="56">
        <f>VLOOKUP(T$2&amp;$A18,'Raw'!$A$2:$Z$1225,9,FALSE)</f>
        <v>-3.7117832846803922</v>
      </c>
      <c r="U18" s="55">
        <f>VLOOKUP(U$2&amp;$A18,'Raw'!$A$2:$Z$1225,9,FALSE)</f>
        <v>-10.851638824906152</v>
      </c>
      <c r="V18" s="56">
        <f>VLOOKUP(V$2&amp;$A18,'Raw'!$A$2:$Z$1225,9,FALSE)</f>
        <v>-13.595838117689052</v>
      </c>
      <c r="W18" s="55">
        <f>VLOOKUP(W$2&amp;$A18,'Raw'!$A$2:$Z$1225,9,FALSE)</f>
        <v>-3.0678370189315629</v>
      </c>
      <c r="X18" s="56">
        <f>VLOOKUP(X$2&amp;$A18,'Raw'!$A$2:$Z$1225,9,FALSE)</f>
        <v>-3.6902900323068089</v>
      </c>
      <c r="Y18" s="55">
        <f>VLOOKUP(Y$2&amp;$A18,'Raw'!$A$2:$Z$1225,9,FALSE)</f>
        <v>-11.10637007889247</v>
      </c>
      <c r="Z18" s="56">
        <f>VLOOKUP(Z$2&amp;$A18,'Raw'!$A$2:$Z$1225,9,FALSE)</f>
        <v>-13.545036209141269</v>
      </c>
    </row>
    <row r="19" spans="1:26">
      <c r="A19" s="52">
        <v>40544</v>
      </c>
      <c r="B19" s="53">
        <v>40544</v>
      </c>
      <c r="C19" s="55">
        <f>VLOOKUP(C$2&amp;$A19,'Raw'!$A$2:$Z$1225,9,FALSE)</f>
        <v>-2.7075322590247142</v>
      </c>
      <c r="D19" s="56">
        <f>VLOOKUP(D$2&amp;$A19,'Raw'!$A$2:$Z$1225,9,FALSE)</f>
        <v>-3.3005477985626031</v>
      </c>
      <c r="E19" s="55">
        <f>VLOOKUP(E$2&amp;$A19,'Raw'!$A$2:$Z$1225,9,FALSE)</f>
        <v>-10.819279793339909</v>
      </c>
      <c r="F19" s="56">
        <f>VLOOKUP(F$2&amp;$A19,'Raw'!$A$2:$Z$1225,9,FALSE)</f>
        <v>-12.981120212653574</v>
      </c>
      <c r="G19" s="55">
        <f>VLOOKUP(G$2&amp;$A19,'Raw'!$A$2:$Z$1225,9,FALSE)</f>
        <v>-2.7331211568882852</v>
      </c>
      <c r="H19" s="56">
        <f>VLOOKUP(H$2&amp;$A19,'Raw'!$A$2:$Z$1225,9,FALSE)</f>
        <v>-3.4487952041394099</v>
      </c>
      <c r="I19" s="55">
        <f>VLOOKUP(I$2&amp;$A19,'Raw'!$A$2:$Z$1225,9,FALSE)</f>
        <v>-10.420196359399581</v>
      </c>
      <c r="J19" s="55">
        <f>VLOOKUP(J$2&amp;$A19,'Raw'!$A$2:$Z$1225,9,FALSE)</f>
        <v>-13.554722000852138</v>
      </c>
      <c r="K19" s="55">
        <f>VLOOKUP(K$2&amp;$A19,'Raw'!$A$2:$Z$1225,9,FALSE)</f>
        <v>-2.7755623023100973</v>
      </c>
      <c r="L19" s="56">
        <f>VLOOKUP(L$2&amp;$A19,'Raw'!$A$2:$Z$1225,9,FALSE)</f>
        <v>-3.4349608655518726</v>
      </c>
      <c r="M19" s="55">
        <f>VLOOKUP(M$2&amp;$A19,'Raw'!$A$2:$Z$1225,9,FALSE)</f>
        <v>-10.708667770754898</v>
      </c>
      <c r="N19" s="56">
        <f>VLOOKUP(N$2&amp;$A19,'Raw'!$A$2:$Z$1225,9,FALSE)</f>
        <v>-13.483100589330432</v>
      </c>
      <c r="O19" s="55">
        <f>VLOOKUP(O$2&amp;$A19,'Raw'!$A$2:$Z$1225,9,FALSE)</f>
        <v>-2.9401138171371688</v>
      </c>
      <c r="P19" s="56">
        <f>VLOOKUP(P$2&amp;$A19,'Raw'!$A$2:$Z$1225,9,FALSE)</f>
        <v>-3.5062605604381791</v>
      </c>
      <c r="Q19" s="55">
        <f>VLOOKUP(Q$2&amp;$A19,'Raw'!$A$2:$Z$1225,9,FALSE)</f>
        <v>-11.01489403372341</v>
      </c>
      <c r="R19" s="56">
        <f>VLOOKUP(R$2&amp;$A19,'Raw'!$A$2:$Z$1225,9,FALSE)</f>
        <v>-13.138138799811239</v>
      </c>
      <c r="S19" s="55">
        <f>VLOOKUP(S$2&amp;$A19,'Raw'!$A$2:$Z$1225,9,FALSE)</f>
        <v>-2.9894456058865204</v>
      </c>
      <c r="T19" s="56">
        <f>VLOOKUP(T$2&amp;$A19,'Raw'!$A$2:$Z$1225,9,FALSE)</f>
        <v>-3.6925969881949627</v>
      </c>
      <c r="U19" s="55">
        <f>VLOOKUP(U$2&amp;$A19,'Raw'!$A$2:$Z$1225,9,FALSE)</f>
        <v>-10.600740286558963</v>
      </c>
      <c r="V19" s="56">
        <f>VLOOKUP(V$2&amp;$A19,'Raw'!$A$2:$Z$1225,9,FALSE)</f>
        <v>-13.725005323466434</v>
      </c>
      <c r="W19" s="55">
        <f>VLOOKUP(W$2&amp;$A19,'Raw'!$A$2:$Z$1225,9,FALSE)</f>
        <v>-3.0385187566564387</v>
      </c>
      <c r="X19" s="56">
        <f>VLOOKUP(X$2&amp;$A19,'Raw'!$A$2:$Z$1225,9,FALSE)</f>
        <v>-3.6706750442401792</v>
      </c>
      <c r="Y19" s="55">
        <f>VLOOKUP(Y$2&amp;$A19,'Raw'!$A$2:$Z$1225,9,FALSE)</f>
        <v>-10.899022729521812</v>
      </c>
      <c r="Z19" s="56">
        <f>VLOOKUP(Z$2&amp;$A19,'Raw'!$A$2:$Z$1225,9,FALSE)</f>
        <v>-13.647601037190638</v>
      </c>
    </row>
    <row r="20" spans="1:26">
      <c r="A20" s="52">
        <v>40909</v>
      </c>
      <c r="B20" s="53">
        <v>40909</v>
      </c>
      <c r="C20" s="55">
        <f>VLOOKUP(C$2&amp;$A20,'Raw'!$A$2:$Z$1225,9,FALSE)</f>
        <v>-2.6618334610530758</v>
      </c>
      <c r="D20" s="56">
        <f>VLOOKUP(D$2&amp;$A20,'Raw'!$A$2:$Z$1225,9,FALSE)</f>
        <v>-3.2589197614140808</v>
      </c>
      <c r="E20" s="55">
        <f>VLOOKUP(E$2&amp;$A20,'Raw'!$A$2:$Z$1225,9,FALSE)</f>
        <v>-10.57346099659463</v>
      </c>
      <c r="F20" s="56">
        <f>VLOOKUP(F$2&amp;$A20,'Raw'!$A$2:$Z$1225,9,FALSE)</f>
        <v>-12.901200098538856</v>
      </c>
      <c r="G20" s="55">
        <f>VLOOKUP(G$2&amp;$A20,'Raw'!$A$2:$Z$1225,9,FALSE)</f>
        <v>-2.6876707358267304</v>
      </c>
      <c r="H20" s="56">
        <f>VLOOKUP(H$2&amp;$A20,'Raw'!$A$2:$Z$1225,9,FALSE)</f>
        <v>-3.4024845922727254</v>
      </c>
      <c r="I20" s="55">
        <f>VLOOKUP(I$2&amp;$A20,'Raw'!$A$2:$Z$1225,9,FALSE)</f>
        <v>-10.168331323123848</v>
      </c>
      <c r="J20" s="55">
        <f>VLOOKUP(J$2&amp;$A20,'Raw'!$A$2:$Z$1225,9,FALSE)</f>
        <v>-13.641700355859721</v>
      </c>
      <c r="K20" s="55">
        <f>VLOOKUP(K$2&amp;$A20,'Raw'!$A$2:$Z$1225,9,FALSE)</f>
        <v>-2.7353359396734667</v>
      </c>
      <c r="L20" s="56">
        <f>VLOOKUP(L$2&amp;$A20,'Raw'!$A$2:$Z$1225,9,FALSE)</f>
        <v>-3.3936511488085963</v>
      </c>
      <c r="M20" s="55">
        <f>VLOOKUP(M$2&amp;$A20,'Raw'!$A$2:$Z$1225,9,FALSE)</f>
        <v>-10.498527466024832</v>
      </c>
      <c r="N20" s="56">
        <f>VLOOKUP(N$2&amp;$A20,'Raw'!$A$2:$Z$1225,9,FALSE)</f>
        <v>-13.549207567661048</v>
      </c>
      <c r="O20" s="55">
        <f>VLOOKUP(O$2&amp;$A20,'Raw'!$A$2:$Z$1225,9,FALSE)</f>
        <v>-2.8963950225317614</v>
      </c>
      <c r="P20" s="56">
        <f>VLOOKUP(P$2&amp;$A20,'Raw'!$A$2:$Z$1225,9,FALSE)</f>
        <v>-3.4623102131019934</v>
      </c>
      <c r="Q20" s="55">
        <f>VLOOKUP(Q$2&amp;$A20,'Raw'!$A$2:$Z$1225,9,FALSE)</f>
        <v>-10.778016224282238</v>
      </c>
      <c r="R20" s="56">
        <f>VLOOKUP(R$2&amp;$A20,'Raw'!$A$2:$Z$1225,9,FALSE)</f>
        <v>-13.060730855844616</v>
      </c>
      <c r="S20" s="55">
        <f>VLOOKUP(S$2&amp;$A20,'Raw'!$A$2:$Z$1225,9,FALSE)</f>
        <v>-2.9483455421156046</v>
      </c>
      <c r="T20" s="56">
        <f>VLOOKUP(T$2&amp;$A20,'Raw'!$A$2:$Z$1225,9,FALSE)</f>
        <v>-3.6496629233011224</v>
      </c>
      <c r="U20" s="55">
        <f>VLOOKUP(U$2&amp;$A20,'Raw'!$A$2:$Z$1225,9,FALSE)</f>
        <v>-10.356499976304557</v>
      </c>
      <c r="V20" s="56">
        <f>VLOOKUP(V$2&amp;$A20,'Raw'!$A$2:$Z$1225,9,FALSE)</f>
        <v>-13.820202406918092</v>
      </c>
      <c r="W20" s="55">
        <f>VLOOKUP(W$2&amp;$A20,'Raw'!$A$2:$Z$1225,9,FALSE)</f>
        <v>-3.0033672811204615</v>
      </c>
      <c r="X20" s="56">
        <f>VLOOKUP(X$2&amp;$A20,'Raw'!$A$2:$Z$1225,9,FALSE)</f>
        <v>-3.6309194674000511</v>
      </c>
      <c r="Y20" s="55">
        <f>VLOOKUP(Y$2&amp;$A20,'Raw'!$A$2:$Z$1225,9,FALSE)</f>
        <v>-10.696605792524638</v>
      </c>
      <c r="Z20" s="56">
        <f>VLOOKUP(Z$2&amp;$A20,'Raw'!$A$2:$Z$1225,9,FALSE)</f>
        <v>-13.719180700960843</v>
      </c>
    </row>
    <row r="21" spans="1:26">
      <c r="A21" s="52">
        <v>41275</v>
      </c>
      <c r="B21" s="53">
        <v>41275</v>
      </c>
      <c r="C21" s="55">
        <f>VLOOKUP(C$2&amp;$A21,'Raw'!$A$2:$Z$1225,9,FALSE)</f>
        <v>-2.6140139453021516</v>
      </c>
      <c r="D21" s="56">
        <f>VLOOKUP(D$2&amp;$A21,'Raw'!$A$2:$Z$1225,9,FALSE)</f>
        <v>-3.2087375863044998</v>
      </c>
      <c r="E21" s="55">
        <f>VLOOKUP(E$2&amp;$A21,'Raw'!$A$2:$Z$1225,9,FALSE)</f>
        <v>-10.330511474018211</v>
      </c>
      <c r="F21" s="56">
        <f>VLOOKUP(F$2&amp;$A21,'Raw'!$A$2:$Z$1225,9,FALSE)</f>
        <v>-12.793111486311325</v>
      </c>
      <c r="G21" s="55">
        <f>VLOOKUP(G$2&amp;$A21,'Raw'!$A$2:$Z$1225,9,FALSE)</f>
        <v>-2.6404625430213047</v>
      </c>
      <c r="H21" s="56">
        <f>VLOOKUP(H$2&amp;$A21,'Raw'!$A$2:$Z$1225,9,FALSE)</f>
        <v>-3.3365942155244577</v>
      </c>
      <c r="I21" s="55">
        <f>VLOOKUP(I$2&amp;$A21,'Raw'!$A$2:$Z$1225,9,FALSE)</f>
        <v>-9.9309158416126522</v>
      </c>
      <c r="J21" s="55">
        <f>VLOOKUP(J$2&amp;$A21,'Raw'!$A$2:$Z$1225,9,FALSE)</f>
        <v>-13.686702778174853</v>
      </c>
      <c r="K21" s="55">
        <f>VLOOKUP(K$2&amp;$A21,'Raw'!$A$2:$Z$1225,9,FALSE)</f>
        <v>-2.6930050906337377</v>
      </c>
      <c r="L21" s="56">
        <f>VLOOKUP(L$2&amp;$A21,'Raw'!$A$2:$Z$1225,9,FALSE)</f>
        <v>-3.3366431569879951</v>
      </c>
      <c r="M21" s="55">
        <f>VLOOKUP(M$2&amp;$A21,'Raw'!$A$2:$Z$1225,9,FALSE)</f>
        <v>-10.300183056260481</v>
      </c>
      <c r="N21" s="56">
        <f>VLOOKUP(N$2&amp;$A21,'Raw'!$A$2:$Z$1225,9,FALSE)</f>
        <v>-13.580785078243418</v>
      </c>
      <c r="O21" s="55">
        <f>VLOOKUP(O$2&amp;$A21,'Raw'!$A$2:$Z$1225,9,FALSE)</f>
        <v>-2.849406626062112</v>
      </c>
      <c r="P21" s="56">
        <f>VLOOKUP(P$2&amp;$A21,'Raw'!$A$2:$Z$1225,9,FALSE)</f>
        <v>-3.4088027798563014</v>
      </c>
      <c r="Q21" s="55">
        <f>VLOOKUP(Q$2&amp;$A21,'Raw'!$A$2:$Z$1225,9,FALSE)</f>
        <v>-10.542602701213999</v>
      </c>
      <c r="R21" s="56">
        <f>VLOOKUP(R$2&amp;$A21,'Raw'!$A$2:$Z$1225,9,FALSE)</f>
        <v>-12.95398717496392</v>
      </c>
      <c r="S21" s="55">
        <f>VLOOKUP(S$2&amp;$A21,'Raw'!$A$2:$Z$1225,9,FALSE)</f>
        <v>-2.9042924062644526</v>
      </c>
      <c r="T21" s="56">
        <f>VLOOKUP(T$2&amp;$A21,'Raw'!$A$2:$Z$1225,9,FALSE)</f>
        <v>-3.586025063212761</v>
      </c>
      <c r="U21" s="55">
        <f>VLOOKUP(U$2&amp;$A21,'Raw'!$A$2:$Z$1225,9,FALSE)</f>
        <v>-10.125519507063697</v>
      </c>
      <c r="V21" s="56">
        <f>VLOOKUP(V$2&amp;$A21,'Raw'!$A$2:$Z$1225,9,FALSE)</f>
        <v>-13.872947955231197</v>
      </c>
      <c r="W21" s="55">
        <f>VLOOKUP(W$2&amp;$A21,'Raw'!$A$2:$Z$1225,9,FALSE)</f>
        <v>-2.9648720152185226</v>
      </c>
      <c r="X21" s="56">
        <f>VLOOKUP(X$2&amp;$A21,'Raw'!$A$2:$Z$1225,9,FALSE)</f>
        <v>-3.5746036645328938</v>
      </c>
      <c r="Y21" s="55">
        <f>VLOOKUP(Y$2&amp;$A21,'Raw'!$A$2:$Z$1225,9,FALSE)</f>
        <v>-10.504470228664831</v>
      </c>
      <c r="Z21" s="56">
        <f>VLOOKUP(Z$2&amp;$A21,'Raw'!$A$2:$Z$1225,9,FALSE)</f>
        <v>-13.75570087875284</v>
      </c>
    </row>
    <row r="22" spans="1:26">
      <c r="A22" s="52">
        <v>41640</v>
      </c>
      <c r="B22" s="53">
        <v>41640</v>
      </c>
      <c r="C22" s="55">
        <f>VLOOKUP(C$2&amp;$A22,'Raw'!$A$2:$Z$1225,9,FALSE)</f>
        <v>-2.5655695381540444</v>
      </c>
      <c r="D22" s="56">
        <f>VLOOKUP(D$2&amp;$A22,'Raw'!$A$2:$Z$1225,9,FALSE)</f>
        <v>-3.1530372706958243</v>
      </c>
      <c r="E22" s="55">
        <f>VLOOKUP(E$2&amp;$A22,'Raw'!$A$2:$Z$1225,9,FALSE)</f>
        <v>-10.094173479090829</v>
      </c>
      <c r="F22" s="56">
        <f>VLOOKUP(F$2&amp;$A22,'Raw'!$A$2:$Z$1225,9,FALSE)</f>
        <v>-12.660618820730662</v>
      </c>
      <c r="G22" s="55">
        <f>VLOOKUP(G$2&amp;$A22,'Raw'!$A$2:$Z$1225,9,FALSE)</f>
        <v>-2.593239208159559</v>
      </c>
      <c r="H22" s="56">
        <f>VLOOKUP(H$2&amp;$A22,'Raw'!$A$2:$Z$1225,9,FALSE)</f>
        <v>-3.2544010018574432</v>
      </c>
      <c r="I22" s="55">
        <f>VLOOKUP(I$2&amp;$A22,'Raw'!$A$2:$Z$1225,9,FALSE)</f>
        <v>-9.7113622833829396</v>
      </c>
      <c r="J22" s="55">
        <f>VLOOKUP(J$2&amp;$A22,'Raw'!$A$2:$Z$1225,9,FALSE)</f>
        <v>-13.681129200435416</v>
      </c>
      <c r="K22" s="55">
        <f>VLOOKUP(K$2&amp;$A22,'Raw'!$A$2:$Z$1225,9,FALSE)</f>
        <v>-2.6501484758947647</v>
      </c>
      <c r="L22" s="56">
        <f>VLOOKUP(L$2&amp;$A22,'Raw'!$A$2:$Z$1225,9,FALSE)</f>
        <v>-3.2671477667648996</v>
      </c>
      <c r="M22" s="55">
        <f>VLOOKUP(M$2&amp;$A22,'Raw'!$A$2:$Z$1225,9,FALSE)</f>
        <v>-10.115946873432824</v>
      </c>
      <c r="N22" s="56">
        <f>VLOOKUP(N$2&amp;$A22,'Raw'!$A$2:$Z$1225,9,FALSE)</f>
        <v>-13.573157403671566</v>
      </c>
      <c r="O22" s="55">
        <f>VLOOKUP(O$2&amp;$A22,'Raw'!$A$2:$Z$1225,9,FALSE)</f>
        <v>-2.800848816159851</v>
      </c>
      <c r="P22" s="56">
        <f>VLOOKUP(P$2&amp;$A22,'Raw'!$A$2:$Z$1225,9,FALSE)</f>
        <v>-3.3491067275138175</v>
      </c>
      <c r="Q22" s="55">
        <f>VLOOKUP(Q$2&amp;$A22,'Raw'!$A$2:$Z$1225,9,FALSE)</f>
        <v>-10.312339865035881</v>
      </c>
      <c r="R22" s="56">
        <f>VLOOKUP(R$2&amp;$A22,'Raw'!$A$2:$Z$1225,9,FALSE)</f>
        <v>-12.821825921279428</v>
      </c>
      <c r="S22" s="55">
        <f>VLOOKUP(S$2&amp;$A22,'Raw'!$A$2:$Z$1225,9,FALSE)</f>
        <v>-2.8592434739512007</v>
      </c>
      <c r="T22" s="56">
        <f>VLOOKUP(T$2&amp;$A22,'Raw'!$A$2:$Z$1225,9,FALSE)</f>
        <v>-3.5051324082532753</v>
      </c>
      <c r="U22" s="55">
        <f>VLOOKUP(U$2&amp;$A22,'Raw'!$A$2:$Z$1225,9,FALSE)</f>
        <v>-9.9111172476607621</v>
      </c>
      <c r="V22" s="56">
        <f>VLOOKUP(V$2&amp;$A22,'Raw'!$A$2:$Z$1225,9,FALSE)</f>
        <v>-13.874584532969781</v>
      </c>
      <c r="W22" s="55">
        <f>VLOOKUP(W$2&amp;$A22,'Raw'!$A$2:$Z$1225,9,FALSE)</f>
        <v>-2.9248197289522215</v>
      </c>
      <c r="X22" s="56">
        <f>VLOOKUP(X$2&amp;$A22,'Raw'!$A$2:$Z$1225,9,FALSE)</f>
        <v>-3.5052759821033286</v>
      </c>
      <c r="Y22" s="55">
        <f>VLOOKUP(Y$2&amp;$A22,'Raw'!$A$2:$Z$1225,9,FALSE)</f>
        <v>-10.324873767838294</v>
      </c>
      <c r="Z22" s="56">
        <f>VLOOKUP(Z$2&amp;$A22,'Raw'!$A$2:$Z$1225,9,FALSE)</f>
        <v>-13.752645364579209</v>
      </c>
    </row>
    <row r="23" spans="1:26">
      <c r="A23" s="52">
        <v>42005</v>
      </c>
      <c r="B23" s="53">
        <v>42005</v>
      </c>
      <c r="C23" s="55">
        <f>VLOOKUP(C$2&amp;$A23,'Raw'!$A$2:$Z$1225,9,FALSE)</f>
        <v>-2.5175487656520779</v>
      </c>
      <c r="D23" s="56">
        <f>VLOOKUP(D$2&amp;$A23,'Raw'!$A$2:$Z$1225,9,FALSE)</f>
        <v>-3.0942753277747537</v>
      </c>
      <c r="E23" s="55">
        <f>VLOOKUP(E$2&amp;$A23,'Raw'!$A$2:$Z$1225,9,FALSE)</f>
        <v>-9.8662867645511234</v>
      </c>
      <c r="F23" s="56">
        <f>VLOOKUP(F$2&amp;$A23,'Raw'!$A$2:$Z$1225,9,FALSE)</f>
        <v>-12.506906816448693</v>
      </c>
      <c r="G23" s="55">
        <f>VLOOKUP(G$2&amp;$A23,'Raw'!$A$2:$Z$1225,9,FALSE)</f>
        <v>-2.5471536486364244</v>
      </c>
      <c r="H23" s="56">
        <f>VLOOKUP(H$2&amp;$A23,'Raw'!$A$2:$Z$1225,9,FALSE)</f>
        <v>-3.1596115490581944</v>
      </c>
      <c r="I23" s="55">
        <f>VLOOKUP(I$2&amp;$A23,'Raw'!$A$2:$Z$1225,9,FALSE)</f>
        <v>-9.5107139838698114</v>
      </c>
      <c r="J23" s="55">
        <f>VLOOKUP(J$2&amp;$A23,'Raw'!$A$2:$Z$1225,9,FALSE)</f>
        <v>-13.617942474845057</v>
      </c>
      <c r="K23" s="55">
        <f>VLOOKUP(K$2&amp;$A23,'Raw'!$A$2:$Z$1225,9,FALSE)</f>
        <v>-2.6077769154505215</v>
      </c>
      <c r="L23" s="56">
        <f>VLOOKUP(L$2&amp;$A23,'Raw'!$A$2:$Z$1225,9,FALSE)</f>
        <v>-3.1883671256129231</v>
      </c>
      <c r="M23" s="55">
        <f>VLOOKUP(M$2&amp;$A23,'Raw'!$A$2:$Z$1225,9,FALSE)</f>
        <v>-9.945983783132494</v>
      </c>
      <c r="N23" s="56">
        <f>VLOOKUP(N$2&amp;$A23,'Raw'!$A$2:$Z$1225,9,FALSE)</f>
        <v>-13.52244446919595</v>
      </c>
      <c r="O23" s="55">
        <f>VLOOKUP(O$2&amp;$A23,'Raw'!$A$2:$Z$1225,9,FALSE)</f>
        <v>-2.7519644421458045</v>
      </c>
      <c r="P23" s="56">
        <f>VLOOKUP(P$2&amp;$A23,'Raw'!$A$2:$Z$1225,9,FALSE)</f>
        <v>-3.2859820017771768</v>
      </c>
      <c r="Q23" s="55">
        <f>VLOOKUP(Q$2&amp;$A23,'Raw'!$A$2:$Z$1225,9,FALSE)</f>
        <v>-10.089105864787907</v>
      </c>
      <c r="R23" s="56">
        <f>VLOOKUP(R$2&amp;$A23,'Raw'!$A$2:$Z$1225,9,FALSE)</f>
        <v>-12.667645207692168</v>
      </c>
      <c r="S23" s="55">
        <f>VLOOKUP(S$2&amp;$A23,'Raw'!$A$2:$Z$1225,9,FALSE)</f>
        <v>-2.8145361299407701</v>
      </c>
      <c r="T23" s="56">
        <f>VLOOKUP(T$2&amp;$A23,'Raw'!$A$2:$Z$1225,9,FALSE)</f>
        <v>-3.4108278283704441</v>
      </c>
      <c r="U23" s="55">
        <f>VLOOKUP(U$2&amp;$A23,'Raw'!$A$2:$Z$1225,9,FALSE)</f>
        <v>-9.7143211291624176</v>
      </c>
      <c r="V23" s="56">
        <f>VLOOKUP(V$2&amp;$A23,'Raw'!$A$2:$Z$1225,9,FALSE)</f>
        <v>-13.818056019858249</v>
      </c>
      <c r="W23" s="55">
        <f>VLOOKUP(W$2&amp;$A23,'Raw'!$A$2:$Z$1225,9,FALSE)</f>
        <v>-2.8844042762450672</v>
      </c>
      <c r="X23" s="56">
        <f>VLOOKUP(X$2&amp;$A23,'Raw'!$A$2:$Z$1225,9,FALSE)</f>
        <v>-3.4264251454356187</v>
      </c>
      <c r="Y23" s="55">
        <f>VLOOKUP(Y$2&amp;$A23,'Raw'!$A$2:$Z$1225,9,FALSE)</f>
        <v>-10.158019975849831</v>
      </c>
      <c r="Z23" s="56">
        <f>VLOOKUP(Z$2&amp;$A23,'Raw'!$A$2:$Z$1225,9,FALSE)</f>
        <v>-13.706331562694507</v>
      </c>
    </row>
    <row r="24" spans="1:26">
      <c r="A24" s="52">
        <v>42370</v>
      </c>
      <c r="B24" s="53">
        <v>42370</v>
      </c>
      <c r="C24" s="55">
        <f>VLOOKUP(C$2&amp;$A24,'Raw'!$A$2:$Z$1225,9,FALSE)</f>
        <v>-2.4706474561571046</v>
      </c>
      <c r="D24" s="56">
        <f>VLOOKUP(D$2&amp;$A24,'Raw'!$A$2:$Z$1225,9,FALSE)</f>
        <v>-3.0343621287002742</v>
      </c>
      <c r="E24" s="55">
        <f>VLOOKUP(E$2&amp;$A24,'Raw'!$A$2:$Z$1225,9,FALSE)</f>
        <v>-9.6474858811146369</v>
      </c>
      <c r="F24" s="56">
        <f>VLOOKUP(F$2&amp;$A24,'Raw'!$A$2:$Z$1225,9,FALSE)</f>
        <v>-12.334910965902857</v>
      </c>
      <c r="G24" s="55">
        <f>VLOOKUP(G$2&amp;$A24,'Raw'!$A$2:$Z$1225,9,FALSE)</f>
        <v>-2.5028750051441451</v>
      </c>
      <c r="H24" s="56">
        <f>VLOOKUP(H$2&amp;$A24,'Raw'!$A$2:$Z$1225,9,FALSE)</f>
        <v>-3.0562492664310548</v>
      </c>
      <c r="I24" s="55">
        <f>VLOOKUP(I$2&amp;$A24,'Raw'!$A$2:$Z$1225,9,FALSE)</f>
        <v>-9.3283836667950268</v>
      </c>
      <c r="J24" s="55">
        <f>VLOOKUP(J$2&amp;$A24,'Raw'!$A$2:$Z$1225,9,FALSE)</f>
        <v>-13.492873514543668</v>
      </c>
      <c r="K24" s="55">
        <f>VLOOKUP(K$2&amp;$A24,'Raw'!$A$2:$Z$1225,9,FALSE)</f>
        <v>-2.5664530548314302</v>
      </c>
      <c r="L24" s="56">
        <f>VLOOKUP(L$2&amp;$A24,'Raw'!$A$2:$Z$1225,9,FALSE)</f>
        <v>-3.1034362345313649</v>
      </c>
      <c r="M24" s="55">
        <f>VLOOKUP(M$2&amp;$A24,'Raw'!$A$2:$Z$1225,9,FALSE)</f>
        <v>-9.7890893890248414</v>
      </c>
      <c r="N24" s="56">
        <f>VLOOKUP(N$2&amp;$A24,'Raw'!$A$2:$Z$1225,9,FALSE)</f>
        <v>-13.42638559647985</v>
      </c>
      <c r="O24" s="55">
        <f>VLOOKUP(O$2&amp;$A24,'Raw'!$A$2:$Z$1225,9,FALSE)</f>
        <v>-2.7036229572508286</v>
      </c>
      <c r="P24" s="56">
        <f>VLOOKUP(P$2&amp;$A24,'Raw'!$A$2:$Z$1225,9,FALSE)</f>
        <v>-3.2215976511000055</v>
      </c>
      <c r="Q24" s="55">
        <f>VLOOKUP(Q$2&amp;$A24,'Raw'!$A$2:$Z$1225,9,FALSE)</f>
        <v>-9.8736400387710805</v>
      </c>
      <c r="R24" s="56">
        <f>VLOOKUP(R$2&amp;$A24,'Raw'!$A$2:$Z$1225,9,FALSE)</f>
        <v>-12.494617845284894</v>
      </c>
      <c r="S24" s="55">
        <f>VLOOKUP(S$2&amp;$A24,'Raw'!$A$2:$Z$1225,9,FALSE)</f>
        <v>-2.7709828433158834</v>
      </c>
      <c r="T24" s="56">
        <f>VLOOKUP(T$2&amp;$A24,'Raw'!$A$2:$Z$1225,9,FALSE)</f>
        <v>-3.3072234299029613</v>
      </c>
      <c r="U24" s="55">
        <f>VLOOKUP(U$2&amp;$A24,'Raw'!$A$2:$Z$1225,9,FALSE)</f>
        <v>-9.5345863206368282</v>
      </c>
      <c r="V24" s="56">
        <f>VLOOKUP(V$2&amp;$A24,'Raw'!$A$2:$Z$1225,9,FALSE)</f>
        <v>-13.699088241078361</v>
      </c>
      <c r="W24" s="55">
        <f>VLOOKUP(W$2&amp;$A24,'Raw'!$A$2:$Z$1225,9,FALSE)</f>
        <v>-2.8443361544716383</v>
      </c>
      <c r="X24" s="56">
        <f>VLOOKUP(X$2&amp;$A24,'Raw'!$A$2:$Z$1225,9,FALSE)</f>
        <v>-3.3413994641820155</v>
      </c>
      <c r="Y24" s="55">
        <f>VLOOKUP(Y$2&amp;$A24,'Raw'!$A$2:$Z$1225,9,FALSE)</f>
        <v>-10.002808583957057</v>
      </c>
      <c r="Z24" s="56">
        <f>VLOOKUP(Z$2&amp;$A24,'Raw'!$A$2:$Z$1225,9,FALSE)</f>
        <v>-13.614695123962973</v>
      </c>
    </row>
    <row r="25" spans="1:26">
      <c r="A25" s="52">
        <v>42736</v>
      </c>
      <c r="B25" s="53">
        <v>42736</v>
      </c>
      <c r="C25" s="55">
        <f>VLOOKUP(C$2&amp;$A25,'Raw'!$A$2:$Z$1225,9,FALSE)</f>
        <v>-2.425282935856421</v>
      </c>
      <c r="D25" s="56">
        <f>VLOOKUP(D$2&amp;$A25,'Raw'!$A$2:$Z$1225,9,FALSE)</f>
        <v>-2.9747074753807556</v>
      </c>
      <c r="E25" s="55">
        <f>VLOOKUP(E$2&amp;$A25,'Raw'!$A$2:$Z$1225,9,FALSE)</f>
        <v>-9.4376946530562833</v>
      </c>
      <c r="F25" s="56">
        <f>VLOOKUP(F$2&amp;$A25,'Raw'!$A$2:$Z$1225,9,FALSE)</f>
        <v>-12.147467965035519</v>
      </c>
      <c r="G25" s="55">
        <f>VLOOKUP(G$2&amp;$A25,'Raw'!$A$2:$Z$1225,9,FALSE)</f>
        <v>-2.4606963228184564</v>
      </c>
      <c r="H25" s="56">
        <f>VLOOKUP(H$2&amp;$A25,'Raw'!$A$2:$Z$1225,9,FALSE)</f>
        <v>-2.9484607548652342</v>
      </c>
      <c r="I25" s="55">
        <f>VLOOKUP(I$2&amp;$A25,'Raw'!$A$2:$Z$1225,9,FALSE)</f>
        <v>-9.1627059900703411</v>
      </c>
      <c r="J25" s="55">
        <f>VLOOKUP(J$2&amp;$A25,'Raw'!$A$2:$Z$1225,9,FALSE)</f>
        <v>-13.305090680980857</v>
      </c>
      <c r="K25" s="55">
        <f>VLOOKUP(K$2&amp;$A25,'Raw'!$A$2:$Z$1225,9,FALSE)</f>
        <v>-2.5264067355411313</v>
      </c>
      <c r="L25" s="56">
        <f>VLOOKUP(L$2&amp;$A25,'Raw'!$A$2:$Z$1225,9,FALSE)</f>
        <v>-3.0153302073444688</v>
      </c>
      <c r="M25" s="55">
        <f>VLOOKUP(M$2&amp;$A25,'Raw'!$A$2:$Z$1225,9,FALSE)</f>
        <v>-9.6432635224145908</v>
      </c>
      <c r="N25" s="56">
        <f>VLOOKUP(N$2&amp;$A25,'Raw'!$A$2:$Z$1225,9,FALSE)</f>
        <v>-13.284766208637588</v>
      </c>
      <c r="O25" s="55">
        <f>VLOOKUP(O$2&amp;$A25,'Raw'!$A$2:$Z$1225,9,FALSE)</f>
        <v>-2.6563875592227726</v>
      </c>
      <c r="P25" s="56">
        <f>VLOOKUP(P$2&amp;$A25,'Raw'!$A$2:$Z$1225,9,FALSE)</f>
        <v>-3.1575677977599192</v>
      </c>
      <c r="Q25" s="55">
        <f>VLOOKUP(Q$2&amp;$A25,'Raw'!$A$2:$Z$1225,9,FALSE)</f>
        <v>-9.6660092387123804</v>
      </c>
      <c r="R25" s="56">
        <f>VLOOKUP(R$2&amp;$A25,'Raw'!$A$2:$Z$1225,9,FALSE)</f>
        <v>-12.305811289882174</v>
      </c>
      <c r="S25" s="55">
        <f>VLOOKUP(S$2&amp;$A25,'Raw'!$A$2:$Z$1225,9,FALSE)</f>
        <v>-2.7289775034086916</v>
      </c>
      <c r="T25" s="56">
        <f>VLOOKUP(T$2&amp;$A25,'Raw'!$A$2:$Z$1225,9,FALSE)</f>
        <v>-3.1985051739615078</v>
      </c>
      <c r="U25" s="55">
        <f>VLOOKUP(U$2&amp;$A25,'Raw'!$A$2:$Z$1225,9,FALSE)</f>
        <v>-9.3703281022889158</v>
      </c>
      <c r="V25" s="56">
        <f>VLOOKUP(V$2&amp;$A25,'Raw'!$A$2:$Z$1225,9,FALSE)</f>
        <v>-13.516836555383637</v>
      </c>
      <c r="W25" s="55">
        <f>VLOOKUP(W$2&amp;$A25,'Raw'!$A$2:$Z$1225,9,FALSE)</f>
        <v>-2.8049561816172019</v>
      </c>
      <c r="X25" s="56">
        <f>VLOOKUP(X$2&amp;$A25,'Raw'!$A$2:$Z$1225,9,FALSE)</f>
        <v>-3.2533028087661786</v>
      </c>
      <c r="Y25" s="55">
        <f>VLOOKUP(Y$2&amp;$A25,'Raw'!$A$2:$Z$1225,9,FALSE)</f>
        <v>-9.8573831414071282</v>
      </c>
      <c r="Z25" s="56">
        <f>VLOOKUP(Z$2&amp;$A25,'Raw'!$A$2:$Z$1225,9,FALSE)</f>
        <v>-13.477683251215621</v>
      </c>
    </row>
    <row r="26" spans="1:26">
      <c r="A26" s="52">
        <v>43101</v>
      </c>
      <c r="B26" s="53">
        <v>43101</v>
      </c>
      <c r="C26" s="55">
        <f>VLOOKUP(C$2&amp;$A26,'Raw'!$A$2:$Z$1225,9,FALSE)</f>
        <v>-2.3816564937594653</v>
      </c>
      <c r="D26" s="56">
        <f>VLOOKUP(D$2&amp;$A26,'Raw'!$A$2:$Z$1225,9,FALSE)</f>
        <v>-2.9162802949353694</v>
      </c>
      <c r="E26" s="55">
        <f>VLOOKUP(E$2&amp;$A26,'Raw'!$A$2:$Z$1225,9,FALSE)</f>
        <v>-9.2364673058343509</v>
      </c>
      <c r="F26" s="56">
        <f>VLOOKUP(F$2&amp;$A26,'Raw'!$A$2:$Z$1225,9,FALSE)</f>
        <v>-11.947358237671535</v>
      </c>
      <c r="G26" s="55">
        <f>VLOOKUP(G$2&amp;$A26,'Raw'!$A$2:$Z$1225,9,FALSE)</f>
        <v>-2.4206395143280934</v>
      </c>
      <c r="H26" s="56">
        <f>VLOOKUP(H$2&amp;$A26,'Raw'!$A$2:$Z$1225,9,FALSE)</f>
        <v>-2.840282367161262</v>
      </c>
      <c r="I26" s="55">
        <f>VLOOKUP(I$2&amp;$A26,'Raw'!$A$2:$Z$1225,9,FALSE)</f>
        <v>-9.0113562271961438</v>
      </c>
      <c r="J26" s="55">
        <f>VLOOKUP(J$2&amp;$A26,'Raw'!$A$2:$Z$1225,9,FALSE)</f>
        <v>-13.057393359666836</v>
      </c>
      <c r="K26" s="55">
        <f>VLOOKUP(K$2&amp;$A26,'Raw'!$A$2:$Z$1225,9,FALSE)</f>
        <v>-2.4876400414327149</v>
      </c>
      <c r="L26" s="56">
        <f>VLOOKUP(L$2&amp;$A26,'Raw'!$A$2:$Z$1225,9,FALSE)</f>
        <v>-2.9267600206550726</v>
      </c>
      <c r="M26" s="55">
        <f>VLOOKUP(M$2&amp;$A26,'Raw'!$A$2:$Z$1225,9,FALSE)</f>
        <v>-9.5061286599299137</v>
      </c>
      <c r="N26" s="56">
        <f>VLOOKUP(N$2&amp;$A26,'Raw'!$A$2:$Z$1225,9,FALSE)</f>
        <v>-13.099521677527793</v>
      </c>
      <c r="O26" s="55">
        <f>VLOOKUP(O$2&amp;$A26,'Raw'!$A$2:$Z$1225,9,FALSE)</f>
        <v>-2.6105746606244651</v>
      </c>
      <c r="P26" s="56">
        <f>VLOOKUP(P$2&amp;$A26,'Raw'!$A$2:$Z$1225,9,FALSE)</f>
        <v>-3.0950084205804251</v>
      </c>
      <c r="Q26" s="55">
        <f>VLOOKUP(Q$2&amp;$A26,'Raw'!$A$2:$Z$1225,9,FALSE)</f>
        <v>-9.4659255046903432</v>
      </c>
      <c r="R26" s="56">
        <f>VLOOKUP(R$2&amp;$A26,'Raw'!$A$2:$Z$1225,9,FALSE)</f>
        <v>-12.104207446782389</v>
      </c>
      <c r="S26" s="55">
        <f>VLOOKUP(S$2&amp;$A26,'Raw'!$A$2:$Z$1225,9,FALSE)</f>
        <v>-2.6886061028426056</v>
      </c>
      <c r="T26" s="56">
        <f>VLOOKUP(T$2&amp;$A26,'Raw'!$A$2:$Z$1225,9,FALSE)</f>
        <v>-3.0887073679081278</v>
      </c>
      <c r="U26" s="55">
        <f>VLOOKUP(U$2&amp;$A26,'Raw'!$A$2:$Z$1225,9,FALSE)</f>
        <v>-9.2193244675052632</v>
      </c>
      <c r="V26" s="56">
        <f>VLOOKUP(V$2&amp;$A26,'Raw'!$A$2:$Z$1225,9,FALSE)</f>
        <v>-13.274064445884537</v>
      </c>
      <c r="W26" s="55">
        <f>VLOOKUP(W$2&amp;$A26,'Raw'!$A$2:$Z$1225,9,FALSE)</f>
        <v>-2.7663450202757733</v>
      </c>
      <c r="X26" s="56">
        <f>VLOOKUP(X$2&amp;$A26,'Raw'!$A$2:$Z$1225,9,FALSE)</f>
        <v>-3.1648909445230577</v>
      </c>
      <c r="Y26" s="55">
        <f>VLOOKUP(Y$2&amp;$A26,'Raw'!$A$2:$Z$1225,9,FALSE)</f>
        <v>-9.7195283293041506</v>
      </c>
      <c r="Z26" s="56">
        <f>VLOOKUP(Z$2&amp;$A26,'Raw'!$A$2:$Z$1225,9,FALSE)</f>
        <v>-13.297334609657408</v>
      </c>
    </row>
    <row r="27" spans="1:26">
      <c r="A27" s="52">
        <v>43466</v>
      </c>
      <c r="B27" s="53">
        <v>43466</v>
      </c>
      <c r="C27" s="55">
        <f>VLOOKUP(C$2&amp;$A27,'Raw'!$A$2:$Z$1225,9,FALSE)</f>
        <v>-2.3398073983897372</v>
      </c>
      <c r="D27" s="56">
        <f>VLOOKUP(D$2&amp;$A27,'Raw'!$A$2:$Z$1225,9,FALSE)</f>
        <v>-2.8596790571979724</v>
      </c>
      <c r="E27" s="55">
        <f>VLOOKUP(E$2&amp;$A27,'Raw'!$A$2:$Z$1225,9,FALSE)</f>
        <v>-9.0432138425077255</v>
      </c>
      <c r="F27" s="56">
        <f>VLOOKUP(F$2&amp;$A27,'Raw'!$A$2:$Z$1225,9,FALSE)</f>
        <v>-11.737288098217558</v>
      </c>
      <c r="G27" s="55">
        <f>VLOOKUP(G$2&amp;$A27,'Raw'!$A$2:$Z$1225,9,FALSE)</f>
        <v>-2.3825496522198897</v>
      </c>
      <c r="H27" s="56">
        <f>VLOOKUP(H$2&amp;$A27,'Raw'!$A$2:$Z$1225,9,FALSE)</f>
        <v>-2.7354054248853399</v>
      </c>
      <c r="I27" s="55">
        <f>VLOOKUP(I$2&amp;$A27,'Raw'!$A$2:$Z$1225,9,FALSE)</f>
        <v>-8.871670042740476</v>
      </c>
      <c r="J27" s="55">
        <f>VLOOKUP(J$2&amp;$A27,'Raw'!$A$2:$Z$1225,9,FALSE)</f>
        <v>-12.756004102212415</v>
      </c>
      <c r="K27" s="55">
        <f>VLOOKUP(K$2&amp;$A27,'Raw'!$A$2:$Z$1225,9,FALSE)</f>
        <v>-2.4500173153401028</v>
      </c>
      <c r="L27" s="56">
        <f>VLOOKUP(L$2&amp;$A27,'Raw'!$A$2:$Z$1225,9,FALSE)</f>
        <v>-2.8400754055475708</v>
      </c>
      <c r="M27" s="55">
        <f>VLOOKUP(M$2&amp;$A27,'Raw'!$A$2:$Z$1225,9,FALSE)</f>
        <v>-9.3752291165383301</v>
      </c>
      <c r="N27" s="56">
        <f>VLOOKUP(N$2&amp;$A27,'Raw'!$A$2:$Z$1225,9,FALSE)</f>
        <v>-12.874588864585368</v>
      </c>
      <c r="O27" s="55">
        <f>VLOOKUP(O$2&amp;$A27,'Raw'!$A$2:$Z$1225,9,FALSE)</f>
        <v>-2.5663087084162539</v>
      </c>
      <c r="P27" s="56">
        <f>VLOOKUP(P$2&amp;$A27,'Raw'!$A$2:$Z$1225,9,FALSE)</f>
        <v>-3.0346104084652548</v>
      </c>
      <c r="Q27" s="55">
        <f>VLOOKUP(Q$2&amp;$A27,'Raw'!$A$2:$Z$1225,9,FALSE)</f>
        <v>-9.2729529207118624</v>
      </c>
      <c r="R27" s="56">
        <f>VLOOKUP(R$2&amp;$A27,'Raw'!$A$2:$Z$1225,9,FALSE)</f>
        <v>-11.89267081952795</v>
      </c>
      <c r="S27" s="55">
        <f>VLOOKUP(S$2&amp;$A27,'Raw'!$A$2:$Z$1225,9,FALSE)</f>
        <v>-2.6497507585681146</v>
      </c>
      <c r="T27" s="56">
        <f>VLOOKUP(T$2&amp;$A27,'Raw'!$A$2:$Z$1225,9,FALSE)</f>
        <v>-2.9814931715352211</v>
      </c>
      <c r="U27" s="55">
        <f>VLOOKUP(U$2&amp;$A27,'Raw'!$A$2:$Z$1225,9,FALSE)</f>
        <v>-9.079024123631541</v>
      </c>
      <c r="V27" s="56">
        <f>VLOOKUP(V$2&amp;$A27,'Raw'!$A$2:$Z$1225,9,FALSE)</f>
        <v>-12.976928560236711</v>
      </c>
      <c r="W27" s="55">
        <f>VLOOKUP(W$2&amp;$A27,'Raw'!$A$2:$Z$1225,9,FALSE)</f>
        <v>-2.728420966545031</v>
      </c>
      <c r="X27" s="56">
        <f>VLOOKUP(X$2&amp;$A27,'Raw'!$A$2:$Z$1225,9,FALSE)</f>
        <v>-3.0784849562825012</v>
      </c>
      <c r="Y27" s="55">
        <f>VLOOKUP(Y$2&amp;$A27,'Raw'!$A$2:$Z$1225,9,FALSE)</f>
        <v>-9.5869535295960535</v>
      </c>
      <c r="Z27" s="56">
        <f>VLOOKUP(Z$2&amp;$A27,'Raw'!$A$2:$Z$1225,9,FALSE)</f>
        <v>-13.077617272293708</v>
      </c>
    </row>
    <row r="28" spans="1:26">
      <c r="A28" s="52">
        <v>43831</v>
      </c>
      <c r="B28" s="53">
        <v>43831</v>
      </c>
      <c r="C28" s="55">
        <f>VLOOKUP(C$2&amp;$A28,'Raw'!$A$2:$Z$1225,9,FALSE)</f>
        <v>-2.2996602623706619</v>
      </c>
      <c r="D28" s="56">
        <f>VLOOKUP(D$2&amp;$A28,'Raw'!$A$2:$Z$1225,9,FALSE)</f>
        <v>-2.8052067662236002</v>
      </c>
      <c r="E28" s="55">
        <f>VLOOKUP(E$2&amp;$A28,'Raw'!$A$2:$Z$1225,9,FALSE)</f>
        <v>-8.8573385244494425</v>
      </c>
      <c r="F28" s="56">
        <f>VLOOKUP(F$2&amp;$A28,'Raw'!$A$2:$Z$1225,9,FALSE)</f>
        <v>-11.519843882198799</v>
      </c>
      <c r="G28" s="55">
        <f>VLOOKUP(G$2&amp;$A28,'Raw'!$A$2:$Z$1225,9,FALSE)</f>
        <v>-2.3461738013352607</v>
      </c>
      <c r="H28" s="56">
        <f>VLOOKUP(H$2&amp;$A28,'Raw'!$A$2:$Z$1225,9,FALSE)</f>
        <v>-2.636972753722433</v>
      </c>
      <c r="I28" s="55">
        <f>VLOOKUP(I$2&amp;$A28,'Raw'!$A$2:$Z$1225,9,FALSE)</f>
        <v>-8.7408878874611133</v>
      </c>
      <c r="J28" s="55">
        <f>VLOOKUP(J$2&amp;$A28,'Raw'!$A$2:$Z$1225,9,FALSE)</f>
        <v>-12.410045773498169</v>
      </c>
      <c r="K28" s="55">
        <f>VLOOKUP(K$2&amp;$A28,'Raw'!$A$2:$Z$1225,9,FALSE)</f>
        <v>-2.4133358376031366</v>
      </c>
      <c r="L28" s="56">
        <f>VLOOKUP(L$2&amp;$A28,'Raw'!$A$2:$Z$1225,9,FALSE)</f>
        <v>-2.7571892230903283</v>
      </c>
      <c r="M28" s="55">
        <f>VLOOKUP(M$2&amp;$A28,'Raw'!$A$2:$Z$1225,9,FALSE)</f>
        <v>-9.2482370590935226</v>
      </c>
      <c r="N28" s="56">
        <f>VLOOKUP(N$2&amp;$A28,'Raw'!$A$2:$Z$1225,9,FALSE)</f>
        <v>-12.615573087066934</v>
      </c>
      <c r="O28" s="55">
        <f>VLOOKUP(O$2&amp;$A28,'Raw'!$A$2:$Z$1225,9,FALSE)</f>
        <v>-2.5235726033012162</v>
      </c>
      <c r="P28" s="56">
        <f>VLOOKUP(P$2&amp;$A28,'Raw'!$A$2:$Z$1225,9,FALSE)</f>
        <v>-2.9767213715909291</v>
      </c>
      <c r="Q28" s="55">
        <f>VLOOKUP(Q$2&amp;$A28,'Raw'!$A$2:$Z$1225,9,FALSE)</f>
        <v>-9.0866338790607912</v>
      </c>
      <c r="R28" s="56">
        <f>VLOOKUP(R$2&amp;$A28,'Raw'!$A$2:$Z$1225,9,FALSE)</f>
        <v>-11.673896590916078</v>
      </c>
      <c r="S28" s="55">
        <f>VLOOKUP(S$2&amp;$A28,'Raw'!$A$2:$Z$1225,9,FALSE)</f>
        <v>-2.6121790121527599</v>
      </c>
      <c r="T28" s="56">
        <f>VLOOKUP(T$2&amp;$A28,'Raw'!$A$2:$Z$1225,9,FALSE)</f>
        <v>-2.8799704049726982</v>
      </c>
      <c r="U28" s="55">
        <f>VLOOKUP(U$2&amp;$A28,'Raw'!$A$2:$Z$1225,9,FALSE)</f>
        <v>-8.9467830258568526</v>
      </c>
      <c r="V28" s="56">
        <f>VLOOKUP(V$2&amp;$A28,'Raw'!$A$2:$Z$1225,9,FALSE)</f>
        <v>-12.634456923583304</v>
      </c>
      <c r="W28" s="55">
        <f>VLOOKUP(W$2&amp;$A28,'Raw'!$A$2:$Z$1225,9,FALSE)</f>
        <v>-2.6910190599739536</v>
      </c>
      <c r="X28" s="56">
        <f>VLOOKUP(X$2&amp;$A28,'Raw'!$A$2:$Z$1225,9,FALSE)</f>
        <v>-2.9959135713741647</v>
      </c>
      <c r="Y28" s="55">
        <f>VLOOKUP(Y$2&amp;$A28,'Raw'!$A$2:$Z$1225,9,FALSE)</f>
        <v>-9.4574888882120955</v>
      </c>
      <c r="Z28" s="56">
        <f>VLOOKUP(Z$2&amp;$A28,'Raw'!$A$2:$Z$1225,9,FALSE)</f>
        <v>-12.824092582631398</v>
      </c>
    </row>
    <row r="29" spans="1:26">
      <c r="A29" s="52">
        <v>44197</v>
      </c>
      <c r="B29" s="53">
        <v>44197</v>
      </c>
      <c r="C29" s="55">
        <f>VLOOKUP(C$2&amp;$A29,'Raw'!$A$2:$Z$1225,9,FALSE)</f>
        <v>-2.2610652871848824</v>
      </c>
      <c r="D29" s="56">
        <f>VLOOKUP(D$2&amp;$A29,'Raw'!$A$2:$Z$1225,9,FALSE)</f>
        <v>-2.7529448542899848</v>
      </c>
      <c r="E29" s="55">
        <f>VLOOKUP(E$2&amp;$A29,'Raw'!$A$2:$Z$1225,9,FALSE)</f>
        <v>-8.6783154440979509</v>
      </c>
      <c r="F29" s="56">
        <f>VLOOKUP(F$2&amp;$A29,'Raw'!$A$2:$Z$1225,9,FALSE)</f>
        <v>-11.297439324444202</v>
      </c>
      <c r="G29" s="55">
        <f>VLOOKUP(G$2&amp;$A29,'Raw'!$A$2:$Z$1225,9,FALSE)</f>
        <v>-2.3112212827378742</v>
      </c>
      <c r="H29" s="56">
        <f>VLOOKUP(H$2&amp;$A29,'Raw'!$A$2:$Z$1225,9,FALSE)</f>
        <v>-2.5474291985155717</v>
      </c>
      <c r="I29" s="55">
        <f>VLOOKUP(I$2&amp;$A29,'Raw'!$A$2:$Z$1225,9,FALSE)</f>
        <v>-8.6163400939329176</v>
      </c>
      <c r="J29" s="55">
        <f>VLOOKUP(J$2&amp;$A29,'Raw'!$A$2:$Z$1225,9,FALSE)</f>
        <v>-12.030799259850999</v>
      </c>
      <c r="K29" s="55">
        <f>VLOOKUP(K$2&amp;$A29,'Raw'!$A$2:$Z$1225,9,FALSE)</f>
        <v>-2.3773770345980161</v>
      </c>
      <c r="L29" s="56">
        <f>VLOOKUP(L$2&amp;$A29,'Raw'!$A$2:$Z$1225,9,FALSE)</f>
        <v>-2.6795321830919816</v>
      </c>
      <c r="M29" s="55">
        <f>VLOOKUP(M$2&amp;$A29,'Raw'!$A$2:$Z$1225,9,FALSE)</f>
        <v>-9.1230870942731421</v>
      </c>
      <c r="N29" s="56">
        <f>VLOOKUP(N$2&amp;$A29,'Raw'!$A$2:$Z$1225,9,FALSE)</f>
        <v>-12.329296105732768</v>
      </c>
      <c r="O29" s="55">
        <f>VLOOKUP(O$2&amp;$A29,'Raw'!$A$2:$Z$1225,9,FALSE)</f>
        <v>-2.482252695757714</v>
      </c>
      <c r="P29" s="56">
        <f>VLOOKUP(P$2&amp;$A29,'Raw'!$A$2:$Z$1225,9,FALSE)</f>
        <v>-2.9214286356945118</v>
      </c>
      <c r="Q29" s="55">
        <f>VLOOKUP(Q$2&amp;$A29,'Raw'!$A$2:$Z$1225,9,FALSE)</f>
        <v>-8.90655793090448</v>
      </c>
      <c r="R29" s="56">
        <f>VLOOKUP(R$2&amp;$A29,'Raw'!$A$2:$Z$1225,9,FALSE)</f>
        <v>-11.450358525232085</v>
      </c>
      <c r="S29" s="55">
        <f>VLOOKUP(S$2&amp;$A29,'Raw'!$A$2:$Z$1225,9,FALSE)</f>
        <v>-2.5756130512346598</v>
      </c>
      <c r="T29" s="56">
        <f>VLOOKUP(T$2&amp;$A29,'Raw'!$A$2:$Z$1225,9,FALSE)</f>
        <v>-2.7865614418926654</v>
      </c>
      <c r="U29" s="55">
        <f>VLOOKUP(U$2&amp;$A29,'Raw'!$A$2:$Z$1225,9,FALSE)</f>
        <v>-8.8200445837770651</v>
      </c>
      <c r="V29" s="56">
        <f>VLOOKUP(V$2&amp;$A29,'Raw'!$A$2:$Z$1225,9,FALSE)</f>
        <v>-12.257814758269237</v>
      </c>
      <c r="W29" s="55">
        <f>VLOOKUP(W$2&amp;$A29,'Raw'!$A$2:$Z$1225,9,FALSE)</f>
        <v>-2.6539496128943352</v>
      </c>
      <c r="X29" s="56">
        <f>VLOOKUP(X$2&amp;$A29,'Raw'!$A$2:$Z$1225,9,FALSE)</f>
        <v>-2.9184898227663125</v>
      </c>
      <c r="Y29" s="55">
        <f>VLOOKUP(Y$2&amp;$A29,'Raw'!$A$2:$Z$1225,9,FALSE)</f>
        <v>-9.3292140665789507</v>
      </c>
      <c r="Z29" s="56">
        <f>VLOOKUP(Z$2&amp;$A29,'Raw'!$A$2:$Z$1225,9,FALSE)</f>
        <v>-12.543469410489649</v>
      </c>
    </row>
    <row r="30" spans="1:26">
      <c r="A30" s="52">
        <v>44562</v>
      </c>
      <c r="B30" s="53">
        <v>44562</v>
      </c>
      <c r="C30" s="55">
        <f>VLOOKUP(C$2&amp;$A30,'Raw'!$A$2:$Z$1225,9,FALSE)</f>
        <v>-2.223831248251773</v>
      </c>
      <c r="D30" s="56">
        <f>VLOOKUP(D$2&amp;$A30,'Raw'!$A$2:$Z$1225,9,FALSE)</f>
        <v>-2.7028207153248163</v>
      </c>
      <c r="E30" s="55">
        <f>VLOOKUP(E$2&amp;$A30,'Raw'!$A$2:$Z$1225,9,FALSE)</f>
        <v>-8.5057210523844855</v>
      </c>
      <c r="F30" s="56">
        <f>VLOOKUP(F$2&amp;$A30,'Raw'!$A$2:$Z$1225,9,FALSE)</f>
        <v>-11.072269197936313</v>
      </c>
      <c r="G30" s="55">
        <f>VLOOKUP(G$2&amp;$A30,'Raw'!$A$2:$Z$1225,9,FALSE)</f>
        <v>-2.2774054774710839</v>
      </c>
      <c r="H30" s="56">
        <f>VLOOKUP(H$2&amp;$A30,'Raw'!$A$2:$Z$1225,9,FALSE)</f>
        <v>-2.4684390936715039</v>
      </c>
      <c r="I30" s="55">
        <f>VLOOKUP(I$2&amp;$A30,'Raw'!$A$2:$Z$1225,9,FALSE)</f>
        <v>-8.4955833617994863</v>
      </c>
      <c r="J30" s="55">
        <f>VLOOKUP(J$2&amp;$A30,'Raw'!$A$2:$Z$1225,9,FALSE)</f>
        <v>-11.630837678808204</v>
      </c>
      <c r="K30" s="55">
        <f>VLOOKUP(K$2&amp;$A30,'Raw'!$A$2:$Z$1225,9,FALSE)</f>
        <v>-2.3419393706690328</v>
      </c>
      <c r="L30" s="56">
        <f>VLOOKUP(L$2&amp;$A30,'Raw'!$A$2:$Z$1225,9,FALSE)</f>
        <v>-2.608041221157098</v>
      </c>
      <c r="M30" s="55">
        <f>VLOOKUP(M$2&amp;$A30,'Raw'!$A$2:$Z$1225,9,FALSE)</f>
        <v>-8.9980556971333456</v>
      </c>
      <c r="N30" s="56">
        <f>VLOOKUP(N$2&amp;$A30,'Raw'!$A$2:$Z$1225,9,FALSE)</f>
        <v>-12.023286673639866</v>
      </c>
      <c r="O30" s="55">
        <f>VLOOKUP(O$2&amp;$A30,'Raw'!$A$2:$Z$1225,9,FALSE)</f>
        <v>-2.4421771213948507</v>
      </c>
      <c r="P30" s="56">
        <f>VLOOKUP(P$2&amp;$A30,'Raw'!$A$2:$Z$1225,9,FALSE)</f>
        <v>-2.8686369427092795</v>
      </c>
      <c r="Q30" s="55">
        <f>VLOOKUP(Q$2&amp;$A30,'Raw'!$A$2:$Z$1225,9,FALSE)</f>
        <v>-8.7323919563926147</v>
      </c>
      <c r="R30" s="56">
        <f>VLOOKUP(R$2&amp;$A30,'Raw'!$A$2:$Z$1225,9,FALSE)</f>
        <v>-11.224267990664682</v>
      </c>
      <c r="S30" s="55">
        <f>VLOOKUP(S$2&amp;$A30,'Raw'!$A$2:$Z$1225,9,FALSE)</f>
        <v>-2.5397784534727963</v>
      </c>
      <c r="T30" s="56">
        <f>VLOOKUP(T$2&amp;$A30,'Raw'!$A$2:$Z$1225,9,FALSE)</f>
        <v>-2.7029366983273517</v>
      </c>
      <c r="U30" s="55">
        <f>VLOOKUP(U$2&amp;$A30,'Raw'!$A$2:$Z$1225,9,FALSE)</f>
        <v>-8.6964734884633863</v>
      </c>
      <c r="V30" s="56">
        <f>VLOOKUP(V$2&amp;$A30,'Raw'!$A$2:$Z$1225,9,FALSE)</f>
        <v>-11.859451803897414</v>
      </c>
      <c r="W30" s="55">
        <f>VLOOKUP(W$2&amp;$A30,'Raw'!$A$2:$Z$1225,9,FALSE)</f>
        <v>-2.617036565270936</v>
      </c>
      <c r="X30" s="56">
        <f>VLOOKUP(X$2&amp;$A30,'Raw'!$A$2:$Z$1225,9,FALSE)</f>
        <v>-2.8470219962590915</v>
      </c>
      <c r="Y30" s="55">
        <f>VLOOKUP(Y$2&amp;$A30,'Raw'!$A$2:$Z$1225,9,FALSE)</f>
        <v>-9.2005351335010861</v>
      </c>
      <c r="Z30" s="56">
        <f>VLOOKUP(Z$2&amp;$A30,'Raw'!$A$2:$Z$1225,9,FALSE)</f>
        <v>-12.243108280375703</v>
      </c>
    </row>
    <row r="31" spans="1:26">
      <c r="A31" s="52">
        <v>44927</v>
      </c>
      <c r="B31" s="53">
        <v>44927</v>
      </c>
      <c r="C31" s="55">
        <f>VLOOKUP(C$2&amp;$A31,'Raw'!$A$2:$Z$1225,9,FALSE)</f>
        <v>-2.1877514429682665</v>
      </c>
      <c r="D31" s="56">
        <f>VLOOKUP(D$2&amp;$A31,'Raw'!$A$2:$Z$1225,9,FALSE)</f>
        <v>-2.6546657278553765</v>
      </c>
      <c r="E31" s="55">
        <f>VLOOKUP(E$2&amp;$A31,'Raw'!$A$2:$Z$1225,9,FALSE)</f>
        <v>-8.3392384661454262</v>
      </c>
      <c r="F31" s="56">
        <f>VLOOKUP(F$2&amp;$A31,'Raw'!$A$2:$Z$1225,9,FALSE)</f>
        <v>-10.846275564515107</v>
      </c>
      <c r="G31" s="55">
        <f>VLOOKUP(G$2&amp;$A31,'Raw'!$A$2:$Z$1225,9,FALSE)</f>
        <v>-2.2444695468747833</v>
      </c>
      <c r="H31" s="56">
        <f>VLOOKUP(H$2&amp;$A31,'Raw'!$A$2:$Z$1225,9,FALSE)</f>
        <v>-2.4008718276648411</v>
      </c>
      <c r="I31" s="55">
        <f>VLOOKUP(I$2&amp;$A31,'Raw'!$A$2:$Z$1225,9,FALSE)</f>
        <v>-8.3764958782305712</v>
      </c>
      <c r="J31" s="55">
        <f>VLOOKUP(J$2&amp;$A31,'Raw'!$A$2:$Z$1225,9,FALSE)</f>
        <v>-11.223126831865581</v>
      </c>
      <c r="K31" s="55">
        <f>VLOOKUP(K$2&amp;$A31,'Raw'!$A$2:$Z$1225,9,FALSE)</f>
        <v>-2.3068566299991211</v>
      </c>
      <c r="L31" s="56">
        <f>VLOOKUP(L$2&amp;$A31,'Raw'!$A$2:$Z$1225,9,FALSE)</f>
        <v>-2.5431803879342518</v>
      </c>
      <c r="M31" s="55">
        <f>VLOOKUP(M$2&amp;$A31,'Raw'!$A$2:$Z$1225,9,FALSE)</f>
        <v>-8.8717984015164184</v>
      </c>
      <c r="N31" s="56">
        <f>VLOOKUP(N$2&amp;$A31,'Raw'!$A$2:$Z$1225,9,FALSE)</f>
        <v>-11.705267706379452</v>
      </c>
      <c r="O31" s="55">
        <f>VLOOKUP(O$2&amp;$A31,'Raw'!$A$2:$Z$1225,9,FALSE)</f>
        <v>-2.4031469301190156</v>
      </c>
      <c r="P31" s="56">
        <f>VLOOKUP(P$2&amp;$A31,'Raw'!$A$2:$Z$1225,9,FALSE)</f>
        <v>-2.8181363423574579</v>
      </c>
      <c r="Q31" s="55">
        <f>VLOOKUP(Q$2&amp;$A31,'Raw'!$A$2:$Z$1225,9,FALSE)</f>
        <v>-8.5638856376880952</v>
      </c>
      <c r="R31" s="56">
        <f>VLOOKUP(R$2&amp;$A31,'Raw'!$A$2:$Z$1225,9,FALSE)</f>
        <v>-10.997548524204815</v>
      </c>
      <c r="S31" s="55">
        <f>VLOOKUP(S$2&amp;$A31,'Raw'!$A$2:$Z$1225,9,FALSE)</f>
        <v>-2.5044339217881295</v>
      </c>
      <c r="T31" s="56">
        <f>VLOOKUP(T$2&amp;$A31,'Raw'!$A$2:$Z$1225,9,FALSE)</f>
        <v>-2.6300110268219878</v>
      </c>
      <c r="U31" s="55">
        <f>VLOOKUP(U$2&amp;$A31,'Raw'!$A$2:$Z$1225,9,FALSE)</f>
        <v>-8.5740491997382655</v>
      </c>
      <c r="V31" s="56">
        <f>VLOOKUP(V$2&amp;$A31,'Raw'!$A$2:$Z$1225,9,FALSE)</f>
        <v>-11.452218835552685</v>
      </c>
      <c r="W31" s="55">
        <f>VLOOKUP(W$2&amp;$A31,'Raw'!$A$2:$Z$1225,9,FALSE)</f>
        <v>-2.5801391039980914</v>
      </c>
      <c r="X31" s="56">
        <f>VLOOKUP(X$2&amp;$A31,'Raw'!$A$2:$Z$1225,9,FALSE)</f>
        <v>-2.7818547652498693</v>
      </c>
      <c r="Y31" s="55">
        <f>VLOOKUP(Y$2&amp;$A31,'Raw'!$A$2:$Z$1225,9,FALSE)</f>
        <v>-9.0702211470783727</v>
      </c>
      <c r="Z31" s="56">
        <f>VLOOKUP(Z$2&amp;$A31,'Raw'!$A$2:$Z$1225,9,FALSE)</f>
        <v>-11.930527259065848</v>
      </c>
    </row>
    <row r="32" spans="1:26">
      <c r="A32" s="52">
        <v>45292</v>
      </c>
      <c r="B32" s="53">
        <v>45292</v>
      </c>
      <c r="C32" s="55">
        <f>VLOOKUP(C$2&amp;$A32,'Raw'!$A$2:$Z$1225,9,FALSE)</f>
        <v>-2.1526227532838949</v>
      </c>
      <c r="D32" s="56">
        <f>VLOOKUP(D$2&amp;$A32,'Raw'!$A$2:$Z$1225,9,FALSE)</f>
        <v>-2.6082620527847933</v>
      </c>
      <c r="E32" s="55">
        <f>VLOOKUP(E$2&amp;$A32,'Raw'!$A$2:$Z$1225,9,FALSE)</f>
        <v>-8.1786452592330647</v>
      </c>
      <c r="F32" s="56">
        <f>VLOOKUP(F$2&amp;$A32,'Raw'!$A$2:$Z$1225,9,FALSE)</f>
        <v>-10.621129492925608</v>
      </c>
      <c r="G32" s="55">
        <f>VLOOKUP(G$2&amp;$A32,'Raw'!$A$2:$Z$1225,9,FALSE)</f>
        <v>-2.212198743306093</v>
      </c>
      <c r="H32" s="56">
        <f>VLOOKUP(H$2&amp;$A32,'Raw'!$A$2:$Z$1225,9,FALSE)</f>
        <v>-2.3448493164646034</v>
      </c>
      <c r="I32" s="55">
        <f>VLOOKUP(I$2&amp;$A32,'Raw'!$A$2:$Z$1225,9,FALSE)</f>
        <v>-8.2573359813828411</v>
      </c>
      <c r="J32" s="55">
        <f>VLOOKUP(J$2&amp;$A32,'Raw'!$A$2:$Z$1225,9,FALSE)</f>
        <v>-10.820169521576961</v>
      </c>
      <c r="K32" s="55">
        <f>VLOOKUP(K$2&amp;$A32,'Raw'!$A$2:$Z$1225,9,FALSE)</f>
        <v>-2.2720044808963613</v>
      </c>
      <c r="L32" s="56">
        <f>VLOOKUP(L$2&amp;$A32,'Raw'!$A$2:$Z$1225,9,FALSE)</f>
        <v>-2.4849892955465025</v>
      </c>
      <c r="M32" s="55">
        <f>VLOOKUP(M$2&amp;$A32,'Raw'!$A$2:$Z$1225,9,FALSE)</f>
        <v>-8.7433548701185906</v>
      </c>
      <c r="N32" s="56">
        <f>VLOOKUP(N$2&amp;$A32,'Raw'!$A$2:$Z$1225,9,FALSE)</f>
        <v>-11.382685146243244</v>
      </c>
      <c r="O32" s="55">
        <f>VLOOKUP(O$2&amp;$A32,'Raw'!$A$2:$Z$1225,9,FALSE)</f>
        <v>-2.3649596650889171</v>
      </c>
      <c r="P32" s="56">
        <f>VLOOKUP(P$2&amp;$A32,'Raw'!$A$2:$Z$1225,9,FALSE)</f>
        <v>-2.7696575416031655</v>
      </c>
      <c r="Q32" s="55">
        <f>VLOOKUP(Q$2&amp;$A32,'Raw'!$A$2:$Z$1225,9,FALSE)</f>
        <v>-8.4008624559023364</v>
      </c>
      <c r="R32" s="56">
        <f>VLOOKUP(R$2&amp;$A32,'Raw'!$A$2:$Z$1225,9,FALSE)</f>
        <v>-10.771827251078969</v>
      </c>
      <c r="S32" s="55">
        <f>VLOOKUP(S$2&amp;$A32,'Raw'!$A$2:$Z$1225,9,FALSE)</f>
        <v>-2.4693858522719769</v>
      </c>
      <c r="T32" s="56">
        <f>VLOOKUP(T$2&amp;$A32,'Raw'!$A$2:$Z$1225,9,FALSE)</f>
        <v>-2.5679951893955222</v>
      </c>
      <c r="U32" s="55">
        <f>VLOOKUP(U$2&amp;$A32,'Raw'!$A$2:$Z$1225,9,FALSE)</f>
        <v>-8.4511238114807981</v>
      </c>
      <c r="V32" s="56">
        <f>VLOOKUP(V$2&amp;$A32,'Raw'!$A$2:$Z$1225,9,FALSE)</f>
        <v>-11.048528306529636</v>
      </c>
      <c r="W32" s="55">
        <f>VLOOKUP(W$2&amp;$A32,'Raw'!$A$2:$Z$1225,9,FALSE)</f>
        <v>-2.5431601837307083</v>
      </c>
      <c r="X32" s="56">
        <f>VLOOKUP(X$2&amp;$A32,'Raw'!$A$2:$Z$1225,9,FALSE)</f>
        <v>-2.7229334293531915</v>
      </c>
      <c r="Y32" s="55">
        <f>VLOOKUP(Y$2&amp;$A32,'Raw'!$A$2:$Z$1225,9,FALSE)</f>
        <v>-8.9374098998384994</v>
      </c>
      <c r="Z32" s="56">
        <f>VLOOKUP(Z$2&amp;$A32,'Raw'!$A$2:$Z$1225,9,FALSE)</f>
        <v>-11.612952110937069</v>
      </c>
    </row>
    <row r="33" spans="1:26">
      <c r="A33" s="52">
        <v>45658</v>
      </c>
      <c r="B33" s="53">
        <v>45658</v>
      </c>
      <c r="C33" s="55">
        <f>VLOOKUP(C$2&amp;$A33,'Raw'!$A$2:$Z$1225,9,FALSE)</f>
        <v>-2.1182585793410147</v>
      </c>
      <c r="D33" s="56">
        <f>VLOOKUP(D$2&amp;$A33,'Raw'!$A$2:$Z$1225,9,FALSE)</f>
        <v>-2.5633775770625977</v>
      </c>
      <c r="E33" s="55">
        <f>VLOOKUP(E$2&amp;$A33,'Raw'!$A$2:$Z$1225,9,FALSE)</f>
        <v>-8.0237931814160497</v>
      </c>
      <c r="F33" s="56">
        <f>VLOOKUP(F$2&amp;$A33,'Raw'!$A$2:$Z$1225,9,FALSE)</f>
        <v>-10.398227316417163</v>
      </c>
      <c r="G33" s="55">
        <f>VLOOKUP(G$2&amp;$A33,'Raw'!$A$2:$Z$1225,9,FALSE)</f>
        <v>-2.1804229758648153</v>
      </c>
      <c r="H33" s="56">
        <f>VLOOKUP(H$2&amp;$A33,'Raw'!$A$2:$Z$1225,9,FALSE)</f>
        <v>-2.2998413553120045</v>
      </c>
      <c r="I33" s="55">
        <f>VLOOKUP(I$2&amp;$A33,'Raw'!$A$2:$Z$1225,9,FALSE)</f>
        <v>-8.1367683531738066</v>
      </c>
      <c r="J33" s="55">
        <f>VLOOKUP(J$2&amp;$A33,'Raw'!$A$2:$Z$1225,9,FALSE)</f>
        <v>-10.433258193997574</v>
      </c>
      <c r="K33" s="55">
        <f>VLOOKUP(K$2&amp;$A33,'Raw'!$A$2:$Z$1225,9,FALSE)</f>
        <v>-2.2372996349352192</v>
      </c>
      <c r="L33" s="56">
        <f>VLOOKUP(L$2&amp;$A33,'Raw'!$A$2:$Z$1225,9,FALSE)</f>
        <v>-2.4331519213553254</v>
      </c>
      <c r="M33" s="55">
        <f>VLOOKUP(M$2&amp;$A33,'Raw'!$A$2:$Z$1225,9,FALSE)</f>
        <v>-8.6121295618567633</v>
      </c>
      <c r="N33" s="56">
        <f>VLOOKUP(N$2&amp;$A33,'Raw'!$A$2:$Z$1225,9,FALSE)</f>
        <v>-11.062312687308973</v>
      </c>
      <c r="O33" s="55">
        <f>VLOOKUP(O$2&amp;$A33,'Raw'!$A$2:$Z$1225,9,FALSE)</f>
        <v>-2.3274259957353882</v>
      </c>
      <c r="P33" s="56">
        <f>VLOOKUP(P$2&amp;$A33,'Raw'!$A$2:$Z$1225,9,FALSE)</f>
        <v>-2.7229139980514905</v>
      </c>
      <c r="Q33" s="55">
        <f>VLOOKUP(Q$2&amp;$A33,'Raw'!$A$2:$Z$1225,9,FALSE)</f>
        <v>-8.2432037436265819</v>
      </c>
      <c r="R33" s="56">
        <f>VLOOKUP(R$2&amp;$A33,'Raw'!$A$2:$Z$1225,9,FALSE)</f>
        <v>-10.548440884170162</v>
      </c>
      <c r="S33" s="55">
        <f>VLOOKUP(S$2&amp;$A33,'Raw'!$A$2:$Z$1225,9,FALSE)</f>
        <v>-2.4344914481891577</v>
      </c>
      <c r="T33" s="56">
        <f>VLOOKUP(T$2&amp;$A33,'Raw'!$A$2:$Z$1225,9,FALSE)</f>
        <v>-2.5164891601772377</v>
      </c>
      <c r="U33" s="55">
        <f>VLOOKUP(U$2&amp;$A33,'Raw'!$A$2:$Z$1225,9,FALSE)</f>
        <v>-8.3264477570384354</v>
      </c>
      <c r="V33" s="56">
        <f>VLOOKUP(V$2&amp;$A33,'Raw'!$A$2:$Z$1225,9,FALSE)</f>
        <v>-10.659621343882186</v>
      </c>
      <c r="W33" s="55">
        <f>VLOOKUP(W$2&amp;$A33,'Raw'!$A$2:$Z$1225,9,FALSE)</f>
        <v>-2.5060462928801042</v>
      </c>
      <c r="X33" s="56">
        <f>VLOOKUP(X$2&amp;$A33,'Raw'!$A$2:$Z$1225,9,FALSE)</f>
        <v>-2.6698828899081595</v>
      </c>
      <c r="Y33" s="55">
        <f>VLOOKUP(Y$2&amp;$A33,'Raw'!$A$2:$Z$1225,9,FALSE)</f>
        <v>-8.801589691157762</v>
      </c>
      <c r="Z33" s="56">
        <f>VLOOKUP(Z$2&amp;$A33,'Raw'!$A$2:$Z$1225,9,FALSE)</f>
        <v>-11.296942253280751</v>
      </c>
    </row>
    <row r="34" spans="1:26">
      <c r="A34" s="52">
        <v>46023</v>
      </c>
      <c r="B34" s="53">
        <v>46023</v>
      </c>
      <c r="C34" s="55">
        <f>VLOOKUP(C$2&amp;$A34,'Raw'!$A$2:$Z$1225,9,FALSE)</f>
        <v>-2.0844965737431553</v>
      </c>
      <c r="D34" s="56">
        <f>VLOOKUP(D$2&amp;$A34,'Raw'!$A$2:$Z$1225,9,FALSE)</f>
        <v>-2.5197901641327514</v>
      </c>
      <c r="E34" s="55">
        <f>VLOOKUP(E$2&amp;$A34,'Raw'!$A$2:$Z$1225,9,FALSE)</f>
        <v>-7.8745849739578428</v>
      </c>
      <c r="F34" s="56">
        <f>VLOOKUP(F$2&amp;$A34,'Raw'!$A$2:$Z$1225,9,FALSE)</f>
        <v>-10.17869929566244</v>
      </c>
      <c r="G34" s="55">
        <f>VLOOKUP(G$2&amp;$A34,'Raw'!$A$2:$Z$1225,9,FALSE)</f>
        <v>-2.1490127417761462</v>
      </c>
      <c r="H34" s="56">
        <f>VLOOKUP(H$2&amp;$A34,'Raw'!$A$2:$Z$1225,9,FALSE)</f>
        <v>-2.2647925936307489</v>
      </c>
      <c r="I34" s="55">
        <f>VLOOKUP(I$2&amp;$A34,'Raw'!$A$2:$Z$1225,9,FALSE)</f>
        <v>-8.0138621743908729</v>
      </c>
      <c r="J34" s="55">
        <f>VLOOKUP(J$2&amp;$A34,'Raw'!$A$2:$Z$1225,9,FALSE)</f>
        <v>-10.071881975413133</v>
      </c>
      <c r="K34" s="55">
        <f>VLOOKUP(K$2&amp;$A34,'Raw'!$A$2:$Z$1225,9,FALSE)</f>
        <v>-2.2026942448561848</v>
      </c>
      <c r="L34" s="56">
        <f>VLOOKUP(L$2&amp;$A34,'Raw'!$A$2:$Z$1225,9,FALSE)</f>
        <v>-2.3870773991303551</v>
      </c>
      <c r="M34" s="55">
        <f>VLOOKUP(M$2&amp;$A34,'Raw'!$A$2:$Z$1225,9,FALSE)</f>
        <v>-8.4778548300583285</v>
      </c>
      <c r="N34" s="56">
        <f>VLOOKUP(N$2&amp;$A34,'Raw'!$A$2:$Z$1225,9,FALSE)</f>
        <v>-10.749953498364629</v>
      </c>
      <c r="O34" s="55">
        <f>VLOOKUP(O$2&amp;$A34,'Raw'!$A$2:$Z$1225,9,FALSE)</f>
        <v>-2.2903802469485535</v>
      </c>
      <c r="P34" s="56">
        <f>VLOOKUP(P$2&amp;$A34,'Raw'!$A$2:$Z$1225,9,FALSE)</f>
        <v>-2.6776313579267685</v>
      </c>
      <c r="Q34" s="55">
        <f>VLOOKUP(Q$2&amp;$A34,'Raw'!$A$2:$Z$1225,9,FALSE)</f>
        <v>-8.0908302900354663</v>
      </c>
      <c r="R34" s="56">
        <f>VLOOKUP(R$2&amp;$A34,'Raw'!$A$2:$Z$1225,9,FALSE)</f>
        <v>-10.328453216771305</v>
      </c>
      <c r="S34" s="55">
        <f>VLOOKUP(S$2&amp;$A34,'Raw'!$A$2:$Z$1225,9,FALSE)</f>
        <v>-2.3996545836742378</v>
      </c>
      <c r="T34" s="56">
        <f>VLOOKUP(T$2&amp;$A34,'Raw'!$A$2:$Z$1225,9,FALSE)</f>
        <v>-2.4746017474815751</v>
      </c>
      <c r="U34" s="55">
        <f>VLOOKUP(U$2&amp;$A34,'Raw'!$A$2:$Z$1225,9,FALSE)</f>
        <v>-8.1991675034857501</v>
      </c>
      <c r="V34" s="56">
        <f>VLOOKUP(V$2&amp;$A34,'Raw'!$A$2:$Z$1225,9,FALSE)</f>
        <v>-10.29498552585143</v>
      </c>
      <c r="W34" s="55">
        <f>VLOOKUP(W$2&amp;$A34,'Raw'!$A$2:$Z$1225,9,FALSE)</f>
        <v>-2.4687819580436976</v>
      </c>
      <c r="X34" s="56">
        <f>VLOOKUP(X$2&amp;$A34,'Raw'!$A$2:$Z$1225,9,FALSE)</f>
        <v>-2.6220927404336236</v>
      </c>
      <c r="Y34" s="55">
        <f>VLOOKUP(Y$2&amp;$A34,'Raw'!$A$2:$Z$1225,9,FALSE)</f>
        <v>-8.662563781291011</v>
      </c>
      <c r="Z34" s="56">
        <f>VLOOKUP(Z$2&amp;$A34,'Raw'!$A$2:$Z$1225,9,FALSE)</f>
        <v>-10.988111437540383</v>
      </c>
    </row>
    <row r="35" spans="1:26">
      <c r="A35" s="52">
        <v>46388</v>
      </c>
      <c r="B35" s="53">
        <v>46388</v>
      </c>
      <c r="C35" s="55">
        <f>VLOOKUP(C$2&amp;$A35,'Raw'!$A$2:$Z$1225,9,FALSE)</f>
        <v>-2.0512022136313424</v>
      </c>
      <c r="D35" s="56">
        <f>VLOOKUP(D$2&amp;$A35,'Raw'!$A$2:$Z$1225,9,FALSE)</f>
        <v>-2.4773024697358426</v>
      </c>
      <c r="E35" s="55">
        <f>VLOOKUP(E$2&amp;$A35,'Raw'!$A$2:$Z$1225,9,FALSE)</f>
        <v>-7.7309523505185158</v>
      </c>
      <c r="F35" s="56">
        <f>VLOOKUP(F$2&amp;$A35,'Raw'!$A$2:$Z$1225,9,FALSE)</f>
        <v>-9.9634277732164271</v>
      </c>
      <c r="G35" s="55">
        <f>VLOOKUP(G$2&amp;$A35,'Raw'!$A$2:$Z$1225,9,FALSE)</f>
        <v>-2.1178717678620895</v>
      </c>
      <c r="H35" s="56">
        <f>VLOOKUP(H$2&amp;$A35,'Raw'!$A$2:$Z$1225,9,FALSE)</f>
        <v>-2.2382638410657685</v>
      </c>
      <c r="I35" s="55">
        <f>VLOOKUP(I$2&amp;$A35,'Raw'!$A$2:$Z$1225,9,FALSE)</f>
        <v>-7.8880656605375794</v>
      </c>
      <c r="J35" s="55">
        <f>VLOOKUP(J$2&amp;$A35,'Raw'!$A$2:$Z$1225,9,FALSE)</f>
        <v>-9.7433197868632249</v>
      </c>
      <c r="K35" s="55">
        <f>VLOOKUP(K$2&amp;$A35,'Raw'!$A$2:$Z$1225,9,FALSE)</f>
        <v>-2.1681679998294734</v>
      </c>
      <c r="L35" s="56">
        <f>VLOOKUP(L$2&amp;$A35,'Raw'!$A$2:$Z$1225,9,FALSE)</f>
        <v>-2.345984840581028</v>
      </c>
      <c r="M35" s="55">
        <f>VLOOKUP(M$2&amp;$A35,'Raw'!$A$2:$Z$1225,9,FALSE)</f>
        <v>-8.3405416801733523</v>
      </c>
      <c r="N35" s="56">
        <f>VLOOKUP(N$2&amp;$A35,'Raw'!$A$2:$Z$1225,9,FALSE)</f>
        <v>-10.450248589418409</v>
      </c>
      <c r="O35" s="55">
        <f>VLOOKUP(O$2&amp;$A35,'Raw'!$A$2:$Z$1225,9,FALSE)</f>
        <v>-2.2536857945620659</v>
      </c>
      <c r="P35" s="56">
        <f>VLOOKUP(P$2&amp;$A35,'Raw'!$A$2:$Z$1225,9,FALSE)</f>
        <v>-2.6335657696402337</v>
      </c>
      <c r="Q35" s="55">
        <f>VLOOKUP(Q$2&amp;$A35,'Raw'!$A$2:$Z$1225,9,FALSE)</f>
        <v>-7.9436847297922331</v>
      </c>
      <c r="R35" s="56">
        <f>VLOOKUP(R$2&amp;$A35,'Raw'!$A$2:$Z$1225,9,FALSE)</f>
        <v>-10.112680596717849</v>
      </c>
      <c r="S35" s="55">
        <f>VLOOKUP(S$2&amp;$A35,'Raw'!$A$2:$Z$1225,9,FALSE)</f>
        <v>-2.3648177667011328</v>
      </c>
      <c r="T35" s="56">
        <f>VLOOKUP(T$2&amp;$A35,'Raw'!$A$2:$Z$1225,9,FALSE)</f>
        <v>-2.4410808731681555</v>
      </c>
      <c r="U35" s="55">
        <f>VLOOKUP(U$2&amp;$A35,'Raw'!$A$2:$Z$1225,9,FALSE)</f>
        <v>-8.0687998528641725</v>
      </c>
      <c r="V35" s="56">
        <f>VLOOKUP(V$2&amp;$A35,'Raw'!$A$2:$Z$1225,9,FALSE)</f>
        <v>-9.9619536380328064</v>
      </c>
      <c r="W35" s="55">
        <f>VLOOKUP(W$2&amp;$A35,'Raw'!$A$2:$Z$1225,9,FALSE)</f>
        <v>-2.431381774487773</v>
      </c>
      <c r="X35" s="56">
        <f>VLOOKUP(X$2&amp;$A35,'Raw'!$A$2:$Z$1225,9,FALSE)</f>
        <v>-2.5788012334654553</v>
      </c>
      <c r="Y35" s="55">
        <f>VLOOKUP(Y$2&amp;$A35,'Raw'!$A$2:$Z$1225,9,FALSE)</f>
        <v>-8.5204025262730845</v>
      </c>
      <c r="Z35" s="56">
        <f>VLOOKUP(Z$2&amp;$A35,'Raw'!$A$2:$Z$1225,9,FALSE)</f>
        <v>-10.690951223958734</v>
      </c>
    </row>
    <row r="36" spans="1:26">
      <c r="A36" s="52">
        <v>46753</v>
      </c>
      <c r="B36" s="53">
        <v>46753</v>
      </c>
      <c r="C36" s="55">
        <f>VLOOKUP(C$2&amp;$A36,'Raw'!$A$2:$Z$1225,9,FALSE)</f>
        <v>-2.0182692983226391</v>
      </c>
      <c r="D36" s="56">
        <f>VLOOKUP(D$2&amp;$A36,'Raw'!$A$2:$Z$1225,9,FALSE)</f>
        <v>-2.4357492672393399</v>
      </c>
      <c r="E36" s="55">
        <f>VLOOKUP(E$2&amp;$A36,'Raw'!$A$2:$Z$1225,9,FALSE)</f>
        <v>-7.592836889969834</v>
      </c>
      <c r="F36" s="56">
        <f>VLOOKUP(F$2&amp;$A36,'Raw'!$A$2:$Z$1225,9,FALSE)</f>
        <v>-9.7530715296017085</v>
      </c>
      <c r="G36" s="55">
        <f>VLOOKUP(G$2&amp;$A36,'Raw'!$A$2:$Z$1225,9,FALSE)</f>
        <v>-2.086928142629263</v>
      </c>
      <c r="H36" s="56">
        <f>VLOOKUP(H$2&amp;$A36,'Raw'!$A$2:$Z$1225,9,FALSE)</f>
        <v>-2.2185724433904319</v>
      </c>
      <c r="I36" s="55">
        <f>VLOOKUP(I$2&amp;$A36,'Raw'!$A$2:$Z$1225,9,FALSE)</f>
        <v>-7.7591623605983262</v>
      </c>
      <c r="J36" s="55">
        <f>VLOOKUP(J$2&amp;$A36,'Raw'!$A$2:$Z$1225,9,FALSE)</f>
        <v>-9.4524308513556754</v>
      </c>
      <c r="K36" s="55">
        <f>VLOOKUP(K$2&amp;$A36,'Raw'!$A$2:$Z$1225,9,FALSE)</f>
        <v>-2.133720196013722</v>
      </c>
      <c r="L36" s="56">
        <f>VLOOKUP(L$2&amp;$A36,'Raw'!$A$2:$Z$1225,9,FALSE)</f>
        <v>-2.3089847012995546</v>
      </c>
      <c r="M36" s="55">
        <f>VLOOKUP(M$2&amp;$A36,'Raw'!$A$2:$Z$1225,9,FALSE)</f>
        <v>-8.2004237421236752</v>
      </c>
      <c r="N36" s="56">
        <f>VLOOKUP(N$2&amp;$A36,'Raw'!$A$2:$Z$1225,9,FALSE)</f>
        <v>-10.1665910809003</v>
      </c>
      <c r="O36" s="55">
        <f>VLOOKUP(O$2&amp;$A36,'Raw'!$A$2:$Z$1225,9,FALSE)</f>
        <v>-2.2172366177515723</v>
      </c>
      <c r="P36" s="56">
        <f>VLOOKUP(P$2&amp;$A36,'Raw'!$A$2:$Z$1225,9,FALSE)</f>
        <v>-2.5905131735112552</v>
      </c>
      <c r="Q36" s="55">
        <f>VLOOKUP(Q$2&amp;$A36,'Raw'!$A$2:$Z$1225,9,FALSE)</f>
        <v>-7.8017162639002047</v>
      </c>
      <c r="R36" s="56">
        <f>VLOOKUP(R$2&amp;$A36,'Raw'!$A$2:$Z$1225,9,FALSE)</f>
        <v>-9.9017217759049601</v>
      </c>
      <c r="S36" s="55">
        <f>VLOOKUP(S$2&amp;$A36,'Raw'!$A$2:$Z$1225,9,FALSE)</f>
        <v>-2.3299526059648912</v>
      </c>
      <c r="T36" s="56">
        <f>VLOOKUP(T$2&amp;$A36,'Raw'!$A$2:$Z$1225,9,FALSE)</f>
        <v>-2.4144412862543763</v>
      </c>
      <c r="U36" s="55">
        <f>VLOOKUP(U$2&amp;$A36,'Raw'!$A$2:$Z$1225,9,FALSE)</f>
        <v>-7.9351881962710147</v>
      </c>
      <c r="V36" s="56">
        <f>VLOOKUP(V$2&amp;$A36,'Raw'!$A$2:$Z$1225,9,FALSE)</f>
        <v>-9.6654943262777238</v>
      </c>
      <c r="W36" s="55">
        <f>VLOOKUP(W$2&amp;$A36,'Raw'!$A$2:$Z$1225,9,FALSE)</f>
        <v>-2.3938820920075821</v>
      </c>
      <c r="X36" s="56">
        <f>VLOOKUP(X$2&amp;$A36,'Raw'!$A$2:$Z$1225,9,FALSE)</f>
        <v>-2.5391715405245652</v>
      </c>
      <c r="Y36" s="55">
        <f>VLOOKUP(Y$2&amp;$A36,'Raw'!$A$2:$Z$1225,9,FALSE)</f>
        <v>-8.3753886565580586</v>
      </c>
      <c r="Z36" s="56">
        <f>VLOOKUP(Z$2&amp;$A36,'Raw'!$A$2:$Z$1225,9,FALSE)</f>
        <v>-10.408755210686349</v>
      </c>
    </row>
    <row r="37" spans="1:26">
      <c r="A37" s="52">
        <v>47119</v>
      </c>
      <c r="B37" s="53">
        <v>47119</v>
      </c>
      <c r="C37" s="55">
        <f>VLOOKUP(C$2&amp;$A37,'Raw'!$A$2:$Z$1225,9,FALSE)</f>
        <v>-1.9856183156567564</v>
      </c>
      <c r="D37" s="56">
        <f>VLOOKUP(D$2&amp;$A37,'Raw'!$A$2:$Z$1225,9,FALSE)</f>
        <v>-2.3949991726962994</v>
      </c>
      <c r="E37" s="55">
        <f>VLOOKUP(E$2&amp;$A37,'Raw'!$A$2:$Z$1225,9,FALSE)</f>
        <v>-7.4601747879475706</v>
      </c>
      <c r="F37" s="56">
        <f>VLOOKUP(F$2&amp;$A37,'Raw'!$A$2:$Z$1225,9,FALSE)</f>
        <v>-9.5480935621866099</v>
      </c>
      <c r="G37" s="55">
        <f>VLOOKUP(G$2&amp;$A37,'Raw'!$A$2:$Z$1225,9,FALSE)</f>
        <v>-2.0561262974565619</v>
      </c>
      <c r="H37" s="56">
        <f>VLOOKUP(H$2&amp;$A37,'Raw'!$A$2:$Z$1225,9,FALSE)</f>
        <v>-2.203920092523981</v>
      </c>
      <c r="I37" s="55">
        <f>VLOOKUP(I$2&amp;$A37,'Raw'!$A$2:$Z$1225,9,FALSE)</f>
        <v>-7.6272151620628499</v>
      </c>
      <c r="J37" s="55">
        <f>VLOOKUP(J$2&amp;$A37,'Raw'!$A$2:$Z$1225,9,FALSE)</f>
        <v>-9.2016353032915106</v>
      </c>
      <c r="K37" s="55">
        <f>VLOOKUP(K$2&amp;$A37,'Raw'!$A$2:$Z$1225,9,FALSE)</f>
        <v>-2.099362249463832</v>
      </c>
      <c r="L37" s="56">
        <f>VLOOKUP(L$2&amp;$A37,'Raw'!$A$2:$Z$1225,9,FALSE)</f>
        <v>-2.2751519795076058</v>
      </c>
      <c r="M37" s="55">
        <f>VLOOKUP(M$2&amp;$A37,'Raw'!$A$2:$Z$1225,9,FALSE)</f>
        <v>-8.057898895398008</v>
      </c>
      <c r="N37" s="56">
        <f>VLOOKUP(N$2&amp;$A37,'Raw'!$A$2:$Z$1225,9,FALSE)</f>
        <v>-9.90113622078802</v>
      </c>
      <c r="O37" s="55">
        <f>VLOOKUP(O$2&amp;$A37,'Raw'!$A$2:$Z$1225,9,FALSE)</f>
        <v>-2.1809561761777063</v>
      </c>
      <c r="P37" s="56">
        <f>VLOOKUP(P$2&amp;$A37,'Raw'!$A$2:$Z$1225,9,FALSE)</f>
        <v>-2.5483117288986223</v>
      </c>
      <c r="Q37" s="55">
        <f>VLOOKUP(Q$2&amp;$A37,'Raw'!$A$2:$Z$1225,9,FALSE)</f>
        <v>-7.664868426544091</v>
      </c>
      <c r="R37" s="56">
        <f>VLOOKUP(R$2&amp;$A37,'Raw'!$A$2:$Z$1225,9,FALSE)</f>
        <v>-9.6959894156369746</v>
      </c>
      <c r="S37" s="55">
        <f>VLOOKUP(S$2&amp;$A37,'Raw'!$A$2:$Z$1225,9,FALSE)</f>
        <v>-2.2950508870628883</v>
      </c>
      <c r="T37" s="56">
        <f>VLOOKUP(T$2&amp;$A37,'Raw'!$A$2:$Z$1225,9,FALSE)</f>
        <v>-2.3930796345625449</v>
      </c>
      <c r="U37" s="55">
        <f>VLOOKUP(U$2&amp;$A37,'Raw'!$A$2:$Z$1225,9,FALSE)</f>
        <v>-7.7984466108389157</v>
      </c>
      <c r="V37" s="56">
        <f>VLOOKUP(V$2&amp;$A37,'Raw'!$A$2:$Z$1225,9,FALSE)</f>
        <v>-9.4081875468871363</v>
      </c>
      <c r="W37" s="55">
        <f>VLOOKUP(W$2&amp;$A37,'Raw'!$A$2:$Z$1225,9,FALSE)</f>
        <v>-2.3563332294463168</v>
      </c>
      <c r="X37" s="56">
        <f>VLOOKUP(X$2&amp;$A37,'Raw'!$A$2:$Z$1225,9,FALSE)</f>
        <v>-2.5023572629973678</v>
      </c>
      <c r="Y37" s="55">
        <f>VLOOKUP(Y$2&amp;$A37,'Raw'!$A$2:$Z$1225,9,FALSE)</f>
        <v>-8.227960074555785</v>
      </c>
      <c r="Z37" s="56">
        <f>VLOOKUP(Z$2&amp;$A37,'Raw'!$A$2:$Z$1225,9,FALSE)</f>
        <v>-10.143633639213977</v>
      </c>
    </row>
    <row r="38" spans="1:26">
      <c r="A38" s="52">
        <v>47484</v>
      </c>
      <c r="B38" s="53">
        <v>47484</v>
      </c>
      <c r="C38" s="55">
        <f>VLOOKUP(C$2&amp;$A38,'Raw'!$A$2:$Z$1225,9,FALSE)</f>
        <v>-1.9531935757458485</v>
      </c>
      <c r="D38" s="56">
        <f>VLOOKUP(D$2&amp;$A38,'Raw'!$A$2:$Z$1225,9,FALSE)</f>
        <v>-2.3549526112404795</v>
      </c>
      <c r="E38" s="55">
        <f>VLOOKUP(E$2&amp;$A38,'Raw'!$A$2:$Z$1225,9,FALSE)</f>
        <v>-7.3328857553128124</v>
      </c>
      <c r="F38" s="56">
        <f>VLOOKUP(F$2&amp;$A38,'Raw'!$A$2:$Z$1225,9,FALSE)</f>
        <v>-9.3487900472613248</v>
      </c>
      <c r="G38" s="55">
        <f>VLOOKUP(G$2&amp;$A38,'Raw'!$A$2:$Z$1225,9,FALSE)</f>
        <v>-2.025420552306878</v>
      </c>
      <c r="H38" s="56">
        <f>VLOOKUP(H$2&amp;$A38,'Raw'!$A$2:$Z$1225,9,FALSE)</f>
        <v>-2.1925010431912861</v>
      </c>
      <c r="I38" s="55">
        <f>VLOOKUP(I$2&amp;$A38,'Raw'!$A$2:$Z$1225,9,FALSE)</f>
        <v>-7.4925042367148471</v>
      </c>
      <c r="J38" s="55">
        <f>VLOOKUP(J$2&amp;$A38,'Raw'!$A$2:$Z$1225,9,FALSE)</f>
        <v>-8.9910599271551543</v>
      </c>
      <c r="K38" s="55">
        <f>VLOOKUP(K$2&amp;$A38,'Raw'!$A$2:$Z$1225,9,FALSE)</f>
        <v>-2.0651120439026505</v>
      </c>
      <c r="L38" s="56">
        <f>VLOOKUP(L$2&amp;$A38,'Raw'!$A$2:$Z$1225,9,FALSE)</f>
        <v>-2.2435872359896858</v>
      </c>
      <c r="M38" s="55">
        <f>VLOOKUP(M$2&amp;$A38,'Raw'!$A$2:$Z$1225,9,FALSE)</f>
        <v>-7.9134728420044436</v>
      </c>
      <c r="N38" s="56">
        <f>VLOOKUP(N$2&amp;$A38,'Raw'!$A$2:$Z$1225,9,FALSE)</f>
        <v>-9.654890121913196</v>
      </c>
      <c r="O38" s="55">
        <f>VLOOKUP(O$2&amp;$A38,'Raw'!$A$2:$Z$1225,9,FALSE)</f>
        <v>-2.1447944888994819</v>
      </c>
      <c r="P38" s="56">
        <f>VLOOKUP(P$2&amp;$A38,'Raw'!$A$2:$Z$1225,9,FALSE)</f>
        <v>-2.5068395734365478</v>
      </c>
      <c r="Q38" s="55">
        <f>VLOOKUP(Q$2&amp;$A38,'Raw'!$A$2:$Z$1225,9,FALSE)</f>
        <v>-7.5330701588167903</v>
      </c>
      <c r="R38" s="56">
        <f>VLOOKUP(R$2&amp;$A38,'Raw'!$A$2:$Z$1225,9,FALSE)</f>
        <v>-9.4957409756304401</v>
      </c>
      <c r="S38" s="55">
        <f>VLOOKUP(S$2&amp;$A38,'Raw'!$A$2:$Z$1225,9,FALSE)</f>
        <v>-2.2601172403852621</v>
      </c>
      <c r="T38" s="56">
        <f>VLOOKUP(T$2&amp;$A38,'Raw'!$A$2:$Z$1225,9,FALSE)</f>
        <v>-2.3753712590336096</v>
      </c>
      <c r="U38" s="55">
        <f>VLOOKUP(U$2&amp;$A38,'Raw'!$A$2:$Z$1225,9,FALSE)</f>
        <v>-7.6588981346137448</v>
      </c>
      <c r="V38" s="56">
        <f>VLOOKUP(V$2&amp;$A38,'Raw'!$A$2:$Z$1225,9,FALSE)</f>
        <v>-9.1903606442813253</v>
      </c>
      <c r="W38" s="55">
        <f>VLOOKUP(W$2&amp;$A38,'Raw'!$A$2:$Z$1225,9,FALSE)</f>
        <v>-2.3187932295603897</v>
      </c>
      <c r="X38" s="56">
        <f>VLOOKUP(X$2&amp;$A38,'Raw'!$A$2:$Z$1225,9,FALSE)</f>
        <v>-2.4675540687158937</v>
      </c>
      <c r="Y38" s="55">
        <f>VLOOKUP(Y$2&amp;$A38,'Raw'!$A$2:$Z$1225,9,FALSE)</f>
        <v>-8.0786547090714311</v>
      </c>
      <c r="Z38" s="56">
        <f>VLOOKUP(Z$2&amp;$A38,'Raw'!$A$2:$Z$1225,9,FALSE)</f>
        <v>-9.8966015407275005</v>
      </c>
    </row>
    <row r="39" spans="1:26">
      <c r="A39" s="52">
        <v>47849</v>
      </c>
      <c r="B39" s="53">
        <v>47849</v>
      </c>
      <c r="C39" s="55">
        <f>VLOOKUP(C$2&amp;$A39,'Raw'!$A$2:$Z$1225,9,FALSE)</f>
        <v>-1.920959596330829</v>
      </c>
      <c r="D39" s="56">
        <f>VLOOKUP(D$2&amp;$A39,'Raw'!$A$2:$Z$1225,9,FALSE)</f>
        <v>-2.3155376678478556</v>
      </c>
      <c r="E39" s="55">
        <f>VLOOKUP(E$2&amp;$A39,'Raw'!$A$2:$Z$1225,9,FALSE)</f>
        <v>-7.2108658212056138</v>
      </c>
      <c r="F39" s="56">
        <f>VLOOKUP(F$2&amp;$A39,'Raw'!$A$2:$Z$1225,9,FALSE)</f>
        <v>-9.1553183904660944</v>
      </c>
      <c r="G39" s="55">
        <f>VLOOKUP(G$2&amp;$A39,'Raw'!$A$2:$Z$1225,9,FALSE)</f>
        <v>-1.9947709354163123</v>
      </c>
      <c r="H39" s="56">
        <f>VLOOKUP(H$2&amp;$A39,'Raw'!$A$2:$Z$1225,9,FALSE)</f>
        <v>-2.1825878362283113</v>
      </c>
      <c r="I39" s="55">
        <f>VLOOKUP(I$2&amp;$A39,'Raw'!$A$2:$Z$1225,9,FALSE)</f>
        <v>-7.3554646284978649</v>
      </c>
      <c r="J39" s="55">
        <f>VLOOKUP(J$2&amp;$A39,'Raw'!$A$2:$Z$1225,9,FALSE)</f>
        <v>-8.8188110581281514</v>
      </c>
      <c r="K39" s="55">
        <f>VLOOKUP(K$2&amp;$A39,'Raw'!$A$2:$Z$1225,9,FALSE)</f>
        <v>-2.0309898623287248</v>
      </c>
      <c r="L39" s="56">
        <f>VLOOKUP(L$2&amp;$A39,'Raw'!$A$2:$Z$1225,9,FALSE)</f>
        <v>-2.2134630999991689</v>
      </c>
      <c r="M39" s="55">
        <f>VLOOKUP(M$2&amp;$A39,'Raw'!$A$2:$Z$1225,9,FALSE)</f>
        <v>-7.7677084568126382</v>
      </c>
      <c r="N39" s="56">
        <f>VLOOKUP(N$2&amp;$A39,'Raw'!$A$2:$Z$1225,9,FALSE)</f>
        <v>-9.4278581074077827</v>
      </c>
      <c r="O39" s="55">
        <f>VLOOKUP(O$2&amp;$A39,'Raw'!$A$2:$Z$1225,9,FALSE)</f>
        <v>-2.1087242727436672</v>
      </c>
      <c r="P39" s="56">
        <f>VLOOKUP(P$2&amp;$A39,'Raw'!$A$2:$Z$1225,9,FALSE)</f>
        <v>-2.466009803433733</v>
      </c>
      <c r="Q39" s="55">
        <f>VLOOKUP(Q$2&amp;$A39,'Raw'!$A$2:$Z$1225,9,FALSE)</f>
        <v>-7.4062299201271049</v>
      </c>
      <c r="R39" s="56">
        <f>VLOOKUP(R$2&amp;$A39,'Raw'!$A$2:$Z$1225,9,FALSE)</f>
        <v>-9.3011073977575691</v>
      </c>
      <c r="S39" s="55">
        <f>VLOOKUP(S$2&amp;$A39,'Raw'!$A$2:$Z$1225,9,FALSE)</f>
        <v>-2.2251636352149551</v>
      </c>
      <c r="T39" s="56">
        <f>VLOOKUP(T$2&amp;$A39,'Raw'!$A$2:$Z$1225,9,FALSE)</f>
        <v>-2.3597466247903043</v>
      </c>
      <c r="U39" s="55">
        <f>VLOOKUP(U$2&amp;$A39,'Raw'!$A$2:$Z$1225,9,FALSE)</f>
        <v>-7.5170130146209875</v>
      </c>
      <c r="V39" s="56">
        <f>VLOOKUP(V$2&amp;$A39,'Raw'!$A$2:$Z$1225,9,FALSE)</f>
        <v>-9.0103484507676583</v>
      </c>
      <c r="W39" s="55">
        <f>VLOOKUP(W$2&amp;$A39,'Raw'!$A$2:$Z$1225,9,FALSE)</f>
        <v>-2.2813229728860462</v>
      </c>
      <c r="X39" s="56">
        <f>VLOOKUP(X$2&amp;$A39,'Raw'!$A$2:$Z$1225,9,FALSE)</f>
        <v>-2.4340373571244189</v>
      </c>
      <c r="Y39" s="55">
        <f>VLOOKUP(Y$2&amp;$A39,'Raw'!$A$2:$Z$1225,9,FALSE)</f>
        <v>-7.9280608603632281</v>
      </c>
      <c r="Z39" s="56">
        <f>VLOOKUP(Z$2&amp;$A39,'Raw'!$A$2:$Z$1225,9,FALSE)</f>
        <v>-9.6677220487186961</v>
      </c>
    </row>
    <row r="40" spans="1:26">
      <c r="A40" s="52">
        <v>48214</v>
      </c>
      <c r="B40" s="53">
        <v>48214</v>
      </c>
      <c r="C40" s="55">
        <f>VLOOKUP(C$2&amp;$A40,'Raw'!$A$2:$Z$1225,9,FALSE)</f>
        <v>-1.8888974190522823</v>
      </c>
      <c r="D40" s="56">
        <f>VLOOKUP(D$2&amp;$A40,'Raw'!$A$2:$Z$1225,9,FALSE)</f>
        <v>-2.2767047660245288</v>
      </c>
      <c r="E40" s="55">
        <f>VLOOKUP(E$2&amp;$A40,'Raw'!$A$2:$Z$1225,9,FALSE)</f>
        <v>-7.0939833821559883</v>
      </c>
      <c r="F40" s="56">
        <f>VLOOKUP(F$2&amp;$A40,'Raw'!$A$2:$Z$1225,9,FALSE)</f>
        <v>-8.9677235111543236</v>
      </c>
      <c r="G40" s="55">
        <f>VLOOKUP(G$2&amp;$A40,'Raw'!$A$2:$Z$1225,9,FALSE)</f>
        <v>-1.9641415198570433</v>
      </c>
      <c r="H40" s="56">
        <f>VLOOKUP(H$2&amp;$A40,'Raw'!$A$2:$Z$1225,9,FALSE)</f>
        <v>-2.1725959150295848</v>
      </c>
      <c r="I40" s="55">
        <f>VLOOKUP(I$2&amp;$A40,'Raw'!$A$2:$Z$1225,9,FALSE)</f>
        <v>-7.2166287509940581</v>
      </c>
      <c r="J40" s="55">
        <f>VLOOKUP(J$2&amp;$A40,'Raw'!$A$2:$Z$1225,9,FALSE)</f>
        <v>-8.6813312289189639</v>
      </c>
      <c r="K40" s="55">
        <f>VLOOKUP(K$2&amp;$A40,'Raw'!$A$2:$Z$1225,9,FALSE)</f>
        <v>-1.9970160932660908</v>
      </c>
      <c r="L40" s="56">
        <f>VLOOKUP(L$2&amp;$A40,'Raw'!$A$2:$Z$1225,9,FALSE)</f>
        <v>-2.1840581186520658</v>
      </c>
      <c r="M40" s="55">
        <f>VLOOKUP(M$2&amp;$A40,'Raw'!$A$2:$Z$1225,9,FALSE)</f>
        <v>-7.6211834176746702</v>
      </c>
      <c r="N40" s="56">
        <f>VLOOKUP(N$2&amp;$A40,'Raw'!$A$2:$Z$1225,9,FALSE)</f>
        <v>-9.2192300910027942</v>
      </c>
      <c r="O40" s="55">
        <f>VLOOKUP(O$2&amp;$A40,'Raw'!$A$2:$Z$1225,9,FALSE)</f>
        <v>-2.0727368140122215</v>
      </c>
      <c r="P40" s="56">
        <f>VLOOKUP(P$2&amp;$A40,'Raw'!$A$2:$Z$1225,9,FALSE)</f>
        <v>-2.4257640047333884</v>
      </c>
      <c r="Q40" s="55">
        <f>VLOOKUP(Q$2&amp;$A40,'Raw'!$A$2:$Z$1225,9,FALSE)</f>
        <v>-7.2842323858940734</v>
      </c>
      <c r="R40" s="56">
        <f>VLOOKUP(R$2&amp;$A40,'Raw'!$A$2:$Z$1225,9,FALSE)</f>
        <v>-9.1121188995110458</v>
      </c>
      <c r="S40" s="55">
        <f>VLOOKUP(S$2&amp;$A40,'Raw'!$A$2:$Z$1225,9,FALSE)</f>
        <v>-2.1902062715175363</v>
      </c>
      <c r="T40" s="56">
        <f>VLOOKUP(T$2&amp;$A40,'Raw'!$A$2:$Z$1225,9,FALSE)</f>
        <v>-2.3447491191297853</v>
      </c>
      <c r="U40" s="55">
        <f>VLOOKUP(U$2&amp;$A40,'Raw'!$A$2:$Z$1225,9,FALSE)</f>
        <v>-7.373351771953562</v>
      </c>
      <c r="V40" s="56">
        <f>VLOOKUP(V$2&amp;$A40,'Raw'!$A$2:$Z$1225,9,FALSE)</f>
        <v>-8.8648356333436933</v>
      </c>
      <c r="W40" s="55">
        <f>VLOOKUP(W$2&amp;$A40,'Raw'!$A$2:$Z$1225,9,FALSE)</f>
        <v>-2.2439828572522802</v>
      </c>
      <c r="X40" s="56">
        <f>VLOOKUP(X$2&amp;$A40,'Raw'!$A$2:$Z$1225,9,FALSE)</f>
        <v>-2.4011876443272961</v>
      </c>
      <c r="Y40" s="55">
        <f>VLOOKUP(Y$2&amp;$A40,'Raw'!$A$2:$Z$1225,9,FALSE)</f>
        <v>-7.7767759676177217</v>
      </c>
      <c r="Z40" s="56">
        <f>VLOOKUP(Z$2&amp;$A40,'Raw'!$A$2:$Z$1225,9,FALSE)</f>
        <v>-9.4562835756055499</v>
      </c>
    </row>
    <row r="41" spans="1:26">
      <c r="A41" s="52">
        <v>48580</v>
      </c>
      <c r="B41" s="53">
        <v>48580</v>
      </c>
      <c r="C41" s="55">
        <f>VLOOKUP(C$2&amp;$A41,'Raw'!$A$2:$Z$1225,9,FALSE)</f>
        <v>-1.8570011563353028</v>
      </c>
      <c r="D41" s="56">
        <f>VLOOKUP(D$2&amp;$A41,'Raw'!$A$2:$Z$1225,9,FALSE)</f>
        <v>-2.2384213185147717</v>
      </c>
      <c r="E41" s="55">
        <f>VLOOKUP(E$2&amp;$A41,'Raw'!$A$2:$Z$1225,9,FALSE)</f>
        <v>-6.982078065609743</v>
      </c>
      <c r="F41" s="56">
        <f>VLOOKUP(F$2&amp;$A41,'Raw'!$A$2:$Z$1225,9,FALSE)</f>
        <v>-8.7859612885541338</v>
      </c>
      <c r="G41" s="55">
        <f>VLOOKUP(G$2&amp;$A41,'Raw'!$A$2:$Z$1225,9,FALSE)</f>
        <v>-1.9335004950308043</v>
      </c>
      <c r="H41" s="56">
        <f>VLOOKUP(H$2&amp;$A41,'Raw'!$A$2:$Z$1225,9,FALSE)</f>
        <v>-2.1611303559798123</v>
      </c>
      <c r="I41" s="55">
        <f>VLOOKUP(I$2&amp;$A41,'Raw'!$A$2:$Z$1225,9,FALSE)</f>
        <v>-7.0765773216713512</v>
      </c>
      <c r="J41" s="55">
        <f>VLOOKUP(J$2&amp;$A41,'Raw'!$A$2:$Z$1225,9,FALSE)</f>
        <v>-8.5737963911050272</v>
      </c>
      <c r="K41" s="55">
        <f>VLOOKUP(K$2&amp;$A41,'Raw'!$A$2:$Z$1225,9,FALSE)</f>
        <v>-1.9632102882590652</v>
      </c>
      <c r="L41" s="56">
        <f>VLOOKUP(L$2&amp;$A41,'Raw'!$A$2:$Z$1225,9,FALSE)</f>
        <v>-2.1547767427035791</v>
      </c>
      <c r="M41" s="55">
        <f>VLOOKUP(M$2&amp;$A41,'Raw'!$A$2:$Z$1225,9,FALSE)</f>
        <v>-7.4744579497945107</v>
      </c>
      <c r="N41" s="56">
        <f>VLOOKUP(N$2&amp;$A41,'Raw'!$A$2:$Z$1225,9,FALSE)</f>
        <v>-9.0275821629204227</v>
      </c>
      <c r="O41" s="55">
        <f>VLOOKUP(O$2&amp;$A41,'Raw'!$A$2:$Z$1225,9,FALSE)</f>
        <v>-2.0368379220463528</v>
      </c>
      <c r="P41" s="56">
        <f>VLOOKUP(P$2&amp;$A41,'Raw'!$A$2:$Z$1225,9,FALSE)</f>
        <v>-2.3860655312638368</v>
      </c>
      <c r="Q41" s="55">
        <f>VLOOKUP(Q$2&amp;$A41,'Raw'!$A$2:$Z$1225,9,FALSE)</f>
        <v>-7.1669373993572982</v>
      </c>
      <c r="R41" s="56">
        <f>VLOOKUP(R$2&amp;$A41,'Raw'!$A$2:$Z$1225,9,FALSE)</f>
        <v>-8.9287271273618458</v>
      </c>
      <c r="S41" s="55">
        <f>VLOOKUP(S$2&amp;$A41,'Raw'!$A$2:$Z$1225,9,FALSE)</f>
        <v>-2.1552639911682658</v>
      </c>
      <c r="T41" s="56">
        <f>VLOOKUP(T$2&amp;$A41,'Raw'!$A$2:$Z$1225,9,FALSE)</f>
        <v>-2.3290773556911448</v>
      </c>
      <c r="U41" s="55">
        <f>VLOOKUP(U$2&amp;$A41,'Raw'!$A$2:$Z$1225,9,FALSE)</f>
        <v>-7.228517074359031</v>
      </c>
      <c r="V41" s="56">
        <f>VLOOKUP(V$2&amp;$A41,'Raw'!$A$2:$Z$1225,9,FALSE)</f>
        <v>-8.749239401637265</v>
      </c>
      <c r="W41" s="55">
        <f>VLOOKUP(W$2&amp;$A41,'Raw'!$A$2:$Z$1225,9,FALSE)</f>
        <v>-2.2068305932468224</v>
      </c>
      <c r="X41" s="56">
        <f>VLOOKUP(X$2&amp;$A41,'Raw'!$A$2:$Z$1225,9,FALSE)</f>
        <v>-2.3685031180457505</v>
      </c>
      <c r="Y41" s="55">
        <f>VLOOKUP(Y$2&amp;$A41,'Raw'!$A$2:$Z$1225,9,FALSE)</f>
        <v>-7.6253751384801838</v>
      </c>
      <c r="Z41" s="56">
        <f>VLOOKUP(Z$2&amp;$A41,'Raw'!$A$2:$Z$1225,9,FALSE)</f>
        <v>-9.2609906087141027</v>
      </c>
    </row>
    <row r="42" spans="1:26">
      <c r="A42" s="52">
        <v>48945</v>
      </c>
      <c r="B42" s="53">
        <v>48945</v>
      </c>
      <c r="C42" s="55">
        <f>VLOOKUP(C$2&amp;$A42,'Raw'!$A$2:$Z$1225,9,FALSE)</f>
        <v>-1.8252747730534313</v>
      </c>
      <c r="D42" s="56">
        <f>VLOOKUP(D$2&amp;$A42,'Raw'!$A$2:$Z$1225,9,FALSE)</f>
        <v>-2.2006668866073054</v>
      </c>
      <c r="E42" s="55">
        <f>VLOOKUP(E$2&amp;$A42,'Raw'!$A$2:$Z$1225,9,FALSE)</f>
        <v>-6.8749615102379869</v>
      </c>
      <c r="F42" s="56">
        <f>VLOOKUP(F$2&amp;$A42,'Raw'!$A$2:$Z$1225,9,FALSE)</f>
        <v>-8.6099191516744717</v>
      </c>
      <c r="G42" s="55">
        <f>VLOOKUP(G$2&amp;$A42,'Raw'!$A$2:$Z$1225,9,FALSE)</f>
        <v>-1.9028217789694657</v>
      </c>
      <c r="H42" s="56">
        <f>VLOOKUP(H$2&amp;$A42,'Raw'!$A$2:$Z$1225,9,FALSE)</f>
        <v>-2.1470200805748019</v>
      </c>
      <c r="I42" s="55">
        <f>VLOOKUP(I$2&amp;$A42,'Raw'!$A$2:$Z$1225,9,FALSE)</f>
        <v>-6.9359014150271125</v>
      </c>
      <c r="J42" s="55">
        <f>VLOOKUP(J$2&amp;$A42,'Raw'!$A$2:$Z$1225,9,FALSE)</f>
        <v>-8.4905197326699327</v>
      </c>
      <c r="K42" s="55">
        <f>VLOOKUP(K$2&amp;$A42,'Raw'!$A$2:$Z$1225,9,FALSE)</f>
        <v>-1.9295913277823318</v>
      </c>
      <c r="L42" s="56">
        <f>VLOOKUP(L$2&amp;$A42,'Raw'!$A$2:$Z$1225,9,FALSE)</f>
        <v>-2.1251588128362031</v>
      </c>
      <c r="M42" s="55">
        <f>VLOOKUP(M$2&amp;$A42,'Raw'!$A$2:$Z$1225,9,FALSE)</f>
        <v>-7.3280531035782808</v>
      </c>
      <c r="N42" s="56">
        <f>VLOOKUP(N$2&amp;$A42,'Raw'!$A$2:$Z$1225,9,FALSE)</f>
        <v>-8.8510774831378818</v>
      </c>
      <c r="O42" s="55">
        <f>VLOOKUP(O$2&amp;$A42,'Raw'!$A$2:$Z$1225,9,FALSE)</f>
        <v>-2.0010442758452318</v>
      </c>
      <c r="P42" s="56">
        <f>VLOOKUP(P$2&amp;$A42,'Raw'!$A$2:$Z$1225,9,FALSE)</f>
        <v>-2.3468934403334418</v>
      </c>
      <c r="Q42" s="55">
        <f>VLOOKUP(Q$2&amp;$A42,'Raw'!$A$2:$Z$1225,9,FALSE)</f>
        <v>-7.0541804421492156</v>
      </c>
      <c r="R42" s="56">
        <f>VLOOKUP(R$2&amp;$A42,'Raw'!$A$2:$Z$1225,9,FALSE)</f>
        <v>-8.7508241166799792</v>
      </c>
      <c r="S42" s="55">
        <f>VLOOKUP(S$2&amp;$A42,'Raw'!$A$2:$Z$1225,9,FALSE)</f>
        <v>-2.1203580870887806</v>
      </c>
      <c r="T42" s="56">
        <f>VLOOKUP(T$2&amp;$A42,'Raw'!$A$2:$Z$1225,9,FALSE)</f>
        <v>-2.3116170382966095</v>
      </c>
      <c r="U42" s="55">
        <f>VLOOKUP(U$2&amp;$A42,'Raw'!$A$2:$Z$1225,9,FALSE)</f>
        <v>-7.0831165593603469</v>
      </c>
      <c r="V42" s="56">
        <f>VLOOKUP(V$2&amp;$A42,'Raw'!$A$2:$Z$1225,9,FALSE)</f>
        <v>-8.6581001773673893</v>
      </c>
      <c r="W42" s="55">
        <f>VLOOKUP(W$2&amp;$A42,'Raw'!$A$2:$Z$1225,9,FALSE)</f>
        <v>-2.16991991493245</v>
      </c>
      <c r="X42" s="56">
        <f>VLOOKUP(X$2&amp;$A42,'Raw'!$A$2:$Z$1225,9,FALSE)</f>
        <v>-2.3356043419125228</v>
      </c>
      <c r="Y42" s="55">
        <f>VLOOKUP(Y$2&amp;$A42,'Raw'!$A$2:$Z$1225,9,FALSE)</f>
        <v>-7.4743903478435403</v>
      </c>
      <c r="Z42" s="56">
        <f>VLOOKUP(Z$2&amp;$A42,'Raw'!$A$2:$Z$1225,9,FALSE)</f>
        <v>-9.0801536098977227</v>
      </c>
    </row>
    <row r="43" spans="1:26">
      <c r="A43" s="52">
        <v>49310</v>
      </c>
      <c r="B43" s="53">
        <v>49310</v>
      </c>
      <c r="C43" s="55">
        <f>VLOOKUP(C$2&amp;$A43,'Raw'!$A$2:$Z$1225,9,FALSE)</f>
        <v>-1.7937294138616666</v>
      </c>
      <c r="D43" s="56">
        <f>VLOOKUP(D$2&amp;$A43,'Raw'!$A$2:$Z$1225,9,FALSE)</f>
        <v>-2.1634290560666125</v>
      </c>
      <c r="E43" s="55">
        <f>VLOOKUP(E$2&amp;$A43,'Raw'!$A$2:$Z$1225,9,FALSE)</f>
        <v>-6.7724198002035108</v>
      </c>
      <c r="F43" s="56">
        <f>VLOOKUP(F$2&amp;$A43,'Raw'!$A$2:$Z$1225,9,FALSE)</f>
        <v>-8.4394335054581155</v>
      </c>
      <c r="G43" s="55">
        <f>VLOOKUP(G$2&amp;$A43,'Raw'!$A$2:$Z$1225,9,FALSE)</f>
        <v>-1.8720872828026924</v>
      </c>
      <c r="H43" s="56">
        <f>VLOOKUP(H$2&amp;$A43,'Raw'!$A$2:$Z$1225,9,FALSE)</f>
        <v>-2.129342904986431</v>
      </c>
      <c r="I43" s="55">
        <f>VLOOKUP(I$2&amp;$A43,'Raw'!$A$2:$Z$1225,9,FALSE)</f>
        <v>-6.7951760637056324</v>
      </c>
      <c r="J43" s="55">
        <f>VLOOKUP(J$2&amp;$A43,'Raw'!$A$2:$Z$1225,9,FALSE)</f>
        <v>-8.4253360736885945</v>
      </c>
      <c r="K43" s="55">
        <f>VLOOKUP(K$2&amp;$A43,'Raw'!$A$2:$Z$1225,9,FALSE)</f>
        <v>-1.8961780262970684</v>
      </c>
      <c r="L43" s="56">
        <f>VLOOKUP(L$2&amp;$A43,'Raw'!$A$2:$Z$1225,9,FALSE)</f>
        <v>-2.094879346994083</v>
      </c>
      <c r="M43" s="55">
        <f>VLOOKUP(M$2&amp;$A43,'Raw'!$A$2:$Z$1225,9,FALSE)</f>
        <v>-7.1824389960724151</v>
      </c>
      <c r="N43" s="56">
        <f>VLOOKUP(N$2&amp;$A43,'Raw'!$A$2:$Z$1225,9,FALSE)</f>
        <v>-8.6876508503817682</v>
      </c>
      <c r="O43" s="55">
        <f>VLOOKUP(O$2&amp;$A43,'Raw'!$A$2:$Z$1225,9,FALSE)</f>
        <v>-1.9653802387867847</v>
      </c>
      <c r="P43" s="56">
        <f>VLOOKUP(P$2&amp;$A43,'Raw'!$A$2:$Z$1225,9,FALSE)</f>
        <v>-2.3082371230957799</v>
      </c>
      <c r="Q43" s="55">
        <f>VLOOKUP(Q$2&amp;$A43,'Raw'!$A$2:$Z$1225,9,FALSE)</f>
        <v>-6.9457744726758364</v>
      </c>
      <c r="R43" s="56">
        <f>VLOOKUP(R$2&amp;$A43,'Raw'!$A$2:$Z$1225,9,FALSE)</f>
        <v>-8.5782577650438956</v>
      </c>
      <c r="S43" s="55">
        <f>VLOOKUP(S$2&amp;$A43,'Raw'!$A$2:$Z$1225,9,FALSE)</f>
        <v>-2.0855128442900384</v>
      </c>
      <c r="T43" s="56">
        <f>VLOOKUP(T$2&amp;$A43,'Raw'!$A$2:$Z$1225,9,FALSE)</f>
        <v>-2.2914646179331588</v>
      </c>
      <c r="U43" s="55">
        <f>VLOOKUP(U$2&amp;$A43,'Raw'!$A$2:$Z$1225,9,FALSE)</f>
        <v>-6.93773716720818</v>
      </c>
      <c r="V43" s="56">
        <f>VLOOKUP(V$2&amp;$A43,'Raw'!$A$2:$Z$1225,9,FALSE)</f>
        <v>-8.58545455090659</v>
      </c>
      <c r="W43" s="55">
        <f>VLOOKUP(W$2&amp;$A43,'Raw'!$A$2:$Z$1225,9,FALSE)</f>
        <v>-2.1332999185238899</v>
      </c>
      <c r="X43" s="56">
        <f>VLOOKUP(X$2&amp;$A43,'Raw'!$A$2:$Z$1225,9,FALSE)</f>
        <v>-2.3022308333423114</v>
      </c>
      <c r="Y43" s="55">
        <f>VLOOKUP(Y$2&amp;$A43,'Raw'!$A$2:$Z$1225,9,FALSE)</f>
        <v>-7.3242991971369182</v>
      </c>
      <c r="Z43" s="56">
        <f>VLOOKUP(Z$2&amp;$A43,'Raw'!$A$2:$Z$1225,9,FALSE)</f>
        <v>-8.9118626476198841</v>
      </c>
    </row>
    <row r="44" spans="1:26">
      <c r="A44" s="52">
        <v>49675</v>
      </c>
      <c r="B44" s="53">
        <v>49675</v>
      </c>
      <c r="C44" s="55">
        <f>VLOOKUP(C$2&amp;$A44,'Raw'!$A$2:$Z$1225,9,FALSE)</f>
        <v>-1.7623813158785806</v>
      </c>
      <c r="D44" s="56">
        <f>VLOOKUP(D$2&amp;$A44,'Raw'!$A$2:$Z$1225,9,FALSE)</f>
        <v>-2.1267000933482549</v>
      </c>
      <c r="E44" s="55">
        <f>VLOOKUP(E$2&amp;$A44,'Raw'!$A$2:$Z$1225,9,FALSE)</f>
        <v>-6.6742168328434932</v>
      </c>
      <c r="F44" s="56">
        <f>VLOOKUP(F$2&amp;$A44,'Raw'!$A$2:$Z$1225,9,FALSE)</f>
        <v>-8.2743041850705019</v>
      </c>
      <c r="G44" s="55">
        <f>VLOOKUP(G$2&amp;$A44,'Raw'!$A$2:$Z$1225,9,FALSE)</f>
        <v>-1.8412891345949811</v>
      </c>
      <c r="H44" s="56">
        <f>VLOOKUP(H$2&amp;$A44,'Raw'!$A$2:$Z$1225,9,FALSE)</f>
        <v>-2.1074444333056164</v>
      </c>
      <c r="I44" s="55">
        <f>VLOOKUP(I$2&amp;$A44,'Raw'!$A$2:$Z$1225,9,FALSE)</f>
        <v>-6.6549446171937703</v>
      </c>
      <c r="J44" s="55">
        <f>VLOOKUP(J$2&amp;$A44,'Raw'!$A$2:$Z$1225,9,FALSE)</f>
        <v>-8.3719526042106303</v>
      </c>
      <c r="K44" s="55">
        <f>VLOOKUP(K$2&amp;$A44,'Raw'!$A$2:$Z$1225,9,FALSE)</f>
        <v>-1.8629900365126129</v>
      </c>
      <c r="L44" s="56">
        <f>VLOOKUP(L$2&amp;$A44,'Raw'!$A$2:$Z$1225,9,FALSE)</f>
        <v>-2.0637413255544135</v>
      </c>
      <c r="M44" s="55">
        <f>VLOOKUP(M$2&amp;$A44,'Raw'!$A$2:$Z$1225,9,FALSE)</f>
        <v>-7.0380314835993047</v>
      </c>
      <c r="N44" s="56">
        <f>VLOOKUP(N$2&amp;$A44,'Raw'!$A$2:$Z$1225,9,FALSE)</f>
        <v>-8.5351686596691678</v>
      </c>
      <c r="O44" s="55">
        <f>VLOOKUP(O$2&amp;$A44,'Raw'!$A$2:$Z$1225,9,FALSE)</f>
        <v>-1.9298753403654167</v>
      </c>
      <c r="P44" s="56">
        <f>VLOOKUP(P$2&amp;$A44,'Raw'!$A$2:$Z$1225,9,FALSE)</f>
        <v>-2.2700920949863312</v>
      </c>
      <c r="Q44" s="55">
        <f>VLOOKUP(Q$2&amp;$A44,'Raw'!$A$2:$Z$1225,9,FALSE)</f>
        <v>-6.8415125597543476</v>
      </c>
      <c r="R44" s="56">
        <f>VLOOKUP(R$2&amp;$A44,'Raw'!$A$2:$Z$1225,9,FALSE)</f>
        <v>-8.4108444842163284</v>
      </c>
      <c r="S44" s="55">
        <f>VLOOKUP(S$2&amp;$A44,'Raw'!$A$2:$Z$1225,9,FALSE)</f>
        <v>-2.0507562323056172</v>
      </c>
      <c r="T44" s="56">
        <f>VLOOKUP(T$2&amp;$A44,'Raw'!$A$2:$Z$1225,9,FALSE)</f>
        <v>-2.267946651162156</v>
      </c>
      <c r="U44" s="55">
        <f>VLOOKUP(U$2&amp;$A44,'Raw'!$A$2:$Z$1225,9,FALSE)</f>
        <v>-6.7929302306925958</v>
      </c>
      <c r="V44" s="56">
        <f>VLOOKUP(V$2&amp;$A44,'Raw'!$A$2:$Z$1225,9,FALSE)</f>
        <v>-8.5251777135906934</v>
      </c>
      <c r="W44" s="55">
        <f>VLOOKUP(W$2&amp;$A44,'Raw'!$A$2:$Z$1225,9,FALSE)</f>
        <v>-2.0970147926986482</v>
      </c>
      <c r="X44" s="56">
        <f>VLOOKUP(X$2&amp;$A44,'Raw'!$A$2:$Z$1225,9,FALSE)</f>
        <v>-2.2682314542527005</v>
      </c>
      <c r="Y44" s="55">
        <f>VLOOKUP(Y$2&amp;$A44,'Raw'!$A$2:$Z$1225,9,FALSE)</f>
        <v>-7.1755220333264873</v>
      </c>
      <c r="Z44" s="56">
        <f>VLOOKUP(Z$2&amp;$A44,'Raw'!$A$2:$Z$1225,9,FALSE)</f>
        <v>-8.754137352098013</v>
      </c>
    </row>
    <row r="45" spans="1:26">
      <c r="A45" s="52">
        <v>50041</v>
      </c>
      <c r="B45" s="53">
        <v>50041</v>
      </c>
      <c r="C45" s="55">
        <f>VLOOKUP(C$2&amp;$A45,'Raw'!$A$2:$Z$1225,9,FALSE)</f>
        <v>-1.7312497478365607</v>
      </c>
      <c r="D45" s="56">
        <f>VLOOKUP(D$2&amp;$A45,'Raw'!$A$2:$Z$1225,9,FALSE)</f>
        <v>-2.0904749788994481</v>
      </c>
      <c r="E45" s="55">
        <f>VLOOKUP(E$2&amp;$A45,'Raw'!$A$2:$Z$1225,9,FALSE)</f>
        <v>-6.5800978961546575</v>
      </c>
      <c r="F45" s="56">
        <f>VLOOKUP(F$2&amp;$A45,'Raw'!$A$2:$Z$1225,9,FALSE)</f>
        <v>-8.114306593807207</v>
      </c>
      <c r="G45" s="55">
        <f>VLOOKUP(G$2&amp;$A45,'Raw'!$A$2:$Z$1225,9,FALSE)</f>
        <v>-1.8104313152858986</v>
      </c>
      <c r="H45" s="56">
        <f>VLOOKUP(H$2&amp;$A45,'Raw'!$A$2:$Z$1225,9,FALSE)</f>
        <v>-2.0809494160033415</v>
      </c>
      <c r="I45" s="55">
        <f>VLOOKUP(I$2&amp;$A45,'Raw'!$A$2:$Z$1225,9,FALSE)</f>
        <v>-6.51571227656963</v>
      </c>
      <c r="J45" s="55">
        <f>VLOOKUP(J$2&amp;$A45,'Raw'!$A$2:$Z$1225,9,FALSE)</f>
        <v>-8.3242596657911676</v>
      </c>
      <c r="K45" s="55">
        <f>VLOOKUP(K$2&amp;$A45,'Raw'!$A$2:$Z$1225,9,FALSE)</f>
        <v>-1.8300484923850724</v>
      </c>
      <c r="L45" s="56">
        <f>VLOOKUP(L$2&amp;$A45,'Raw'!$A$2:$Z$1225,9,FALSE)</f>
        <v>-2.0316633837053177</v>
      </c>
      <c r="M45" s="55">
        <f>VLOOKUP(M$2&amp;$A45,'Raw'!$A$2:$Z$1225,9,FALSE)</f>
        <v>-6.8951950367971975</v>
      </c>
      <c r="N45" s="56">
        <f>VLOOKUP(N$2&amp;$A45,'Raw'!$A$2:$Z$1225,9,FALSE)</f>
        <v>-8.3915568666002684</v>
      </c>
      <c r="O45" s="55">
        <f>VLOOKUP(O$2&amp;$A45,'Raw'!$A$2:$Z$1225,9,FALSE)</f>
        <v>-1.894562203219563</v>
      </c>
      <c r="P45" s="56">
        <f>VLOOKUP(P$2&amp;$A45,'Raw'!$A$2:$Z$1225,9,FALSE)</f>
        <v>-2.2324568504855646</v>
      </c>
      <c r="Q45" s="55">
        <f>VLOOKUP(Q$2&amp;$A45,'Raw'!$A$2:$Z$1225,9,FALSE)</f>
        <v>-6.7411707446575093</v>
      </c>
      <c r="R45" s="56">
        <f>VLOOKUP(R$2&amp;$A45,'Raw'!$A$2:$Z$1225,9,FALSE)</f>
        <v>-8.2483795829309194</v>
      </c>
      <c r="S45" s="55">
        <f>VLOOKUP(S$2&amp;$A45,'Raw'!$A$2:$Z$1225,9,FALSE)</f>
        <v>-2.0161204843593739</v>
      </c>
      <c r="T45" s="56">
        <f>VLOOKUP(T$2&amp;$A45,'Raw'!$A$2:$Z$1225,9,FALSE)</f>
        <v>-2.2406327033879792</v>
      </c>
      <c r="U45" s="55">
        <f>VLOOKUP(U$2&amp;$A45,'Raw'!$A$2:$Z$1225,9,FALSE)</f>
        <v>-6.6492054618726426</v>
      </c>
      <c r="V45" s="56">
        <f>VLOOKUP(V$2&amp;$A45,'Raw'!$A$2:$Z$1225,9,FALSE)</f>
        <v>-8.4712872918174416</v>
      </c>
      <c r="W45" s="55">
        <f>VLOOKUP(W$2&amp;$A45,'Raw'!$A$2:$Z$1225,9,FALSE)</f>
        <v>-2.0611036674798466</v>
      </c>
      <c r="X45" s="56">
        <f>VLOOKUP(X$2&amp;$A45,'Raw'!$A$2:$Z$1225,9,FALSE)</f>
        <v>-2.2335526679372109</v>
      </c>
      <c r="Y45" s="55">
        <f>VLOOKUP(Y$2&amp;$A45,'Raw'!$A$2:$Z$1225,9,FALSE)</f>
        <v>-7.0284251660015284</v>
      </c>
      <c r="Z45" s="56">
        <f>VLOOKUP(Z$2&amp;$A45,'Raw'!$A$2:$Z$1225,9,FALSE)</f>
        <v>-8.6050464502891444</v>
      </c>
    </row>
    <row r="46" spans="1:26">
      <c r="A46" s="52">
        <v>50406</v>
      </c>
      <c r="B46" s="53">
        <v>50406</v>
      </c>
      <c r="C46" s="55">
        <f>VLOOKUP(C$2&amp;$A46,'Raw'!$A$2:$Z$1225,9,FALSE)</f>
        <v>-1.7003562260409444</v>
      </c>
      <c r="D46" s="56">
        <f>VLOOKUP(D$2&amp;$A46,'Raw'!$A$2:$Z$1225,9,FALSE)</f>
        <v>-2.0547494261152655</v>
      </c>
      <c r="E46" s="55">
        <f>VLOOKUP(E$2&amp;$A46,'Raw'!$A$2:$Z$1225,9,FALSE)</f>
        <v>-6.4897942051387769</v>
      </c>
      <c r="F46" s="56">
        <f>VLOOKUP(F$2&amp;$A46,'Raw'!$A$2:$Z$1225,9,FALSE)</f>
        <v>-7.9592010810531573</v>
      </c>
      <c r="G46" s="55">
        <f>VLOOKUP(G$2&amp;$A46,'Raw'!$A$2:$Z$1225,9,FALSE)</f>
        <v>-1.7795304276540191</v>
      </c>
      <c r="H46" s="56">
        <f>VLOOKUP(H$2&amp;$A46,'Raw'!$A$2:$Z$1225,9,FALSE)</f>
        <v>-2.0497673897271751</v>
      </c>
      <c r="I46" s="55">
        <f>VLOOKUP(I$2&amp;$A46,'Raw'!$A$2:$Z$1225,9,FALSE)</f>
        <v>-6.3779459229438507</v>
      </c>
      <c r="J46" s="55">
        <f>VLOOKUP(J$2&amp;$A46,'Raw'!$A$2:$Z$1225,9,FALSE)</f>
        <v>-8.2765971845374047</v>
      </c>
      <c r="K46" s="55">
        <f>VLOOKUP(K$2&amp;$A46,'Raw'!$A$2:$Z$1225,9,FALSE)</f>
        <v>-1.7973763923200159</v>
      </c>
      <c r="L46" s="56">
        <f>VLOOKUP(L$2&amp;$A46,'Raw'!$A$2:$Z$1225,9,FALSE)</f>
        <v>-1.998663522343691</v>
      </c>
      <c r="M46" s="55">
        <f>VLOOKUP(M$2&amp;$A46,'Raw'!$A$2:$Z$1225,9,FALSE)</f>
        <v>-6.7542492972663126</v>
      </c>
      <c r="N46" s="56">
        <f>VLOOKUP(N$2&amp;$A46,'Raw'!$A$2:$Z$1225,9,FALSE)</f>
        <v>-8.2548972130057514</v>
      </c>
      <c r="O46" s="55">
        <f>VLOOKUP(O$2&amp;$A46,'Raw'!$A$2:$Z$1225,9,FALSE)</f>
        <v>-1.8594746507802795</v>
      </c>
      <c r="P46" s="56">
        <f>VLOOKUP(P$2&amp;$A46,'Raw'!$A$2:$Z$1225,9,FALSE)</f>
        <v>-2.1953313027422205</v>
      </c>
      <c r="Q46" s="55">
        <f>VLOOKUP(Q$2&amp;$A46,'Raw'!$A$2:$Z$1225,9,FALSE)</f>
        <v>-6.6445117784971197</v>
      </c>
      <c r="R46" s="56">
        <f>VLOOKUP(R$2&amp;$A46,'Raw'!$A$2:$Z$1225,9,FALSE)</f>
        <v>-8.0906452345115181</v>
      </c>
      <c r="S46" s="55">
        <f>VLOOKUP(S$2&amp;$A46,'Raw'!$A$2:$Z$1225,9,FALSE)</f>
        <v>-1.9816420862892592</v>
      </c>
      <c r="T46" s="56">
        <f>VLOOKUP(T$2&amp;$A46,'Raw'!$A$2:$Z$1225,9,FALSE)</f>
        <v>-2.2093426492030166</v>
      </c>
      <c r="U46" s="55">
        <f>VLOOKUP(U$2&amp;$A46,'Raw'!$A$2:$Z$1225,9,FALSE)</f>
        <v>-6.507031320910583</v>
      </c>
      <c r="V46" s="56">
        <f>VLOOKUP(V$2&amp;$A46,'Raw'!$A$2:$Z$1225,9,FALSE)</f>
        <v>-8.4182073444311492</v>
      </c>
      <c r="W46" s="55">
        <f>VLOOKUP(W$2&amp;$A46,'Raw'!$A$2:$Z$1225,9,FALSE)</f>
        <v>-2.0256006730570375</v>
      </c>
      <c r="X46" s="56">
        <f>VLOOKUP(X$2&amp;$A46,'Raw'!$A$2:$Z$1225,9,FALSE)</f>
        <v>-2.1982222814224017</v>
      </c>
      <c r="Y46" s="55">
        <f>VLOOKUP(Y$2&amp;$A46,'Raw'!$A$2:$Z$1225,9,FALSE)</f>
        <v>-6.8833276849580072</v>
      </c>
      <c r="Z46" s="56">
        <f>VLOOKUP(Z$2&amp;$A46,'Raw'!$A$2:$Z$1225,9,FALSE)</f>
        <v>-8.4627985510128951</v>
      </c>
    </row>
    <row r="47" spans="1:26">
      <c r="A47" s="52">
        <v>50771</v>
      </c>
      <c r="B47" s="53">
        <v>50771</v>
      </c>
      <c r="C47" s="55">
        <f>VLOOKUP(C$2&amp;$A47,'Raw'!$A$2:$Z$1225,9,FALSE)</f>
        <v>-1.6697229058380669</v>
      </c>
      <c r="D47" s="56">
        <f>VLOOKUP(D$2&amp;$A47,'Raw'!$A$2:$Z$1225,9,FALSE)</f>
        <v>-2.0195194194690957</v>
      </c>
      <c r="E47" s="55">
        <f>VLOOKUP(E$2&amp;$A47,'Raw'!$A$2:$Z$1225,9,FALSE)</f>
        <v>-6.4030266495361143</v>
      </c>
      <c r="F47" s="56">
        <f>VLOOKUP(F$2&amp;$A47,'Raw'!$A$2:$Z$1225,9,FALSE)</f>
        <v>-7.8087405959023855</v>
      </c>
      <c r="G47" s="55">
        <f>VLOOKUP(G$2&amp;$A47,'Raw'!$A$2:$Z$1225,9,FALSE)</f>
        <v>-1.7486152295834723</v>
      </c>
      <c r="H47" s="56">
        <f>VLOOKUP(H$2&amp;$A47,'Raw'!$A$2:$Z$1225,9,FALSE)</f>
        <v>-2.0140852011479415</v>
      </c>
      <c r="I47" s="55">
        <f>VLOOKUP(I$2&amp;$A47,'Raw'!$A$2:$Z$1225,9,FALSE)</f>
        <v>-6.2420776243691467</v>
      </c>
      <c r="J47" s="55">
        <f>VLOOKUP(J$2&amp;$A47,'Raw'!$A$2:$Z$1225,9,FALSE)</f>
        <v>-8.2239768469524854</v>
      </c>
      <c r="K47" s="55">
        <f>VLOOKUP(K$2&amp;$A47,'Raw'!$A$2:$Z$1225,9,FALSE)</f>
        <v>-1.7649985230716703</v>
      </c>
      <c r="L47" s="56">
        <f>VLOOKUP(L$2&amp;$A47,'Raw'!$A$2:$Z$1225,9,FALSE)</f>
        <v>-1.9648410832085017</v>
      </c>
      <c r="M47" s="55">
        <f>VLOOKUP(M$2&amp;$A47,'Raw'!$A$2:$Z$1225,9,FALSE)</f>
        <v>-6.6154773007848107</v>
      </c>
      <c r="N47" s="56">
        <f>VLOOKUP(N$2&amp;$A47,'Raw'!$A$2:$Z$1225,9,FALSE)</f>
        <v>-8.1234914471003385</v>
      </c>
      <c r="O47" s="55">
        <f>VLOOKUP(O$2&amp;$A47,'Raw'!$A$2:$Z$1225,9,FALSE)</f>
        <v>-1.8246473755550885</v>
      </c>
      <c r="P47" s="56">
        <f>VLOOKUP(P$2&amp;$A47,'Raw'!$A$2:$Z$1225,9,FALSE)</f>
        <v>-2.1587145995293766</v>
      </c>
      <c r="Q47" s="55">
        <f>VLOOKUP(Q$2&amp;$A47,'Raw'!$A$2:$Z$1225,9,FALSE)</f>
        <v>-6.551288217418783</v>
      </c>
      <c r="R47" s="56">
        <f>VLOOKUP(R$2&amp;$A47,'Raw'!$A$2:$Z$1225,9,FALSE)</f>
        <v>-7.9374169376417942</v>
      </c>
      <c r="S47" s="55">
        <f>VLOOKUP(S$2&amp;$A47,'Raw'!$A$2:$Z$1225,9,FALSE)</f>
        <v>-1.9473612990072109</v>
      </c>
      <c r="T47" s="56">
        <f>VLOOKUP(T$2&amp;$A47,'Raw'!$A$2:$Z$1225,9,FALSE)</f>
        <v>-2.1741438451602257</v>
      </c>
      <c r="U47" s="55">
        <f>VLOOKUP(U$2&amp;$A47,'Raw'!$A$2:$Z$1225,9,FALSE)</f>
        <v>-6.3668388029423317</v>
      </c>
      <c r="V47" s="56">
        <f>VLOOKUP(V$2&amp;$A47,'Raw'!$A$2:$Z$1225,9,FALSE)</f>
        <v>-8.3609887884978917</v>
      </c>
      <c r="W47" s="55">
        <f>VLOOKUP(W$2&amp;$A47,'Raw'!$A$2:$Z$1225,9,FALSE)</f>
        <v>-1.990534922247944</v>
      </c>
      <c r="X47" s="56">
        <f>VLOOKUP(X$2&amp;$A47,'Raw'!$A$2:$Z$1225,9,FALSE)</f>
        <v>-2.1623343210417589</v>
      </c>
      <c r="Y47" s="55">
        <f>VLOOKUP(Y$2&amp;$A47,'Raw'!$A$2:$Z$1225,9,FALSE)</f>
        <v>-6.7405097568050021</v>
      </c>
      <c r="Z47" s="56">
        <f>VLOOKUP(Z$2&amp;$A47,'Raw'!$A$2:$Z$1225,9,FALSE)</f>
        <v>-8.3258017200346082</v>
      </c>
    </row>
    <row r="48" spans="1:26">
      <c r="A48" s="52">
        <v>51136</v>
      </c>
      <c r="B48" s="53">
        <v>51136</v>
      </c>
      <c r="C48" s="55">
        <f>VLOOKUP(C$2&amp;$A48,'Raw'!$A$2:$Z$1225,9,FALSE)</f>
        <v>-1.6393723189467302</v>
      </c>
      <c r="D48" s="56">
        <f>VLOOKUP(D$2&amp;$A48,'Raw'!$A$2:$Z$1225,9,FALSE)</f>
        <v>-1.9847804313399942</v>
      </c>
      <c r="E48" s="55">
        <f>VLOOKUP(E$2&amp;$A48,'Raw'!$A$2:$Z$1225,9,FALSE)</f>
        <v>-6.3195097398059952</v>
      </c>
      <c r="F48" s="56">
        <f>VLOOKUP(F$2&amp;$A48,'Raw'!$A$2:$Z$1225,9,FALSE)</f>
        <v>-7.6626768598147095</v>
      </c>
      <c r="G48" s="55">
        <f>VLOOKUP(G$2&amp;$A48,'Raw'!$A$2:$Z$1225,9,FALSE)</f>
        <v>-1.7177253926096814</v>
      </c>
      <c r="H48" s="56">
        <f>VLOOKUP(H$2&amp;$A48,'Raw'!$A$2:$Z$1225,9,FALSE)</f>
        <v>-1.9743480186404483</v>
      </c>
      <c r="I48" s="55">
        <f>VLOOKUP(I$2&amp;$A48,'Raw'!$A$2:$Z$1225,9,FALSE)</f>
        <v>-6.1085094511351805</v>
      </c>
      <c r="J48" s="55">
        <f>VLOOKUP(J$2&amp;$A48,'Raw'!$A$2:$Z$1225,9,FALSE)</f>
        <v>-8.1622570995913186</v>
      </c>
      <c r="K48" s="55">
        <f>VLOOKUP(K$2&amp;$A48,'Raw'!$A$2:$Z$1225,9,FALSE)</f>
        <v>-1.7329409710445387</v>
      </c>
      <c r="L48" s="56">
        <f>VLOOKUP(L$2&amp;$A48,'Raw'!$A$2:$Z$1225,9,FALSE)</f>
        <v>-1.9303565960992697</v>
      </c>
      <c r="M48" s="55">
        <f>VLOOKUP(M$2&amp;$A48,'Raw'!$A$2:$Z$1225,9,FALSE)</f>
        <v>-6.4791329885793942</v>
      </c>
      <c r="N48" s="56">
        <f>VLOOKUP(N$2&amp;$A48,'Raw'!$A$2:$Z$1225,9,FALSE)</f>
        <v>-7.9958976980536107</v>
      </c>
      <c r="O48" s="55">
        <f>VLOOKUP(O$2&amp;$A48,'Raw'!$A$2:$Z$1225,9,FALSE)</f>
        <v>-1.7901142351045007</v>
      </c>
      <c r="P48" s="56">
        <f>VLOOKUP(P$2&amp;$A48,'Raw'!$A$2:$Z$1225,9,FALSE)</f>
        <v>-2.1226050368332916</v>
      </c>
      <c r="Q48" s="55">
        <f>VLOOKUP(Q$2&amp;$A48,'Raw'!$A$2:$Z$1225,9,FALSE)</f>
        <v>-6.4612457920665385</v>
      </c>
      <c r="R48" s="56">
        <f>VLOOKUP(R$2&amp;$A48,'Raw'!$A$2:$Z$1225,9,FALSE)</f>
        <v>-7.7884685414980614</v>
      </c>
      <c r="S48" s="55">
        <f>VLOOKUP(S$2&amp;$A48,'Raw'!$A$2:$Z$1225,9,FALSE)</f>
        <v>-1.9133211359179003</v>
      </c>
      <c r="T48" s="56">
        <f>VLOOKUP(T$2&amp;$A48,'Raw'!$A$2:$Z$1225,9,FALSE)</f>
        <v>-2.1353373514974239</v>
      </c>
      <c r="U48" s="55">
        <f>VLOOKUP(U$2&amp;$A48,'Raw'!$A$2:$Z$1225,9,FALSE)</f>
        <v>-6.2290265538618383</v>
      </c>
      <c r="V48" s="56">
        <f>VLOOKUP(V$2&amp;$A48,'Raw'!$A$2:$Z$1225,9,FALSE)</f>
        <v>-8.2954857322079416</v>
      </c>
      <c r="W48" s="55">
        <f>VLOOKUP(W$2&amp;$A48,'Raw'!$A$2:$Z$1225,9,FALSE)</f>
        <v>-1.9559305776090552</v>
      </c>
      <c r="X48" s="56">
        <f>VLOOKUP(X$2&amp;$A48,'Raw'!$A$2:$Z$1225,9,FALSE)</f>
        <v>-2.1260307131267031</v>
      </c>
      <c r="Y48" s="55">
        <f>VLOOKUP(Y$2&amp;$A48,'Raw'!$A$2:$Z$1225,9,FALSE)</f>
        <v>-6.6002203845484715</v>
      </c>
      <c r="Z48" s="56">
        <f>VLOOKUP(Z$2&amp;$A48,'Raw'!$A$2:$Z$1225,9,FALSE)</f>
        <v>-8.1926986124128085</v>
      </c>
    </row>
    <row r="49" spans="1:26">
      <c r="A49" s="52">
        <v>51502</v>
      </c>
      <c r="B49" s="53">
        <v>51502</v>
      </c>
      <c r="C49" s="55">
        <f>VLOOKUP(C$2&amp;$A49,'Raw'!$A$2:$Z$1225,9,FALSE)</f>
        <v>-1.6093263696780991</v>
      </c>
      <c r="D49" s="56">
        <f>VLOOKUP(D$2&amp;$A49,'Raw'!$A$2:$Z$1225,9,FALSE)</f>
        <v>-1.9505275610759876</v>
      </c>
      <c r="E49" s="55">
        <f>VLOOKUP(E$2&amp;$A49,'Raw'!$A$2:$Z$1225,9,FALSE)</f>
        <v>-6.2389553841144192</v>
      </c>
      <c r="F49" s="56">
        <f>VLOOKUP(F$2&amp;$A49,'Raw'!$A$2:$Z$1225,9,FALSE)</f>
        <v>-7.5207645253189899</v>
      </c>
      <c r="G49" s="55">
        <f>VLOOKUP(G$2&amp;$A49,'Raw'!$A$2:$Z$1225,9,FALSE)</f>
        <v>-1.6869092118003248</v>
      </c>
      <c r="H49" s="56">
        <f>VLOOKUP(H$2&amp;$A49,'Raw'!$A$2:$Z$1225,9,FALSE)</f>
        <v>-1.9312250954286014</v>
      </c>
      <c r="I49" s="55">
        <f>VLOOKUP(I$2&amp;$A49,'Raw'!$A$2:$Z$1225,9,FALSE)</f>
        <v>-5.9776173333710547</v>
      </c>
      <c r="J49" s="55">
        <f>VLOOKUP(J$2&amp;$A49,'Raw'!$A$2:$Z$1225,9,FALSE)</f>
        <v>-8.0882688262982398</v>
      </c>
      <c r="K49" s="55">
        <f>VLOOKUP(K$2&amp;$A49,'Raw'!$A$2:$Z$1225,9,FALSE)</f>
        <v>-1.701230322583136</v>
      </c>
      <c r="L49" s="56">
        <f>VLOOKUP(L$2&amp;$A49,'Raw'!$A$2:$Z$1225,9,FALSE)</f>
        <v>-1.8954131621532477</v>
      </c>
      <c r="M49" s="55">
        <f>VLOOKUP(M$2&amp;$A49,'Raw'!$A$2:$Z$1225,9,FALSE)</f>
        <v>-6.3454469454602975</v>
      </c>
      <c r="N49" s="56">
        <f>VLOOKUP(N$2&amp;$A49,'Raw'!$A$2:$Z$1225,9,FALSE)</f>
        <v>-7.8709436239118746</v>
      </c>
      <c r="O49" s="55">
        <f>VLOOKUP(O$2&amp;$A49,'Raw'!$A$2:$Z$1225,9,FALSE)</f>
        <v>-1.7559077634087483</v>
      </c>
      <c r="P49" s="56">
        <f>VLOOKUP(P$2&amp;$A49,'Raw'!$A$2:$Z$1225,9,FALSE)</f>
        <v>-2.0869999543771556</v>
      </c>
      <c r="Q49" s="55">
        <f>VLOOKUP(Q$2&amp;$A49,'Raw'!$A$2:$Z$1225,9,FALSE)</f>
        <v>-6.374126697986215</v>
      </c>
      <c r="R49" s="56">
        <f>VLOOKUP(R$2&amp;$A49,'Raw'!$A$2:$Z$1225,9,FALSE)</f>
        <v>-7.6435764438954052</v>
      </c>
      <c r="S49" s="55">
        <f>VLOOKUP(S$2&amp;$A49,'Raw'!$A$2:$Z$1225,9,FALSE)</f>
        <v>-1.8795658682581706</v>
      </c>
      <c r="T49" s="56">
        <f>VLOOKUP(T$2&amp;$A49,'Raw'!$A$2:$Z$1225,9,FALSE)</f>
        <v>-2.0934314581514624</v>
      </c>
      <c r="U49" s="55">
        <f>VLOOKUP(U$2&amp;$A49,'Raw'!$A$2:$Z$1225,9,FALSE)</f>
        <v>-6.0939650622753305</v>
      </c>
      <c r="V49" s="56">
        <f>VLOOKUP(V$2&amp;$A49,'Raw'!$A$2:$Z$1225,9,FALSE)</f>
        <v>-8.2184846968230367</v>
      </c>
      <c r="W49" s="55">
        <f>VLOOKUP(W$2&amp;$A49,'Raw'!$A$2:$Z$1225,9,FALSE)</f>
        <v>-1.9218068736905902</v>
      </c>
      <c r="X49" s="56">
        <f>VLOOKUP(X$2&amp;$A49,'Raw'!$A$2:$Z$1225,9,FALSE)</f>
        <v>-2.0894858513949677</v>
      </c>
      <c r="Y49" s="55">
        <f>VLOOKUP(Y$2&amp;$A49,'Raw'!$A$2:$Z$1225,9,FALSE)</f>
        <v>-6.4626833592351218</v>
      </c>
      <c r="Z49" s="56">
        <f>VLOOKUP(Z$2&amp;$A49,'Raw'!$A$2:$Z$1225,9,FALSE)</f>
        <v>-8.0623787274953003</v>
      </c>
    </row>
    <row r="50" spans="1:26">
      <c r="A50" s="52">
        <v>51867</v>
      </c>
      <c r="B50" s="53">
        <v>51867</v>
      </c>
      <c r="C50" s="55">
        <f>VLOOKUP(C$2&amp;$A50,'Raw'!$A$2:$Z$1225,9,FALSE)</f>
        <v>-1.5796064718958558</v>
      </c>
      <c r="D50" s="56">
        <f>VLOOKUP(D$2&amp;$A50,'Raw'!$A$2:$Z$1225,9,FALSE)</f>
        <v>-1.9167556555904297</v>
      </c>
      <c r="E50" s="55">
        <f>VLOOKUP(E$2&amp;$A50,'Raw'!$A$2:$Z$1225,9,FALSE)</f>
        <v>-6.1610760127928099</v>
      </c>
      <c r="F50" s="56">
        <f>VLOOKUP(F$2&amp;$A50,'Raw'!$A$2:$Z$1225,9,FALSE)</f>
        <v>-7.3827653113046843</v>
      </c>
      <c r="G50" s="55">
        <f>VLOOKUP(G$2&amp;$A50,'Raw'!$A$2:$Z$1225,9,FALSE)</f>
        <v>-1.6562208183458993</v>
      </c>
      <c r="H50" s="56">
        <f>VLOOKUP(H$2&amp;$A50,'Raw'!$A$2:$Z$1225,9,FALSE)</f>
        <v>-1.8855630027454828</v>
      </c>
      <c r="I50" s="55">
        <f>VLOOKUP(I$2&amp;$A50,'Raw'!$A$2:$Z$1225,9,FALSE)</f>
        <v>-5.8497530538224041</v>
      </c>
      <c r="J50" s="55">
        <f>VLOOKUP(J$2&amp;$A50,'Raw'!$A$2:$Z$1225,9,FALSE)</f>
        <v>-7.9998883759946011</v>
      </c>
      <c r="K50" s="55">
        <f>VLOOKUP(K$2&amp;$A50,'Raw'!$A$2:$Z$1225,9,FALSE)</f>
        <v>-1.6698927771318095</v>
      </c>
      <c r="L50" s="56">
        <f>VLOOKUP(L$2&amp;$A50,'Raw'!$A$2:$Z$1225,9,FALSE)</f>
        <v>-1.8602377594084007</v>
      </c>
      <c r="M50" s="55">
        <f>VLOOKUP(M$2&amp;$A50,'Raw'!$A$2:$Z$1225,9,FALSE)</f>
        <v>-6.2146295226994663</v>
      </c>
      <c r="N50" s="56">
        <f>VLOOKUP(N$2&amp;$A50,'Raw'!$A$2:$Z$1225,9,FALSE)</f>
        <v>-7.7477212676841267</v>
      </c>
      <c r="O50" s="55">
        <f>VLOOKUP(O$2&amp;$A50,'Raw'!$A$2:$Z$1225,9,FALSE)</f>
        <v>-1.7220595938228334</v>
      </c>
      <c r="P50" s="56">
        <f>VLOOKUP(P$2&amp;$A50,'Raw'!$A$2:$Z$1225,9,FALSE)</f>
        <v>-2.0518957288772288</v>
      </c>
      <c r="Q50" s="55">
        <f>VLOOKUP(Q$2&amp;$A50,'Raw'!$A$2:$Z$1225,9,FALSE)</f>
        <v>-6.2896723744319978</v>
      </c>
      <c r="R50" s="56">
        <f>VLOOKUP(R$2&amp;$A50,'Raw'!$A$2:$Z$1225,9,FALSE)</f>
        <v>-7.5025224019960257</v>
      </c>
      <c r="S50" s="55">
        <f>VLOOKUP(S$2&amp;$A50,'Raw'!$A$2:$Z$1225,9,FALSE)</f>
        <v>-1.8461392694966161</v>
      </c>
      <c r="T50" s="56">
        <f>VLOOKUP(T$2&amp;$A50,'Raw'!$A$2:$Z$1225,9,FALSE)</f>
        <v>-2.0491031740964338</v>
      </c>
      <c r="U50" s="55">
        <f>VLOOKUP(U$2&amp;$A50,'Raw'!$A$2:$Z$1225,9,FALSE)</f>
        <v>-5.9619989342142858</v>
      </c>
      <c r="V50" s="56">
        <f>VLOOKUP(V$2&amp;$A50,'Raw'!$A$2:$Z$1225,9,FALSE)</f>
        <v>-8.1277819389487647</v>
      </c>
      <c r="W50" s="55">
        <f>VLOOKUP(W$2&amp;$A50,'Raw'!$A$2:$Z$1225,9,FALSE)</f>
        <v>-1.8881782942782865</v>
      </c>
      <c r="X50" s="56">
        <f>VLOOKUP(X$2&amp;$A50,'Raw'!$A$2:$Z$1225,9,FALSE)</f>
        <v>-2.0528906825272975</v>
      </c>
      <c r="Y50" s="55">
        <f>VLOOKUP(Y$2&amp;$A50,'Raw'!$A$2:$Z$1225,9,FALSE)</f>
        <v>-6.3281006246838745</v>
      </c>
      <c r="Z50" s="56">
        <f>VLOOKUP(Z$2&amp;$A50,'Raw'!$A$2:$Z$1225,9,FALSE)</f>
        <v>-7.9339747908461984</v>
      </c>
    </row>
    <row r="51" spans="1:26">
      <c r="A51" s="52">
        <v>52232</v>
      </c>
      <c r="B51" s="53">
        <v>52232</v>
      </c>
      <c r="C51" s="55">
        <f>VLOOKUP(C$2&amp;$A51,'Raw'!$A$2:$Z$1225,9,FALSE)</f>
        <v>-1.5502328453491532</v>
      </c>
      <c r="D51" s="56">
        <f>VLOOKUP(D$2&amp;$A51,'Raw'!$A$2:$Z$1225,9,FALSE)</f>
        <v>-1.8834592599868971</v>
      </c>
      <c r="E51" s="55">
        <f>VLOOKUP(E$2&amp;$A51,'Raw'!$A$2:$Z$1225,9,FALSE)</f>
        <v>-6.0855874115093078</v>
      </c>
      <c r="F51" s="56">
        <f>VLOOKUP(F$2&amp;$A51,'Raw'!$A$2:$Z$1225,9,FALSE)</f>
        <v>-7.2484495572666896</v>
      </c>
      <c r="G51" s="55">
        <f>VLOOKUP(G$2&amp;$A51,'Raw'!$A$2:$Z$1225,9,FALSE)</f>
        <v>-1.6257176533795548</v>
      </c>
      <c r="H51" s="56">
        <f>VLOOKUP(H$2&amp;$A51,'Raw'!$A$2:$Z$1225,9,FALSE)</f>
        <v>-1.8383267552534055</v>
      </c>
      <c r="I51" s="55">
        <f>VLOOKUP(I$2&amp;$A51,'Raw'!$A$2:$Z$1225,9,FALSE)</f>
        <v>-5.7252436258883099</v>
      </c>
      <c r="J51" s="55">
        <f>VLOOKUP(J$2&amp;$A51,'Raw'!$A$2:$Z$1225,9,FALSE)</f>
        <v>-7.8960557564460965</v>
      </c>
      <c r="K51" s="55">
        <f>VLOOKUP(K$2&amp;$A51,'Raw'!$A$2:$Z$1225,9,FALSE)</f>
        <v>-1.6389530787487838</v>
      </c>
      <c r="L51" s="56">
        <f>VLOOKUP(L$2&amp;$A51,'Raw'!$A$2:$Z$1225,9,FALSE)</f>
        <v>-1.8250637915729118</v>
      </c>
      <c r="M51" s="55">
        <f>VLOOKUP(M$2&amp;$A51,'Raw'!$A$2:$Z$1225,9,FALSE)</f>
        <v>-6.0868713643221444</v>
      </c>
      <c r="N51" s="56">
        <f>VLOOKUP(N$2&amp;$A51,'Raw'!$A$2:$Z$1225,9,FALSE)</f>
        <v>-7.6255685174448251</v>
      </c>
      <c r="O51" s="55">
        <f>VLOOKUP(O$2&amp;$A51,'Raw'!$A$2:$Z$1225,9,FALSE)</f>
        <v>-1.6885989098299192</v>
      </c>
      <c r="P51" s="56">
        <f>VLOOKUP(P$2&amp;$A51,'Raw'!$A$2:$Z$1225,9,FALSE)</f>
        <v>-2.0172874463775914</v>
      </c>
      <c r="Q51" s="55">
        <f>VLOOKUP(Q$2&amp;$A51,'Raw'!$A$2:$Z$1225,9,FALSE)</f>
        <v>-6.207626119011211</v>
      </c>
      <c r="R51" s="56">
        <f>VLOOKUP(R$2&amp;$A51,'Raw'!$A$2:$Z$1225,9,FALSE)</f>
        <v>-7.3650955118086392</v>
      </c>
      <c r="S51" s="55">
        <f>VLOOKUP(S$2&amp;$A51,'Raw'!$A$2:$Z$1225,9,FALSE)</f>
        <v>-1.8130832259247498</v>
      </c>
      <c r="T51" s="56">
        <f>VLOOKUP(T$2&amp;$A51,'Raw'!$A$2:$Z$1225,9,FALSE)</f>
        <v>-2.0031491248201028</v>
      </c>
      <c r="U51" s="55">
        <f>VLOOKUP(U$2&amp;$A51,'Raw'!$A$2:$Z$1225,9,FALSE)</f>
        <v>-5.8334466466302137</v>
      </c>
      <c r="V51" s="56">
        <f>VLOOKUP(V$2&amp;$A51,'Raw'!$A$2:$Z$1225,9,FALSE)</f>
        <v>-8.0222086644024078</v>
      </c>
      <c r="W51" s="55">
        <f>VLOOKUP(W$2&amp;$A51,'Raw'!$A$2:$Z$1225,9,FALSE)</f>
        <v>-1.8550546228002118</v>
      </c>
      <c r="X51" s="56">
        <f>VLOOKUP(X$2&amp;$A51,'Raw'!$A$2:$Z$1225,9,FALSE)</f>
        <v>-2.0164388669600353</v>
      </c>
      <c r="Y51" s="55">
        <f>VLOOKUP(Y$2&amp;$A51,'Raw'!$A$2:$Z$1225,9,FALSE)</f>
        <v>-6.1966532050442673</v>
      </c>
      <c r="Z51" s="56">
        <f>VLOOKUP(Z$2&amp;$A51,'Raw'!$A$2:$Z$1225,9,FALSE)</f>
        <v>-7.8068466600459629</v>
      </c>
    </row>
    <row r="52" spans="1:26">
      <c r="A52" s="52">
        <v>52597</v>
      </c>
      <c r="B52" s="53">
        <v>52597</v>
      </c>
      <c r="C52" s="55">
        <f>VLOOKUP(C$2&amp;$A52,'Raw'!$A$2:$Z$1225,9,FALSE)</f>
        <v>-1.5212245311327921</v>
      </c>
      <c r="D52" s="56">
        <f>VLOOKUP(D$2&amp;$A52,'Raw'!$A$2:$Z$1225,9,FALSE)</f>
        <v>-1.8506328088481294</v>
      </c>
      <c r="E52" s="55">
        <f>VLOOKUP(E$2&amp;$A52,'Raw'!$A$2:$Z$1225,9,FALSE)</f>
        <v>-6.0122114001473825</v>
      </c>
      <c r="F52" s="56">
        <f>VLOOKUP(F$2&amp;$A52,'Raw'!$A$2:$Z$1225,9,FALSE)</f>
        <v>-7.1175990371957205</v>
      </c>
      <c r="G52" s="55">
        <f>VLOOKUP(G$2&amp;$A52,'Raw'!$A$2:$Z$1225,9,FALSE)</f>
        <v>-1.595457178031634</v>
      </c>
      <c r="H52" s="56">
        <f>VLOOKUP(H$2&amp;$A52,'Raw'!$A$2:$Z$1225,9,FALSE)</f>
        <v>-1.790535221308498</v>
      </c>
      <c r="I52" s="55">
        <f>VLOOKUP(I$2&amp;$A52,'Raw'!$A$2:$Z$1225,9,FALSE)</f>
        <v>-5.604388310053487</v>
      </c>
      <c r="J52" s="55">
        <f>VLOOKUP(J$2&amp;$A52,'Raw'!$A$2:$Z$1225,9,FALSE)</f>
        <v>-7.7767387471161413</v>
      </c>
      <c r="K52" s="55">
        <f>VLOOKUP(K$2&amp;$A52,'Raw'!$A$2:$Z$1225,9,FALSE)</f>
        <v>-1.6084337943181426</v>
      </c>
      <c r="L52" s="56">
        <f>VLOOKUP(L$2&amp;$A52,'Raw'!$A$2:$Z$1225,9,FALSE)</f>
        <v>-1.7901171779415193</v>
      </c>
      <c r="M52" s="55">
        <f>VLOOKUP(M$2&amp;$A52,'Raw'!$A$2:$Z$1225,9,FALSE)</f>
        <v>-5.962341493567747</v>
      </c>
      <c r="N52" s="56">
        <f>VLOOKUP(N$2&amp;$A52,'Raw'!$A$2:$Z$1225,9,FALSE)</f>
        <v>-7.5040417405155324</v>
      </c>
      <c r="O52" s="55">
        <f>VLOOKUP(O$2&amp;$A52,'Raw'!$A$2:$Z$1225,9,FALSE)</f>
        <v>-1.6555536248617386</v>
      </c>
      <c r="P52" s="56">
        <f>VLOOKUP(P$2&amp;$A52,'Raw'!$A$2:$Z$1225,9,FALSE)</f>
        <v>-1.9831699314543094</v>
      </c>
      <c r="Q52" s="55">
        <f>VLOOKUP(Q$2&amp;$A52,'Raw'!$A$2:$Z$1225,9,FALSE)</f>
        <v>-6.1277354767927061</v>
      </c>
      <c r="R52" s="56">
        <f>VLOOKUP(R$2&amp;$A52,'Raw'!$A$2:$Z$1225,9,FALSE)</f>
        <v>-7.2310949129731679</v>
      </c>
      <c r="S52" s="55">
        <f>VLOOKUP(S$2&amp;$A52,'Raw'!$A$2:$Z$1225,9,FALSE)</f>
        <v>-1.7804358776449258</v>
      </c>
      <c r="T52" s="56">
        <f>VLOOKUP(T$2&amp;$A52,'Raw'!$A$2:$Z$1225,9,FALSE)</f>
        <v>-1.9564314073769906</v>
      </c>
      <c r="U52" s="55">
        <f>VLOOKUP(U$2&amp;$A52,'Raw'!$A$2:$Z$1225,9,FALSE)</f>
        <v>-5.7085979388972641</v>
      </c>
      <c r="V52" s="56">
        <f>VLOOKUP(V$2&amp;$A52,'Raw'!$A$2:$Z$1225,9,FALSE)</f>
        <v>-7.9016022342171084</v>
      </c>
      <c r="W52" s="55">
        <f>VLOOKUP(W$2&amp;$A52,'Raw'!$A$2:$Z$1225,9,FALSE)</f>
        <v>-1.8224416592381831</v>
      </c>
      <c r="X52" s="56">
        <f>VLOOKUP(X$2&amp;$A52,'Raw'!$A$2:$Z$1225,9,FALSE)</f>
        <v>-1.9803150026846628</v>
      </c>
      <c r="Y52" s="55">
        <f>VLOOKUP(Y$2&amp;$A52,'Raw'!$A$2:$Z$1225,9,FALSE)</f>
        <v>-6.0684996711185875</v>
      </c>
      <c r="Z52" s="56">
        <f>VLOOKUP(Z$2&amp;$A52,'Raw'!$A$2:$Z$1225,9,FALSE)</f>
        <v>-7.6805564809603766</v>
      </c>
    </row>
    <row r="53" spans="1:26">
      <c r="A53" s="52">
        <v>52963</v>
      </c>
      <c r="B53" s="53">
        <v>52963</v>
      </c>
      <c r="C53" s="55">
        <f>VLOOKUP(C$2&amp;$A53,'Raw'!$A$2:$Z$1225,9,FALSE)</f>
        <v>-1.4925991061336963</v>
      </c>
      <c r="D53" s="56">
        <f>VLOOKUP(D$2&amp;$A53,'Raw'!$A$2:$Z$1225,9,FALSE)</f>
        <v>-1.8182714529954014</v>
      </c>
      <c r="E53" s="55">
        <f>VLOOKUP(E$2&amp;$A53,'Raw'!$A$2:$Z$1225,9,FALSE)</f>
        <v>-5.9406780137102881</v>
      </c>
      <c r="F53" s="56">
        <f>VLOOKUP(F$2&amp;$A53,'Raw'!$A$2:$Z$1225,9,FALSE)</f>
        <v>-6.990007351036609</v>
      </c>
      <c r="G53" s="55">
        <f>VLOOKUP(G$2&amp;$A53,'Raw'!$A$2:$Z$1225,9,FALSE)</f>
        <v>-1.5654947459034951</v>
      </c>
      <c r="H53" s="56">
        <f>VLOOKUP(H$2&amp;$A53,'Raw'!$A$2:$Z$1225,9,FALSE)</f>
        <v>-1.743195129661379</v>
      </c>
      <c r="I53" s="55">
        <f>VLOOKUP(I$2&amp;$A53,'Raw'!$A$2:$Z$1225,9,FALSE)</f>
        <v>-5.4874537172245557</v>
      </c>
      <c r="J53" s="55">
        <f>VLOOKUP(J$2&amp;$A53,'Raw'!$A$2:$Z$1225,9,FALSE)</f>
        <v>-7.6428462601628606</v>
      </c>
      <c r="K53" s="55">
        <f>VLOOKUP(K$2&amp;$A53,'Raw'!$A$2:$Z$1225,9,FALSE)</f>
        <v>-1.5783543165257208</v>
      </c>
      <c r="L53" s="56">
        <f>VLOOKUP(L$2&amp;$A53,'Raw'!$A$2:$Z$1225,9,FALSE)</f>
        <v>-1.7556041213211637</v>
      </c>
      <c r="M53" s="55">
        <f>VLOOKUP(M$2&amp;$A53,'Raw'!$A$2:$Z$1225,9,FALSE)</f>
        <v>-5.8411839093269631</v>
      </c>
      <c r="N53" s="56">
        <f>VLOOKUP(N$2&amp;$A53,'Raw'!$A$2:$Z$1225,9,FALSE)</f>
        <v>-7.3828837481297205</v>
      </c>
      <c r="O53" s="55">
        <f>VLOOKUP(O$2&amp;$A53,'Raw'!$A$2:$Z$1225,9,FALSE)</f>
        <v>-1.6229490126609458</v>
      </c>
      <c r="P53" s="56">
        <f>VLOOKUP(P$2&amp;$A53,'Raw'!$A$2:$Z$1225,9,FALSE)</f>
        <v>-1.9495378517977113</v>
      </c>
      <c r="Q53" s="55">
        <f>VLOOKUP(Q$2&amp;$A53,'Raw'!$A$2:$Z$1225,9,FALSE)</f>
        <v>-6.0497543321830882</v>
      </c>
      <c r="R53" s="56">
        <f>VLOOKUP(R$2&amp;$A53,'Raw'!$A$2:$Z$1225,9,FALSE)</f>
        <v>-7.1003297632097002</v>
      </c>
      <c r="S53" s="55">
        <f>VLOOKUP(S$2&amp;$A53,'Raw'!$A$2:$Z$1225,9,FALSE)</f>
        <v>-1.7482304333421683</v>
      </c>
      <c r="T53" s="56">
        <f>VLOOKUP(T$2&amp;$A53,'Raw'!$A$2:$Z$1225,9,FALSE)</f>
        <v>-1.9098205904704124</v>
      </c>
      <c r="U53" s="55">
        <f>VLOOKUP(U$2&amp;$A53,'Raw'!$A$2:$Z$1225,9,FALSE)</f>
        <v>-5.5877093811558591</v>
      </c>
      <c r="V53" s="56">
        <f>VLOOKUP(V$2&amp;$A53,'Raw'!$A$2:$Z$1225,9,FALSE)</f>
        <v>-7.7667278893720386</v>
      </c>
      <c r="W53" s="55">
        <f>VLOOKUP(W$2&amp;$A53,'Raw'!$A$2:$Z$1225,9,FALSE)</f>
        <v>-1.7903406160012625</v>
      </c>
      <c r="X53" s="56">
        <f>VLOOKUP(X$2&amp;$A53,'Raw'!$A$2:$Z$1225,9,FALSE)</f>
        <v>-1.9446852208499843</v>
      </c>
      <c r="Y53" s="55">
        <f>VLOOKUP(Y$2&amp;$A53,'Raw'!$A$2:$Z$1225,9,FALSE)</f>
        <v>-5.9437732769392904</v>
      </c>
      <c r="Z53" s="56">
        <f>VLOOKUP(Z$2&amp;$A53,'Raw'!$A$2:$Z$1225,9,FALSE)</f>
        <v>-7.5548403630027128</v>
      </c>
    </row>
    <row r="54" spans="1:26">
      <c r="A54" s="52">
        <v>53328</v>
      </c>
      <c r="B54" s="53">
        <v>53328</v>
      </c>
      <c r="C54" s="55">
        <f>VLOOKUP(C$2&amp;$A54,'Raw'!$A$2:$Z$1225,9,FALSE)</f>
        <v>-1.4643726627307951</v>
      </c>
      <c r="D54" s="56">
        <f>VLOOKUP(D$2&amp;$A54,'Raw'!$A$2:$Z$1225,9,FALSE)</f>
        <v>-1.7863701277599175</v>
      </c>
      <c r="E54" s="55">
        <f>VLOOKUP(E$2&amp;$A54,'Raw'!$A$2:$Z$1225,9,FALSE)</f>
        <v>-5.8707269484675635</v>
      </c>
      <c r="F54" s="56">
        <f>VLOOKUP(F$2&amp;$A54,'Raw'!$A$2:$Z$1225,9,FALSE)</f>
        <v>-6.8654809798993632</v>
      </c>
      <c r="G54" s="55">
        <f>VLOOKUP(G$2&amp;$A54,'Raw'!$A$2:$Z$1225,9,FALSE)</f>
        <v>-1.5358815411157356</v>
      </c>
      <c r="H54" s="56">
        <f>VLOOKUP(H$2&amp;$A54,'Raw'!$A$2:$Z$1225,9,FALSE)</f>
        <v>-1.6972396388099331</v>
      </c>
      <c r="I54" s="55">
        <f>VLOOKUP(I$2&amp;$A54,'Raw'!$A$2:$Z$1225,9,FALSE)</f>
        <v>-5.3746679811248255</v>
      </c>
      <c r="J54" s="55">
        <f>VLOOKUP(J$2&amp;$A54,'Raw'!$A$2:$Z$1225,9,FALSE)</f>
        <v>-7.4960970645300051</v>
      </c>
      <c r="K54" s="55">
        <f>VLOOKUP(K$2&amp;$A54,'Raw'!$A$2:$Z$1225,9,FALSE)</f>
        <v>-1.5487305504322646</v>
      </c>
      <c r="L54" s="56">
        <f>VLOOKUP(L$2&amp;$A54,'Raw'!$A$2:$Z$1225,9,FALSE)</f>
        <v>-1.7217018906247383</v>
      </c>
      <c r="M54" s="55">
        <f>VLOOKUP(M$2&amp;$A54,'Raw'!$A$2:$Z$1225,9,FALSE)</f>
        <v>-5.7235132966665825</v>
      </c>
      <c r="N54" s="56">
        <f>VLOOKUP(N$2&amp;$A54,'Raw'!$A$2:$Z$1225,9,FALSE)</f>
        <v>-7.2619898269096872</v>
      </c>
      <c r="O54" s="55">
        <f>VLOOKUP(O$2&amp;$A54,'Raw'!$A$2:$Z$1225,9,FALSE)</f>
        <v>-1.5908084866940397</v>
      </c>
      <c r="P54" s="56">
        <f>VLOOKUP(P$2&amp;$A54,'Raw'!$A$2:$Z$1225,9,FALSE)</f>
        <v>-1.9163854298497762</v>
      </c>
      <c r="Q54" s="55">
        <f>VLOOKUP(Q$2&amp;$A54,'Raw'!$A$2:$Z$1225,9,FALSE)</f>
        <v>-5.9734445240634422</v>
      </c>
      <c r="R54" s="56">
        <f>VLOOKUP(R$2&amp;$A54,'Raw'!$A$2:$Z$1225,9,FALSE)</f>
        <v>-6.9726205694432108</v>
      </c>
      <c r="S54" s="55">
        <f>VLOOKUP(S$2&amp;$A54,'Raw'!$A$2:$Z$1225,9,FALSE)</f>
        <v>-1.7164943853497094</v>
      </c>
      <c r="T54" s="56">
        <f>VLOOKUP(T$2&amp;$A54,'Raw'!$A$2:$Z$1225,9,FALSE)</f>
        <v>-1.8641419560557204</v>
      </c>
      <c r="U54" s="55">
        <f>VLOOKUP(U$2&amp;$A54,'Raw'!$A$2:$Z$1225,9,FALSE)</f>
        <v>-5.4709990274803282</v>
      </c>
      <c r="V54" s="56">
        <f>VLOOKUP(V$2&amp;$A54,'Raw'!$A$2:$Z$1225,9,FALSE)</f>
        <v>-7.6191558556682804</v>
      </c>
      <c r="W54" s="55">
        <f>VLOOKUP(W$2&amp;$A54,'Raw'!$A$2:$Z$1225,9,FALSE)</f>
        <v>-1.7587497049387668</v>
      </c>
      <c r="X54" s="56">
        <f>VLOOKUP(X$2&amp;$A54,'Raw'!$A$2:$Z$1225,9,FALSE)</f>
        <v>-1.9096900363420377</v>
      </c>
      <c r="Y54" s="55">
        <f>VLOOKUP(Y$2&amp;$A54,'Raw'!$A$2:$Z$1225,9,FALSE)</f>
        <v>-5.8225781396326166</v>
      </c>
      <c r="Z54" s="56">
        <f>VLOOKUP(Z$2&amp;$A54,'Raw'!$A$2:$Z$1225,9,FALSE)</f>
        <v>-7.4295774200330511</v>
      </c>
    </row>
    <row r="55" spans="1:26">
      <c r="A55" s="52">
        <v>53693</v>
      </c>
      <c r="B55" s="53">
        <v>53693</v>
      </c>
      <c r="C55" s="55">
        <f>VLOOKUP(C$2&amp;$A55,'Raw'!$A$2:$Z$1225,9,FALSE)</f>
        <v>-1.4365597929903218</v>
      </c>
      <c r="D55" s="56">
        <f>VLOOKUP(D$2&amp;$A55,'Raw'!$A$2:$Z$1225,9,FALSE)</f>
        <v>-1.7549242681235699</v>
      </c>
      <c r="E55" s="55">
        <f>VLOOKUP(E$2&amp;$A55,'Raw'!$A$2:$Z$1225,9,FALSE)</f>
        <v>-5.8021097626884348</v>
      </c>
      <c r="F55" s="56">
        <f>VLOOKUP(F$2&amp;$A55,'Raw'!$A$2:$Z$1225,9,FALSE)</f>
        <v>-6.7438391189580731</v>
      </c>
      <c r="G55" s="55">
        <f>VLOOKUP(G$2&amp;$A55,'Raw'!$A$2:$Z$1225,9,FALSE)</f>
        <v>-1.5066631573208866</v>
      </c>
      <c r="H55" s="56">
        <f>VLOOKUP(H$2&amp;$A55,'Raw'!$A$2:$Z$1225,9,FALSE)</f>
        <v>-1.6534758486383416</v>
      </c>
      <c r="I55" s="55">
        <f>VLOOKUP(I$2&amp;$A55,'Raw'!$A$2:$Z$1225,9,FALSE)</f>
        <v>-5.26621462532243</v>
      </c>
      <c r="J55" s="55">
        <f>VLOOKUP(J$2&amp;$A55,'Raw'!$A$2:$Z$1225,9,FALSE)</f>
        <v>-7.3388538501340861</v>
      </c>
      <c r="K55" s="55">
        <f>VLOOKUP(K$2&amp;$A55,'Raw'!$A$2:$Z$1225,9,FALSE)</f>
        <v>-1.5195749612696652</v>
      </c>
      <c r="L55" s="56">
        <f>VLOOKUP(L$2&amp;$A55,'Raw'!$A$2:$Z$1225,9,FALSE)</f>
        <v>-1.6885532234515277</v>
      </c>
      <c r="M55" s="55">
        <f>VLOOKUP(M$2&amp;$A55,'Raw'!$A$2:$Z$1225,9,FALSE)</f>
        <v>-5.6094110072292036</v>
      </c>
      <c r="N55" s="56">
        <f>VLOOKUP(N$2&amp;$A55,'Raw'!$A$2:$Z$1225,9,FALSE)</f>
        <v>-7.1413741401925019</v>
      </c>
      <c r="O55" s="55">
        <f>VLOOKUP(O$2&amp;$A55,'Raw'!$A$2:$Z$1225,9,FALSE)</f>
        <v>-1.5591531982210527</v>
      </c>
      <c r="P55" s="56">
        <f>VLOOKUP(P$2&amp;$A55,'Raw'!$A$2:$Z$1225,9,FALSE)</f>
        <v>-1.8837071803092242</v>
      </c>
      <c r="Q55" s="55">
        <f>VLOOKUP(Q$2&amp;$A55,'Raw'!$A$2:$Z$1225,9,FALSE)</f>
        <v>-5.8985775740922559</v>
      </c>
      <c r="R55" s="56">
        <f>VLOOKUP(R$2&amp;$A55,'Raw'!$A$2:$Z$1225,9,FALSE)</f>
        <v>-6.8477995862874952</v>
      </c>
      <c r="S55" s="55">
        <f>VLOOKUP(S$2&amp;$A55,'Raw'!$A$2:$Z$1225,9,FALSE)</f>
        <v>-1.6852490695987266</v>
      </c>
      <c r="T55" s="56">
        <f>VLOOKUP(T$2&amp;$A55,'Raw'!$A$2:$Z$1225,9,FALSE)</f>
        <v>-1.8201286083667112</v>
      </c>
      <c r="U55" s="55">
        <f>VLOOKUP(U$2&amp;$A55,'Raw'!$A$2:$Z$1225,9,FALSE)</f>
        <v>-5.3586407145620463</v>
      </c>
      <c r="V55" s="56">
        <f>VLOOKUP(V$2&amp;$A55,'Raw'!$A$2:$Z$1225,9,FALSE)</f>
        <v>-7.4611037922276076</v>
      </c>
      <c r="W55" s="55">
        <f>VLOOKUP(W$2&amp;$A55,'Raw'!$A$2:$Z$1225,9,FALSE)</f>
        <v>-1.7276640305063151</v>
      </c>
      <c r="X55" s="56">
        <f>VLOOKUP(X$2&amp;$A55,'Raw'!$A$2:$Z$1225,9,FALSE)</f>
        <v>-1.8754402761551603</v>
      </c>
      <c r="Y55" s="55">
        <f>VLOOKUP(Y$2&amp;$A55,'Raw'!$A$2:$Z$1225,9,FALSE)</f>
        <v>-5.7049856734488369</v>
      </c>
      <c r="Z55" s="56">
        <f>VLOOKUP(Z$2&amp;$A55,'Raw'!$A$2:$Z$1225,9,FALSE)</f>
        <v>-7.3047596526721215</v>
      </c>
    </row>
    <row r="56" spans="1:26">
      <c r="A56" s="52">
        <v>54058</v>
      </c>
      <c r="B56" s="53">
        <v>54058</v>
      </c>
      <c r="C56" s="55">
        <f>VLOOKUP(C$2&amp;$A56,'Raw'!$A$2:$Z$1225,9,FALSE)</f>
        <v>-1.4091732085951936</v>
      </c>
      <c r="D56" s="56">
        <f>VLOOKUP(D$2&amp;$A56,'Raw'!$A$2:$Z$1225,9,FALSE)</f>
        <v>-1.7239297738061432</v>
      </c>
      <c r="E56" s="55">
        <f>VLOOKUP(E$2&amp;$A56,'Raw'!$A$2:$Z$1225,9,FALSE)</f>
        <v>-5.7345903195843988</v>
      </c>
      <c r="F56" s="56">
        <f>VLOOKUP(F$2&amp;$A56,'Raw'!$A$2:$Z$1225,9,FALSE)</f>
        <v>-6.6249140794667483</v>
      </c>
      <c r="G56" s="55">
        <f>VLOOKUP(G$2&amp;$A56,'Raw'!$A$2:$Z$1225,9,FALSE)</f>
        <v>-1.4778785049060938</v>
      </c>
      <c r="H56" s="56">
        <f>VLOOKUP(H$2&amp;$A56,'Raw'!$A$2:$Z$1225,9,FALSE)</f>
        <v>-1.6125445903561464</v>
      </c>
      <c r="I56" s="55">
        <f>VLOOKUP(I$2&amp;$A56,'Raw'!$A$2:$Z$1225,9,FALSE)</f>
        <v>-5.1622275704717779</v>
      </c>
      <c r="J56" s="55">
        <f>VLOOKUP(J$2&amp;$A56,'Raw'!$A$2:$Z$1225,9,FALSE)</f>
        <v>-7.1739339359573107</v>
      </c>
      <c r="K56" s="55">
        <f>VLOOKUP(K$2&amp;$A56,'Raw'!$A$2:$Z$1225,9,FALSE)</f>
        <v>-1.4908961392242515</v>
      </c>
      <c r="L56" s="56">
        <f>VLOOKUP(L$2&amp;$A56,'Raw'!$A$2:$Z$1225,9,FALSE)</f>
        <v>-1.6562627552552112</v>
      </c>
      <c r="M56" s="55">
        <f>VLOOKUP(M$2&amp;$A56,'Raw'!$A$2:$Z$1225,9,FALSE)</f>
        <v>-5.4989214941660087</v>
      </c>
      <c r="N56" s="56">
        <f>VLOOKUP(N$2&amp;$A56,'Raw'!$A$2:$Z$1225,9,FALSE)</f>
        <v>-7.0211381001269002</v>
      </c>
      <c r="O56" s="55">
        <f>VLOOKUP(O$2&amp;$A56,'Raw'!$A$2:$Z$1225,9,FALSE)</f>
        <v>-1.5280020857897481</v>
      </c>
      <c r="P56" s="56">
        <f>VLOOKUP(P$2&amp;$A56,'Raw'!$A$2:$Z$1225,9,FALSE)</f>
        <v>-1.8514976675454875</v>
      </c>
      <c r="Q56" s="55">
        <f>VLOOKUP(Q$2&amp;$A56,'Raw'!$A$2:$Z$1225,9,FALSE)</f>
        <v>-5.8249357956418173</v>
      </c>
      <c r="R56" s="56">
        <f>VLOOKUP(R$2&amp;$A56,'Raw'!$A$2:$Z$1225,9,FALSE)</f>
        <v>-6.7257104942689994</v>
      </c>
      <c r="S56" s="55">
        <f>VLOOKUP(S$2&amp;$A56,'Raw'!$A$2:$Z$1225,9,FALSE)</f>
        <v>-1.6545094427688145</v>
      </c>
      <c r="T56" s="56">
        <f>VLOOKUP(T$2&amp;$A56,'Raw'!$A$2:$Z$1225,9,FALSE)</f>
        <v>-1.7783847834273114</v>
      </c>
      <c r="U56" s="55">
        <f>VLOOKUP(U$2&amp;$A56,'Raw'!$A$2:$Z$1225,9,FALSE)</f>
        <v>-5.2507595575960302</v>
      </c>
      <c r="V56" s="56">
        <f>VLOOKUP(V$2&amp;$A56,'Raw'!$A$2:$Z$1225,9,FALSE)</f>
        <v>-7.2952553500453483</v>
      </c>
      <c r="W56" s="55">
        <f>VLOOKUP(W$2&amp;$A56,'Raw'!$A$2:$Z$1225,9,FALSE)</f>
        <v>-1.6970761986518479</v>
      </c>
      <c r="X56" s="56">
        <f>VLOOKUP(X$2&amp;$A56,'Raw'!$A$2:$Z$1225,9,FALSE)</f>
        <v>-1.8420144879940481</v>
      </c>
      <c r="Y56" s="55">
        <f>VLOOKUP(Y$2&amp;$A56,'Raw'!$A$2:$Z$1225,9,FALSE)</f>
        <v>-5.5910315306485607</v>
      </c>
      <c r="Z56" s="56">
        <f>VLOOKUP(Z$2&amp;$A56,'Raw'!$A$2:$Z$1225,9,FALSE)</f>
        <v>-7.180463115431424</v>
      </c>
    </row>
    <row r="57" spans="1:26">
      <c r="A57" s="52">
        <v>54424</v>
      </c>
      <c r="B57" s="53">
        <v>54424</v>
      </c>
      <c r="C57" s="55">
        <f>VLOOKUP(C$2&amp;$A57,'Raw'!$A$2:$Z$1225,9,FALSE)</f>
        <v>-1.3822242254907136</v>
      </c>
      <c r="D57" s="56">
        <f>VLOOKUP(D$2&amp;$A57,'Raw'!$A$2:$Z$1225,9,FALSE)</f>
        <v>-1.6933827322102024</v>
      </c>
      <c r="E57" s="55">
        <f>VLOOKUP(E$2&amp;$A57,'Raw'!$A$2:$Z$1225,9,FALSE)</f>
        <v>-5.6679464129944286</v>
      </c>
      <c r="F57" s="56">
        <f>VLOOKUP(F$2&amp;$A57,'Raw'!$A$2:$Z$1225,9,FALSE)</f>
        <v>-6.5085507514738854</v>
      </c>
      <c r="G57" s="55">
        <f>VLOOKUP(G$2&amp;$A57,'Raw'!$A$2:$Z$1225,9,FALSE)</f>
        <v>-1.4495596636583397</v>
      </c>
      <c r="H57" s="56">
        <f>VLOOKUP(H$2&amp;$A57,'Raw'!$A$2:$Z$1225,9,FALSE)</f>
        <v>-1.5748958369031785</v>
      </c>
      <c r="I57" s="55">
        <f>VLOOKUP(I$2&amp;$A57,'Raw'!$A$2:$Z$1225,9,FALSE)</f>
        <v>-5.0627867695582696</v>
      </c>
      <c r="J57" s="55">
        <f>VLOOKUP(J$2&amp;$A57,'Raw'!$A$2:$Z$1225,9,FALSE)</f>
        <v>-7.0044107490851104</v>
      </c>
      <c r="K57" s="55">
        <f>VLOOKUP(K$2&amp;$A57,'Raw'!$A$2:$Z$1225,9,FALSE)</f>
        <v>-1.4626988092804383</v>
      </c>
      <c r="L57" s="56">
        <f>VLOOKUP(L$2&amp;$A57,'Raw'!$A$2:$Z$1225,9,FALSE)</f>
        <v>-1.6248970801038376</v>
      </c>
      <c r="M57" s="55">
        <f>VLOOKUP(M$2&amp;$A57,'Raw'!$A$2:$Z$1225,9,FALSE)</f>
        <v>-5.3920503191029701</v>
      </c>
      <c r="N57" s="56">
        <f>VLOOKUP(N$2&amp;$A57,'Raw'!$A$2:$Z$1225,9,FALSE)</f>
        <v>-6.9014428044758773</v>
      </c>
      <c r="O57" s="55">
        <f>VLOOKUP(O$2&amp;$A57,'Raw'!$A$2:$Z$1225,9,FALSE)</f>
        <v>-1.497371912374601</v>
      </c>
      <c r="P57" s="56">
        <f>VLOOKUP(P$2&amp;$A57,'Raw'!$A$2:$Z$1225,9,FALSE)</f>
        <v>-1.8197515725486557</v>
      </c>
      <c r="Q57" s="55">
        <f>VLOOKUP(Q$2&amp;$A57,'Raw'!$A$2:$Z$1225,9,FALSE)</f>
        <v>-5.7523133108906226</v>
      </c>
      <c r="R57" s="56">
        <f>VLOOKUP(R$2&amp;$A57,'Raw'!$A$2:$Z$1225,9,FALSE)</f>
        <v>-6.6062086583030588</v>
      </c>
      <c r="S57" s="55">
        <f>VLOOKUP(S$2&amp;$A57,'Raw'!$A$2:$Z$1225,9,FALSE)</f>
        <v>-1.6242842848861794</v>
      </c>
      <c r="T57" s="56">
        <f>VLOOKUP(T$2&amp;$A57,'Raw'!$A$2:$Z$1225,9,FALSE)</f>
        <v>-1.7393605869685191</v>
      </c>
      <c r="U57" s="55">
        <f>VLOOKUP(U$2&amp;$A57,'Raw'!$A$2:$Z$1225,9,FALSE)</f>
        <v>-5.147427884096456</v>
      </c>
      <c r="V57" s="56">
        <f>VLOOKUP(V$2&amp;$A57,'Raw'!$A$2:$Z$1225,9,FALSE)</f>
        <v>-7.1245682572898321</v>
      </c>
      <c r="W57" s="55">
        <f>VLOOKUP(W$2&amp;$A57,'Raw'!$A$2:$Z$1225,9,FALSE)</f>
        <v>-1.6669765565132333</v>
      </c>
      <c r="X57" s="56">
        <f>VLOOKUP(X$2&amp;$A57,'Raw'!$A$2:$Z$1225,9,FALSE)</f>
        <v>-1.8094594293961874</v>
      </c>
      <c r="Y57" s="55">
        <f>VLOOKUP(Y$2&amp;$A57,'Raw'!$A$2:$Z$1225,9,FALSE)</f>
        <v>-5.4807139169945724</v>
      </c>
      <c r="Z57" s="56">
        <f>VLOOKUP(Z$2&amp;$A57,'Raw'!$A$2:$Z$1225,9,FALSE)</f>
        <v>-7.0568228795882533</v>
      </c>
    </row>
    <row r="58" spans="1:26">
      <c r="A58" s="52">
        <v>54789</v>
      </c>
      <c r="B58" s="53">
        <v>54789</v>
      </c>
      <c r="C58" s="55">
        <f>VLOOKUP(C$2&amp;$A58,'Raw'!$A$2:$Z$1225,9,FALSE)</f>
        <v>-1.355722399199788</v>
      </c>
      <c r="D58" s="56">
        <f>VLOOKUP(D$2&amp;$A58,'Raw'!$A$2:$Z$1225,9,FALSE)</f>
        <v>-1.6632797691406576</v>
      </c>
      <c r="E58" s="55">
        <f>VLOOKUP(E$2&amp;$A58,'Raw'!$A$2:$Z$1225,9,FALSE)</f>
        <v>-5.6019701896699576</v>
      </c>
      <c r="F58" s="56">
        <f>VLOOKUP(F$2&amp;$A58,'Raw'!$A$2:$Z$1225,9,FALSE)</f>
        <v>-6.3946057563759702</v>
      </c>
      <c r="G58" s="55">
        <f>VLOOKUP(G$2&amp;$A58,'Raw'!$A$2:$Z$1225,9,FALSE)</f>
        <v>-1.4217316392993284</v>
      </c>
      <c r="H58" s="56">
        <f>VLOOKUP(H$2&amp;$A58,'Raw'!$A$2:$Z$1225,9,FALSE)</f>
        <v>-1.5407784647333944</v>
      </c>
      <c r="I58" s="55">
        <f>VLOOKUP(I$2&amp;$A58,'Raw'!$A$2:$Z$1225,9,FALSE)</f>
        <v>-4.9679160413698238</v>
      </c>
      <c r="J58" s="55">
        <f>VLOOKUP(J$2&amp;$A58,'Raw'!$A$2:$Z$1225,9,FALSE)</f>
        <v>-6.8334171567810191</v>
      </c>
      <c r="K58" s="55">
        <f>VLOOKUP(K$2&amp;$A58,'Raw'!$A$2:$Z$1225,9,FALSE)</f>
        <v>-1.4349851459872554</v>
      </c>
      <c r="L58" s="56">
        <f>VLOOKUP(L$2&amp;$A58,'Raw'!$A$2:$Z$1225,9,FALSE)</f>
        <v>-1.5944863510245044</v>
      </c>
      <c r="M58" s="55">
        <f>VLOOKUP(M$2&amp;$A58,'Raw'!$A$2:$Z$1225,9,FALSE)</f>
        <v>-5.2887635342435679</v>
      </c>
      <c r="N58" s="56">
        <f>VLOOKUP(N$2&amp;$A58,'Raw'!$A$2:$Z$1225,9,FALSE)</f>
        <v>-6.782483838036935</v>
      </c>
      <c r="O58" s="55">
        <f>VLOOKUP(O$2&amp;$A58,'Raw'!$A$2:$Z$1225,9,FALSE)</f>
        <v>-1.4672771722740063</v>
      </c>
      <c r="P58" s="56">
        <f>VLOOKUP(P$2&amp;$A58,'Raw'!$A$2:$Z$1225,9,FALSE)</f>
        <v>-1.7884639809863101</v>
      </c>
      <c r="Q58" s="55">
        <f>VLOOKUP(Q$2&amp;$A58,'Raw'!$A$2:$Z$1225,9,FALSE)</f>
        <v>-5.6805169014359169</v>
      </c>
      <c r="R58" s="56">
        <f>VLOOKUP(R$2&amp;$A58,'Raw'!$A$2:$Z$1225,9,FALSE)</f>
        <v>-6.4891600310416848</v>
      </c>
      <c r="S58" s="55">
        <f>VLOOKUP(S$2&amp;$A58,'Raw'!$A$2:$Z$1225,9,FALSE)</f>
        <v>-1.5945767525438304</v>
      </c>
      <c r="T58" s="56">
        <f>VLOOKUP(T$2&amp;$A58,'Raw'!$A$2:$Z$1225,9,FALSE)</f>
        <v>-1.7033399534676308</v>
      </c>
      <c r="U58" s="55">
        <f>VLOOKUP(U$2&amp;$A58,'Raw'!$A$2:$Z$1225,9,FALSE)</f>
        <v>-5.0486636645646126</v>
      </c>
      <c r="V58" s="56">
        <f>VLOOKUP(V$2&amp;$A58,'Raw'!$A$2:$Z$1225,9,FALSE)</f>
        <v>-6.9520832105409163</v>
      </c>
      <c r="W58" s="55">
        <f>VLOOKUP(W$2&amp;$A58,'Raw'!$A$2:$Z$1225,9,FALSE)</f>
        <v>-1.6373546149296314</v>
      </c>
      <c r="X58" s="56">
        <f>VLOOKUP(X$2&amp;$A58,'Raw'!$A$2:$Z$1225,9,FALSE)</f>
        <v>-1.7777919134553621</v>
      </c>
      <c r="Y58" s="55">
        <f>VLOOKUP(Y$2&amp;$A58,'Raw'!$A$2:$Z$1225,9,FALSE)</f>
        <v>-5.3739932598489411</v>
      </c>
      <c r="Z58" s="56">
        <f>VLOOKUP(Z$2&amp;$A58,'Raw'!$A$2:$Z$1225,9,FALSE)</f>
        <v>-6.9340098054792021</v>
      </c>
    </row>
    <row r="59" spans="1:26">
      <c r="V59" s="56"/>
    </row>
  </sheetData>
  <mergeCells count="20">
    <mergeCell ref="Y5:Z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C3:N3"/>
    <mergeCell ref="O3:Z3"/>
    <mergeCell ref="C4:F4"/>
    <mergeCell ref="G4:J4"/>
    <mergeCell ref="K4:N4"/>
    <mergeCell ref="O4:R4"/>
    <mergeCell ref="S4:V4"/>
    <mergeCell ref="W4:Z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opLeftCell="A14" zoomScale="70" zoomScaleNormal="70" workbookViewId="0">
      <selection activeCell="M21" sqref="M21"/>
    </sheetView>
  </sheetViews>
  <sheetFormatPr baseColWidth="10" defaultColWidth="11.453125" defaultRowHeight="14.5"/>
  <cols>
    <col min="1" max="2" width="18.453125" style="2" customWidth="1"/>
    <col min="3" max="3" width="20.453125" style="2" customWidth="1"/>
    <col min="4" max="11" width="11.453125" style="2"/>
    <col min="12" max="12" width="14.54296875" style="2" bestFit="1" customWidth="1"/>
    <col min="13" max="16384" width="11.453125" style="2"/>
  </cols>
  <sheetData>
    <row r="1" spans="1:13">
      <c r="A1" s="81" t="s">
        <v>25</v>
      </c>
      <c r="B1" s="81"/>
      <c r="C1" s="81"/>
      <c r="D1" s="81"/>
      <c r="E1" s="82"/>
      <c r="F1" s="83" t="s">
        <v>26</v>
      </c>
      <c r="G1" s="84"/>
      <c r="H1" s="85" t="s">
        <v>27</v>
      </c>
      <c r="I1" s="85"/>
      <c r="J1" s="86" t="s">
        <v>28</v>
      </c>
      <c r="K1" s="86"/>
      <c r="L1" s="80" t="s">
        <v>141</v>
      </c>
      <c r="M1" s="80"/>
    </row>
    <row r="2" spans="1:13" ht="39">
      <c r="A2" s="3" t="s">
        <v>29</v>
      </c>
      <c r="B2" s="4" t="s">
        <v>30</v>
      </c>
      <c r="C2" s="18" t="s">
        <v>31</v>
      </c>
      <c r="D2" s="4" t="s">
        <v>32</v>
      </c>
      <c r="E2" s="5" t="s">
        <v>33</v>
      </c>
      <c r="F2" s="7" t="s">
        <v>137</v>
      </c>
      <c r="G2" s="7" t="s">
        <v>138</v>
      </c>
      <c r="H2" s="7" t="s">
        <v>137</v>
      </c>
      <c r="I2" s="7" t="s">
        <v>138</v>
      </c>
      <c r="J2" s="7" t="s">
        <v>137</v>
      </c>
      <c r="K2" s="7" t="s">
        <v>138</v>
      </c>
      <c r="L2" s="48" t="s">
        <v>142</v>
      </c>
      <c r="M2" s="48" t="s">
        <v>143</v>
      </c>
    </row>
    <row r="3" spans="1:13" ht="23.15" customHeight="1">
      <c r="A3" s="87" t="s">
        <v>34</v>
      </c>
      <c r="B3" s="90" t="s">
        <v>130</v>
      </c>
      <c r="C3" s="90" t="s">
        <v>132</v>
      </c>
      <c r="D3" s="92" t="s">
        <v>135</v>
      </c>
      <c r="E3" s="28">
        <v>0.6</v>
      </c>
      <c r="F3" s="31">
        <f>'Raw'!G573</f>
        <v>-1.2550694091228998E-3</v>
      </c>
      <c r="G3" s="35">
        <f>'Raw'!G613</f>
        <v>-2.0839506793324247E-3</v>
      </c>
      <c r="H3" s="29">
        <f>'Raw'!H573</f>
        <v>40.340720000000147</v>
      </c>
      <c r="I3" s="35">
        <f>'Raw'!H613</f>
        <v>13.520870000000286</v>
      </c>
      <c r="J3" s="31">
        <f>'Raw'!I573</f>
        <v>-2.7490331075876506</v>
      </c>
      <c r="K3" s="33">
        <f>'Raw'!I613</f>
        <v>-1.355722399199788</v>
      </c>
      <c r="L3" s="49" t="s">
        <v>144</v>
      </c>
      <c r="M3" s="49" t="s">
        <v>144</v>
      </c>
    </row>
    <row r="4" spans="1:13" ht="23.15" customHeight="1">
      <c r="A4" s="88"/>
      <c r="B4" s="91"/>
      <c r="C4" s="91"/>
      <c r="D4" s="93"/>
      <c r="E4" s="6">
        <v>2</v>
      </c>
      <c r="F4" s="32">
        <f>'Raw'!G522</f>
        <v>-0.39843166776846184</v>
      </c>
      <c r="G4" s="36">
        <f>'Raw'!G562</f>
        <v>-0.17885162719704084</v>
      </c>
      <c r="H4" s="27">
        <f>'Raw'!H522</f>
        <v>-75.387419999999111</v>
      </c>
      <c r="I4" s="36">
        <f>'Raw'!H562</f>
        <v>-43.003189999999449</v>
      </c>
      <c r="J4" s="32">
        <f>'Raw'!I522</f>
        <v>-3.3299709957429591</v>
      </c>
      <c r="K4" s="34">
        <f>'Raw'!I562</f>
        <v>-1.6632797691406576</v>
      </c>
      <c r="L4" s="49" t="s">
        <v>144</v>
      </c>
      <c r="M4" s="49" t="s">
        <v>144</v>
      </c>
    </row>
    <row r="5" spans="1:13" ht="23.15" customHeight="1">
      <c r="A5" s="88"/>
      <c r="B5" s="91"/>
      <c r="C5" s="91"/>
      <c r="D5" s="92" t="s">
        <v>136</v>
      </c>
      <c r="E5" s="28">
        <v>0.6</v>
      </c>
      <c r="F5" s="31">
        <f>'Raw'!G471</f>
        <v>1.205831698776394</v>
      </c>
      <c r="G5" s="37">
        <f>'Raw'!G511</f>
        <v>0.39419209249444975</v>
      </c>
      <c r="H5" s="29">
        <f>'Raw'!H471</f>
        <v>307.47118000000046</v>
      </c>
      <c r="I5" s="37">
        <f>'Raw'!H511</f>
        <v>120.14002999999866</v>
      </c>
      <c r="J5" s="31">
        <f>'Raw'!I471</f>
        <v>-11.061342663207929</v>
      </c>
      <c r="K5" s="33">
        <f>'Raw'!I511</f>
        <v>-5.6019701896699576</v>
      </c>
      <c r="L5" s="50" t="s">
        <v>145</v>
      </c>
      <c r="M5" s="50" t="s">
        <v>145</v>
      </c>
    </row>
    <row r="6" spans="1:13" ht="23.15" customHeight="1">
      <c r="A6" s="88"/>
      <c r="B6" s="91"/>
      <c r="C6" s="81"/>
      <c r="D6" s="93"/>
      <c r="E6" s="6">
        <v>2</v>
      </c>
      <c r="F6" s="32">
        <f>'Raw'!G420</f>
        <v>0.16304985983131015</v>
      </c>
      <c r="G6" s="36">
        <f>'Raw'!G460</f>
        <v>0.22326130832472924</v>
      </c>
      <c r="H6" s="27">
        <f>'Raw'!H420</f>
        <v>0.3784300000006624</v>
      </c>
      <c r="I6" s="36">
        <f>'Raw'!H460</f>
        <v>53.487569999997504</v>
      </c>
      <c r="J6" s="32">
        <f>'Raw'!I420</f>
        <v>-13.027904579585137</v>
      </c>
      <c r="K6" s="34">
        <f>'Raw'!I460</f>
        <v>-6.3946057563759702</v>
      </c>
      <c r="L6" s="50" t="s">
        <v>145</v>
      </c>
      <c r="M6" s="50" t="s">
        <v>145</v>
      </c>
    </row>
    <row r="7" spans="1:13" ht="23.15" customHeight="1">
      <c r="A7" s="88"/>
      <c r="B7" s="91"/>
      <c r="C7" s="94" t="s">
        <v>133</v>
      </c>
      <c r="D7" s="92" t="s">
        <v>135</v>
      </c>
      <c r="E7" s="28">
        <v>0.6</v>
      </c>
      <c r="F7" s="33">
        <f>'Raw'!G369</f>
        <v>3.7947500351531716E-2</v>
      </c>
      <c r="G7" s="38">
        <f>'Raw'!G409</f>
        <v>-3.460935028188894E-2</v>
      </c>
      <c r="H7" s="30">
        <f>'Raw'!H369</f>
        <v>55.61598000000231</v>
      </c>
      <c r="I7" s="38">
        <f>'Raw'!H409</f>
        <v>1.9657299999962561</v>
      </c>
      <c r="J7" s="33">
        <f>'Raw'!I369</f>
        <v>-2.7743723084300065</v>
      </c>
      <c r="K7" s="33">
        <f>'Raw'!I409</f>
        <v>-1.4217316392993284</v>
      </c>
      <c r="L7" s="50" t="s">
        <v>145</v>
      </c>
      <c r="M7" s="49" t="s">
        <v>144</v>
      </c>
    </row>
    <row r="8" spans="1:13" ht="23.15" customHeight="1">
      <c r="A8" s="88"/>
      <c r="B8" s="91"/>
      <c r="C8" s="91"/>
      <c r="D8" s="93"/>
      <c r="E8" s="6">
        <v>2</v>
      </c>
      <c r="F8" s="34">
        <f>'Raw'!G318</f>
        <v>-0.48759967938840632</v>
      </c>
      <c r="G8" s="39">
        <f>'Raw'!G358</f>
        <v>-2.1464766985923589E-2</v>
      </c>
      <c r="H8" s="26">
        <f>'Raw'!H318</f>
        <v>-102.29471000000194</v>
      </c>
      <c r="I8" s="39">
        <f>'Raw'!H358</f>
        <v>29.636199999993551</v>
      </c>
      <c r="J8" s="34">
        <f>'Raw'!I318</f>
        <v>-3.4726707577042326</v>
      </c>
      <c r="K8" s="34">
        <f>'Raw'!I358</f>
        <v>-1.5407784647333944</v>
      </c>
      <c r="L8" s="49" t="s">
        <v>144</v>
      </c>
      <c r="M8" s="49" t="s">
        <v>144</v>
      </c>
    </row>
    <row r="9" spans="1:13" ht="23.15" customHeight="1">
      <c r="A9" s="88"/>
      <c r="B9" s="91"/>
      <c r="C9" s="91"/>
      <c r="D9" s="92" t="s">
        <v>136</v>
      </c>
      <c r="E9" s="28">
        <v>0.6</v>
      </c>
      <c r="F9" s="33">
        <f>'Raw'!G267</f>
        <v>1.24793071716367</v>
      </c>
      <c r="G9" s="38">
        <f>'Raw'!G307</f>
        <v>0.25266444122524767</v>
      </c>
      <c r="H9" s="30">
        <f>'Raw'!H267</f>
        <v>320.34879999999976</v>
      </c>
      <c r="I9" s="38">
        <f>'Raw'!H307</f>
        <v>-42.796750000001339</v>
      </c>
      <c r="J9" s="33">
        <f>'Raw'!I267</f>
        <v>-10.679720228529455</v>
      </c>
      <c r="K9" s="33">
        <f>'Raw'!I307</f>
        <v>-4.9679160413698238</v>
      </c>
      <c r="L9" s="50" t="s">
        <v>145</v>
      </c>
      <c r="M9" s="50" t="s">
        <v>145</v>
      </c>
    </row>
    <row r="10" spans="1:13" ht="23.15" customHeight="1">
      <c r="A10" s="88"/>
      <c r="B10" s="91"/>
      <c r="C10" s="81"/>
      <c r="D10" s="93"/>
      <c r="E10" s="6">
        <v>2</v>
      </c>
      <c r="F10" s="34">
        <f>'Raw'!G216</f>
        <v>-0.16361931881748726</v>
      </c>
      <c r="G10" s="39">
        <f>'Raw'!G256</f>
        <v>0.14381470747850678</v>
      </c>
      <c r="H10" s="26">
        <f>'Raw'!H216</f>
        <v>-96.910090000001219</v>
      </c>
      <c r="I10" s="39">
        <f>'Raw'!H256</f>
        <v>11.575430000004417</v>
      </c>
      <c r="J10" s="34">
        <f>'Raw'!I216</f>
        <v>-13.434131034862462</v>
      </c>
      <c r="K10" s="34">
        <f>'Raw'!I256</f>
        <v>-6.8334171567810191</v>
      </c>
      <c r="L10" s="49" t="s">
        <v>144</v>
      </c>
      <c r="M10" s="50" t="s">
        <v>145</v>
      </c>
    </row>
    <row r="11" spans="1:13" ht="23.15" customHeight="1">
      <c r="A11" s="88"/>
      <c r="B11" s="91"/>
      <c r="C11" s="90" t="s">
        <v>134</v>
      </c>
      <c r="D11" s="92" t="s">
        <v>135</v>
      </c>
      <c r="E11" s="28">
        <v>0.6</v>
      </c>
      <c r="F11" s="33">
        <f>'Raw'!G165</f>
        <v>2.7176619306734651E-2</v>
      </c>
      <c r="G11" s="40">
        <f>'Raw'!G205</f>
        <v>-2.2368400658134835E-2</v>
      </c>
      <c r="H11" s="30">
        <f>'Raw'!H165</f>
        <v>55.858130000000529</v>
      </c>
      <c r="I11" s="38">
        <f>'Raw'!H205</f>
        <v>26.020720000000438</v>
      </c>
      <c r="J11" s="33">
        <f>'Raw'!I165</f>
        <v>-2.8114090396685443</v>
      </c>
      <c r="K11" s="33">
        <f>'Raw'!I205</f>
        <v>-1.4349851459872554</v>
      </c>
      <c r="L11" s="50" t="s">
        <v>145</v>
      </c>
      <c r="M11" s="49" t="s">
        <v>144</v>
      </c>
    </row>
    <row r="12" spans="1:13" ht="23.15" customHeight="1">
      <c r="A12" s="88"/>
      <c r="B12" s="91"/>
      <c r="C12" s="91"/>
      <c r="D12" s="93"/>
      <c r="E12" s="6">
        <v>2</v>
      </c>
      <c r="F12" s="34">
        <f>'Raw'!G114</f>
        <v>-0.4702002653727666</v>
      </c>
      <c r="G12" s="41">
        <f>'Raw'!G154</f>
        <v>-7.4260871731313127E-2</v>
      </c>
      <c r="H12" s="26">
        <f>'Raw'!H114</f>
        <v>-95.672230000000127</v>
      </c>
      <c r="I12" s="39">
        <f>'Raw'!H154</f>
        <v>13.743549999999232</v>
      </c>
      <c r="J12" s="34">
        <f>'Raw'!I114</f>
        <v>-3.4573497245000806</v>
      </c>
      <c r="K12" s="34">
        <f>'Raw'!I154</f>
        <v>-1.5944863510245044</v>
      </c>
      <c r="L12" s="49" t="s">
        <v>144</v>
      </c>
      <c r="M12" s="49" t="s">
        <v>144</v>
      </c>
    </row>
    <row r="13" spans="1:13" ht="23.15" customHeight="1">
      <c r="A13" s="88"/>
      <c r="B13" s="91"/>
      <c r="C13" s="91"/>
      <c r="D13" s="92" t="s">
        <v>136</v>
      </c>
      <c r="E13" s="28">
        <v>0.6</v>
      </c>
      <c r="F13" s="33">
        <f>'Raw'!G63</f>
        <v>1.2294835668017479</v>
      </c>
      <c r="G13" s="40">
        <f>'Raw'!G103</f>
        <v>0.29266794661404472</v>
      </c>
      <c r="H13" s="30">
        <f>'Raw'!H63</f>
        <v>323.70054999999775</v>
      </c>
      <c r="I13" s="38">
        <f>'Raw'!H103</f>
        <v>12.772949999998673</v>
      </c>
      <c r="J13" s="33">
        <f>'Raw'!I63</f>
        <v>-10.925081858522301</v>
      </c>
      <c r="K13" s="33">
        <f>'Raw'!I103</f>
        <v>-5.2887635342435679</v>
      </c>
      <c r="L13" s="50" t="s">
        <v>145</v>
      </c>
      <c r="M13" s="50" t="s">
        <v>145</v>
      </c>
    </row>
    <row r="14" spans="1:13" ht="23.15" customHeight="1">
      <c r="A14" s="88"/>
      <c r="B14" s="81"/>
      <c r="C14" s="81"/>
      <c r="D14" s="93"/>
      <c r="E14" s="6">
        <v>2</v>
      </c>
      <c r="F14" s="34">
        <f>'Raw'!G12</f>
        <v>-8.5714112888501948E-2</v>
      </c>
      <c r="G14" s="41">
        <f>'Raw'!G52</f>
        <v>0.13820538439877073</v>
      </c>
      <c r="H14" s="26">
        <f>'Raw'!H12</f>
        <v>-68.610860000000685</v>
      </c>
      <c r="I14" s="39">
        <f>'Raw'!H52</f>
        <v>31.575529999994615</v>
      </c>
      <c r="J14" s="34">
        <f>'Raw'!I12</f>
        <v>-13.386621069586614</v>
      </c>
      <c r="K14" s="34">
        <f>'Raw'!I52</f>
        <v>-6.782483838036935</v>
      </c>
      <c r="L14" s="49" t="s">
        <v>144</v>
      </c>
      <c r="M14" s="50" t="s">
        <v>145</v>
      </c>
    </row>
    <row r="15" spans="1:13" ht="23.15" customHeight="1">
      <c r="A15" s="88"/>
      <c r="B15" s="94" t="s">
        <v>131</v>
      </c>
      <c r="C15" s="94" t="s">
        <v>132</v>
      </c>
      <c r="D15" s="92" t="s">
        <v>135</v>
      </c>
      <c r="E15" s="28">
        <v>0.6</v>
      </c>
      <c r="F15" s="33">
        <f>'Raw'!G1185</f>
        <v>-8.2343573971255246E-2</v>
      </c>
      <c r="G15" s="38">
        <f>'Raw'!G1225</f>
        <v>-3.5647229680701997E-2</v>
      </c>
      <c r="H15" s="30">
        <f>'Raw'!H1185</f>
        <v>41.142029999999068</v>
      </c>
      <c r="I15" s="38">
        <f>'Raw'!H1225</f>
        <v>13.901529999999184</v>
      </c>
      <c r="J15" s="33">
        <f>'Raw'!I1185</f>
        <v>-2.9782837035949083</v>
      </c>
      <c r="K15" s="33">
        <f>'Raw'!I1225</f>
        <v>-1.4672771722740063</v>
      </c>
      <c r="L15" s="49" t="s">
        <v>144</v>
      </c>
      <c r="M15" s="49" t="s">
        <v>144</v>
      </c>
    </row>
    <row r="16" spans="1:13" ht="23.15" customHeight="1">
      <c r="A16" s="88"/>
      <c r="B16" s="90"/>
      <c r="C16" s="91"/>
      <c r="D16" s="93"/>
      <c r="E16" s="6">
        <v>2</v>
      </c>
      <c r="F16" s="34">
        <f>'Raw'!G1134</f>
        <v>-0.46269456123897434</v>
      </c>
      <c r="G16" s="39">
        <f>'Raw'!G1174</f>
        <v>-0.22486338967598885</v>
      </c>
      <c r="H16" s="26">
        <f>'Raw'!H1134</f>
        <v>-70.186919999996462</v>
      </c>
      <c r="I16" s="39">
        <f>'Raw'!H1174</f>
        <v>-46.297860000002402</v>
      </c>
      <c r="J16" s="34">
        <f>'Raw'!I1134</f>
        <v>-3.5366615393710665</v>
      </c>
      <c r="K16" s="34">
        <f>'Raw'!I1174</f>
        <v>-1.7884639809863101</v>
      </c>
      <c r="L16" s="49" t="s">
        <v>144</v>
      </c>
      <c r="M16" s="49" t="s">
        <v>144</v>
      </c>
    </row>
    <row r="17" spans="1:13" ht="23.15" customHeight="1">
      <c r="A17" s="88"/>
      <c r="B17" s="90"/>
      <c r="C17" s="91"/>
      <c r="D17" s="92" t="s">
        <v>136</v>
      </c>
      <c r="E17" s="28">
        <v>0.6</v>
      </c>
      <c r="F17" s="33">
        <f>'Raw'!G1083</f>
        <v>1.1285046870866511</v>
      </c>
      <c r="G17" s="38">
        <f>'Raw'!G1123</f>
        <v>0.36148764179566584</v>
      </c>
      <c r="H17" s="30">
        <f>'Raw'!H1083</f>
        <v>306.7919699999984</v>
      </c>
      <c r="I17" s="38">
        <f>'Raw'!H1123</f>
        <v>120.25274999999965</v>
      </c>
      <c r="J17" s="33">
        <f>'Raw'!I1083</f>
        <v>-11.246783187299425</v>
      </c>
      <c r="K17" s="33">
        <f>'Raw'!I1123</f>
        <v>-5.6805169014359169</v>
      </c>
      <c r="L17" s="50" t="s">
        <v>145</v>
      </c>
      <c r="M17" s="50" t="s">
        <v>145</v>
      </c>
    </row>
    <row r="18" spans="1:13" ht="23.15" customHeight="1">
      <c r="A18" s="88"/>
      <c r="B18" s="90"/>
      <c r="C18" s="81"/>
      <c r="D18" s="93"/>
      <c r="E18" s="6">
        <v>2</v>
      </c>
      <c r="F18" s="34">
        <f>'Raw'!G1032</f>
        <v>0.10249085087168375</v>
      </c>
      <c r="G18" s="39">
        <f>'Raw'!G1072</f>
        <v>0.17870841356879552</v>
      </c>
      <c r="H18" s="26">
        <f>'Raw'!H1032</f>
        <v>3.973680000002787</v>
      </c>
      <c r="I18" s="39">
        <f>'Raw'!H1072</f>
        <v>50.029279999998835</v>
      </c>
      <c r="J18" s="34">
        <f>'Raw'!I1032</f>
        <v>-13.181184758939434</v>
      </c>
      <c r="K18" s="34">
        <f>'Raw'!I1072</f>
        <v>-6.4891600310416848</v>
      </c>
      <c r="L18" s="50" t="s">
        <v>145</v>
      </c>
      <c r="M18" s="50" t="s">
        <v>145</v>
      </c>
    </row>
    <row r="19" spans="1:13" ht="23.15" customHeight="1">
      <c r="A19" s="88"/>
      <c r="B19" s="90"/>
      <c r="C19" s="94" t="s">
        <v>133</v>
      </c>
      <c r="D19" s="92" t="s">
        <v>135</v>
      </c>
      <c r="E19" s="28">
        <v>0.6</v>
      </c>
      <c r="F19" s="33">
        <f>'Raw'!G981</f>
        <v>-4.5193716564972952E-2</v>
      </c>
      <c r="G19" s="38">
        <f>'Raw'!G1021</f>
        <v>-0.11369894005810455</v>
      </c>
      <c r="H19" s="30">
        <f>'Raw'!H981</f>
        <v>61.515570000003208</v>
      </c>
      <c r="I19" s="38">
        <f>'Raw'!H1021</f>
        <v>-2.6014399999985471</v>
      </c>
      <c r="J19" s="33">
        <f>'Raw'!I981</f>
        <v>-3.0249268972800225</v>
      </c>
      <c r="K19" s="33">
        <f>'Raw'!I1021</f>
        <v>-1.5945767525438304</v>
      </c>
      <c r="L19" s="49" t="s">
        <v>144</v>
      </c>
      <c r="M19" s="49" t="s">
        <v>144</v>
      </c>
    </row>
    <row r="20" spans="1:13" ht="23.15" customHeight="1">
      <c r="A20" s="88"/>
      <c r="B20" s="90"/>
      <c r="C20" s="91"/>
      <c r="D20" s="93"/>
      <c r="E20" s="6">
        <v>2</v>
      </c>
      <c r="F20" s="34">
        <f>'Raw'!G930</f>
        <v>-0.56879589080169879</v>
      </c>
      <c r="G20" s="39">
        <f>'Raw'!G970</f>
        <v>-8.6717533076940967E-2</v>
      </c>
      <c r="H20" s="26">
        <f>'Raw'!H930</f>
        <v>-95.819740000002639</v>
      </c>
      <c r="I20" s="39">
        <f>'Raw'!H970</f>
        <v>23.987339999999676</v>
      </c>
      <c r="J20" s="34">
        <f>'Raw'!I930</f>
        <v>-3.7117832846803922</v>
      </c>
      <c r="K20" s="34">
        <f>'Raw'!I970</f>
        <v>-1.7033399534676308</v>
      </c>
      <c r="L20" s="49" t="s">
        <v>144</v>
      </c>
      <c r="M20" s="49" t="s">
        <v>144</v>
      </c>
    </row>
    <row r="21" spans="1:13" ht="23.15" customHeight="1">
      <c r="A21" s="88"/>
      <c r="B21" s="90"/>
      <c r="C21" s="91"/>
      <c r="D21" s="92" t="s">
        <v>136</v>
      </c>
      <c r="E21" s="28">
        <v>0.6</v>
      </c>
      <c r="F21" s="33">
        <f>'Raw'!G879</f>
        <v>1.1657629627185528</v>
      </c>
      <c r="G21" s="38">
        <f>'Raw'!G919</f>
        <v>0.18530322979957159</v>
      </c>
      <c r="H21" s="30">
        <f>'Raw'!H879</f>
        <v>321.96312000000034</v>
      </c>
      <c r="I21" s="38">
        <f>'Raw'!H919</f>
        <v>-46.501620000002731</v>
      </c>
      <c r="J21" s="33">
        <f>'Raw'!I879</f>
        <v>-10.851638824906152</v>
      </c>
      <c r="K21" s="33">
        <f>'Raw'!I919</f>
        <v>-5.0486636645646126</v>
      </c>
      <c r="L21" s="50" t="s">
        <v>145</v>
      </c>
      <c r="M21" s="50" t="s">
        <v>145</v>
      </c>
    </row>
    <row r="22" spans="1:13" ht="23.15" customHeight="1">
      <c r="A22" s="88"/>
      <c r="B22" s="90"/>
      <c r="C22" s="81"/>
      <c r="D22" s="93"/>
      <c r="E22" s="6">
        <v>2</v>
      </c>
      <c r="F22" s="34">
        <f>'Raw'!G828</f>
        <v>-0.23976287636355842</v>
      </c>
      <c r="G22" s="39">
        <f>'Raw'!G868</f>
        <v>8.549161697435359E-2</v>
      </c>
      <c r="H22" s="26">
        <f>'Raw'!H828</f>
        <v>-93.303560000000289</v>
      </c>
      <c r="I22" s="39">
        <f>'Raw'!H868</f>
        <v>8.5403600000063307</v>
      </c>
      <c r="J22" s="34">
        <f>'Raw'!I828</f>
        <v>-13.595838117689052</v>
      </c>
      <c r="K22" s="34">
        <f>'Raw'!I868</f>
        <v>-6.9520832105409163</v>
      </c>
      <c r="L22" s="49" t="s">
        <v>144</v>
      </c>
      <c r="M22" s="50" t="s">
        <v>145</v>
      </c>
    </row>
    <row r="23" spans="1:13" ht="23.15" customHeight="1">
      <c r="A23" s="88"/>
      <c r="B23" s="90"/>
      <c r="C23" s="90" t="s">
        <v>134</v>
      </c>
      <c r="D23" s="92" t="s">
        <v>135</v>
      </c>
      <c r="E23" s="28">
        <v>0.6</v>
      </c>
      <c r="F23" s="33">
        <f>'Raw'!G777</f>
        <v>-5.7551166532954223E-2</v>
      </c>
      <c r="G23" s="38">
        <f>'Raw'!G817</f>
        <v>-9.8861435917230178E-2</v>
      </c>
      <c r="H23" s="30">
        <f>'Raw'!H777</f>
        <v>61.859449999999924</v>
      </c>
      <c r="I23" s="38">
        <f>'Raw'!H817</f>
        <v>38.397000000004482</v>
      </c>
      <c r="J23" s="33">
        <f>'Raw'!I777</f>
        <v>-3.0678370189315629</v>
      </c>
      <c r="K23" s="33">
        <f>'Raw'!I817</f>
        <v>-1.6373546149296314</v>
      </c>
      <c r="L23" s="49" t="s">
        <v>144</v>
      </c>
      <c r="M23" s="49" t="s">
        <v>144</v>
      </c>
    </row>
    <row r="24" spans="1:13" ht="23.15" customHeight="1">
      <c r="A24" s="88"/>
      <c r="B24" s="90"/>
      <c r="C24" s="91"/>
      <c r="D24" s="93"/>
      <c r="E24" s="6">
        <v>2</v>
      </c>
      <c r="F24" s="34">
        <f>'Raw'!G726</f>
        <v>-0.54218603591208447</v>
      </c>
      <c r="G24" s="39">
        <f>'Raw'!G766</f>
        <v>-0.15081669367371653</v>
      </c>
      <c r="H24" s="26">
        <f>'Raw'!H726</f>
        <v>-85.633399999998801</v>
      </c>
      <c r="I24" s="39">
        <f>'Raw'!H766</f>
        <v>8.2886300000027404</v>
      </c>
      <c r="J24" s="34">
        <f>'Raw'!I726</f>
        <v>-3.6902900323068089</v>
      </c>
      <c r="K24" s="34">
        <f>'Raw'!I766</f>
        <v>-1.7777919134553621</v>
      </c>
      <c r="L24" s="49" t="s">
        <v>144</v>
      </c>
      <c r="M24" s="49" t="s">
        <v>144</v>
      </c>
    </row>
    <row r="25" spans="1:13" ht="23.15" customHeight="1">
      <c r="A25" s="88"/>
      <c r="B25" s="90"/>
      <c r="C25" s="91"/>
      <c r="D25" s="92" t="s">
        <v>136</v>
      </c>
      <c r="E25" s="28">
        <v>0.6</v>
      </c>
      <c r="F25" s="33">
        <f>'Raw'!G675</f>
        <v>1.1468688471778954</v>
      </c>
      <c r="G25" s="38">
        <f>'Raw'!G715</f>
        <v>0.22220074384060595</v>
      </c>
      <c r="H25" s="30">
        <f>'Raw'!H675</f>
        <v>325.68780999999944</v>
      </c>
      <c r="I25" s="38">
        <f>'Raw'!H715</f>
        <v>16.497859999995853</v>
      </c>
      <c r="J25" s="33">
        <f>'Raw'!I675</f>
        <v>-11.10637007889247</v>
      </c>
      <c r="K25" s="33">
        <f>'Raw'!I715</f>
        <v>-5.3739932598489411</v>
      </c>
      <c r="L25" s="50" t="s">
        <v>145</v>
      </c>
      <c r="M25" s="50" t="s">
        <v>145</v>
      </c>
    </row>
    <row r="26" spans="1:13" ht="23.15" customHeight="1">
      <c r="A26" s="89"/>
      <c r="B26" s="95"/>
      <c r="C26" s="81"/>
      <c r="D26" s="93"/>
      <c r="E26" s="6">
        <v>2</v>
      </c>
      <c r="F26" s="45">
        <f>'Raw'!G624</f>
        <v>-0.1536855595901554</v>
      </c>
      <c r="G26" s="42">
        <f>'Raw'!G664</f>
        <v>6.4385248843978893E-2</v>
      </c>
      <c r="H26" s="43">
        <f>'Raw'!H624</f>
        <v>-61.804140000000189</v>
      </c>
      <c r="I26" s="42">
        <f>'Raw'!H664</f>
        <v>27.004789999999048</v>
      </c>
      <c r="J26" s="44">
        <f>'Raw'!I624</f>
        <v>-13.545036209141269</v>
      </c>
      <c r="K26" s="44">
        <f>'Raw'!I664</f>
        <v>-6.9340098054792021</v>
      </c>
      <c r="L26" s="49" t="s">
        <v>144</v>
      </c>
      <c r="M26" s="50" t="s">
        <v>145</v>
      </c>
    </row>
  </sheetData>
  <mergeCells count="26">
    <mergeCell ref="D15:D16"/>
    <mergeCell ref="D17:D18"/>
    <mergeCell ref="C19:C22"/>
    <mergeCell ref="D19:D20"/>
    <mergeCell ref="D21:D22"/>
    <mergeCell ref="A3:A26"/>
    <mergeCell ref="B3:B14"/>
    <mergeCell ref="C3:C6"/>
    <mergeCell ref="D3:D4"/>
    <mergeCell ref="D5:D6"/>
    <mergeCell ref="C7:C10"/>
    <mergeCell ref="D7:D8"/>
    <mergeCell ref="D9:D10"/>
    <mergeCell ref="C11:C14"/>
    <mergeCell ref="D11:D12"/>
    <mergeCell ref="D13:D14"/>
    <mergeCell ref="C23:C26"/>
    <mergeCell ref="D23:D24"/>
    <mergeCell ref="D25:D26"/>
    <mergeCell ref="B15:B26"/>
    <mergeCell ref="C15:C18"/>
    <mergeCell ref="L1:M1"/>
    <mergeCell ref="A1:E1"/>
    <mergeCell ref="F1:G1"/>
    <mergeCell ref="H1:I1"/>
    <mergeCell ref="J1:K1"/>
  </mergeCells>
  <conditionalFormatting sqref="L3:L2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{17A817E8-856E-884A-8984-DDDD05703D0C}</x14:id>
        </ext>
      </extLst>
    </cfRule>
    <cfRule type="colorScale" priority="16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{5CD627EB-8E23-4BD8-8C13-2926D4A739B8}</x14:id>
        </ext>
      </extLst>
    </cfRule>
    <cfRule type="colorScale" priority="14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{1B554815-76D7-4C6B-9C4C-7F3EF16B5C07}</x14:id>
        </ext>
      </extLst>
    </cfRule>
    <cfRule type="colorScale" priority="12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{9B33EF19-EF9D-4BBD-B80A-418C2EE99E0E}</x14:id>
        </ext>
      </extLst>
    </cfRule>
    <cfRule type="colorScale" priority="10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{C0507BFD-41FE-4FDC-BD69-FAE8F0CA767D}</x14:id>
        </ext>
      </extLst>
    </cfRule>
    <cfRule type="colorScale" priority="8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2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{6937D89F-2A9D-410A-B29E-952B194B0B1D}</x14:id>
        </ext>
      </extLst>
    </cfRule>
    <cfRule type="colorScale" priority="6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{42A0C7A7-F860-4921-9D66-D6238513E18B}</x14:id>
        </ext>
      </extLst>
    </cfRule>
    <cfRule type="colorScale" priority="4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M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{110076FB-47C3-4DDD-8DE2-4F0352B0ADB7}</x14:id>
        </ext>
      </extLst>
    </cfRule>
    <cfRule type="colorScale" priority="2">
      <colorScale>
        <cfvo type="formula" val="&quot;yes&quot;"/>
        <cfvo type="formula" val="&quot;no&quot;"/>
        <color rgb="FF00B050"/>
        <color rgb="FFFF0000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A817E8-856E-884A-8984-DDDD05703D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L3:L26</xm:sqref>
        </x14:conditionalFormatting>
        <x14:conditionalFormatting xmlns:xm="http://schemas.microsoft.com/office/excel/2006/main">
          <x14:cfRule type="dataBar" id="{5CD627EB-8E23-4BD8-8C13-2926D4A73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B554815-76D7-4C6B-9C4C-7F3EF16B5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9B33EF19-EF9D-4BBD-B80A-418C2EE99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0507BFD-41FE-4FDC-BD69-FAE8F0CA7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937D89F-2A9D-410A-B29E-952B194B0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2A0C7A7-F860-4921-9D66-D6238513E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10076FB-47C3-4DDD-8DE2-4F0352B0AD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AC7E-5B9C-428F-A53E-100FF4910404}">
  <sheetPr>
    <tabColor rgb="FFC00000"/>
  </sheetPr>
  <dimension ref="A1:K103"/>
  <sheetViews>
    <sheetView zoomScale="71" zoomScaleNormal="100" workbookViewId="0">
      <selection activeCell="K9" sqref="K9"/>
    </sheetView>
  </sheetViews>
  <sheetFormatPr baseColWidth="10" defaultRowHeight="14.5"/>
  <cols>
    <col min="1" max="1" width="20.7265625" customWidth="1"/>
    <col min="2" max="2" width="17.08984375" customWidth="1"/>
    <col min="3" max="8" width="19" customWidth="1"/>
  </cols>
  <sheetData>
    <row r="1" spans="1:8" ht="38.5" customHeight="1">
      <c r="A1" s="72" t="s">
        <v>178</v>
      </c>
      <c r="B1" s="70"/>
      <c r="C1" s="71"/>
      <c r="D1" s="71"/>
      <c r="E1" s="71"/>
      <c r="F1" s="71"/>
      <c r="G1" s="71"/>
      <c r="H1" s="71"/>
    </row>
    <row r="2" spans="1:8" ht="41.5" customHeight="1">
      <c r="A2" s="99" t="s">
        <v>30</v>
      </c>
      <c r="B2" s="100"/>
      <c r="C2" s="96" t="s">
        <v>184</v>
      </c>
      <c r="D2" s="97"/>
      <c r="E2" s="98"/>
      <c r="F2" s="96" t="s">
        <v>185</v>
      </c>
      <c r="G2" s="97"/>
      <c r="H2" s="98"/>
    </row>
    <row r="3" spans="1:8" ht="41" customHeight="1" thickBot="1">
      <c r="A3" s="101" t="s">
        <v>31</v>
      </c>
      <c r="B3" s="102"/>
      <c r="C3" s="75" t="s">
        <v>179</v>
      </c>
      <c r="D3" s="75" t="s">
        <v>180</v>
      </c>
      <c r="E3" s="75" t="s">
        <v>181</v>
      </c>
      <c r="F3" s="75" t="s">
        <v>179</v>
      </c>
      <c r="G3" s="75" t="s">
        <v>180</v>
      </c>
      <c r="H3" s="75" t="s">
        <v>181</v>
      </c>
    </row>
    <row r="4" spans="1:8" ht="9.5" customHeight="1">
      <c r="A4" s="73"/>
      <c r="B4" s="73"/>
      <c r="C4" s="73"/>
      <c r="D4" s="73"/>
      <c r="E4" s="73"/>
      <c r="F4" s="73"/>
      <c r="G4" s="73"/>
      <c r="H4" s="73"/>
    </row>
    <row r="5" spans="1:8" ht="26">
      <c r="A5" s="4" t="s">
        <v>32</v>
      </c>
      <c r="B5" s="5" t="s">
        <v>33</v>
      </c>
      <c r="C5" s="73"/>
      <c r="D5" s="73"/>
      <c r="E5" s="73"/>
      <c r="F5" s="73"/>
      <c r="G5" s="73"/>
      <c r="H5" s="73"/>
    </row>
    <row r="6" spans="1:8" ht="22" customHeight="1">
      <c r="A6" s="92" t="s">
        <v>182</v>
      </c>
      <c r="B6" s="68" t="s">
        <v>176</v>
      </c>
      <c r="C6" s="49" t="str">
        <f>Overview!L3</f>
        <v>no</v>
      </c>
      <c r="D6" s="50" t="str">
        <f>Overview!L7</f>
        <v>yes</v>
      </c>
      <c r="E6" s="50" t="str">
        <f>Overview!L11</f>
        <v>yes</v>
      </c>
      <c r="F6" s="49" t="str">
        <f>Overview!L15</f>
        <v>no</v>
      </c>
      <c r="G6" s="49" t="str">
        <f>Overview!L19</f>
        <v>no</v>
      </c>
      <c r="H6" s="49" t="str">
        <f>Overview!L23</f>
        <v>no</v>
      </c>
    </row>
    <row r="7" spans="1:8" ht="22" customHeight="1">
      <c r="A7" s="93"/>
      <c r="B7" s="5" t="s">
        <v>177</v>
      </c>
      <c r="C7" s="49" t="str">
        <f>Overview!L4</f>
        <v>no</v>
      </c>
      <c r="D7" s="50" t="str">
        <f>Overview!L8</f>
        <v>no</v>
      </c>
      <c r="E7" s="50" t="str">
        <f>Overview!L12</f>
        <v>no</v>
      </c>
      <c r="F7" s="49" t="str">
        <f>Overview!L16</f>
        <v>no</v>
      </c>
      <c r="G7" s="49" t="str">
        <f>Overview!L20</f>
        <v>no</v>
      </c>
      <c r="H7" s="49" t="str">
        <f>Overview!L24</f>
        <v>no</v>
      </c>
    </row>
    <row r="8" spans="1:8" ht="22" customHeight="1">
      <c r="A8" s="92" t="s">
        <v>183</v>
      </c>
      <c r="B8" s="68" t="s">
        <v>176</v>
      </c>
      <c r="C8" s="49" t="str">
        <f>Overview!L5</f>
        <v>yes</v>
      </c>
      <c r="D8" s="50" t="str">
        <f>Overview!L9</f>
        <v>yes</v>
      </c>
      <c r="E8" s="50" t="str">
        <f>Overview!L13</f>
        <v>yes</v>
      </c>
      <c r="F8" s="49" t="str">
        <f>Overview!L17</f>
        <v>yes</v>
      </c>
      <c r="G8" s="49" t="str">
        <f>Overview!L21</f>
        <v>yes</v>
      </c>
      <c r="H8" s="49" t="str">
        <f>Overview!L25</f>
        <v>yes</v>
      </c>
    </row>
    <row r="9" spans="1:8" ht="22" customHeight="1">
      <c r="A9" s="93"/>
      <c r="B9" s="5" t="s">
        <v>177</v>
      </c>
      <c r="C9" s="49" t="str">
        <f>Overview!L6</f>
        <v>yes</v>
      </c>
      <c r="D9" s="50" t="str">
        <f>Overview!L10</f>
        <v>no</v>
      </c>
      <c r="E9" s="50" t="str">
        <f>Overview!L14</f>
        <v>no</v>
      </c>
      <c r="F9" s="49" t="str">
        <f>Overview!L18</f>
        <v>yes</v>
      </c>
      <c r="G9" s="49" t="str">
        <f>Overview!L22</f>
        <v>no</v>
      </c>
      <c r="H9" s="49" t="str">
        <f>Overview!L26</f>
        <v>no</v>
      </c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72" t="s">
        <v>186</v>
      </c>
      <c r="B12" s="71"/>
      <c r="C12" s="71"/>
      <c r="D12" s="71"/>
      <c r="E12" s="71"/>
      <c r="F12" s="71"/>
      <c r="G12" s="71"/>
      <c r="H12" s="71"/>
    </row>
    <row r="13" spans="1:8" ht="34.5" customHeight="1">
      <c r="A13" s="99" t="s">
        <v>30</v>
      </c>
      <c r="B13" s="100"/>
      <c r="C13" s="96" t="s">
        <v>184</v>
      </c>
      <c r="D13" s="97"/>
      <c r="E13" s="98"/>
      <c r="F13" s="96" t="s">
        <v>185</v>
      </c>
      <c r="G13" s="97"/>
      <c r="H13" s="98"/>
    </row>
    <row r="14" spans="1:8" ht="34.5" customHeight="1" thickBot="1">
      <c r="A14" s="101" t="s">
        <v>31</v>
      </c>
      <c r="B14" s="102"/>
      <c r="C14" s="75" t="s">
        <v>179</v>
      </c>
      <c r="D14" s="75" t="s">
        <v>180</v>
      </c>
      <c r="E14" s="75" t="s">
        <v>181</v>
      </c>
      <c r="F14" s="75" t="s">
        <v>179</v>
      </c>
      <c r="G14" s="75" t="s">
        <v>180</v>
      </c>
      <c r="H14" s="75" t="s">
        <v>181</v>
      </c>
    </row>
    <row r="15" spans="1:8">
      <c r="A15" s="73"/>
      <c r="B15" s="73"/>
      <c r="C15" s="73"/>
      <c r="D15" s="73"/>
      <c r="E15" s="73"/>
      <c r="F15" s="73"/>
      <c r="G15" s="73"/>
      <c r="H15" s="73"/>
    </row>
    <row r="16" spans="1:8" ht="26">
      <c r="A16" s="4" t="s">
        <v>32</v>
      </c>
      <c r="B16" s="5" t="s">
        <v>33</v>
      </c>
      <c r="C16" s="73"/>
      <c r="D16" s="73"/>
      <c r="E16" s="73"/>
      <c r="F16" s="73"/>
      <c r="G16" s="73"/>
      <c r="H16" s="73"/>
    </row>
    <row r="17" spans="1:8" ht="24.5" customHeight="1">
      <c r="A17" s="92" t="s">
        <v>182</v>
      </c>
      <c r="B17" s="68" t="s">
        <v>176</v>
      </c>
      <c r="C17" s="77">
        <f>Table_Dynam_EMS!C58</f>
        <v>-1.355722399199788</v>
      </c>
      <c r="D17" s="77">
        <f>Table_Dynam_EMS!G58</f>
        <v>-1.4217316392993284</v>
      </c>
      <c r="E17" s="77">
        <f>Table_Dynam_EMS!K58</f>
        <v>-1.4349851459872554</v>
      </c>
      <c r="F17" s="77">
        <f>Table_Dynam_EMS!O58</f>
        <v>-1.4672771722740063</v>
      </c>
      <c r="G17" s="77">
        <f>Table_Dynam_EMS!S58</f>
        <v>-1.5945767525438304</v>
      </c>
      <c r="H17" s="77">
        <f>Table_Dynam_EMS!W58</f>
        <v>-1.6373546149296314</v>
      </c>
    </row>
    <row r="18" spans="1:8" ht="24.5" customHeight="1">
      <c r="A18" s="93"/>
      <c r="B18" s="5" t="s">
        <v>177</v>
      </c>
      <c r="C18" s="77">
        <f>Table_Dynam_EMS!D58</f>
        <v>-1.6632797691406576</v>
      </c>
      <c r="D18" s="77">
        <f>Table_Dynam_EMS!H58</f>
        <v>-1.5407784647333944</v>
      </c>
      <c r="E18" s="77">
        <f>Table_Dynam_EMS!L58</f>
        <v>-1.5944863510245044</v>
      </c>
      <c r="F18" s="77">
        <f>Table_Dynam_EMS!P58</f>
        <v>-1.7884639809863101</v>
      </c>
      <c r="G18" s="77">
        <f>Table_Dynam_EMS!T58</f>
        <v>-1.7033399534676308</v>
      </c>
      <c r="H18" s="77">
        <f>Table_Dynam_EMS!X58</f>
        <v>-1.7777919134553621</v>
      </c>
    </row>
    <row r="19" spans="1:8" ht="24.5" customHeight="1">
      <c r="A19" s="92" t="s">
        <v>183</v>
      </c>
      <c r="B19" s="68" t="s">
        <v>176</v>
      </c>
      <c r="C19" s="77">
        <f>Table_Dynam_EMS!E58</f>
        <v>-5.6019701896699576</v>
      </c>
      <c r="D19" s="77">
        <f>Table_Dynam_EMS!I58</f>
        <v>-4.9679160413698238</v>
      </c>
      <c r="E19" s="77">
        <f>Table_Dynam_EMS!M58</f>
        <v>-5.2887635342435679</v>
      </c>
      <c r="F19" s="77">
        <f>Table_Dynam_EMS!Q58</f>
        <v>-5.6805169014359169</v>
      </c>
      <c r="G19" s="77">
        <f>Table_Dynam_EMS!U58</f>
        <v>-5.0486636645646126</v>
      </c>
      <c r="H19" s="77">
        <f>Table_Dynam_EMS!Y58</f>
        <v>-5.3739932598489411</v>
      </c>
    </row>
    <row r="20" spans="1:8" ht="24.5" customHeight="1">
      <c r="A20" s="93"/>
      <c r="B20" s="5" t="s">
        <v>177</v>
      </c>
      <c r="C20" s="77">
        <f>Table_Dynam_EMS!F58</f>
        <v>-6.3946057563759702</v>
      </c>
      <c r="D20" s="77">
        <f>Table_Dynam_EMS!J58</f>
        <v>-6.8334171567810191</v>
      </c>
      <c r="E20" s="77">
        <f>Table_Dynam_EMS!N58</f>
        <v>-6.782483838036935</v>
      </c>
      <c r="F20" s="77">
        <f>Table_Dynam_EMS!R58</f>
        <v>-6.4891600310416848</v>
      </c>
      <c r="G20" s="77">
        <f>Table_Dynam_EMS!V58</f>
        <v>-6.9520832105409163</v>
      </c>
      <c r="H20" s="77">
        <f>Table_Dynam_EMS!Z58</f>
        <v>-6.9340098054792021</v>
      </c>
    </row>
    <row r="21" spans="1:8">
      <c r="A21" s="2"/>
      <c r="B21" s="2"/>
      <c r="C21" s="2"/>
      <c r="D21" s="77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72" t="s">
        <v>187</v>
      </c>
      <c r="B23" s="2"/>
      <c r="C23" s="2"/>
      <c r="D23" s="2"/>
      <c r="E23" s="2"/>
      <c r="F23" s="2"/>
      <c r="G23" s="2"/>
      <c r="H23" s="2"/>
    </row>
    <row r="24" spans="1:8" ht="39" customHeight="1">
      <c r="A24" s="99" t="s">
        <v>30</v>
      </c>
      <c r="B24" s="100"/>
      <c r="C24" s="96" t="s">
        <v>184</v>
      </c>
      <c r="D24" s="97"/>
      <c r="E24" s="98"/>
      <c r="F24" s="96" t="s">
        <v>185</v>
      </c>
      <c r="G24" s="97"/>
      <c r="H24" s="98"/>
    </row>
    <row r="25" spans="1:8" ht="39" customHeight="1" thickBot="1">
      <c r="A25" s="101" t="s">
        <v>31</v>
      </c>
      <c r="B25" s="102"/>
      <c r="C25" s="75" t="s">
        <v>179</v>
      </c>
      <c r="D25" s="75" t="s">
        <v>180</v>
      </c>
      <c r="E25" s="75" t="s">
        <v>181</v>
      </c>
      <c r="F25" s="75" t="s">
        <v>179</v>
      </c>
      <c r="G25" s="75" t="s">
        <v>180</v>
      </c>
      <c r="H25" s="75" t="s">
        <v>181</v>
      </c>
    </row>
    <row r="26" spans="1:8">
      <c r="A26" s="73"/>
      <c r="B26" s="73"/>
      <c r="C26" s="73"/>
      <c r="D26" s="73"/>
      <c r="E26" s="73"/>
      <c r="F26" s="73"/>
      <c r="G26" s="73"/>
      <c r="H26" s="73"/>
    </row>
    <row r="27" spans="1:8">
      <c r="A27" s="103" t="s">
        <v>32</v>
      </c>
      <c r="B27" s="104"/>
      <c r="C27" s="73" t="s">
        <v>203</v>
      </c>
      <c r="D27" s="73" t="s">
        <v>203</v>
      </c>
      <c r="E27" s="73" t="s">
        <v>203</v>
      </c>
      <c r="F27" s="73" t="s">
        <v>203</v>
      </c>
      <c r="G27" s="73" t="s">
        <v>203</v>
      </c>
      <c r="H27" s="73" t="s">
        <v>203</v>
      </c>
    </row>
    <row r="28" spans="1:8" ht="22.5" customHeight="1">
      <c r="A28" s="105" t="s">
        <v>182</v>
      </c>
      <c r="B28" s="106"/>
      <c r="C28" s="76">
        <f>C46-C47</f>
        <v>0.39717659835933894</v>
      </c>
      <c r="D28" s="76">
        <f t="shared" ref="D28:H28" si="0">D46-D47</f>
        <v>0.52554717973993803</v>
      </c>
      <c r="E28" s="76">
        <f>E46-E47</f>
        <v>0.49737688467950125</v>
      </c>
      <c r="F28" s="76">
        <f>F46-F47</f>
        <v>0.3803509872677191</v>
      </c>
      <c r="G28" s="76">
        <f t="shared" si="0"/>
        <v>0.52360217423672584</v>
      </c>
      <c r="H28" s="76">
        <f t="shared" si="0"/>
        <v>0.48463486937913025</v>
      </c>
    </row>
    <row r="29" spans="1:8" ht="22.5" customHeight="1">
      <c r="A29" s="99" t="s">
        <v>183</v>
      </c>
      <c r="B29" s="100"/>
      <c r="C29" s="76">
        <f>C48-C49</f>
        <v>1.0427818389450838</v>
      </c>
      <c r="D29" s="76">
        <f t="shared" ref="D29:H29" si="1">D48-D49</f>
        <v>1.4115500359811572</v>
      </c>
      <c r="E29" s="76">
        <f t="shared" si="1"/>
        <v>1.3151976796902498</v>
      </c>
      <c r="F29" s="76">
        <f t="shared" si="1"/>
        <v>1.0260138362149673</v>
      </c>
      <c r="G29" s="76">
        <f t="shared" si="1"/>
        <v>1.4055258390821113</v>
      </c>
      <c r="H29" s="76">
        <f t="shared" si="1"/>
        <v>1.3005544067680508</v>
      </c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72" t="s">
        <v>188</v>
      </c>
      <c r="B32" s="2"/>
      <c r="C32" s="2"/>
      <c r="D32" s="2"/>
      <c r="E32" s="2"/>
      <c r="F32" s="2"/>
      <c r="G32" s="2"/>
      <c r="H32" s="2"/>
    </row>
    <row r="33" spans="1:11" ht="33.5" customHeight="1">
      <c r="A33" s="99" t="s">
        <v>30</v>
      </c>
      <c r="B33" s="100"/>
      <c r="C33" s="96" t="s">
        <v>184</v>
      </c>
      <c r="D33" s="97"/>
      <c r="E33" s="98"/>
      <c r="F33" s="96" t="s">
        <v>185</v>
      </c>
      <c r="G33" s="97"/>
      <c r="H33" s="98"/>
    </row>
    <row r="34" spans="1:11" ht="33.5" customHeight="1" thickBot="1">
      <c r="A34" s="101" t="s">
        <v>31</v>
      </c>
      <c r="B34" s="102"/>
      <c r="C34" s="75" t="s">
        <v>179</v>
      </c>
      <c r="D34" s="75" t="s">
        <v>180</v>
      </c>
      <c r="E34" s="75" t="s">
        <v>181</v>
      </c>
      <c r="F34" s="75" t="s">
        <v>179</v>
      </c>
      <c r="G34" s="75" t="s">
        <v>180</v>
      </c>
      <c r="H34" s="75" t="s">
        <v>181</v>
      </c>
    </row>
    <row r="35" spans="1:11">
      <c r="A35" s="73"/>
      <c r="B35" s="73"/>
      <c r="C35" s="73"/>
      <c r="D35" s="73"/>
      <c r="E35" s="73"/>
      <c r="F35" s="73"/>
      <c r="G35" s="73"/>
      <c r="H35" s="73"/>
    </row>
    <row r="36" spans="1:11">
      <c r="A36" s="103" t="s">
        <v>33</v>
      </c>
      <c r="B36" s="104"/>
      <c r="C36" s="73" t="s">
        <v>204</v>
      </c>
      <c r="D36" s="73" t="s">
        <v>204</v>
      </c>
      <c r="E36" s="73" t="s">
        <v>204</v>
      </c>
      <c r="F36" s="73" t="s">
        <v>204</v>
      </c>
      <c r="G36" s="73" t="s">
        <v>204</v>
      </c>
      <c r="H36" s="73" t="s">
        <v>204</v>
      </c>
    </row>
    <row r="37" spans="1:11" ht="24.5" customHeight="1">
      <c r="A37" s="105" t="s">
        <v>176</v>
      </c>
      <c r="B37" s="106"/>
      <c r="C37" s="76">
        <f t="shared" ref="C37:H37" si="2">C48-C46</f>
        <v>1.2070867681855169</v>
      </c>
      <c r="D37" s="76">
        <f t="shared" si="2"/>
        <v>1.2099832168121383</v>
      </c>
      <c r="E37" s="76">
        <f t="shared" si="2"/>
        <v>1.2023069474950132</v>
      </c>
      <c r="F37" s="76">
        <f t="shared" si="2"/>
        <v>1.2108482610579063</v>
      </c>
      <c r="G37" s="76">
        <f t="shared" si="2"/>
        <v>1.2109566792835258</v>
      </c>
      <c r="H37" s="76">
        <f t="shared" si="2"/>
        <v>1.2044200137108496</v>
      </c>
    </row>
    <row r="38" spans="1:11" ht="24.5" customHeight="1">
      <c r="A38" s="99" t="s">
        <v>177</v>
      </c>
      <c r="B38" s="100"/>
      <c r="C38" s="76">
        <f>C49-C47</f>
        <v>0.56148152759977199</v>
      </c>
      <c r="D38" s="76">
        <f>D49-D47</f>
        <v>0.32398036057091906</v>
      </c>
      <c r="E38" s="76">
        <f>E49-E47</f>
        <v>0.38448615248426465</v>
      </c>
      <c r="F38" s="76">
        <f t="shared" ref="F38" si="3">F49-F47</f>
        <v>0.56518541211065809</v>
      </c>
      <c r="G38" s="76">
        <f>G49-G47</f>
        <v>0.32903301443814037</v>
      </c>
      <c r="H38" s="76">
        <f>H49-H47</f>
        <v>0.38850047632192908</v>
      </c>
    </row>
    <row r="39" spans="1:11">
      <c r="A39" s="2"/>
      <c r="B39" s="2"/>
      <c r="C39" s="2"/>
      <c r="D39" s="2"/>
      <c r="E39" s="2"/>
      <c r="F39" s="2"/>
      <c r="G39" s="2"/>
      <c r="H39" s="2"/>
    </row>
    <row r="40" spans="1:11">
      <c r="A40" s="2"/>
      <c r="B40" s="2"/>
      <c r="C40" s="2"/>
      <c r="D40" s="2"/>
      <c r="E40" s="2"/>
      <c r="F40" s="2"/>
      <c r="G40" s="2"/>
      <c r="H40" s="2"/>
    </row>
    <row r="41" spans="1:11">
      <c r="A41" s="72" t="s">
        <v>189</v>
      </c>
      <c r="B41" s="71"/>
      <c r="C41" s="71"/>
      <c r="D41" s="71"/>
      <c r="E41" s="71"/>
      <c r="F41" s="71"/>
      <c r="G41" s="71"/>
      <c r="H41" s="71"/>
    </row>
    <row r="42" spans="1:11" ht="34.5" customHeight="1">
      <c r="A42" s="99" t="s">
        <v>30</v>
      </c>
      <c r="B42" s="100"/>
      <c r="C42" s="96" t="s">
        <v>184</v>
      </c>
      <c r="D42" s="97"/>
      <c r="E42" s="98"/>
      <c r="F42" s="96" t="s">
        <v>185</v>
      </c>
      <c r="G42" s="97"/>
      <c r="H42" s="98"/>
      <c r="K42" t="s">
        <v>198</v>
      </c>
    </row>
    <row r="43" spans="1:11" ht="34.5" customHeight="1" thickBot="1">
      <c r="A43" s="101" t="s">
        <v>31</v>
      </c>
      <c r="B43" s="102"/>
      <c r="C43" s="75" t="s">
        <v>179</v>
      </c>
      <c r="D43" s="75" t="s">
        <v>180</v>
      </c>
      <c r="E43" s="75" t="s">
        <v>181</v>
      </c>
      <c r="F43" s="75" t="s">
        <v>179</v>
      </c>
      <c r="G43" s="75" t="s">
        <v>180</v>
      </c>
      <c r="H43" s="75" t="s">
        <v>181</v>
      </c>
      <c r="K43" t="s">
        <v>199</v>
      </c>
    </row>
    <row r="44" spans="1:11">
      <c r="A44" s="73"/>
      <c r="B44" s="73"/>
      <c r="C44" s="73"/>
      <c r="D44" s="73"/>
      <c r="E44" s="73"/>
      <c r="F44" s="73"/>
      <c r="G44" s="73"/>
      <c r="H44" s="73"/>
      <c r="K44" t="s">
        <v>200</v>
      </c>
    </row>
    <row r="45" spans="1:11" ht="26">
      <c r="A45" s="4" t="s">
        <v>32</v>
      </c>
      <c r="B45" s="5" t="s">
        <v>33</v>
      </c>
      <c r="C45" s="73"/>
      <c r="D45" s="73"/>
      <c r="E45" s="73"/>
      <c r="F45" s="73"/>
      <c r="G45" s="73"/>
      <c r="H45" s="73"/>
      <c r="K45" t="s">
        <v>201</v>
      </c>
    </row>
    <row r="46" spans="1:11" ht="23" customHeight="1">
      <c r="A46" s="92" t="s">
        <v>182</v>
      </c>
      <c r="B46" s="68" t="s">
        <v>176</v>
      </c>
      <c r="C46" s="77">
        <f>Table_Dynam_GDP!C18</f>
        <v>-1.2550694091228998E-3</v>
      </c>
      <c r="D46" s="77">
        <f>Table_Dynam_GDP!G18</f>
        <v>3.7947500351531716E-2</v>
      </c>
      <c r="E46" s="77">
        <f>Table_Dynam_GDP!K18</f>
        <v>2.7176619306734651E-2</v>
      </c>
      <c r="F46" s="77">
        <f>Table_Dynam_GDP!O18</f>
        <v>-8.2343573971255246E-2</v>
      </c>
      <c r="G46" s="77">
        <f>Table_Dynam_GDP!S18</f>
        <v>-4.5193716564972952E-2</v>
      </c>
      <c r="H46" s="77">
        <f>Table_Dynam_GDP!W18</f>
        <v>-5.7551166532954223E-2</v>
      </c>
    </row>
    <row r="47" spans="1:11" ht="23" customHeight="1">
      <c r="A47" s="93"/>
      <c r="B47" s="5" t="s">
        <v>177</v>
      </c>
      <c r="C47" s="77">
        <f>Table_Dynam_GDP!D18</f>
        <v>-0.39843166776846184</v>
      </c>
      <c r="D47" s="77">
        <f>Table_Dynam_GDP!H18</f>
        <v>-0.48759967938840632</v>
      </c>
      <c r="E47" s="77">
        <f>Table_Dynam_GDP!L18</f>
        <v>-0.4702002653727666</v>
      </c>
      <c r="F47" s="77">
        <f>Table_Dynam_GDP!P18</f>
        <v>-0.46269456123897434</v>
      </c>
      <c r="G47" s="77">
        <f>Table_Dynam_GDP!T18</f>
        <v>-0.56879589080169879</v>
      </c>
      <c r="H47" s="77">
        <f>Table_Dynam_GDP!X18</f>
        <v>-0.54218603591208447</v>
      </c>
      <c r="K47">
        <f>-0.01--0.36</f>
        <v>0.35</v>
      </c>
    </row>
    <row r="48" spans="1:11" ht="23" customHeight="1">
      <c r="A48" s="92" t="s">
        <v>183</v>
      </c>
      <c r="B48" s="68" t="s">
        <v>176</v>
      </c>
      <c r="C48" s="77">
        <f>Table_Dynam_GDP!E18</f>
        <v>1.205831698776394</v>
      </c>
      <c r="D48" s="77">
        <f>Table_Dynam_GDP!I18</f>
        <v>1.24793071716367</v>
      </c>
      <c r="E48" s="77">
        <f>Table_Dynam_GDP!M18</f>
        <v>1.2294835668017479</v>
      </c>
      <c r="F48" s="77">
        <f>Table_Dynam_GDP!Q18</f>
        <v>1.1285046870866511</v>
      </c>
      <c r="G48" s="77">
        <f>Table_Dynam_GDP!U18</f>
        <v>1.1657629627185528</v>
      </c>
      <c r="H48" s="77">
        <f>Table_Dynam_GDP!Y18</f>
        <v>1.1468688471778954</v>
      </c>
      <c r="K48">
        <f>1.07-0.12</f>
        <v>0.95000000000000007</v>
      </c>
    </row>
    <row r="49" spans="1:8" ht="23" customHeight="1">
      <c r="A49" s="93"/>
      <c r="B49" s="5" t="s">
        <v>177</v>
      </c>
      <c r="C49" s="77">
        <f>Table_Dynam_GDP!F18</f>
        <v>0.16304985983131015</v>
      </c>
      <c r="D49" s="77">
        <f>Table_Dynam_GDP!J18</f>
        <v>-0.16361931881748726</v>
      </c>
      <c r="E49" s="77">
        <f>Table_Dynam_GDP!N18</f>
        <v>-8.5714112888501948E-2</v>
      </c>
      <c r="F49" s="77">
        <f>Table_Dynam_GDP!R18</f>
        <v>0.10249085087168375</v>
      </c>
      <c r="G49" s="77">
        <f>Table_Dynam_GDP!V18</f>
        <v>-0.23976287636355842</v>
      </c>
      <c r="H49" s="77">
        <f>Table_Dynam_GDP!Z18</f>
        <v>-0.1536855595901554</v>
      </c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72" t="s">
        <v>190</v>
      </c>
      <c r="B52" s="71"/>
      <c r="C52" s="71"/>
      <c r="D52" s="71"/>
      <c r="E52" s="71"/>
      <c r="F52" s="71"/>
      <c r="G52" s="71"/>
      <c r="H52" s="71"/>
    </row>
    <row r="53" spans="1:8" ht="36" customHeight="1">
      <c r="A53" s="99" t="s">
        <v>30</v>
      </c>
      <c r="B53" s="100"/>
      <c r="C53" s="96" t="s">
        <v>184</v>
      </c>
      <c r="D53" s="97"/>
      <c r="E53" s="98"/>
      <c r="F53" s="96" t="s">
        <v>185</v>
      </c>
      <c r="G53" s="97"/>
      <c r="H53" s="98"/>
    </row>
    <row r="54" spans="1:8" ht="36" customHeight="1" thickBot="1">
      <c r="A54" s="101" t="s">
        <v>31</v>
      </c>
      <c r="B54" s="102"/>
      <c r="C54" s="75" t="s">
        <v>179</v>
      </c>
      <c r="D54" s="75" t="s">
        <v>180</v>
      </c>
      <c r="E54" s="75" t="s">
        <v>181</v>
      </c>
      <c r="F54" s="75" t="s">
        <v>179</v>
      </c>
      <c r="G54" s="75" t="s">
        <v>180</v>
      </c>
      <c r="H54" s="75" t="s">
        <v>181</v>
      </c>
    </row>
    <row r="55" spans="1:8">
      <c r="A55" s="73"/>
      <c r="B55" s="73"/>
      <c r="C55" s="73"/>
      <c r="D55" s="73"/>
      <c r="E55" s="73"/>
      <c r="F55" s="73"/>
      <c r="G55" s="73"/>
      <c r="H55" s="73"/>
    </row>
    <row r="56" spans="1:8" ht="26">
      <c r="A56" s="4" t="s">
        <v>32</v>
      </c>
      <c r="B56" s="5" t="s">
        <v>33</v>
      </c>
      <c r="C56" s="73"/>
      <c r="D56" s="73"/>
      <c r="E56" s="73"/>
      <c r="F56" s="73"/>
      <c r="G56" s="73"/>
      <c r="H56" s="73"/>
    </row>
    <row r="57" spans="1:8" ht="24" customHeight="1">
      <c r="A57" s="92" t="s">
        <v>182</v>
      </c>
      <c r="B57" s="68" t="s">
        <v>176</v>
      </c>
      <c r="C57" s="49" t="str">
        <f>Overview!M3</f>
        <v>no</v>
      </c>
      <c r="D57" s="50" t="str">
        <f>Overview!M7</f>
        <v>no</v>
      </c>
      <c r="E57" s="50" t="str">
        <f>Overview!M11</f>
        <v>no</v>
      </c>
      <c r="F57" s="49" t="str">
        <f>Overview!M15</f>
        <v>no</v>
      </c>
      <c r="G57" s="49" t="str">
        <f>Overview!M19</f>
        <v>no</v>
      </c>
      <c r="H57" s="49" t="str">
        <f>Overview!M23</f>
        <v>no</v>
      </c>
    </row>
    <row r="58" spans="1:8" ht="24" customHeight="1">
      <c r="A58" s="93"/>
      <c r="B58" s="5" t="s">
        <v>177</v>
      </c>
      <c r="C58" s="49" t="str">
        <f>Overview!M4</f>
        <v>no</v>
      </c>
      <c r="D58" s="50" t="str">
        <f>Overview!M8</f>
        <v>no</v>
      </c>
      <c r="E58" s="50" t="str">
        <f>Overview!M12</f>
        <v>no</v>
      </c>
      <c r="F58" s="49" t="str">
        <f>Overview!M16</f>
        <v>no</v>
      </c>
      <c r="G58" s="49" t="str">
        <f>Overview!M20</f>
        <v>no</v>
      </c>
      <c r="H58" s="49" t="str">
        <f>Overview!M24</f>
        <v>no</v>
      </c>
    </row>
    <row r="59" spans="1:8" ht="24" customHeight="1">
      <c r="A59" s="92" t="s">
        <v>183</v>
      </c>
      <c r="B59" s="68" t="s">
        <v>176</v>
      </c>
      <c r="C59" s="49" t="str">
        <f>Overview!M5</f>
        <v>yes</v>
      </c>
      <c r="D59" s="50" t="str">
        <f>Overview!M9</f>
        <v>yes</v>
      </c>
      <c r="E59" s="50" t="str">
        <f>Overview!M13</f>
        <v>yes</v>
      </c>
      <c r="F59" s="49" t="str">
        <f>Overview!M17</f>
        <v>yes</v>
      </c>
      <c r="G59" s="49" t="str">
        <f>Overview!M21</f>
        <v>yes</v>
      </c>
      <c r="H59" s="49" t="str">
        <f>Overview!M25</f>
        <v>yes</v>
      </c>
    </row>
    <row r="60" spans="1:8" ht="24" customHeight="1">
      <c r="A60" s="93"/>
      <c r="B60" s="5" t="s">
        <v>177</v>
      </c>
      <c r="C60" s="49" t="str">
        <f>Overview!M6</f>
        <v>yes</v>
      </c>
      <c r="D60" s="50" t="str">
        <f>Overview!M10</f>
        <v>yes</v>
      </c>
      <c r="E60" s="50" t="str">
        <f>Overview!M14</f>
        <v>yes</v>
      </c>
      <c r="F60" s="49" t="str">
        <f>Overview!M18</f>
        <v>yes</v>
      </c>
      <c r="G60" s="49" t="str">
        <f>Overview!M22</f>
        <v>yes</v>
      </c>
      <c r="H60" s="49" t="str">
        <f>Overview!M26</f>
        <v>yes</v>
      </c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72" t="s">
        <v>191</v>
      </c>
      <c r="B63" s="71"/>
      <c r="C63" s="71"/>
      <c r="D63" s="71"/>
      <c r="E63" s="71"/>
      <c r="F63" s="71"/>
      <c r="G63" s="71"/>
      <c r="H63" s="71"/>
    </row>
    <row r="64" spans="1:8" ht="34.5" customHeight="1">
      <c r="A64" s="99" t="s">
        <v>30</v>
      </c>
      <c r="B64" s="100"/>
      <c r="C64" s="96" t="s">
        <v>184</v>
      </c>
      <c r="D64" s="97"/>
      <c r="E64" s="98"/>
      <c r="F64" s="96" t="s">
        <v>185</v>
      </c>
      <c r="G64" s="97"/>
      <c r="H64" s="98"/>
    </row>
    <row r="65" spans="1:8" ht="34.5" customHeight="1" thickBot="1">
      <c r="A65" s="101" t="s">
        <v>31</v>
      </c>
      <c r="B65" s="102"/>
      <c r="C65" s="75" t="s">
        <v>179</v>
      </c>
      <c r="D65" s="75" t="s">
        <v>180</v>
      </c>
      <c r="E65" s="75" t="s">
        <v>181</v>
      </c>
      <c r="F65" s="75" t="s">
        <v>179</v>
      </c>
      <c r="G65" s="75" t="s">
        <v>180</v>
      </c>
      <c r="H65" s="75" t="s">
        <v>181</v>
      </c>
    </row>
    <row r="66" spans="1:8">
      <c r="A66" s="73"/>
      <c r="B66" s="73"/>
      <c r="C66" s="73"/>
      <c r="D66" s="73"/>
      <c r="E66" s="73"/>
      <c r="F66" s="73"/>
      <c r="G66" s="73"/>
      <c r="H66" s="73"/>
    </row>
    <row r="67" spans="1:8" ht="26">
      <c r="A67" s="72" t="s">
        <v>32</v>
      </c>
      <c r="B67" s="5" t="s">
        <v>33</v>
      </c>
      <c r="C67" s="73"/>
      <c r="D67" s="73"/>
      <c r="E67" s="73"/>
      <c r="F67" s="73"/>
      <c r="G67" s="73"/>
      <c r="H67" s="73"/>
    </row>
    <row r="68" spans="1:8" ht="23" customHeight="1">
      <c r="A68" s="92" t="s">
        <v>182</v>
      </c>
      <c r="B68" s="68" t="s">
        <v>176</v>
      </c>
      <c r="C68" s="77">
        <f>Table_Dynam_GDP!C58</f>
        <v>-2.0839506793324247E-3</v>
      </c>
      <c r="D68" s="77">
        <f>Table_Dynam_GDP!G58</f>
        <v>-3.460935028188894E-2</v>
      </c>
      <c r="E68" s="77">
        <f>Table_Dynam_GDP!K58</f>
        <v>-2.2368400658134835E-2</v>
      </c>
      <c r="F68" s="77">
        <f>Table_Dynam_GDP!O58</f>
        <v>-3.5647229680701997E-2</v>
      </c>
      <c r="G68" s="77">
        <f>Table_Dynam_GDP!S58</f>
        <v>-0.11369894005810455</v>
      </c>
      <c r="H68" s="77">
        <f>Table_Dynam_GDP!W58</f>
        <v>-9.8861435917230178E-2</v>
      </c>
    </row>
    <row r="69" spans="1:8" ht="23" customHeight="1">
      <c r="A69" s="93"/>
      <c r="B69" s="5" t="s">
        <v>177</v>
      </c>
      <c r="C69" s="77">
        <f>Table_Dynam_GDP!D58</f>
        <v>-0.17885162719704084</v>
      </c>
      <c r="D69" s="77">
        <f>Table_Dynam_GDP!H58</f>
        <v>-2.1464766985923589E-2</v>
      </c>
      <c r="E69" s="77">
        <f>Table_Dynam_GDP!L58</f>
        <v>-7.4260871731313127E-2</v>
      </c>
      <c r="F69" s="77">
        <f>Table_Dynam_GDP!P58</f>
        <v>-0.22486338967598885</v>
      </c>
      <c r="G69" s="77">
        <f>Table_Dynam_GDP!T58</f>
        <v>-8.6717533076940967E-2</v>
      </c>
      <c r="H69" s="77">
        <f>Table_Dynam_GDP!X58</f>
        <v>-0.15081669367371653</v>
      </c>
    </row>
    <row r="70" spans="1:8" ht="23" customHeight="1">
      <c r="A70" s="92" t="s">
        <v>183</v>
      </c>
      <c r="B70" s="68" t="s">
        <v>176</v>
      </c>
      <c r="C70" s="77">
        <f>Table_Dynam_GDP!E58</f>
        <v>0.39419209249444975</v>
      </c>
      <c r="D70" s="77">
        <f>Table_Dynam_GDP!I58</f>
        <v>0.25266444122524767</v>
      </c>
      <c r="E70" s="77">
        <f>Table_Dynam_GDP!M58</f>
        <v>0.29266794661404472</v>
      </c>
      <c r="F70" s="77">
        <f>Table_Dynam_GDP!Q58</f>
        <v>0.36148764179566584</v>
      </c>
      <c r="G70" s="77">
        <f>Table_Dynam_GDP!U58</f>
        <v>0.18530322979957159</v>
      </c>
      <c r="H70" s="77">
        <f>Table_Dynam_GDP!Y58</f>
        <v>0.22220074384060595</v>
      </c>
    </row>
    <row r="71" spans="1:8" ht="23" customHeight="1">
      <c r="A71" s="93"/>
      <c r="B71" s="5" t="s">
        <v>177</v>
      </c>
      <c r="C71" s="77">
        <f>Table_Dynam_GDP!F58</f>
        <v>0.22326130832472924</v>
      </c>
      <c r="D71" s="77">
        <f>Table_Dynam_GDP!J58</f>
        <v>0.14381470747850678</v>
      </c>
      <c r="E71" s="77">
        <f>Table_Dynam_GDP!N58</f>
        <v>0.13820538439877073</v>
      </c>
      <c r="F71" s="77">
        <f>Table_Dynam_GDP!R58</f>
        <v>0.17870841356879552</v>
      </c>
      <c r="G71" s="77">
        <f>Table_Dynam_GDP!V58</f>
        <v>8.549161697435359E-2</v>
      </c>
      <c r="H71" s="77">
        <f>Table_Dynam_GDP!Z58</f>
        <v>6.4385248843978893E-2</v>
      </c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72" t="s">
        <v>202</v>
      </c>
      <c r="B74" s="71"/>
      <c r="C74" s="71"/>
      <c r="D74" s="71"/>
      <c r="E74" s="71"/>
      <c r="F74" s="71"/>
      <c r="G74" s="71"/>
      <c r="H74" s="71"/>
    </row>
    <row r="75" spans="1:8" ht="31.5" customHeight="1" thickBot="1">
      <c r="A75" s="101" t="s">
        <v>31</v>
      </c>
      <c r="B75" s="102"/>
      <c r="C75" s="75" t="s">
        <v>179</v>
      </c>
      <c r="D75" s="75" t="s">
        <v>180</v>
      </c>
      <c r="E75" s="74" t="s">
        <v>181</v>
      </c>
      <c r="F75" s="47"/>
      <c r="G75" s="47"/>
      <c r="H75" s="47"/>
    </row>
    <row r="76" spans="1:8">
      <c r="A76" s="73"/>
      <c r="B76" s="73"/>
      <c r="C76" s="73"/>
      <c r="D76" s="73"/>
      <c r="E76" s="73"/>
      <c r="F76" s="2"/>
      <c r="G76" s="2"/>
      <c r="H76" s="2"/>
    </row>
    <row r="77" spans="1:8" ht="26">
      <c r="A77" s="4" t="s">
        <v>32</v>
      </c>
      <c r="B77" s="5" t="s">
        <v>33</v>
      </c>
      <c r="C77" s="73" t="s">
        <v>205</v>
      </c>
      <c r="D77" s="73" t="s">
        <v>205</v>
      </c>
      <c r="E77" s="73" t="s">
        <v>205</v>
      </c>
      <c r="F77" s="2"/>
      <c r="G77" s="2"/>
      <c r="H77" s="2"/>
    </row>
    <row r="78" spans="1:8" ht="22" customHeight="1">
      <c r="A78" s="92" t="s">
        <v>182</v>
      </c>
      <c r="B78" s="68" t="s">
        <v>176</v>
      </c>
      <c r="C78" s="76">
        <f>C46-F46</f>
        <v>8.1088504562132346E-2</v>
      </c>
      <c r="D78" s="76">
        <f>D46-G46</f>
        <v>8.3141216916504668E-2</v>
      </c>
      <c r="E78" s="76">
        <f t="shared" ref="C78:E80" si="4">E46-H46</f>
        <v>8.4727785839688874E-2</v>
      </c>
      <c r="F78" s="2"/>
      <c r="G78" s="2"/>
      <c r="H78" s="2"/>
    </row>
    <row r="79" spans="1:8" ht="22" customHeight="1">
      <c r="A79" s="93"/>
      <c r="B79" s="5" t="s">
        <v>177</v>
      </c>
      <c r="C79" s="76">
        <f t="shared" si="4"/>
        <v>6.4262893470512505E-2</v>
      </c>
      <c r="D79" s="76">
        <f t="shared" si="4"/>
        <v>8.1196211413292474E-2</v>
      </c>
      <c r="E79" s="76">
        <f t="shared" si="4"/>
        <v>7.1985770539317873E-2</v>
      </c>
      <c r="F79" s="2"/>
      <c r="G79" s="2"/>
      <c r="H79" s="2"/>
    </row>
    <row r="80" spans="1:8" ht="22" customHeight="1">
      <c r="A80" s="92" t="s">
        <v>183</v>
      </c>
      <c r="B80" s="68" t="s">
        <v>176</v>
      </c>
      <c r="C80" s="76">
        <f t="shared" si="4"/>
        <v>7.7327011689742875E-2</v>
      </c>
      <c r="D80" s="76">
        <f t="shared" si="4"/>
        <v>8.2167754445117147E-2</v>
      </c>
      <c r="E80" s="76">
        <f t="shared" si="4"/>
        <v>8.2614719623852473E-2</v>
      </c>
      <c r="F80" s="2"/>
      <c r="G80" s="2"/>
      <c r="H80" s="2"/>
    </row>
    <row r="81" spans="1:8" ht="22" customHeight="1">
      <c r="A81" s="93"/>
      <c r="B81" s="5" t="s">
        <v>177</v>
      </c>
      <c r="C81" s="76">
        <f t="shared" ref="C81:E81" si="5">C49-F49</f>
        <v>6.0559008959626404E-2</v>
      </c>
      <c r="D81" s="76">
        <f t="shared" si="5"/>
        <v>7.6143557546071161E-2</v>
      </c>
      <c r="E81" s="76">
        <f t="shared" si="5"/>
        <v>6.7971446701653448E-2</v>
      </c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72" t="s">
        <v>192</v>
      </c>
      <c r="B84" s="71"/>
      <c r="C84" s="71"/>
      <c r="D84" s="71"/>
      <c r="E84" s="71"/>
      <c r="F84" s="71"/>
      <c r="G84" s="71"/>
      <c r="H84" s="71"/>
    </row>
    <row r="85" spans="1:8" ht="40" customHeight="1">
      <c r="A85" s="99" t="s">
        <v>30</v>
      </c>
      <c r="B85" s="100"/>
      <c r="C85" s="69" t="s">
        <v>184</v>
      </c>
      <c r="D85" s="69" t="s">
        <v>193</v>
      </c>
      <c r="E85" s="69" t="s">
        <v>184</v>
      </c>
      <c r="F85" s="69" t="s">
        <v>193</v>
      </c>
      <c r="G85" s="69" t="s">
        <v>184</v>
      </c>
      <c r="H85" s="69" t="s">
        <v>193</v>
      </c>
    </row>
    <row r="86" spans="1:8" ht="40" customHeight="1" thickBot="1">
      <c r="A86" s="101" t="s">
        <v>31</v>
      </c>
      <c r="B86" s="102"/>
      <c r="C86" s="107" t="s">
        <v>194</v>
      </c>
      <c r="D86" s="108"/>
      <c r="E86" s="107" t="s">
        <v>195</v>
      </c>
      <c r="F86" s="108"/>
      <c r="G86" s="107" t="s">
        <v>196</v>
      </c>
      <c r="H86" s="108"/>
    </row>
    <row r="87" spans="1:8">
      <c r="A87" s="73"/>
      <c r="B87" s="73"/>
      <c r="C87" s="73"/>
      <c r="D87" s="73"/>
      <c r="E87" s="73"/>
      <c r="F87" s="73"/>
      <c r="G87" s="73"/>
      <c r="H87" s="73"/>
    </row>
    <row r="88" spans="1:8" ht="26">
      <c r="A88" s="72" t="s">
        <v>32</v>
      </c>
      <c r="B88" s="5" t="s">
        <v>33</v>
      </c>
      <c r="C88" s="73" t="s">
        <v>211</v>
      </c>
      <c r="D88" s="73" t="s">
        <v>206</v>
      </c>
      <c r="E88" s="73" t="s">
        <v>207</v>
      </c>
      <c r="F88" s="73" t="s">
        <v>208</v>
      </c>
      <c r="G88" s="73" t="s">
        <v>209</v>
      </c>
      <c r="H88" s="73" t="s">
        <v>210</v>
      </c>
    </row>
    <row r="89" spans="1:8" ht="24" customHeight="1">
      <c r="A89" s="92" t="s">
        <v>182</v>
      </c>
      <c r="B89" s="68" t="s">
        <v>176</v>
      </c>
      <c r="C89" s="76">
        <f>(C46 - D46)</f>
        <v>-3.9202569760654615E-2</v>
      </c>
      <c r="D89" s="76">
        <f>(F46 - G46)</f>
        <v>-3.7149857406282294E-2</v>
      </c>
      <c r="E89" s="76">
        <f>(C46 - E46)</f>
        <v>-2.843168871585755E-2</v>
      </c>
      <c r="F89" s="76">
        <f>(F46 - H46)</f>
        <v>-2.4792407438301023E-2</v>
      </c>
      <c r="G89" s="76">
        <f>(D46- E46)</f>
        <v>1.0770881044797065E-2</v>
      </c>
      <c r="H89" s="76">
        <f>(G46-H46)</f>
        <v>1.2357449967981271E-2</v>
      </c>
    </row>
    <row r="90" spans="1:8" ht="24" customHeight="1">
      <c r="A90" s="93"/>
      <c r="B90" s="5" t="s">
        <v>177</v>
      </c>
      <c r="C90" s="76">
        <f t="shared" ref="C90:C92" si="6">(C47 - D47)</f>
        <v>8.9168011619944476E-2</v>
      </c>
      <c r="D90" s="76">
        <f t="shared" ref="D90:D92" si="7">(F47 - G47)</f>
        <v>0.10610132956272444</v>
      </c>
      <c r="E90" s="76">
        <f t="shared" ref="E90:E92" si="8">(C47 - E47)</f>
        <v>7.1768597604304762E-2</v>
      </c>
      <c r="F90" s="76">
        <f t="shared" ref="F90:F92" si="9">(F47 - H47)</f>
        <v>7.949147467311013E-2</v>
      </c>
      <c r="G90" s="76">
        <f t="shared" ref="G90:G92" si="10">(D47- E47)</f>
        <v>-1.7399414015639714E-2</v>
      </c>
      <c r="H90" s="76">
        <f t="shared" ref="H90:H92" si="11">(G47-H47)</f>
        <v>-2.6609854889614315E-2</v>
      </c>
    </row>
    <row r="91" spans="1:8" ht="24" customHeight="1">
      <c r="A91" s="92" t="s">
        <v>183</v>
      </c>
      <c r="B91" s="68" t="s">
        <v>176</v>
      </c>
      <c r="C91" s="76">
        <f t="shared" si="6"/>
        <v>-4.2099018387276033E-2</v>
      </c>
      <c r="D91" s="76">
        <f t="shared" si="7"/>
        <v>-3.7258275631901761E-2</v>
      </c>
      <c r="E91" s="76">
        <f t="shared" si="8"/>
        <v>-2.3651868025353906E-2</v>
      </c>
      <c r="F91" s="76">
        <f t="shared" si="9"/>
        <v>-1.8364160091244308E-2</v>
      </c>
      <c r="G91" s="76">
        <f t="shared" si="10"/>
        <v>1.8447150361922127E-2</v>
      </c>
      <c r="H91" s="76">
        <f t="shared" si="11"/>
        <v>1.8894115540657452E-2</v>
      </c>
    </row>
    <row r="92" spans="1:8" ht="24" customHeight="1">
      <c r="A92" s="93"/>
      <c r="B92" s="5" t="s">
        <v>177</v>
      </c>
      <c r="C92" s="76">
        <f t="shared" si="6"/>
        <v>0.32666917864879741</v>
      </c>
      <c r="D92" s="76">
        <f t="shared" si="7"/>
        <v>0.34225372723524217</v>
      </c>
      <c r="E92" s="76">
        <f t="shared" si="8"/>
        <v>0.2487639727198121</v>
      </c>
      <c r="F92" s="76">
        <f t="shared" si="9"/>
        <v>0.25617641046183914</v>
      </c>
      <c r="G92" s="76">
        <f t="shared" si="10"/>
        <v>-7.790520592898531E-2</v>
      </c>
      <c r="H92" s="76">
        <f t="shared" si="11"/>
        <v>-8.6077316773403023E-2</v>
      </c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72" t="s">
        <v>197</v>
      </c>
      <c r="B95" s="71"/>
      <c r="C95" s="71"/>
      <c r="D95" s="71"/>
      <c r="E95" s="71"/>
      <c r="F95" s="71"/>
      <c r="G95" s="71"/>
      <c r="H95" s="71"/>
    </row>
    <row r="96" spans="1:8" ht="37" customHeight="1">
      <c r="A96" s="99" t="s">
        <v>30</v>
      </c>
      <c r="B96" s="100"/>
      <c r="C96" s="96" t="s">
        <v>184</v>
      </c>
      <c r="D96" s="97"/>
      <c r="E96" s="98"/>
      <c r="F96" s="96" t="s">
        <v>185</v>
      </c>
      <c r="G96" s="97"/>
      <c r="H96" s="98"/>
    </row>
    <row r="97" spans="1:8" ht="37" customHeight="1" thickBot="1">
      <c r="A97" s="101" t="s">
        <v>31</v>
      </c>
      <c r="B97" s="102"/>
      <c r="C97" s="75" t="s">
        <v>179</v>
      </c>
      <c r="D97" s="75" t="s">
        <v>180</v>
      </c>
      <c r="E97" s="75" t="s">
        <v>181</v>
      </c>
      <c r="F97" s="75" t="s">
        <v>179</v>
      </c>
      <c r="G97" s="75" t="s">
        <v>180</v>
      </c>
      <c r="H97" s="75" t="s">
        <v>181</v>
      </c>
    </row>
    <row r="98" spans="1:8">
      <c r="A98" s="73"/>
      <c r="B98" s="73"/>
      <c r="C98" s="73"/>
      <c r="D98" s="73"/>
      <c r="E98" s="73"/>
      <c r="F98" s="73"/>
      <c r="G98" s="73"/>
      <c r="H98" s="73"/>
    </row>
    <row r="99" spans="1:8" ht="26">
      <c r="A99" s="72" t="s">
        <v>32</v>
      </c>
      <c r="B99" s="5" t="s">
        <v>33</v>
      </c>
      <c r="C99" s="73"/>
      <c r="D99" s="73"/>
      <c r="E99" s="73"/>
      <c r="F99" s="73"/>
      <c r="G99" s="73"/>
      <c r="H99" s="73"/>
    </row>
    <row r="100" spans="1:8" ht="20" customHeight="1">
      <c r="A100" s="92" t="s">
        <v>182</v>
      </c>
      <c r="B100" s="68" t="s">
        <v>176</v>
      </c>
      <c r="C100" s="77">
        <f>Table_Dynam_EMS!C18</f>
        <v>-2.7490331075876506</v>
      </c>
      <c r="D100" s="77">
        <f>Table_Dynam_EMS!G18</f>
        <v>-2.7743723084300065</v>
      </c>
      <c r="E100" s="77">
        <f>Table_Dynam_EMS!K18</f>
        <v>-2.8114090396685443</v>
      </c>
      <c r="F100" s="77">
        <f>Table_Dynam_EMS!O18</f>
        <v>-2.9782837035949083</v>
      </c>
      <c r="G100" s="77">
        <f>Table_Dynam_EMS!S18</f>
        <v>-3.0249268972800225</v>
      </c>
      <c r="H100" s="77">
        <f>Table_Dynam_EMS!W18</f>
        <v>-3.0678370189315629</v>
      </c>
    </row>
    <row r="101" spans="1:8" ht="20" customHeight="1">
      <c r="A101" s="93"/>
      <c r="B101" s="5" t="s">
        <v>177</v>
      </c>
      <c r="C101" s="77">
        <f>Table_Dynam_EMS!D18</f>
        <v>-3.3299709957429591</v>
      </c>
      <c r="D101" s="77">
        <f>Table_Dynam_EMS!H18</f>
        <v>-3.4726707577042326</v>
      </c>
      <c r="E101" s="77">
        <f>Table_Dynam_EMS!L18</f>
        <v>-3.4573497245000806</v>
      </c>
      <c r="F101" s="77">
        <f>Table_Dynam_EMS!P18</f>
        <v>-3.5366615393710665</v>
      </c>
      <c r="G101" s="77">
        <f>Table_Dynam_EMS!T18</f>
        <v>-3.7117832846803922</v>
      </c>
      <c r="H101" s="77">
        <f>Table_Dynam_EMS!X18</f>
        <v>-3.6902900323068089</v>
      </c>
    </row>
    <row r="102" spans="1:8" ht="20" customHeight="1">
      <c r="A102" s="92" t="s">
        <v>183</v>
      </c>
      <c r="B102" s="68" t="s">
        <v>176</v>
      </c>
      <c r="C102" s="77">
        <f>Table_Dynam_EMS!E18</f>
        <v>-11.061342663207929</v>
      </c>
      <c r="D102" s="77">
        <f>Table_Dynam_EMS!I18</f>
        <v>-10.679720228529455</v>
      </c>
      <c r="E102" s="77">
        <f>Table_Dynam_EMS!M18</f>
        <v>-10.925081858522301</v>
      </c>
      <c r="F102" s="77">
        <f>Table_Dynam_EMS!Q18</f>
        <v>-11.246783187299425</v>
      </c>
      <c r="G102" s="77">
        <f>Table_Dynam_EMS!U18</f>
        <v>-10.851638824906152</v>
      </c>
      <c r="H102" s="77">
        <f>Table_Dynam_EMS!Y18</f>
        <v>-11.10637007889247</v>
      </c>
    </row>
    <row r="103" spans="1:8" ht="20" customHeight="1">
      <c r="A103" s="93"/>
      <c r="B103" s="5" t="s">
        <v>177</v>
      </c>
      <c r="C103" s="77">
        <f>Table_Dynam_EMS!F18</f>
        <v>-13.027904579585137</v>
      </c>
      <c r="D103" s="77">
        <f>Table_Dynam_EMS!J18</f>
        <v>-13.434131034862462</v>
      </c>
      <c r="E103" s="77">
        <f>Table_Dynam_EMS!N18</f>
        <v>-13.386621069586614</v>
      </c>
      <c r="F103" s="77">
        <f>Table_Dynam_EMS!R18</f>
        <v>-13.181184758939434</v>
      </c>
      <c r="G103" s="77">
        <f>Table_Dynam_EMS!V18</f>
        <v>-13.595838117689052</v>
      </c>
      <c r="H103" s="77">
        <f>Table_Dynam_EMS!Z18</f>
        <v>-13.545036209141269</v>
      </c>
    </row>
  </sheetData>
  <mergeCells count="60">
    <mergeCell ref="A97:B97"/>
    <mergeCell ref="A100:A101"/>
    <mergeCell ref="A102:A103"/>
    <mergeCell ref="A28:B28"/>
    <mergeCell ref="A29:B29"/>
    <mergeCell ref="A91:A92"/>
    <mergeCell ref="A80:A81"/>
    <mergeCell ref="A85:B85"/>
    <mergeCell ref="A70:A71"/>
    <mergeCell ref="A75:B75"/>
    <mergeCell ref="A78:A79"/>
    <mergeCell ref="A59:A60"/>
    <mergeCell ref="A64:B64"/>
    <mergeCell ref="A38:B38"/>
    <mergeCell ref="A42:B42"/>
    <mergeCell ref="C86:D86"/>
    <mergeCell ref="E86:F86"/>
    <mergeCell ref="G86:H86"/>
    <mergeCell ref="A96:B96"/>
    <mergeCell ref="C96:E96"/>
    <mergeCell ref="F96:H96"/>
    <mergeCell ref="A86:B86"/>
    <mergeCell ref="A89:A90"/>
    <mergeCell ref="C64:E64"/>
    <mergeCell ref="F64:H64"/>
    <mergeCell ref="A65:B65"/>
    <mergeCell ref="A68:A69"/>
    <mergeCell ref="A48:A49"/>
    <mergeCell ref="A53:B53"/>
    <mergeCell ref="C53:E53"/>
    <mergeCell ref="F53:H53"/>
    <mergeCell ref="A54:B54"/>
    <mergeCell ref="A57:A58"/>
    <mergeCell ref="C42:E42"/>
    <mergeCell ref="F42:H42"/>
    <mergeCell ref="A43:B43"/>
    <mergeCell ref="A46:A47"/>
    <mergeCell ref="A33:B33"/>
    <mergeCell ref="C33:E33"/>
    <mergeCell ref="F33:H33"/>
    <mergeCell ref="A34:B34"/>
    <mergeCell ref="A36:B36"/>
    <mergeCell ref="A37:B37"/>
    <mergeCell ref="A25:B25"/>
    <mergeCell ref="A27:B27"/>
    <mergeCell ref="C13:E13"/>
    <mergeCell ref="F13:H13"/>
    <mergeCell ref="A14:B14"/>
    <mergeCell ref="A17:A18"/>
    <mergeCell ref="A19:A20"/>
    <mergeCell ref="A24:B24"/>
    <mergeCell ref="C24:E24"/>
    <mergeCell ref="F24:H24"/>
    <mergeCell ref="A13:B13"/>
    <mergeCell ref="F2:H2"/>
    <mergeCell ref="A6:A7"/>
    <mergeCell ref="A8:A9"/>
    <mergeCell ref="C2:E2"/>
    <mergeCell ref="A2:B2"/>
    <mergeCell ref="A3:B3"/>
  </mergeCells>
  <phoneticPr fontId="25" type="noConversion"/>
  <conditionalFormatting sqref="C6:C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{A03D2BFD-E83F-4C79-9ECA-837A33873486}</x14:id>
        </ext>
      </extLst>
    </cfRule>
    <cfRule type="colorScale" priority="16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C57:C6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{58C1933B-4381-40FF-A50B-349AF0C7FE9D}</x14:id>
        </ext>
      </extLst>
    </cfRule>
    <cfRule type="colorScale" priority="32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C6:H9">
    <cfRule type="containsText" dxfId="8" priority="1" operator="containsText" text="yes">
      <formula>NOT(ISERROR(SEARCH("yes",C6)))</formula>
    </cfRule>
    <cfRule type="containsText" dxfId="7" priority="2" operator="containsText" text="no">
      <formula>NOT(ISERROR(SEARCH("no",C6)))</formula>
    </cfRule>
    <cfRule type="containsText" dxfId="6" priority="3" operator="containsText" text="yes">
      <formula>NOT(ISERROR(SEARCH("yes",C6)))</formula>
    </cfRule>
    <cfRule type="containsText" dxfId="5" priority="4" operator="containsText" text="no">
      <formula>NOT(ISERROR(SEARCH("no",C6)))</formula>
    </cfRule>
  </conditionalFormatting>
  <conditionalFormatting sqref="C57:H60">
    <cfRule type="containsText" dxfId="4" priority="17" operator="containsText" text="yes">
      <formula>NOT(ISERROR(SEARCH("yes",C57)))</formula>
    </cfRule>
    <cfRule type="containsText" dxfId="3" priority="18" operator="containsText" text="no">
      <formula>NOT(ISERROR(SEARCH("no",C57)))</formula>
    </cfRule>
    <cfRule type="containsText" dxfId="2" priority="19" operator="containsText" text="yes">
      <formula>NOT(ISERROR(SEARCH("yes",C57)))</formula>
    </cfRule>
    <cfRule type="containsText" dxfId="1" priority="20" operator="containsText" text="no">
      <formula>NOT(ISERROR(SEARCH("no",C57)))</formula>
    </cfRule>
  </conditionalFormatting>
  <conditionalFormatting sqref="D6:D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{6352F33F-57E3-45C9-B3B9-7C9A326B60CA}</x14:id>
        </ext>
      </extLst>
    </cfRule>
    <cfRule type="colorScale" priority="14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D57:D6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{79865BDC-7420-4610-85D8-BF8BBB5EBD4B}</x14:id>
        </ext>
      </extLst>
    </cfRule>
    <cfRule type="colorScale" priority="30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E6: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{4B7674B4-F318-4426-8E5E-BFB1CA29B368}</x14:id>
        </ext>
      </extLst>
    </cfRule>
    <cfRule type="colorScale" priority="12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E57:E60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{EFC2438B-D5D2-4D76-BEF1-3E5032BAC7F1}</x14:id>
        </ext>
      </extLst>
    </cfRule>
    <cfRule type="colorScale" priority="28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F6:F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{BB67F79B-8662-423E-8631-D390F46A4E4D}</x14:id>
        </ext>
      </extLst>
    </cfRule>
    <cfRule type="colorScale" priority="10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F57:F6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{61667BEE-2863-440C-A32B-12E494D2E196}</x14:id>
        </ext>
      </extLst>
    </cfRule>
    <cfRule type="colorScale" priority="26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G6:G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{8BE92527-33D9-4351-B7EC-246FF565D757}</x14:id>
        </ext>
      </extLst>
    </cfRule>
    <cfRule type="colorScale" priority="8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G57:G6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{B8D69C3E-BC73-4533-A527-300DF307582D}</x14:id>
        </ext>
      </extLst>
    </cfRule>
    <cfRule type="colorScale" priority="24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H6:H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{6D24C052-6F8B-4DBE-8A8F-3511695BBB04}</x14:id>
        </ext>
      </extLst>
    </cfRule>
    <cfRule type="colorScale" priority="6">
      <colorScale>
        <cfvo type="formula" val="&quot;yes&quot;"/>
        <cfvo type="formula" val="&quot;no&quot;"/>
        <color rgb="FF00B050"/>
        <color rgb="FFFF0000"/>
      </colorScale>
    </cfRule>
  </conditionalFormatting>
  <conditionalFormatting sqref="H57:H6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{5515670E-A999-4D26-9EF8-B9340FD10D1F}</x14:id>
        </ext>
      </extLst>
    </cfRule>
    <cfRule type="colorScale" priority="22">
      <colorScale>
        <cfvo type="formula" val="&quot;yes&quot;"/>
        <cfvo type="formula" val="&quot;no&quot;"/>
        <color rgb="FF00B050"/>
        <color rgb="FFFF0000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D2BFD-E83F-4C79-9ECA-837A33873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C6:C9</xm:sqref>
        </x14:conditionalFormatting>
        <x14:conditionalFormatting xmlns:xm="http://schemas.microsoft.com/office/excel/2006/main">
          <x14:cfRule type="dataBar" id="{58C1933B-4381-40FF-A50B-349AF0C7F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C57:C60</xm:sqref>
        </x14:conditionalFormatting>
        <x14:conditionalFormatting xmlns:xm="http://schemas.microsoft.com/office/excel/2006/main">
          <x14:cfRule type="dataBar" id="{6352F33F-57E3-45C9-B3B9-7C9A326B60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D6:D9</xm:sqref>
        </x14:conditionalFormatting>
        <x14:conditionalFormatting xmlns:xm="http://schemas.microsoft.com/office/excel/2006/main">
          <x14:cfRule type="dataBar" id="{79865BDC-7420-4610-85D8-BF8BBB5EB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D57:D60</xm:sqref>
        </x14:conditionalFormatting>
        <x14:conditionalFormatting xmlns:xm="http://schemas.microsoft.com/office/excel/2006/main">
          <x14:cfRule type="dataBar" id="{4B7674B4-F318-4426-8E5E-BFB1CA29B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E6:E9</xm:sqref>
        </x14:conditionalFormatting>
        <x14:conditionalFormatting xmlns:xm="http://schemas.microsoft.com/office/excel/2006/main">
          <x14:cfRule type="dataBar" id="{EFC2438B-D5D2-4D76-BEF1-3E5032BAC7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E57:E60</xm:sqref>
        </x14:conditionalFormatting>
        <x14:conditionalFormatting xmlns:xm="http://schemas.microsoft.com/office/excel/2006/main">
          <x14:cfRule type="dataBar" id="{BB67F79B-8662-423E-8631-D390F46A4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F6:F9</xm:sqref>
        </x14:conditionalFormatting>
        <x14:conditionalFormatting xmlns:xm="http://schemas.microsoft.com/office/excel/2006/main">
          <x14:cfRule type="dataBar" id="{61667BEE-2863-440C-A32B-12E494D2E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F57:F60</xm:sqref>
        </x14:conditionalFormatting>
        <x14:conditionalFormatting xmlns:xm="http://schemas.microsoft.com/office/excel/2006/main">
          <x14:cfRule type="dataBar" id="{8BE92527-33D9-4351-B7EC-246FF565D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G6:G9</xm:sqref>
        </x14:conditionalFormatting>
        <x14:conditionalFormatting xmlns:xm="http://schemas.microsoft.com/office/excel/2006/main">
          <x14:cfRule type="dataBar" id="{B8D69C3E-BC73-4533-A527-300DF3075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G57:G60</xm:sqref>
        </x14:conditionalFormatting>
        <x14:conditionalFormatting xmlns:xm="http://schemas.microsoft.com/office/excel/2006/main">
          <x14:cfRule type="dataBar" id="{6D24C052-6F8B-4DBE-8A8F-3511695BB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H6:H9</xm:sqref>
        </x14:conditionalFormatting>
        <x14:conditionalFormatting xmlns:xm="http://schemas.microsoft.com/office/excel/2006/main">
          <x14:cfRule type="dataBar" id="{5515670E-A999-4D26-9EF8-B9340FD10D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H57:H60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3"/>
  <sheetViews>
    <sheetView workbookViewId="0">
      <selection activeCell="B13" sqref="B13:B63"/>
    </sheetView>
  </sheetViews>
  <sheetFormatPr baseColWidth="10" defaultColWidth="11.453125" defaultRowHeight="14.5"/>
  <cols>
    <col min="1" max="2" width="11.453125" style="2"/>
    <col min="3" max="3" width="15.453125" style="2" customWidth="1"/>
    <col min="4" max="4" width="36.453125" style="2" customWidth="1"/>
    <col min="5" max="5" width="19.54296875" style="2" bestFit="1" customWidth="1"/>
    <col min="6" max="16384" width="11.453125" style="2"/>
  </cols>
  <sheetData>
    <row r="2" spans="2:5">
      <c r="B2" s="111" t="s">
        <v>129</v>
      </c>
      <c r="C2" s="112"/>
      <c r="D2" s="113"/>
    </row>
    <row r="4" spans="2:5">
      <c r="B4" s="114" t="s">
        <v>54</v>
      </c>
      <c r="C4" s="115"/>
      <c r="D4" s="12" t="s">
        <v>48</v>
      </c>
      <c r="E4" s="20" t="str">
        <f>VLOOKUP(D4,Lists!A1:B20,2,FALSE)</f>
        <v>100*(w_1/w_0-1)</v>
      </c>
    </row>
    <row r="5" spans="2:5">
      <c r="E5" s="19"/>
    </row>
    <row r="6" spans="2:5">
      <c r="B6" s="116" t="s">
        <v>56</v>
      </c>
      <c r="C6" s="117"/>
      <c r="D6" s="11" t="s">
        <v>59</v>
      </c>
      <c r="E6" s="21">
        <f>VLOOKUP(D6,Lists!C1:D2,2,FALSE)</f>
        <v>1</v>
      </c>
    </row>
    <row r="7" spans="2:5">
      <c r="B7" s="118" t="s">
        <v>55</v>
      </c>
      <c r="C7" s="119"/>
      <c r="D7" s="8" t="s">
        <v>65</v>
      </c>
      <c r="E7" s="21">
        <f>VLOOKUP(D7,Lists!E1:F3,2,FALSE)</f>
        <v>0</v>
      </c>
    </row>
    <row r="8" spans="2:5">
      <c r="B8" s="118" t="s">
        <v>57</v>
      </c>
      <c r="C8" s="119"/>
      <c r="D8" s="9" t="s">
        <v>61</v>
      </c>
      <c r="E8" s="21">
        <f>VLOOKUP(D8,Lists!G1:H2,2,FALSE)</f>
        <v>1</v>
      </c>
    </row>
    <row r="9" spans="2:5">
      <c r="B9" s="109" t="s">
        <v>58</v>
      </c>
      <c r="C9" s="110"/>
      <c r="D9" s="10" t="s">
        <v>64</v>
      </c>
      <c r="E9" s="21">
        <f>VLOOKUP(D9,Lists!I1:J2,2,FALSE)</f>
        <v>1</v>
      </c>
    </row>
    <row r="10" spans="2:5">
      <c r="E10" s="14"/>
    </row>
    <row r="13" spans="2:5">
      <c r="B13" s="2">
        <v>2000</v>
      </c>
      <c r="C13" s="15">
        <f>INDEX('Raw'!$1:$1048576,MATCH($B13&amp;"."&amp;$E$6&amp;"."&amp;$E$7&amp;"."&amp;$E$8&amp;"."&amp;$E$9,index!$A:$A,0),MATCH(Explorer!$E$4,'Raw'!$1:$1,0))</f>
        <v>0</v>
      </c>
    </row>
    <row r="14" spans="2:5">
      <c r="B14" s="2">
        <v>2001</v>
      </c>
      <c r="C14" s="15">
        <f>INDEX('Raw'!$1:$1048576,MATCH($B14&amp;"."&amp;$E$6&amp;"."&amp;$E$7&amp;"."&amp;$E$8&amp;"."&amp;$E$9,index!$A:$A,0),MATCH(Explorer!$E$4,'Raw'!$1:$1,0))</f>
        <v>2.7108493591887495E-2</v>
      </c>
    </row>
    <row r="15" spans="2:5">
      <c r="B15" s="2">
        <v>2002</v>
      </c>
      <c r="C15" s="15">
        <f>INDEX('Raw'!$1:$1048576,MATCH($B15&amp;"."&amp;$E$6&amp;"."&amp;$E$7&amp;"."&amp;$E$8&amp;"."&amp;$E$9,index!$A:$A,0),MATCH(Explorer!$E$4,'Raw'!$1:$1,0))</f>
        <v>0.20298215631513461</v>
      </c>
    </row>
    <row r="16" spans="2:5">
      <c r="B16" s="2">
        <v>2003</v>
      </c>
      <c r="C16" s="15">
        <f>INDEX('Raw'!$1:$1048576,MATCH($B16&amp;"."&amp;$E$6&amp;"."&amp;$E$7&amp;"."&amp;$E$8&amp;"."&amp;$E$9,index!$A:$A,0),MATCH(Explorer!$E$4,'Raw'!$1:$1,0))</f>
        <v>0.41806224136149428</v>
      </c>
    </row>
    <row r="17" spans="2:3">
      <c r="B17" s="2">
        <v>2004</v>
      </c>
      <c r="C17" s="15">
        <f>INDEX('Raw'!$1:$1048576,MATCH($B17&amp;"."&amp;$E$6&amp;"."&amp;$E$7&amp;"."&amp;$E$8&amp;"."&amp;$E$9,index!$A:$A,0),MATCH(Explorer!$E$4,'Raw'!$1:$1,0))</f>
        <v>0.64675163233840482</v>
      </c>
    </row>
    <row r="18" spans="2:3">
      <c r="B18" s="2">
        <v>2005</v>
      </c>
      <c r="C18" s="15">
        <f>INDEX('Raw'!$1:$1048576,MATCH($B18&amp;"."&amp;$E$6&amp;"."&amp;$E$7&amp;"."&amp;$E$8&amp;"."&amp;$E$9,index!$A:$A,0),MATCH(Explorer!$E$4,'Raw'!$1:$1,0))</f>
        <v>0.87844359005193606</v>
      </c>
    </row>
    <row r="19" spans="2:3">
      <c r="B19" s="2">
        <v>2006</v>
      </c>
      <c r="C19" s="15">
        <f>INDEX('Raw'!$1:$1048576,MATCH($B19&amp;"."&amp;$E$6&amp;"."&amp;$E$7&amp;"."&amp;$E$8&amp;"."&amp;$E$9,index!$A:$A,0),MATCH(Explorer!$E$4,'Raw'!$1:$1,0))</f>
        <v>1.1029259220712628</v>
      </c>
    </row>
    <row r="20" spans="2:3">
      <c r="B20" s="2">
        <v>2007</v>
      </c>
      <c r="C20" s="15">
        <f>INDEX('Raw'!$1:$1048576,MATCH($B20&amp;"."&amp;$E$6&amp;"."&amp;$E$7&amp;"."&amp;$E$8&amp;"."&amp;$E$9,index!$A:$A,0),MATCH(Explorer!$E$4,'Raw'!$1:$1,0))</f>
        <v>1.3102441162345935</v>
      </c>
    </row>
    <row r="21" spans="2:3">
      <c r="B21" s="2">
        <v>2008</v>
      </c>
      <c r="C21" s="15">
        <f>INDEX('Raw'!$1:$1048576,MATCH($B21&amp;"."&amp;$E$6&amp;"."&amp;$E$7&amp;"."&amp;$E$8&amp;"."&amp;$E$9,index!$A:$A,0),MATCH(Explorer!$E$4,'Raw'!$1:$1,0))</f>
        <v>1.4926091051585821</v>
      </c>
    </row>
    <row r="22" spans="2:3">
      <c r="B22" s="2">
        <v>2009</v>
      </c>
      <c r="C22" s="15">
        <f>INDEX('Raw'!$1:$1048576,MATCH($B22&amp;"."&amp;$E$6&amp;"."&amp;$E$7&amp;"."&amp;$E$8&amp;"."&amp;$E$9,index!$A:$A,0),MATCH(Explorer!$E$4,'Raw'!$1:$1,0))</f>
        <v>1.6453729970441477</v>
      </c>
    </row>
    <row r="23" spans="2:3">
      <c r="B23" s="2">
        <v>2010</v>
      </c>
      <c r="C23" s="15">
        <f>INDEX('Raw'!$1:$1048576,MATCH($B23&amp;"."&amp;$E$6&amp;"."&amp;$E$7&amp;"."&amp;$E$8&amp;"."&amp;$E$9,index!$A:$A,0),MATCH(Explorer!$E$4,'Raw'!$1:$1,0))</f>
        <v>1.7669580697226017</v>
      </c>
    </row>
    <row r="24" spans="2:3">
      <c r="B24" s="2">
        <v>2011</v>
      </c>
      <c r="C24" s="15">
        <f>INDEX('Raw'!$1:$1048576,MATCH($B24&amp;"."&amp;$E$6&amp;"."&amp;$E$7&amp;"."&amp;$E$8&amp;"."&amp;$E$9,index!$A:$A,0),MATCH(Explorer!$E$4,'Raw'!$1:$1,0))</f>
        <v>1.8582197935101297</v>
      </c>
    </row>
    <row r="25" spans="2:3">
      <c r="B25" s="2">
        <v>2012</v>
      </c>
      <c r="C25" s="15">
        <f>INDEX('Raw'!$1:$1048576,MATCH($B25&amp;"."&amp;$E$6&amp;"."&amp;$E$7&amp;"."&amp;$E$8&amp;"."&amp;$E$9,index!$A:$A,0),MATCH(Explorer!$E$4,'Raw'!$1:$1,0))</f>
        <v>1.9216552727952863</v>
      </c>
    </row>
    <row r="26" spans="2:3">
      <c r="B26" s="2">
        <v>2013</v>
      </c>
      <c r="C26" s="15">
        <f>INDEX('Raw'!$1:$1048576,MATCH($B26&amp;"."&amp;$E$6&amp;"."&amp;$E$7&amp;"."&amp;$E$8&amp;"."&amp;$E$9,index!$A:$A,0),MATCH(Explorer!$E$4,'Raw'!$1:$1,0))</f>
        <v>1.9606849274895755</v>
      </c>
    </row>
    <row r="27" spans="2:3">
      <c r="B27" s="2">
        <v>2014</v>
      </c>
      <c r="C27" s="15">
        <f>INDEX('Raw'!$1:$1048576,MATCH($B27&amp;"."&amp;$E$6&amp;"."&amp;$E$7&amp;"."&amp;$E$8&amp;"."&amp;$E$9,index!$A:$A,0),MATCH(Explorer!$E$4,'Raw'!$1:$1,0))</f>
        <v>1.9790953056841198</v>
      </c>
    </row>
    <row r="28" spans="2:3">
      <c r="B28" s="2">
        <v>2015</v>
      </c>
      <c r="C28" s="15">
        <f>INDEX('Raw'!$1:$1048576,MATCH($B28&amp;"."&amp;$E$6&amp;"."&amp;$E$7&amp;"."&amp;$E$8&amp;"."&amp;$E$9,index!$A:$A,0),MATCH(Explorer!$E$4,'Raw'!$1:$1,0))</f>
        <v>1.9806511941614424</v>
      </c>
    </row>
    <row r="29" spans="2:3">
      <c r="B29" s="2">
        <v>2016</v>
      </c>
      <c r="C29" s="15">
        <f>INDEX('Raw'!$1:$1048576,MATCH($B29&amp;"."&amp;$E$6&amp;"."&amp;$E$7&amp;"."&amp;$E$8&amp;"."&amp;$E$9,index!$A:$A,0),MATCH(Explorer!$E$4,'Raw'!$1:$1,0))</f>
        <v>1.968852035297286</v>
      </c>
    </row>
    <row r="30" spans="2:3">
      <c r="B30" s="2">
        <v>2017</v>
      </c>
      <c r="C30" s="15">
        <f>INDEX('Raw'!$1:$1048576,MATCH($B30&amp;"."&amp;$E$6&amp;"."&amp;$E$7&amp;"."&amp;$E$8&amp;"."&amp;$E$9,index!$A:$A,0),MATCH(Explorer!$E$4,'Raw'!$1:$1,0))</f>
        <v>1.9467983752999629</v>
      </c>
    </row>
    <row r="31" spans="2:3">
      <c r="B31" s="2">
        <v>2018</v>
      </c>
      <c r="C31" s="15">
        <f>INDEX('Raw'!$1:$1048576,MATCH($B31&amp;"."&amp;$E$6&amp;"."&amp;$E$7&amp;"."&amp;$E$8&amp;"."&amp;$E$9,index!$A:$A,0),MATCH(Explorer!$E$4,'Raw'!$1:$1,0))</f>
        <v>1.9171360344496513</v>
      </c>
    </row>
    <row r="32" spans="2:3">
      <c r="B32" s="2">
        <v>2019</v>
      </c>
      <c r="C32" s="15">
        <f>INDEX('Raw'!$1:$1048576,MATCH($B32&amp;"."&amp;$E$6&amp;"."&amp;$E$7&amp;"."&amp;$E$8&amp;"."&amp;$E$9,index!$A:$A,0),MATCH(Explorer!$E$4,'Raw'!$1:$1,0))</f>
        <v>1.8820522282753993</v>
      </c>
    </row>
    <row r="33" spans="2:3">
      <c r="B33" s="2">
        <v>2020</v>
      </c>
      <c r="C33" s="15">
        <f>INDEX('Raw'!$1:$1048576,MATCH($B33&amp;"."&amp;$E$6&amp;"."&amp;$E$7&amp;"."&amp;$E$8&amp;"."&amp;$E$9,index!$A:$A,0),MATCH(Explorer!$E$4,'Raw'!$1:$1,0))</f>
        <v>1.8433036705427286</v>
      </c>
    </row>
    <row r="34" spans="2:3">
      <c r="B34" s="2">
        <v>2021</v>
      </c>
      <c r="C34" s="15">
        <f>INDEX('Raw'!$1:$1048576,MATCH($B34&amp;"."&amp;$E$6&amp;"."&amp;$E$7&amp;"."&amp;$E$8&amp;"."&amp;$E$9,index!$A:$A,0),MATCH(Explorer!$E$4,'Raw'!$1:$1,0))</f>
        <v>1.802262637260954</v>
      </c>
    </row>
    <row r="35" spans="2:3">
      <c r="B35" s="2">
        <v>2022</v>
      </c>
      <c r="C35" s="15">
        <f>INDEX('Raw'!$1:$1048576,MATCH($B35&amp;"."&amp;$E$6&amp;"."&amp;$E$7&amp;"."&amp;$E$8&amp;"."&amp;$E$9,index!$A:$A,0),MATCH(Explorer!$E$4,'Raw'!$1:$1,0))</f>
        <v>1.759970779644493</v>
      </c>
    </row>
    <row r="36" spans="2:3">
      <c r="B36" s="2">
        <v>2023</v>
      </c>
      <c r="C36" s="15">
        <f>INDEX('Raw'!$1:$1048576,MATCH($B36&amp;"."&amp;$E$6&amp;"."&amp;$E$7&amp;"."&amp;$E$8&amp;"."&amp;$E$9,index!$A:$A,0),MATCH(Explorer!$E$4,'Raw'!$1:$1,0))</f>
        <v>1.7171942400779461</v>
      </c>
    </row>
    <row r="37" spans="2:3">
      <c r="B37" s="2">
        <v>2024</v>
      </c>
      <c r="C37" s="15">
        <f>INDEX('Raw'!$1:$1048576,MATCH($B37&amp;"."&amp;$E$6&amp;"."&amp;$E$7&amp;"."&amp;$E$8&amp;"."&amp;$E$9,index!$A:$A,0),MATCH(Explorer!$E$4,'Raw'!$1:$1,0))</f>
        <v>1.6744758009830996</v>
      </c>
    </row>
    <row r="38" spans="2:3">
      <c r="B38" s="2">
        <v>2025</v>
      </c>
      <c r="C38" s="15">
        <f>INDEX('Raw'!$1:$1048576,MATCH($B38&amp;"."&amp;$E$6&amp;"."&amp;$E$7&amp;"."&amp;$E$8&amp;"."&amp;$E$9,index!$A:$A,0),MATCH(Explorer!$E$4,'Raw'!$1:$1,0))</f>
        <v>1.6321816020619995</v>
      </c>
    </row>
    <row r="39" spans="2:3">
      <c r="B39" s="2">
        <v>2026</v>
      </c>
      <c r="C39" s="15">
        <f>INDEX('Raw'!$1:$1048576,MATCH($B39&amp;"."&amp;$E$6&amp;"."&amp;$E$7&amp;"."&amp;$E$8&amp;"."&amp;$E$9,index!$A:$A,0),MATCH(Explorer!$E$4,'Raw'!$1:$1,0))</f>
        <v>1.5905418441919839</v>
      </c>
    </row>
    <row r="40" spans="2:3">
      <c r="B40" s="2">
        <v>2027</v>
      </c>
      <c r="C40" s="15">
        <f>INDEX('Raw'!$1:$1048576,MATCH($B40&amp;"."&amp;$E$6&amp;"."&amp;$E$7&amp;"."&amp;$E$8&amp;"."&amp;$E$9,index!$A:$A,0),MATCH(Explorer!$E$4,'Raw'!$1:$1,0))</f>
        <v>1.5496841826705632</v>
      </c>
    </row>
    <row r="41" spans="2:3">
      <c r="B41" s="2">
        <v>2028</v>
      </c>
      <c r="C41" s="15">
        <f>INDEX('Raw'!$1:$1048576,MATCH($B41&amp;"."&amp;$E$6&amp;"."&amp;$E$7&amp;"."&amp;$E$8&amp;"."&amp;$E$9,index!$A:$A,0),MATCH(Explorer!$E$4,'Raw'!$1:$1,0))</f>
        <v>1.5096622117685143</v>
      </c>
    </row>
    <row r="42" spans="2:3">
      <c r="B42" s="2">
        <v>2029</v>
      </c>
      <c r="C42" s="15">
        <f>INDEX('Raw'!$1:$1048576,MATCH($B42&amp;"."&amp;$E$6&amp;"."&amp;$E$7&amp;"."&amp;$E$8&amp;"."&amp;$E$9,index!$A:$A,0),MATCH(Explorer!$E$4,'Raw'!$1:$1,0))</f>
        <v>1.4704767521345419</v>
      </c>
    </row>
    <row r="43" spans="2:3">
      <c r="B43" s="2">
        <v>2030</v>
      </c>
      <c r="C43" s="15">
        <f>INDEX('Raw'!$1:$1048576,MATCH($B43&amp;"."&amp;$E$6&amp;"."&amp;$E$7&amp;"."&amp;$E$8&amp;"."&amp;$E$9,index!$A:$A,0),MATCH(Explorer!$E$4,'Raw'!$1:$1,0))</f>
        <v>1.4320937634784148</v>
      </c>
    </row>
    <row r="44" spans="2:3">
      <c r="B44" s="2">
        <v>2031</v>
      </c>
      <c r="C44" s="15">
        <f>INDEX('Raw'!$1:$1048576,MATCH($B44&amp;"."&amp;$E$6&amp;"."&amp;$E$7&amp;"."&amp;$E$8&amp;"."&amp;$E$9,index!$A:$A,0),MATCH(Explorer!$E$4,'Raw'!$1:$1,0))</f>
        <v>1.3944574634623619</v>
      </c>
    </row>
    <row r="45" spans="2:3">
      <c r="B45" s="2">
        <v>2032</v>
      </c>
      <c r="C45" s="15">
        <f>INDEX('Raw'!$1:$1048576,MATCH($B45&amp;"."&amp;$E$6&amp;"."&amp;$E$7&amp;"."&amp;$E$8&amp;"."&amp;$E$9,index!$A:$A,0),MATCH(Explorer!$E$4,'Raw'!$1:$1,0))</f>
        <v>1.3575006696687764</v>
      </c>
    </row>
    <row r="46" spans="2:3">
      <c r="B46" s="2">
        <v>2033</v>
      </c>
      <c r="C46" s="15">
        <f>INDEX('Raw'!$1:$1048576,MATCH($B46&amp;"."&amp;$E$6&amp;"."&amp;$E$7&amp;"."&amp;$E$8&amp;"."&amp;$E$9,index!$A:$A,0),MATCH(Explorer!$E$4,'Raw'!$1:$1,0))</f>
        <v>1.3211528530734817</v>
      </c>
    </row>
    <row r="47" spans="2:3">
      <c r="B47" s="2">
        <v>2034</v>
      </c>
      <c r="C47" s="15">
        <f>INDEX('Raw'!$1:$1048576,MATCH($B47&amp;"."&amp;$E$6&amp;"."&amp;$E$7&amp;"."&amp;$E$8&amp;"."&amp;$E$9,index!$A:$A,0),MATCH(Explorer!$E$4,'Raw'!$1:$1,0))</f>
        <v>1.2853448693093572</v>
      </c>
    </row>
    <row r="48" spans="2:3">
      <c r="B48" s="2">
        <v>2035</v>
      </c>
      <c r="C48" s="15">
        <f>INDEX('Raw'!$1:$1048576,MATCH($B48&amp;"."&amp;$E$6&amp;"."&amp;$E$7&amp;"."&amp;$E$8&amp;"."&amp;$E$9,index!$A:$A,0),MATCH(Explorer!$E$4,'Raw'!$1:$1,0))</f>
        <v>1.2500141600241044</v>
      </c>
    </row>
    <row r="49" spans="2:3">
      <c r="B49" s="2">
        <v>2036</v>
      </c>
      <c r="C49" s="15">
        <f>INDEX('Raw'!$1:$1048576,MATCH($B49&amp;"."&amp;$E$6&amp;"."&amp;$E$7&amp;"."&amp;$E$8&amp;"."&amp;$E$9,index!$A:$A,0),MATCH(Explorer!$E$4,'Raw'!$1:$1,0))</f>
        <v>1.2151062327053541</v>
      </c>
    </row>
    <row r="50" spans="2:3">
      <c r="B50" s="2">
        <v>2037</v>
      </c>
      <c r="C50" s="15">
        <f>INDEX('Raw'!$1:$1048576,MATCH($B50&amp;"."&amp;$E$6&amp;"."&amp;$E$7&amp;"."&amp;$E$8&amp;"."&amp;$E$9,index!$A:$A,0),MATCH(Explorer!$E$4,'Raw'!$1:$1,0))</f>
        <v>1.1805777197026801</v>
      </c>
    </row>
    <row r="51" spans="2:3">
      <c r="B51" s="2">
        <v>2038</v>
      </c>
      <c r="C51" s="15">
        <f>INDEX('Raw'!$1:$1048576,MATCH($B51&amp;"."&amp;$E$6&amp;"."&amp;$E$7&amp;"."&amp;$E$8&amp;"."&amp;$E$9,index!$A:$A,0),MATCH(Explorer!$E$4,'Raw'!$1:$1,0))</f>
        <v>1.1463961716539961</v>
      </c>
    </row>
    <row r="52" spans="2:3">
      <c r="B52" s="2">
        <v>2039</v>
      </c>
      <c r="C52" s="15">
        <f>INDEX('Raw'!$1:$1048576,MATCH($B52&amp;"."&amp;$E$6&amp;"."&amp;$E$7&amp;"."&amp;$E$8&amp;"."&amp;$E$9,index!$A:$A,0),MATCH(Explorer!$E$4,'Raw'!$1:$1,0))</f>
        <v>1.1125410814068371</v>
      </c>
    </row>
    <row r="53" spans="2:3">
      <c r="B53" s="2">
        <v>2040</v>
      </c>
      <c r="C53" s="15">
        <f>INDEX('Raw'!$1:$1048576,MATCH($B53&amp;"."&amp;$E$6&amp;"."&amp;$E$7&amp;"."&amp;$E$8&amp;"."&amp;$E$9,index!$A:$A,0),MATCH(Explorer!$E$4,'Raw'!$1:$1,0))</f>
        <v>1.0790032138684458</v>
      </c>
    </row>
    <row r="54" spans="2:3">
      <c r="B54" s="2">
        <v>2041</v>
      </c>
      <c r="C54" s="15">
        <f>INDEX('Raw'!$1:$1048576,MATCH($B54&amp;"."&amp;$E$6&amp;"."&amp;$E$7&amp;"."&amp;$E$8&amp;"."&amp;$E$9,index!$A:$A,0),MATCH(Explorer!$E$4,'Raw'!$1:$1,0))</f>
        <v>1.0457843689771984</v>
      </c>
    </row>
    <row r="55" spans="2:3">
      <c r="B55" s="2">
        <v>2042</v>
      </c>
      <c r="C55" s="15">
        <f>INDEX('Raw'!$1:$1048576,MATCH($B55&amp;"."&amp;$E$6&amp;"."&amp;$E$7&amp;"."&amp;$E$8&amp;"."&amp;$E$9,index!$A:$A,0),MATCH(Explorer!$E$4,'Raw'!$1:$1,0))</f>
        <v>1.0128958932871246</v>
      </c>
    </row>
    <row r="56" spans="2:3">
      <c r="B56" s="2">
        <v>2043</v>
      </c>
      <c r="C56" s="15">
        <f>INDEX('Raw'!$1:$1048576,MATCH($B56&amp;"."&amp;$E$6&amp;"."&amp;$E$7&amp;"."&amp;$E$8&amp;"."&amp;$E$9,index!$A:$A,0),MATCH(Explorer!$E$4,'Raw'!$1:$1,0))</f>
        <v>0.98035776483715864</v>
      </c>
    </row>
    <row r="57" spans="2:3">
      <c r="B57" s="2">
        <v>2044</v>
      </c>
      <c r="C57" s="15">
        <f>INDEX('Raw'!$1:$1048576,MATCH($B57&amp;"."&amp;$E$6&amp;"."&amp;$E$7&amp;"."&amp;$E$8&amp;"."&amp;$E$9,index!$A:$A,0),MATCH(Explorer!$E$4,'Raw'!$1:$1,0))</f>
        <v>0.94819735105018399</v>
      </c>
    </row>
    <row r="58" spans="2:3">
      <c r="B58" s="2">
        <v>2045</v>
      </c>
      <c r="C58" s="15">
        <f>INDEX('Raw'!$1:$1048576,MATCH($B58&amp;"."&amp;$E$6&amp;"."&amp;$E$7&amp;"."&amp;$E$8&amp;"."&amp;$E$9,index!$A:$A,0),MATCH(Explorer!$E$4,'Raw'!$1:$1,0))</f>
        <v>0.91644768767986662</v>
      </c>
    </row>
    <row r="59" spans="2:3">
      <c r="B59" s="2">
        <v>2046</v>
      </c>
      <c r="C59" s="15">
        <f>INDEX('Raw'!$1:$1048576,MATCH($B59&amp;"."&amp;$E$6&amp;"."&amp;$E$7&amp;"."&amp;$E$8&amp;"."&amp;$E$9,index!$A:$A,0),MATCH(Explorer!$E$4,'Raw'!$1:$1,0))</f>
        <v>0.88514629280040946</v>
      </c>
    </row>
    <row r="60" spans="2:3">
      <c r="B60" s="2">
        <v>2047</v>
      </c>
      <c r="C60" s="15">
        <f>INDEX('Raw'!$1:$1048576,MATCH($B60&amp;"."&amp;$E$6&amp;"."&amp;$E$7&amp;"."&amp;$E$8&amp;"."&amp;$E$9,index!$A:$A,0),MATCH(Explorer!$E$4,'Raw'!$1:$1,0))</f>
        <v>0.85433348463015424</v>
      </c>
    </row>
    <row r="61" spans="2:3">
      <c r="B61" s="2">
        <v>2048</v>
      </c>
      <c r="C61" s="15">
        <f>INDEX('Raw'!$1:$1048576,MATCH($B61&amp;"."&amp;$E$6&amp;"."&amp;$E$7&amp;"."&amp;$E$8&amp;"."&amp;$E$9,index!$A:$A,0),MATCH(Explorer!$E$4,'Raw'!$1:$1,0))</f>
        <v>0.82405136933723089</v>
      </c>
    </row>
    <row r="62" spans="2:3">
      <c r="B62" s="2">
        <v>2049</v>
      </c>
      <c r="C62" s="15">
        <f>INDEX('Raw'!$1:$1048576,MATCH($B62&amp;"."&amp;$E$6&amp;"."&amp;$E$7&amp;"."&amp;$E$8&amp;"."&amp;$E$9,index!$A:$A,0),MATCH(Explorer!$E$4,'Raw'!$1:$1,0))</f>
        <v>0.79434242809319766</v>
      </c>
    </row>
    <row r="63" spans="2:3">
      <c r="B63" s="2">
        <v>2050</v>
      </c>
      <c r="C63" s="15">
        <f>INDEX('Raw'!$1:$1048576,MATCH($B63&amp;"."&amp;$E$6&amp;"."&amp;$E$7&amp;"."&amp;$E$8&amp;"."&amp;$E$9,index!$A:$A,0),MATCH(Explorer!$E$4,'Raw'!$1:$1,0))</f>
        <v>0.76524837259743794</v>
      </c>
    </row>
  </sheetData>
  <mergeCells count="6">
    <mergeCell ref="B9:C9"/>
    <mergeCell ref="B2:D2"/>
    <mergeCell ref="B4:C4"/>
    <mergeCell ref="B6:C6"/>
    <mergeCell ref="B7:C7"/>
    <mergeCell ref="B8:C8"/>
  </mergeCells>
  <dataValidations count="1">
    <dataValidation type="list" allowBlank="1" showInputMessage="1" showErrorMessage="1" sqref="D4" xr:uid="{00000000-0002-0000-0200-000000000000}">
      <formula1>Output_variable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1000000}">
          <x14:formula1>
            <xm:f>Lists!$C$1:$C$2</xm:f>
          </x14:formula1>
          <xm:sqref>D6</xm:sqref>
        </x14:dataValidation>
        <x14:dataValidation type="list" allowBlank="1" showInputMessage="1" showErrorMessage="1" xr:uid="{00000000-0002-0000-0200-000002000000}">
          <x14:formula1>
            <xm:f>Lists!$E$1:$E$3</xm:f>
          </x14:formula1>
          <xm:sqref>D7</xm:sqref>
        </x14:dataValidation>
        <x14:dataValidation type="list" allowBlank="1" showInputMessage="1" showErrorMessage="1" xr:uid="{00000000-0002-0000-0200-000003000000}">
          <x14:formula1>
            <xm:f>Lists!$G$1:$G$2</xm:f>
          </x14:formula1>
          <xm:sqref>D8</xm:sqref>
        </x14:dataValidation>
        <x14:dataValidation type="list" allowBlank="1" showInputMessage="1" showErrorMessage="1" xr:uid="{00000000-0002-0000-0200-000004000000}">
          <x14:formula1>
            <xm:f>Lists!$I$1:$I$2</xm:f>
          </x14:formula1>
          <xm:sqref>D9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82"/>
  <sheetViews>
    <sheetView zoomScale="136" zoomScaleNormal="136" workbookViewId="0">
      <selection activeCell="I11" sqref="I11"/>
    </sheetView>
  </sheetViews>
  <sheetFormatPr baseColWidth="10" defaultColWidth="11.453125" defaultRowHeight="14.5"/>
  <cols>
    <col min="1" max="16384" width="11.453125" style="2"/>
  </cols>
  <sheetData>
    <row r="2" spans="2:8" ht="15.5">
      <c r="B2" s="121" t="s">
        <v>123</v>
      </c>
      <c r="C2" s="122"/>
      <c r="D2" s="122"/>
      <c r="E2" s="122"/>
      <c r="F2" s="122"/>
      <c r="G2" s="122"/>
      <c r="H2" s="123"/>
    </row>
    <row r="4" spans="2:8">
      <c r="B4" s="114" t="s">
        <v>54</v>
      </c>
      <c r="C4" s="115"/>
      <c r="D4" s="128" t="s">
        <v>37</v>
      </c>
      <c r="E4" s="129"/>
      <c r="F4" s="20" t="str">
        <f>VLOOKUP(D4,Lists!A1:B20,2,FALSE)</f>
        <v>100*(i_1/i_0-1)</v>
      </c>
    </row>
    <row r="5" spans="2:8">
      <c r="F5" s="20"/>
    </row>
    <row r="6" spans="2:8">
      <c r="B6" s="116" t="s">
        <v>55</v>
      </c>
      <c r="C6" s="117"/>
      <c r="D6" s="124" t="s">
        <v>66</v>
      </c>
      <c r="E6" s="124"/>
      <c r="F6" s="20">
        <f>VLOOKUP(D6,Lists!E1:F3,2,FALSE)</f>
        <v>1</v>
      </c>
    </row>
    <row r="7" spans="2:8">
      <c r="B7" s="118" t="s">
        <v>57</v>
      </c>
      <c r="C7" s="119"/>
      <c r="D7" s="125" t="s">
        <v>62</v>
      </c>
      <c r="E7" s="125"/>
      <c r="F7" s="20">
        <f>VLOOKUP(D7,Lists!G1:H2,2,FALSE)</f>
        <v>0</v>
      </c>
    </row>
    <row r="8" spans="2:8">
      <c r="B8" s="109" t="s">
        <v>58</v>
      </c>
      <c r="C8" s="110"/>
      <c r="D8" s="126" t="s">
        <v>63</v>
      </c>
      <c r="E8" s="127"/>
    </row>
    <row r="9" spans="2:8">
      <c r="F9" s="20">
        <f>VLOOKUP(D8,Lists!I1:J2,2,FALSE)</f>
        <v>0</v>
      </c>
    </row>
    <row r="30" spans="2:6" ht="52" customHeight="1">
      <c r="B30" s="120" t="s">
        <v>56</v>
      </c>
      <c r="C30" s="120"/>
      <c r="D30" s="47" t="s">
        <v>146</v>
      </c>
      <c r="E30" s="47" t="s">
        <v>147</v>
      </c>
    </row>
    <row r="31" spans="2:6">
      <c r="B31" s="22" t="s">
        <v>127</v>
      </c>
      <c r="D31" s="46">
        <v>0</v>
      </c>
      <c r="E31" s="46">
        <v>1</v>
      </c>
    </row>
    <row r="32" spans="2:6">
      <c r="B32" s="23">
        <v>2000</v>
      </c>
      <c r="D32" s="24">
        <f>INDEX('Raw'!$1:$1048576,MATCH($B32&amp;"."&amp;D$31&amp;"."&amp;$F$6&amp;"."&amp;$F$7&amp;"."&amp;$F$9,index!$A:$A,0),MATCH($F$4,'Raw'!$1:$1,0))</f>
        <v>0</v>
      </c>
      <c r="E32" s="24">
        <f>INDEX('Raw'!$1:$1048576,MATCH($B32&amp;"."&amp;E$31&amp;"."&amp;$F$6&amp;"."&amp;$F$7&amp;"."&amp;$F$9,index!$A:$A,0),MATCH($F$4,'Raw'!$1:$1,0))</f>
        <v>0</v>
      </c>
      <c r="F32" s="2">
        <v>0</v>
      </c>
    </row>
    <row r="33" spans="2:6">
      <c r="B33" s="23">
        <v>2001</v>
      </c>
      <c r="D33" s="24">
        <f>INDEX('Raw'!$1:$1048576,MATCH($B33&amp;"."&amp;D$31&amp;"."&amp;$F$6&amp;"."&amp;$F$7&amp;"."&amp;$F$9,index!$A:$A,0),MATCH($F$4,'Raw'!$1:$1,0))</f>
        <v>-0.23157975183714097</v>
      </c>
      <c r="E33" s="24">
        <f>INDEX('Raw'!$1:$1048576,MATCH($B33&amp;"."&amp;E$31&amp;"."&amp;$F$6&amp;"."&amp;$F$7&amp;"."&amp;$F$9,index!$A:$A,0),MATCH($F$4,'Raw'!$1:$1,0))</f>
        <v>-0.16013590529858623</v>
      </c>
      <c r="F33" s="2">
        <v>1</v>
      </c>
    </row>
    <row r="34" spans="2:6">
      <c r="B34" s="23">
        <v>2002</v>
      </c>
      <c r="D34" s="24">
        <f>INDEX('Raw'!$1:$1048576,MATCH($B34&amp;"."&amp;D$31&amp;"."&amp;$F$6&amp;"."&amp;$F$7&amp;"."&amp;$F$9,index!$A:$A,0),MATCH($F$4,'Raw'!$1:$1,0))</f>
        <v>-0.43135215244677338</v>
      </c>
      <c r="E34" s="24">
        <f>INDEX('Raw'!$1:$1048576,MATCH($B34&amp;"."&amp;E$31&amp;"."&amp;$F$6&amp;"."&amp;$F$7&amp;"."&amp;$F$9,index!$A:$A,0),MATCH($F$4,'Raw'!$1:$1,0))</f>
        <v>-0.29345598626167035</v>
      </c>
      <c r="F34" s="2">
        <v>2</v>
      </c>
    </row>
    <row r="35" spans="2:6">
      <c r="B35" s="23">
        <v>2003</v>
      </c>
      <c r="D35" s="24">
        <f>INDEX('Raw'!$1:$1048576,MATCH($B35&amp;"."&amp;D$31&amp;"."&amp;$F$6&amp;"."&amp;$F$7&amp;"."&amp;$F$9,index!$A:$A,0),MATCH($F$4,'Raw'!$1:$1,0))</f>
        <v>-0.59088651574951134</v>
      </c>
      <c r="E35" s="24">
        <f>INDEX('Raw'!$1:$1048576,MATCH($B35&amp;"."&amp;E$31&amp;"."&amp;$F$6&amp;"."&amp;$F$7&amp;"."&amp;$F$9,index!$A:$A,0),MATCH($F$4,'Raw'!$1:$1,0))</f>
        <v>-0.39350667326606414</v>
      </c>
      <c r="F35" s="2">
        <v>3</v>
      </c>
    </row>
    <row r="36" spans="2:6">
      <c r="B36" s="23">
        <v>2004</v>
      </c>
      <c r="D36" s="24">
        <f>INDEX('Raw'!$1:$1048576,MATCH($B36&amp;"."&amp;D$31&amp;"."&amp;$F$6&amp;"."&amp;$F$7&amp;"."&amp;$F$9,index!$A:$A,0),MATCH($F$4,'Raw'!$1:$1,0))</f>
        <v>-0.71977973390037198</v>
      </c>
      <c r="E36" s="24">
        <f>INDEX('Raw'!$1:$1048576,MATCH($B36&amp;"."&amp;E$31&amp;"."&amp;$F$6&amp;"."&amp;$F$7&amp;"."&amp;$F$9,index!$A:$A,0),MATCH($F$4,'Raw'!$1:$1,0))</f>
        <v>-0.46897990781952226</v>
      </c>
      <c r="F36" s="2">
        <v>4</v>
      </c>
    </row>
    <row r="37" spans="2:6">
      <c r="B37" s="23">
        <v>2005</v>
      </c>
      <c r="D37" s="24">
        <f>INDEX('Raw'!$1:$1048576,MATCH($B37&amp;"."&amp;D$31&amp;"."&amp;$F$6&amp;"."&amp;$F$7&amp;"."&amp;$F$9,index!$A:$A,0),MATCH($F$4,'Raw'!$1:$1,0))</f>
        <v>-0.82798199231853831</v>
      </c>
      <c r="E37" s="24">
        <f>INDEX('Raw'!$1:$1048576,MATCH($B37&amp;"."&amp;E$31&amp;"."&amp;$F$6&amp;"."&amp;$F$7&amp;"."&amp;$F$9,index!$A:$A,0),MATCH($F$4,'Raw'!$1:$1,0))</f>
        <v>-0.52837182295192298</v>
      </c>
      <c r="F37" s="2">
        <v>5</v>
      </c>
    </row>
    <row r="38" spans="2:6">
      <c r="B38" s="23">
        <v>2006</v>
      </c>
      <c r="D38" s="24">
        <f>INDEX('Raw'!$1:$1048576,MATCH($B38&amp;"."&amp;D$31&amp;"."&amp;$F$6&amp;"."&amp;$F$7&amp;"."&amp;$F$9,index!$A:$A,0),MATCH($F$4,'Raw'!$1:$1,0))</f>
        <v>-0.92113399622860692</v>
      </c>
      <c r="E38" s="24">
        <f>INDEX('Raw'!$1:$1048576,MATCH($B38&amp;"."&amp;E$31&amp;"."&amp;$F$6&amp;"."&amp;$F$7&amp;"."&amp;$F$9,index!$A:$A,0),MATCH($F$4,'Raw'!$1:$1,0))</f>
        <v>-0.57619977532588074</v>
      </c>
      <c r="F38" s="2">
        <v>6</v>
      </c>
    </row>
    <row r="39" spans="2:6">
      <c r="B39" s="23">
        <v>2007</v>
      </c>
      <c r="D39" s="24">
        <f>INDEX('Raw'!$1:$1048576,MATCH($B39&amp;"."&amp;D$31&amp;"."&amp;$F$6&amp;"."&amp;$F$7&amp;"."&amp;$F$9,index!$A:$A,0),MATCH($F$4,'Raw'!$1:$1,0))</f>
        <v>-1.0013639725760082</v>
      </c>
      <c r="E39" s="24">
        <f>INDEX('Raw'!$1:$1048576,MATCH($B39&amp;"."&amp;E$31&amp;"."&amp;$F$6&amp;"."&amp;$F$7&amp;"."&amp;$F$9,index!$A:$A,0),MATCH($F$4,'Raw'!$1:$1,0))</f>
        <v>-0.61394894579797077</v>
      </c>
      <c r="F39" s="2">
        <v>7</v>
      </c>
    </row>
    <row r="40" spans="2:6">
      <c r="B40" s="23">
        <v>2008</v>
      </c>
      <c r="D40" s="24">
        <f>INDEX('Raw'!$1:$1048576,MATCH($B40&amp;"."&amp;D$31&amp;"."&amp;$F$6&amp;"."&amp;$F$7&amp;"."&amp;$F$9,index!$A:$A,0),MATCH($F$4,'Raw'!$1:$1,0))</f>
        <v>-1.0691208965366461</v>
      </c>
      <c r="E40" s="24">
        <f>INDEX('Raw'!$1:$1048576,MATCH($B40&amp;"."&amp;E$31&amp;"."&amp;$F$6&amp;"."&amp;$F$7&amp;"."&amp;$F$9,index!$A:$A,0),MATCH($F$4,'Raw'!$1:$1,0))</f>
        <v>-0.64178775549688094</v>
      </c>
      <c r="F40" s="2">
        <v>8</v>
      </c>
    </row>
    <row r="41" spans="2:6">
      <c r="B41" s="23">
        <v>2009</v>
      </c>
      <c r="D41" s="24">
        <f>INDEX('Raw'!$1:$1048576,MATCH($B41&amp;"."&amp;D$31&amp;"."&amp;$F$6&amp;"."&amp;$F$7&amp;"."&amp;$F$9,index!$A:$A,0),MATCH($F$4,'Raw'!$1:$1,0))</f>
        <v>-1.1245273764278529</v>
      </c>
      <c r="E41" s="24">
        <f>INDEX('Raw'!$1:$1048576,MATCH($B41&amp;"."&amp;E$31&amp;"."&amp;$F$6&amp;"."&amp;$F$7&amp;"."&amp;$F$9,index!$A:$A,0),MATCH($F$4,'Raw'!$1:$1,0))</f>
        <v>-0.65975475634111325</v>
      </c>
      <c r="F41" s="2">
        <v>9</v>
      </c>
    </row>
    <row r="42" spans="2:6">
      <c r="B42" s="23">
        <v>2010</v>
      </c>
      <c r="D42" s="24">
        <f>INDEX('Raw'!$1:$1048576,MATCH($B42&amp;"."&amp;D$31&amp;"."&amp;$F$6&amp;"."&amp;$F$7&amp;"."&amp;$F$9,index!$A:$A,0),MATCH($F$4,'Raw'!$1:$1,0))</f>
        <v>-1.1680459706837398</v>
      </c>
      <c r="E42" s="24">
        <f>INDEX('Raw'!$1:$1048576,MATCH($B42&amp;"."&amp;E$31&amp;"."&amp;$F$6&amp;"."&amp;$F$7&amp;"."&amp;$F$9,index!$A:$A,0),MATCH($F$4,'Raw'!$1:$1,0))</f>
        <v>-0.66829493102672499</v>
      </c>
      <c r="F42" s="2">
        <v>10</v>
      </c>
    </row>
    <row r="43" spans="2:6">
      <c r="B43" s="23">
        <v>2011</v>
      </c>
      <c r="D43" s="24">
        <f>INDEX('Raw'!$1:$1048576,MATCH($B43&amp;"."&amp;D$31&amp;"."&amp;$F$6&amp;"."&amp;$F$7&amp;"."&amp;$F$9,index!$A:$A,0),MATCH($F$4,'Raw'!$1:$1,0))</f>
        <v>-1.2006485595765004</v>
      </c>
      <c r="E43" s="24">
        <f>INDEX('Raw'!$1:$1048576,MATCH($B43&amp;"."&amp;E$31&amp;"."&amp;$F$6&amp;"."&amp;$F$7&amp;"."&amp;$F$9,index!$A:$A,0),MATCH($F$4,'Raw'!$1:$1,0))</f>
        <v>-0.66835439645133166</v>
      </c>
      <c r="F43" s="2">
        <v>11</v>
      </c>
    </row>
    <row r="44" spans="2:6">
      <c r="B44" s="23">
        <v>2012</v>
      </c>
      <c r="D44" s="24">
        <f>INDEX('Raw'!$1:$1048576,MATCH($B44&amp;"."&amp;D$31&amp;"."&amp;$F$6&amp;"."&amp;$F$7&amp;"."&amp;$F$9,index!$A:$A,0),MATCH($F$4,'Raw'!$1:$1,0))</f>
        <v>-1.2237168018629174</v>
      </c>
      <c r="E44" s="24">
        <f>INDEX('Raw'!$1:$1048576,MATCH($B44&amp;"."&amp;E$31&amp;"."&amp;$F$6&amp;"."&amp;$F$7&amp;"."&amp;$F$9,index!$A:$A,0),MATCH($F$4,'Raw'!$1:$1,0))</f>
        <v>-0.66125380787819266</v>
      </c>
      <c r="F44" s="2">
        <v>12</v>
      </c>
    </row>
    <row r="45" spans="2:6">
      <c r="B45" s="23">
        <v>2013</v>
      </c>
      <c r="D45" s="24">
        <f>INDEX('Raw'!$1:$1048576,MATCH($B45&amp;"."&amp;D$31&amp;"."&amp;$F$6&amp;"."&amp;$F$7&amp;"."&amp;$F$9,index!$A:$A,0),MATCH($F$4,'Raw'!$1:$1,0))</f>
        <v>-1.238841577001959</v>
      </c>
      <c r="E45" s="24">
        <f>INDEX('Raw'!$1:$1048576,MATCH($B45&amp;"."&amp;E$31&amp;"."&amp;$F$6&amp;"."&amp;$F$7&amp;"."&amp;$F$9,index!$A:$A,0),MATCH($F$4,'Raw'!$1:$1,0))</f>
        <v>-0.64849160900595226</v>
      </c>
      <c r="F45" s="2">
        <v>13</v>
      </c>
    </row>
    <row r="46" spans="2:6">
      <c r="B46" s="23">
        <v>2014</v>
      </c>
      <c r="D46" s="24">
        <f>INDEX('Raw'!$1:$1048576,MATCH($B46&amp;"."&amp;D$31&amp;"."&amp;$F$6&amp;"."&amp;$F$7&amp;"."&amp;$F$9,index!$A:$A,0),MATCH($F$4,'Raw'!$1:$1,0))</f>
        <v>-1.2476216986481825</v>
      </c>
      <c r="E46" s="24">
        <f>INDEX('Raw'!$1:$1048576,MATCH($B46&amp;"."&amp;E$31&amp;"."&amp;$F$6&amp;"."&amp;$F$7&amp;"."&amp;$F$9,index!$A:$A,0),MATCH($F$4,'Raw'!$1:$1,0))</f>
        <v>-0.63156029539673808</v>
      </c>
      <c r="F46" s="2">
        <v>14</v>
      </c>
    </row>
    <row r="47" spans="2:6">
      <c r="B47" s="23">
        <v>2015</v>
      </c>
      <c r="D47" s="24">
        <f>INDEX('Raw'!$1:$1048576,MATCH($B47&amp;"."&amp;D$31&amp;"."&amp;$F$6&amp;"."&amp;$F$7&amp;"."&amp;$F$9,index!$A:$A,0),MATCH($F$4,'Raw'!$1:$1,0))</f>
        <v>-1.2515107058265307</v>
      </c>
      <c r="E47" s="24">
        <f>INDEX('Raw'!$1:$1048576,MATCH($B47&amp;"."&amp;E$31&amp;"."&amp;$F$6&amp;"."&amp;$F$7&amp;"."&amp;$F$9,index!$A:$A,0),MATCH($F$4,'Raw'!$1:$1,0))</f>
        <v>-0.61181309660154337</v>
      </c>
      <c r="F47" s="2">
        <v>15</v>
      </c>
    </row>
    <row r="48" spans="2:6">
      <c r="B48" s="23">
        <v>2016</v>
      </c>
      <c r="D48" s="24">
        <f>INDEX('Raw'!$1:$1048576,MATCH($B48&amp;"."&amp;D$31&amp;"."&amp;$F$6&amp;"."&amp;$F$7&amp;"."&amp;$F$9,index!$A:$A,0),MATCH($F$4,'Raw'!$1:$1,0))</f>
        <v>-1.2517265624326535</v>
      </c>
      <c r="E48" s="24">
        <f>INDEX('Raw'!$1:$1048576,MATCH($B48&amp;"."&amp;E$31&amp;"."&amp;$F$6&amp;"."&amp;$F$7&amp;"."&amp;$F$9,index!$A:$A,0),MATCH($F$4,'Raw'!$1:$1,0))</f>
        <v>-0.59038778856598251</v>
      </c>
      <c r="F48" s="2">
        <v>16</v>
      </c>
    </row>
    <row r="49" spans="2:6">
      <c r="B49" s="23">
        <v>2017</v>
      </c>
      <c r="D49" s="24">
        <f>INDEX('Raw'!$1:$1048576,MATCH($B49&amp;"."&amp;D$31&amp;"."&amp;$F$6&amp;"."&amp;$F$7&amp;"."&amp;$F$9,index!$A:$A,0),MATCH($F$4,'Raw'!$1:$1,0))</f>
        <v>-1.2492190524925006</v>
      </c>
      <c r="E49" s="24">
        <f>INDEX('Raw'!$1:$1048576,MATCH($B49&amp;"."&amp;E$31&amp;"."&amp;$F$6&amp;"."&amp;$F$7&amp;"."&amp;$F$9,index!$A:$A,0),MATCH($F$4,'Raw'!$1:$1,0))</f>
        <v>-0.56818091171096929</v>
      </c>
      <c r="F49" s="2">
        <v>17</v>
      </c>
    </row>
    <row r="50" spans="2:6">
      <c r="B50" s="23">
        <v>2018</v>
      </c>
      <c r="D50" s="24">
        <f>INDEX('Raw'!$1:$1048576,MATCH($B50&amp;"."&amp;D$31&amp;"."&amp;$F$6&amp;"."&amp;$F$7&amp;"."&amp;$F$9,index!$A:$A,0),MATCH($F$4,'Raw'!$1:$1,0))</f>
        <v>-1.2446802711096661</v>
      </c>
      <c r="E50" s="24">
        <f>INDEX('Raw'!$1:$1048576,MATCH($B50&amp;"."&amp;E$31&amp;"."&amp;$F$6&amp;"."&amp;$F$7&amp;"."&amp;$F$9,index!$A:$A,0),MATCH($F$4,'Raw'!$1:$1,0))</f>
        <v>-0.54585736532053453</v>
      </c>
      <c r="F50" s="2">
        <v>18</v>
      </c>
    </row>
    <row r="51" spans="2:6">
      <c r="B51" s="23">
        <v>2019</v>
      </c>
      <c r="D51" s="24">
        <f>INDEX('Raw'!$1:$1048576,MATCH($B51&amp;"."&amp;D$31&amp;"."&amp;$F$6&amp;"."&amp;$F$7&amp;"."&amp;$F$9,index!$A:$A,0),MATCH($F$4,'Raw'!$1:$1,0))</f>
        <v>-1.2385815070811046</v>
      </c>
      <c r="E51" s="24">
        <f>INDEX('Raw'!$1:$1048576,MATCH($B51&amp;"."&amp;E$31&amp;"."&amp;$F$6&amp;"."&amp;$F$7&amp;"."&amp;$F$9,index!$A:$A,0),MATCH($F$4,'Raw'!$1:$1,0))</f>
        <v>-0.5238815229742011</v>
      </c>
      <c r="F51" s="2">
        <v>19</v>
      </c>
    </row>
    <row r="52" spans="2:6">
      <c r="B52" s="23">
        <v>2020</v>
      </c>
      <c r="D52" s="24">
        <f>INDEX('Raw'!$1:$1048576,MATCH($B52&amp;"."&amp;D$31&amp;"."&amp;$F$6&amp;"."&amp;$F$7&amp;"."&amp;$F$9,index!$A:$A,0),MATCH($F$4,'Raw'!$1:$1,0))</f>
        <v>-1.2312213017359963</v>
      </c>
      <c r="E52" s="24">
        <f>INDEX('Raw'!$1:$1048576,MATCH($B52&amp;"."&amp;E$31&amp;"."&amp;$F$6&amp;"."&amp;$F$7&amp;"."&amp;$F$9,index!$A:$A,0),MATCH($F$4,'Raw'!$1:$1,0))</f>
        <v>-0.50255693796406042</v>
      </c>
      <c r="F52" s="2">
        <v>20</v>
      </c>
    </row>
    <row r="53" spans="2:6">
      <c r="B53" s="23">
        <v>2021</v>
      </c>
      <c r="D53" s="24">
        <f>INDEX('Raw'!$1:$1048576,MATCH($B53&amp;"."&amp;D$31&amp;"."&amp;$F$6&amp;"."&amp;$F$7&amp;"."&amp;$F$9,index!$A:$A,0),MATCH($F$4,'Raw'!$1:$1,0))</f>
        <v>-1.2227739860085518</v>
      </c>
      <c r="E53" s="24">
        <f>INDEX('Raw'!$1:$1048576,MATCH($B53&amp;"."&amp;E$31&amp;"."&amp;$F$6&amp;"."&amp;$F$7&amp;"."&amp;$F$9,index!$A:$A,0),MATCH($F$4,'Raw'!$1:$1,0))</f>
        <v>-0.48206629816324176</v>
      </c>
      <c r="F53" s="2">
        <v>21</v>
      </c>
    </row>
    <row r="54" spans="2:6">
      <c r="B54" s="23">
        <v>2022</v>
      </c>
      <c r="D54" s="24">
        <f>INDEX('Raw'!$1:$1048576,MATCH($B54&amp;"."&amp;D$31&amp;"."&amp;$F$6&amp;"."&amp;$F$7&amp;"."&amp;$F$9,index!$A:$A,0),MATCH($F$4,'Raw'!$1:$1,0))</f>
        <v>-1.2133320351967347</v>
      </c>
      <c r="E54" s="24">
        <f>INDEX('Raw'!$1:$1048576,MATCH($B54&amp;"."&amp;E$31&amp;"."&amp;$F$6&amp;"."&amp;$F$7&amp;"."&amp;$F$9,index!$A:$A,0),MATCH($F$4,'Raw'!$1:$1,0))</f>
        <v>-0.46250643944814041</v>
      </c>
      <c r="F54" s="2">
        <v>22</v>
      </c>
    </row>
    <row r="55" spans="2:6">
      <c r="B55" s="23">
        <v>2023</v>
      </c>
      <c r="D55" s="24">
        <f>INDEX('Raw'!$1:$1048576,MATCH($B55&amp;"."&amp;D$31&amp;"."&amp;$F$6&amp;"."&amp;$F$7&amp;"."&amp;$F$9,index!$A:$A,0),MATCH($F$4,'Raw'!$1:$1,0))</f>
        <v>-1.2029389380565636</v>
      </c>
      <c r="E55" s="24">
        <f>INDEX('Raw'!$1:$1048576,MATCH($B55&amp;"."&amp;E$31&amp;"."&amp;$F$6&amp;"."&amp;$F$7&amp;"."&amp;$F$9,index!$A:$A,0),MATCH($F$4,'Raw'!$1:$1,0))</f>
        <v>-0.44391609027406576</v>
      </c>
      <c r="F55" s="2">
        <v>23</v>
      </c>
    </row>
    <row r="56" spans="2:6">
      <c r="B56" s="23">
        <v>2024</v>
      </c>
      <c r="D56" s="24">
        <f>INDEX('Raw'!$1:$1048576,MATCH($B56&amp;"."&amp;D$31&amp;"."&amp;$F$6&amp;"."&amp;$F$7&amp;"."&amp;$F$9,index!$A:$A,0),MATCH($F$4,'Raw'!$1:$1,0))</f>
        <v>-1.1916124029788477</v>
      </c>
      <c r="E56" s="24">
        <f>INDEX('Raw'!$1:$1048576,MATCH($B56&amp;"."&amp;E$31&amp;"."&amp;$F$6&amp;"."&amp;$F$7&amp;"."&amp;$F$9,index!$A:$A,0),MATCH($F$4,'Raw'!$1:$1,0))</f>
        <v>-0.42629566897454119</v>
      </c>
      <c r="F56" s="2">
        <v>24</v>
      </c>
    </row>
    <row r="57" spans="2:6">
      <c r="B57" s="23">
        <v>2025</v>
      </c>
      <c r="D57" s="24">
        <f>INDEX('Raw'!$1:$1048576,MATCH($B57&amp;"."&amp;D$31&amp;"."&amp;$F$6&amp;"."&amp;$F$7&amp;"."&amp;$F$9,index!$A:$A,0),MATCH($F$4,'Raw'!$1:$1,0))</f>
        <v>-1.1793589303170871</v>
      </c>
      <c r="E57" s="24">
        <f>INDEX('Raw'!$1:$1048576,MATCH($B57&amp;"."&amp;E$31&amp;"."&amp;$F$6&amp;"."&amp;$F$7&amp;"."&amp;$F$9,index!$A:$A,0),MATCH($F$4,'Raw'!$1:$1,0))</f>
        <v>-0.40962058223125153</v>
      </c>
      <c r="F57" s="2">
        <v>25</v>
      </c>
    </row>
    <row r="58" spans="2:6">
      <c r="B58" s="23">
        <v>2026</v>
      </c>
      <c r="D58" s="24">
        <f>INDEX('Raw'!$1:$1048576,MATCH($B58&amp;"."&amp;D$31&amp;"."&amp;$F$6&amp;"."&amp;$F$7&amp;"."&amp;$F$9,index!$A:$A,0),MATCH($F$4,'Raw'!$1:$1,0))</f>
        <v>-1.1661819323313116</v>
      </c>
      <c r="E58" s="24">
        <f>INDEX('Raw'!$1:$1048576,MATCH($B58&amp;"."&amp;E$31&amp;"."&amp;$F$6&amp;"."&amp;$F$7&amp;"."&amp;$F$9,index!$A:$A,0),MATCH($F$4,'Raw'!$1:$1,0))</f>
        <v>-0.39384889303630821</v>
      </c>
      <c r="F58" s="2">
        <v>26</v>
      </c>
    </row>
    <row r="59" spans="2:6">
      <c r="B59" s="23">
        <v>2027</v>
      </c>
      <c r="D59" s="24">
        <f>INDEX('Raw'!$1:$1048576,MATCH($B59&amp;"."&amp;D$31&amp;"."&amp;$F$6&amp;"."&amp;$F$7&amp;"."&amp;$F$9,index!$A:$A,0),MATCH($F$4,'Raw'!$1:$1,0))</f>
        <v>-1.1520850446114395</v>
      </c>
      <c r="E59" s="24">
        <f>INDEX('Raw'!$1:$1048576,MATCH($B59&amp;"."&amp;E$31&amp;"."&amp;$F$6&amp;"."&amp;$F$7&amp;"."&amp;$F$9,index!$A:$A,0),MATCH($F$4,'Raw'!$1:$1,0))</f>
        <v>-0.37892537629179435</v>
      </c>
      <c r="F59" s="2">
        <v>27</v>
      </c>
    </row>
    <row r="60" spans="2:6">
      <c r="B60" s="23">
        <v>2028</v>
      </c>
      <c r="D60" s="24">
        <f>INDEX('Raw'!$1:$1048576,MATCH($B60&amp;"."&amp;D$31&amp;"."&amp;$F$6&amp;"."&amp;$F$7&amp;"."&amp;$F$9,index!$A:$A,0),MATCH($F$4,'Raw'!$1:$1,0))</f>
        <v>-1.1370729096903398</v>
      </c>
      <c r="E60" s="24">
        <f>INDEX('Raw'!$1:$1048576,MATCH($B60&amp;"."&amp;E$31&amp;"."&amp;$F$6&amp;"."&amp;$F$7&amp;"."&amp;$F$9,index!$A:$A,0),MATCH($F$4,'Raw'!$1:$1,0))</f>
        <v>-0.36478322733223267</v>
      </c>
      <c r="F60" s="2">
        <v>28</v>
      </c>
    </row>
    <row r="61" spans="2:6">
      <c r="B61" s="23">
        <v>2029</v>
      </c>
      <c r="D61" s="24">
        <f>INDEX('Raw'!$1:$1048576,MATCH($B61&amp;"."&amp;D$31&amp;"."&amp;$F$6&amp;"."&amp;$F$7&amp;"."&amp;$F$9,index!$A:$A,0),MATCH($F$4,'Raw'!$1:$1,0))</f>
        <v>-1.121150551487482</v>
      </c>
      <c r="E61" s="24">
        <f>INDEX('Raw'!$1:$1048576,MATCH($B61&amp;"."&amp;E$31&amp;"."&amp;$F$6&amp;"."&amp;$F$7&amp;"."&amp;$F$9,index!$A:$A,0),MATCH($F$4,'Raw'!$1:$1,0))</f>
        <v>-0.35134481309776477</v>
      </c>
      <c r="F61" s="2">
        <v>29</v>
      </c>
    </row>
    <row r="62" spans="2:6">
      <c r="B62" s="23">
        <v>2030</v>
      </c>
      <c r="D62" s="24">
        <f>INDEX('Raw'!$1:$1048576,MATCH($B62&amp;"."&amp;D$31&amp;"."&amp;$F$6&amp;"."&amp;$F$7&amp;"."&amp;$F$9,index!$A:$A,0),MATCH($F$4,'Raw'!$1:$1,0))</f>
        <v>-1.104322830973814</v>
      </c>
      <c r="E62" s="24">
        <f>INDEX('Raw'!$1:$1048576,MATCH($B62&amp;"."&amp;E$31&amp;"."&amp;$F$6&amp;"."&amp;$F$7&amp;"."&amp;$F$9,index!$A:$A,0),MATCH($F$4,'Raw'!$1:$1,0))</f>
        <v>-0.3385225752572607</v>
      </c>
      <c r="F62" s="2">
        <v>30</v>
      </c>
    </row>
    <row r="63" spans="2:6">
      <c r="B63" s="23">
        <v>2031</v>
      </c>
      <c r="D63" s="24">
        <f>INDEX('Raw'!$1:$1048576,MATCH($B63&amp;"."&amp;D$31&amp;"."&amp;$F$6&amp;"."&amp;$F$7&amp;"."&amp;$F$9,index!$A:$A,0),MATCH($F$4,'Raw'!$1:$1,0))</f>
        <v>-1.0865940816318198</v>
      </c>
      <c r="E63" s="24">
        <f>INDEX('Raw'!$1:$1048576,MATCH($B63&amp;"."&amp;E$31&amp;"."&amp;$F$6&amp;"."&amp;$F$7&amp;"."&amp;$F$9,index!$A:$A,0),MATCH($F$4,'Raw'!$1:$1,0))</f>
        <v>-0.32622052851706274</v>
      </c>
      <c r="F63" s="2">
        <v>31</v>
      </c>
    </row>
    <row r="64" spans="2:6">
      <c r="B64" s="23">
        <v>2032</v>
      </c>
      <c r="D64" s="24">
        <f>INDEX('Raw'!$1:$1048576,MATCH($B64&amp;"."&amp;D$31&amp;"."&amp;$F$6&amp;"."&amp;$F$7&amp;"."&amp;$F$9,index!$A:$A,0),MATCH($F$4,'Raw'!$1:$1,0))</f>
        <v>-1.0679686174132286</v>
      </c>
      <c r="E64" s="24">
        <f>INDEX('Raw'!$1:$1048576,MATCH($B64&amp;"."&amp;E$31&amp;"."&amp;$F$6&amp;"."&amp;$F$7&amp;"."&amp;$F$9,index!$A:$A,0),MATCH($F$4,'Raw'!$1:$1,0))</f>
        <v>-0.3143366860373531</v>
      </c>
      <c r="F64" s="2">
        <v>32</v>
      </c>
    </row>
    <row r="65" spans="2:6">
      <c r="B65" s="23">
        <v>2033</v>
      </c>
      <c r="D65" s="24">
        <f>INDEX('Raw'!$1:$1048576,MATCH($B65&amp;"."&amp;D$31&amp;"."&amp;$F$6&amp;"."&amp;$F$7&amp;"."&amp;$F$9,index!$A:$A,0),MATCH($F$4,'Raw'!$1:$1,0))</f>
        <v>-1.0484519350405175</v>
      </c>
      <c r="E65" s="24">
        <f>INDEX('Raw'!$1:$1048576,MATCH($B65&amp;"."&amp;E$31&amp;"."&amp;$F$6&amp;"."&amp;$F$7&amp;"."&amp;$F$9,index!$A:$A,0),MATCH($F$4,'Raw'!$1:$1,0))</f>
        <v>-0.30276648201237322</v>
      </c>
      <c r="F65" s="2">
        <v>33</v>
      </c>
    </row>
    <row r="66" spans="2:6">
      <c r="B66" s="23">
        <v>2034</v>
      </c>
      <c r="D66" s="24">
        <f>INDEX('Raw'!$1:$1048576,MATCH($B66&amp;"."&amp;D$31&amp;"."&amp;$F$6&amp;"."&amp;$F$7&amp;"."&amp;$F$9,index!$A:$A,0),MATCH($F$4,'Raw'!$1:$1,0))</f>
        <v>-1.0280525844739374</v>
      </c>
      <c r="E66" s="24">
        <f>INDEX('Raw'!$1:$1048576,MATCH($B66&amp;"."&amp;E$31&amp;"."&amp;$F$6&amp;"."&amp;$F$7&amp;"."&amp;$F$9,index!$A:$A,0),MATCH($F$4,'Raw'!$1:$1,0))</f>
        <v>-0.29140678368007045</v>
      </c>
      <c r="F66" s="2">
        <v>34</v>
      </c>
    </row>
    <row r="67" spans="2:6">
      <c r="B67" s="23">
        <v>2035</v>
      </c>
      <c r="D67" s="24">
        <f>INDEX('Raw'!$1:$1048576,MATCH($B67&amp;"."&amp;D$31&amp;"."&amp;$F$6&amp;"."&amp;$F$7&amp;"."&amp;$F$9,index!$A:$A,0),MATCH($F$4,'Raw'!$1:$1,0))</f>
        <v>-1.0067838608457502</v>
      </c>
      <c r="E67" s="24">
        <f>INDEX('Raw'!$1:$1048576,MATCH($B67&amp;"."&amp;E$31&amp;"."&amp;$F$6&amp;"."&amp;$F$7&amp;"."&amp;$F$9,index!$A:$A,0),MATCH($F$4,'Raw'!$1:$1,0))</f>
        <v>-0.2801599976216318</v>
      </c>
      <c r="F67" s="2">
        <v>35</v>
      </c>
    </row>
    <row r="68" spans="2:6">
      <c r="B68" s="23">
        <v>2036</v>
      </c>
      <c r="D68" s="24">
        <f>INDEX('Raw'!$1:$1048576,MATCH($B68&amp;"."&amp;D$31&amp;"."&amp;$F$6&amp;"."&amp;$F$7&amp;"."&amp;$F$9,index!$A:$A,0),MATCH($F$4,'Raw'!$1:$1,0))</f>
        <v>-0.98466588146972622</v>
      </c>
      <c r="E68" s="24">
        <f>INDEX('Raw'!$1:$1048576,MATCH($B68&amp;"."&amp;E$31&amp;"."&amp;$F$6&amp;"."&amp;$F$7&amp;"."&amp;$F$9,index!$A:$A,0),MATCH($F$4,'Raw'!$1:$1,0))</f>
        <v>-0.26893812326823641</v>
      </c>
      <c r="F68" s="2">
        <v>36</v>
      </c>
    </row>
    <row r="69" spans="2:6">
      <c r="B69" s="23">
        <v>2037</v>
      </c>
      <c r="D69" s="24">
        <f>INDEX('Raw'!$1:$1048576,MATCH($B69&amp;"."&amp;D$31&amp;"."&amp;$F$6&amp;"."&amp;$F$7&amp;"."&amp;$F$9,index!$A:$A,0),MATCH($F$4,'Raw'!$1:$1,0))</f>
        <v>-0.96172694748103416</v>
      </c>
      <c r="E69" s="24">
        <f>INDEX('Raw'!$1:$1048576,MATCH($B69&amp;"."&amp;E$31&amp;"."&amp;$F$6&amp;"."&amp;$F$7&amp;"."&amp;$F$9,index!$A:$A,0),MATCH($F$4,'Raw'!$1:$1,0))</f>
        <v>-0.25766595536327319</v>
      </c>
      <c r="F69" s="2">
        <v>37</v>
      </c>
    </row>
    <row r="70" spans="2:6">
      <c r="B70" s="23">
        <v>2038</v>
      </c>
      <c r="D70" s="24">
        <f>INDEX('Raw'!$1:$1048576,MATCH($B70&amp;"."&amp;D$31&amp;"."&amp;$F$6&amp;"."&amp;$F$7&amp;"."&amp;$F$9,index!$A:$A,0),MATCH($F$4,'Raw'!$1:$1,0))</f>
        <v>-0.93800441552701619</v>
      </c>
      <c r="E70" s="24">
        <f>INDEX('Raw'!$1:$1048576,MATCH($B70&amp;"."&amp;E$31&amp;"."&amp;$F$6&amp;"."&amp;$F$7&amp;"."&amp;$F$9,index!$A:$A,0),MATCH($F$4,'Raw'!$1:$1,0))</f>
        <v>-0.24628335786344158</v>
      </c>
      <c r="F70" s="2">
        <v>38</v>
      </c>
    </row>
    <row r="71" spans="2:6">
      <c r="B71" s="23">
        <v>2039</v>
      </c>
      <c r="D71" s="24">
        <f>INDEX('Raw'!$1:$1048576,MATCH($B71&amp;"."&amp;D$31&amp;"."&amp;$F$6&amp;"."&amp;$F$7&amp;"."&amp;$F$9,index!$A:$A,0),MATCH($F$4,'Raw'!$1:$1,0))</f>
        <v>-0.91354491736993504</v>
      </c>
      <c r="E71" s="24">
        <f>INDEX('Raw'!$1:$1048576,MATCH($B71&amp;"."&amp;E$31&amp;"."&amp;$F$6&amp;"."&amp;$F$7&amp;"."&amp;$F$9,index!$A:$A,0),MATCH($F$4,'Raw'!$1:$1,0))</f>
        <v>-0.23474649712411644</v>
      </c>
      <c r="F71" s="2">
        <v>39</v>
      </c>
    </row>
    <row r="72" spans="2:6">
      <c r="B72" s="23">
        <v>2040</v>
      </c>
      <c r="D72" s="24">
        <f>INDEX('Raw'!$1:$1048576,MATCH($B72&amp;"."&amp;D$31&amp;"."&amp;$F$6&amp;"."&amp;$F$7&amp;"."&amp;$F$9,index!$A:$A,0),MATCH($F$4,'Raw'!$1:$1,0))</f>
        <v>-0.88840389635455042</v>
      </c>
      <c r="E72" s="24">
        <f>INDEX('Raw'!$1:$1048576,MATCH($B72&amp;"."&amp;E$31&amp;"."&amp;$F$6&amp;"."&amp;$F$7&amp;"."&amp;$F$9,index!$A:$A,0),MATCH($F$4,'Raw'!$1:$1,0))</f>
        <v>-0.22302781712977282</v>
      </c>
      <c r="F72" s="2">
        <v>40</v>
      </c>
    </row>
    <row r="73" spans="2:6">
      <c r="B73" s="23">
        <v>2041</v>
      </c>
      <c r="D73" s="24">
        <f>INDEX('Raw'!$1:$1048576,MATCH($B73&amp;"."&amp;D$31&amp;"."&amp;$F$6&amp;"."&amp;$F$7&amp;"."&amp;$F$9,index!$A:$A,0),MATCH($F$4,'Raw'!$1:$1,0))</f>
        <v>-0.86264455554928565</v>
      </c>
      <c r="E73" s="24">
        <f>INDEX('Raw'!$1:$1048576,MATCH($B73&amp;"."&amp;E$31&amp;"."&amp;$F$6&amp;"."&amp;$F$7&amp;"."&amp;$F$9,index!$A:$A,0),MATCH($F$4,'Raw'!$1:$1,0))</f>
        <v>-0.2111152309703157</v>
      </c>
      <c r="F73" s="2">
        <v>41</v>
      </c>
    </row>
    <row r="74" spans="2:6">
      <c r="B74" s="23">
        <v>2042</v>
      </c>
      <c r="D74" s="24">
        <f>INDEX('Raw'!$1:$1048576,MATCH($B74&amp;"."&amp;D$31&amp;"."&amp;$F$6&amp;"."&amp;$F$7&amp;"."&amp;$F$9,index!$A:$A,0),MATCH($F$4,'Raw'!$1:$1,0))</f>
        <v>-0.8363364201263046</v>
      </c>
      <c r="E74" s="24">
        <f>INDEX('Raw'!$1:$1048576,MATCH($B74&amp;"."&amp;E$31&amp;"."&amp;$F$6&amp;"."&amp;$F$7&amp;"."&amp;$F$9,index!$A:$A,0),MATCH($F$4,'Raw'!$1:$1,0))</f>
        <v>-0.19901034246376792</v>
      </c>
      <c r="F74" s="2">
        <v>42</v>
      </c>
    </row>
    <row r="75" spans="2:6">
      <c r="B75" s="23">
        <v>2043</v>
      </c>
      <c r="D75" s="24">
        <f>INDEX('Raw'!$1:$1048576,MATCH($B75&amp;"."&amp;D$31&amp;"."&amp;$F$6&amp;"."&amp;$F$7&amp;"."&amp;$F$9,index!$A:$A,0),MATCH($F$4,'Raw'!$1:$1,0))</f>
        <v>-0.80955367171620107</v>
      </c>
      <c r="E75" s="24">
        <f>INDEX('Raw'!$1:$1048576,MATCH($B75&amp;"."&amp;E$31&amp;"."&amp;$F$6&amp;"."&amp;$F$7&amp;"."&amp;$F$9,index!$A:$A,0),MATCH($F$4,'Raw'!$1:$1,0))</f>
        <v>-0.18672644841655206</v>
      </c>
      <c r="F75" s="2">
        <v>43</v>
      </c>
    </row>
    <row r="76" spans="2:6">
      <c r="B76" s="23">
        <v>2044</v>
      </c>
      <c r="D76" s="24">
        <f>INDEX('Raw'!$1:$1048576,MATCH($B76&amp;"."&amp;D$31&amp;"."&amp;$F$6&amp;"."&amp;$F$7&amp;"."&amp;$F$9,index!$A:$A,0),MATCH($F$4,'Raw'!$1:$1,0))</f>
        <v>-0.78237331829653645</v>
      </c>
      <c r="E76" s="24">
        <f>INDEX('Raw'!$1:$1048576,MATCH($B76&amp;"."&amp;E$31&amp;"."&amp;$F$6&amp;"."&amp;$F$7&amp;"."&amp;$F$9,index!$A:$A,0),MATCH($F$4,'Raw'!$1:$1,0))</f>
        <v>-0.17428612534411414</v>
      </c>
      <c r="F76" s="2">
        <v>44</v>
      </c>
    </row>
    <row r="77" spans="2:6">
      <c r="B77" s="23">
        <v>2045</v>
      </c>
      <c r="D77" s="24">
        <f>INDEX('Raw'!$1:$1048576,MATCH($B77&amp;"."&amp;D$31&amp;"."&amp;$F$6&amp;"."&amp;$F$7&amp;"."&amp;$F$9,index!$A:$A,0),MATCH($F$4,'Raw'!$1:$1,0))</f>
        <v>-0.75487367587722121</v>
      </c>
      <c r="E77" s="24">
        <f>INDEX('Raw'!$1:$1048576,MATCH($B77&amp;"."&amp;E$31&amp;"."&amp;$F$6&amp;"."&amp;$F$7&amp;"."&amp;$F$9,index!$A:$A,0),MATCH($F$4,'Raw'!$1:$1,0))</f>
        <v>-0.16171907044344458</v>
      </c>
      <c r="F77" s="2">
        <v>45</v>
      </c>
    </row>
    <row r="78" spans="2:6">
      <c r="B78" s="23">
        <v>2046</v>
      </c>
      <c r="D78" s="24">
        <f>INDEX('Raw'!$1:$1048576,MATCH($B78&amp;"."&amp;D$31&amp;"."&amp;$F$6&amp;"."&amp;$F$7&amp;"."&amp;$F$9,index!$A:$A,0),MATCH($F$4,'Raw'!$1:$1,0))</f>
        <v>-0.72713271203542762</v>
      </c>
      <c r="E78" s="24">
        <f>INDEX('Raw'!$1:$1048576,MATCH($B78&amp;"."&amp;E$31&amp;"."&amp;$F$6&amp;"."&amp;$F$7&amp;"."&amp;$F$9,index!$A:$A,0),MATCH($F$4,'Raw'!$1:$1,0))</f>
        <v>-0.14905985725682802</v>
      </c>
      <c r="F78" s="2">
        <v>46</v>
      </c>
    </row>
    <row r="79" spans="2:6">
      <c r="B79" s="23">
        <v>2047</v>
      </c>
      <c r="D79" s="24">
        <f>INDEX('Raw'!$1:$1048576,MATCH($B79&amp;"."&amp;D$31&amp;"."&amp;$F$6&amp;"."&amp;$F$7&amp;"."&amp;$F$9,index!$A:$A,0),MATCH($F$4,'Raw'!$1:$1,0))</f>
        <v>-0.69922693526179858</v>
      </c>
      <c r="E79" s="24">
        <f>INDEX('Raw'!$1:$1048576,MATCH($B79&amp;"."&amp;E$31&amp;"."&amp;$F$6&amp;"."&amp;$F$7&amp;"."&amp;$F$9,index!$A:$A,0),MATCH($F$4,'Raw'!$1:$1,0))</f>
        <v>-0.13634630410908066</v>
      </c>
      <c r="F79" s="2">
        <v>47</v>
      </c>
    </row>
    <row r="80" spans="2:6">
      <c r="B80" s="23">
        <v>2048</v>
      </c>
      <c r="D80" s="24">
        <f>INDEX('Raw'!$1:$1048576,MATCH($B80&amp;"."&amp;D$31&amp;"."&amp;$F$6&amp;"."&amp;$F$7&amp;"."&amp;$F$9,index!$A:$A,0),MATCH($F$4,'Raw'!$1:$1,0))</f>
        <v>-0.67123043187266029</v>
      </c>
      <c r="E80" s="24">
        <f>INDEX('Raw'!$1:$1048576,MATCH($B80&amp;"."&amp;E$31&amp;"."&amp;$F$6&amp;"."&amp;$F$7&amp;"."&amp;$F$9,index!$A:$A,0),MATCH($F$4,'Raw'!$1:$1,0))</f>
        <v>-0.12361798331376184</v>
      </c>
      <c r="F80" s="2">
        <v>48</v>
      </c>
    </row>
    <row r="81" spans="2:6">
      <c r="B81" s="23">
        <v>2049</v>
      </c>
      <c r="D81" s="24">
        <f>INDEX('Raw'!$1:$1048576,MATCH($B81&amp;"."&amp;D$31&amp;"."&amp;$F$6&amp;"."&amp;$F$7&amp;"."&amp;$F$9,index!$A:$A,0),MATCH($F$4,'Raw'!$1:$1,0))</f>
        <v>-0.64321409968998156</v>
      </c>
      <c r="E81" s="24">
        <f>INDEX('Raw'!$1:$1048576,MATCH($B81&amp;"."&amp;E$31&amp;"."&amp;$F$6&amp;"."&amp;$F$7&amp;"."&amp;$F$9,index!$A:$A,0),MATCH($F$4,'Raw'!$1:$1,0))</f>
        <v>-0.11091508995506594</v>
      </c>
      <c r="F81" s="2">
        <v>49</v>
      </c>
    </row>
    <row r="82" spans="2:6">
      <c r="B82" s="23">
        <v>2050</v>
      </c>
      <c r="D82" s="24">
        <f>INDEX('Raw'!$1:$1048576,MATCH($B82&amp;"."&amp;D$31&amp;"."&amp;$F$6&amp;"."&amp;$F$7&amp;"."&amp;$F$9,index!$A:$A,0),MATCH($F$4,'Raw'!$1:$1,0))</f>
        <v>-0.61524524704473782</v>
      </c>
      <c r="E82" s="24">
        <f>INDEX('Raw'!$1:$1048576,MATCH($B82&amp;"."&amp;E$31&amp;"."&amp;$F$6&amp;"."&amp;$F$7&amp;"."&amp;$F$9,index!$A:$A,0),MATCH($F$4,'Raw'!$1:$1,0))</f>
        <v>-9.8277711348071506E-2</v>
      </c>
      <c r="F82" s="2">
        <v>50</v>
      </c>
    </row>
  </sheetData>
  <mergeCells count="10">
    <mergeCell ref="B30:C30"/>
    <mergeCell ref="B2:H2"/>
    <mergeCell ref="B4:C4"/>
    <mergeCell ref="B6:C6"/>
    <mergeCell ref="B7:C7"/>
    <mergeCell ref="B8:C8"/>
    <mergeCell ref="D6:E6"/>
    <mergeCell ref="D7:E7"/>
    <mergeCell ref="D8:E8"/>
    <mergeCell ref="D4:E4"/>
  </mergeCells>
  <dataValidations count="1">
    <dataValidation type="list" allowBlank="1" showInputMessage="1" showErrorMessage="1" sqref="D4" xr:uid="{00000000-0002-0000-0400-000000000000}">
      <formula1>Output_variable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1000000}">
          <x14:formula1>
            <xm:f>Lists!$I$1:$I$2</xm:f>
          </x14:formula1>
          <xm:sqref>D8</xm:sqref>
        </x14:dataValidation>
        <x14:dataValidation type="list" allowBlank="1" showInputMessage="1" showErrorMessage="1" xr:uid="{00000000-0002-0000-0400-000002000000}">
          <x14:formula1>
            <xm:f>Lists!$G$1:$G$2</xm:f>
          </x14:formula1>
          <xm:sqref>D7</xm:sqref>
        </x14:dataValidation>
        <x14:dataValidation type="list" allowBlank="1" showInputMessage="1" showErrorMessage="1" xr:uid="{00000000-0002-0000-0400-000003000000}">
          <x14:formula1>
            <xm:f>Lists!$E$1:$E$3</xm:f>
          </x14:formula1>
          <xm:sqref>D6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82"/>
  <sheetViews>
    <sheetView tabSelected="1" zoomScale="132" zoomScaleNormal="132" workbookViewId="0">
      <selection activeCell="I8" sqref="I8"/>
    </sheetView>
  </sheetViews>
  <sheetFormatPr baseColWidth="10" defaultColWidth="11.453125" defaultRowHeight="14.5"/>
  <cols>
    <col min="1" max="16384" width="11.453125" style="2"/>
  </cols>
  <sheetData>
    <row r="2" spans="2:8">
      <c r="B2" s="111" t="s">
        <v>126</v>
      </c>
      <c r="C2" s="112"/>
      <c r="D2" s="112"/>
      <c r="E2" s="112"/>
      <c r="F2" s="112"/>
      <c r="G2" s="112"/>
      <c r="H2" s="113"/>
    </row>
    <row r="4" spans="2:8">
      <c r="B4" s="114" t="s">
        <v>54</v>
      </c>
      <c r="C4" s="115"/>
      <c r="D4" s="128" t="s">
        <v>140</v>
      </c>
      <c r="E4" s="128"/>
      <c r="F4" s="129"/>
      <c r="G4" s="20" t="str">
        <f>VLOOKUP(D4,Lists!A1:B20,2,FALSE)</f>
        <v>100*(gdp_1/gdp_0-1)</v>
      </c>
    </row>
    <row r="5" spans="2:8">
      <c r="G5" s="20"/>
    </row>
    <row r="6" spans="2:8">
      <c r="B6" s="116" t="s">
        <v>56</v>
      </c>
      <c r="C6" s="117"/>
      <c r="D6" s="132" t="s">
        <v>59</v>
      </c>
      <c r="E6" s="132"/>
      <c r="F6" s="124"/>
      <c r="G6" s="20">
        <f>VLOOKUP(D6,Lists!C1:D2,2,FALSE)</f>
        <v>1</v>
      </c>
    </row>
    <row r="7" spans="2:8">
      <c r="B7" s="118" t="s">
        <v>57</v>
      </c>
      <c r="C7" s="119"/>
      <c r="D7" s="125" t="s">
        <v>61</v>
      </c>
      <c r="E7" s="125"/>
      <c r="F7" s="125"/>
      <c r="G7" s="20">
        <f>VLOOKUP(D7,Lists!G1:H2,2,FALSE)</f>
        <v>1</v>
      </c>
    </row>
    <row r="8" spans="2:8">
      <c r="B8" s="109" t="s">
        <v>58</v>
      </c>
      <c r="C8" s="110"/>
      <c r="D8" s="126" t="s">
        <v>64</v>
      </c>
      <c r="E8" s="126"/>
      <c r="F8" s="127"/>
      <c r="G8" s="20">
        <f>VLOOKUP(D8,Lists!I1:J2,2,FALSE)</f>
        <v>1</v>
      </c>
    </row>
    <row r="30" spans="2:6">
      <c r="B30" s="130" t="s">
        <v>55</v>
      </c>
      <c r="C30" s="130"/>
      <c r="D30" s="14" t="s">
        <v>139</v>
      </c>
      <c r="E30" s="14" t="s">
        <v>66</v>
      </c>
      <c r="F30" s="14" t="s">
        <v>35</v>
      </c>
    </row>
    <row r="31" spans="2:6">
      <c r="B31" s="131" t="s">
        <v>127</v>
      </c>
      <c r="C31" s="131"/>
      <c r="D31" s="46">
        <v>0</v>
      </c>
      <c r="E31" s="46">
        <v>1</v>
      </c>
      <c r="F31" s="46">
        <v>2</v>
      </c>
    </row>
    <row r="32" spans="2:6">
      <c r="B32" s="23">
        <v>2000</v>
      </c>
      <c r="D32" s="14">
        <f>INDEX('Raw'!$1:$1048576,MATCH($B32&amp;"."&amp;$G$6&amp;"."&amp;D$31&amp;"."&amp;$G$7&amp;"."&amp;$G$8,index!$A:$A,0),MATCH($G$4,'Raw'!$1:$1,0))</f>
        <v>0</v>
      </c>
      <c r="E32" s="14">
        <f>INDEX('Raw'!$1:$1048576,MATCH($B32&amp;"."&amp;$G$6&amp;"."&amp;E$31&amp;"."&amp;$G$7&amp;"."&amp;$G$8,index!$A:$A,0),MATCH($G$4,'Raw'!$1:$1,0))</f>
        <v>0</v>
      </c>
      <c r="F32" s="14">
        <f>INDEX('Raw'!$1:$1048576,MATCH($B32&amp;"."&amp;$G$6&amp;"."&amp;F$31&amp;"."&amp;$G$7&amp;"."&amp;$G$8,index!$A:$A,0),MATCH($G$4,'Raw'!$1:$1,0))</f>
        <v>0</v>
      </c>
    </row>
    <row r="33" spans="2:6">
      <c r="B33" s="23">
        <v>2001</v>
      </c>
      <c r="D33" s="14">
        <f>INDEX('Raw'!$1:$1048576,MATCH($B33&amp;"."&amp;$G$6&amp;"."&amp;D$31&amp;"."&amp;$G$7&amp;"."&amp;$G$8,index!$A:$A,0),MATCH($G$4,'Raw'!$1:$1,0))</f>
        <v>0.21895395848681165</v>
      </c>
      <c r="E33" s="14">
        <f>INDEX('Raw'!$1:$1048576,MATCH($B33&amp;"."&amp;$G$6&amp;"."&amp;E$31&amp;"."&amp;$G$7&amp;"."&amp;$G$8,index!$A:$A,0),MATCH($G$4,'Raw'!$1:$1,0))</f>
        <v>0.21945389621906841</v>
      </c>
      <c r="F33" s="14">
        <f>INDEX('Raw'!$1:$1048576,MATCH($B33&amp;"."&amp;$G$6&amp;"."&amp;F$31&amp;"."&amp;$G$7&amp;"."&amp;$G$8,index!$A:$A,0),MATCH($G$4,'Raw'!$1:$1,0))</f>
        <v>0.21913209511903453</v>
      </c>
    </row>
    <row r="34" spans="2:6">
      <c r="B34" s="23">
        <v>2002</v>
      </c>
      <c r="D34" s="14">
        <f>INDEX('Raw'!$1:$1048576,MATCH($B34&amp;"."&amp;$G$6&amp;"."&amp;D$31&amp;"."&amp;$G$7&amp;"."&amp;$G$8,index!$A:$A,0),MATCH($G$4,'Raw'!$1:$1,0))</f>
        <v>0.38987568109816184</v>
      </c>
      <c r="E34" s="14">
        <f>INDEX('Raw'!$1:$1048576,MATCH($B34&amp;"."&amp;$G$6&amp;"."&amp;E$31&amp;"."&amp;$G$7&amp;"."&amp;$G$8,index!$A:$A,0),MATCH($G$4,'Raw'!$1:$1,0))</f>
        <v>0.38919888662367619</v>
      </c>
      <c r="F34" s="14">
        <f>INDEX('Raw'!$1:$1048576,MATCH($B34&amp;"."&amp;$G$6&amp;"."&amp;F$31&amp;"."&amp;$G$7&amp;"."&amp;$G$8,index!$A:$A,0),MATCH($G$4,'Raw'!$1:$1,0))</f>
        <v>0.3885049524087858</v>
      </c>
    </row>
    <row r="35" spans="2:6">
      <c r="B35" s="23">
        <v>2003</v>
      </c>
      <c r="D35" s="14">
        <f>INDEX('Raw'!$1:$1048576,MATCH($B35&amp;"."&amp;$G$6&amp;"."&amp;D$31&amp;"."&amp;$G$7&amp;"."&amp;$G$8,index!$A:$A,0),MATCH($G$4,'Raw'!$1:$1,0))</f>
        <v>0.48419045591279186</v>
      </c>
      <c r="E35" s="14">
        <f>INDEX('Raw'!$1:$1048576,MATCH($B35&amp;"."&amp;$G$6&amp;"."&amp;E$31&amp;"."&amp;$G$7&amp;"."&amp;$G$8,index!$A:$A,0),MATCH($G$4,'Raw'!$1:$1,0))</f>
        <v>0.47730126026113151</v>
      </c>
      <c r="F35" s="14">
        <f>INDEX('Raw'!$1:$1048576,MATCH($B35&amp;"."&amp;$G$6&amp;"."&amp;F$31&amp;"."&amp;$G$7&amp;"."&amp;$G$8,index!$A:$A,0),MATCH($G$4,'Raw'!$1:$1,0))</f>
        <v>0.47718576609172558</v>
      </c>
    </row>
    <row r="36" spans="2:6">
      <c r="B36" s="23">
        <v>2004</v>
      </c>
      <c r="D36" s="14">
        <f>INDEX('Raw'!$1:$1048576,MATCH($B36&amp;"."&amp;$G$6&amp;"."&amp;D$31&amp;"."&amp;$G$7&amp;"."&amp;$G$8,index!$A:$A,0),MATCH($G$4,'Raw'!$1:$1,0))</f>
        <v>0.51029402066147256</v>
      </c>
      <c r="E36" s="14">
        <f>INDEX('Raw'!$1:$1048576,MATCH($B36&amp;"."&amp;$G$6&amp;"."&amp;E$31&amp;"."&amp;$G$7&amp;"."&amp;$G$8,index!$A:$A,0),MATCH($G$4,'Raw'!$1:$1,0))</f>
        <v>0.48857955713621504</v>
      </c>
      <c r="F36" s="14">
        <f>INDEX('Raw'!$1:$1048576,MATCH($B36&amp;"."&amp;$G$6&amp;"."&amp;F$31&amp;"."&amp;$G$7&amp;"."&amp;$G$8,index!$A:$A,0),MATCH($G$4,'Raw'!$1:$1,0))</f>
        <v>0.49131181403654356</v>
      </c>
    </row>
    <row r="37" spans="2:6">
      <c r="B37" s="23">
        <v>2005</v>
      </c>
      <c r="D37" s="14">
        <f>INDEX('Raw'!$1:$1048576,MATCH($B37&amp;"."&amp;$G$6&amp;"."&amp;D$31&amp;"."&amp;$G$7&amp;"."&amp;$G$8,index!$A:$A,0),MATCH($G$4,'Raw'!$1:$1,0))</f>
        <v>0.4868675674533085</v>
      </c>
      <c r="E37" s="14">
        <f>INDEX('Raw'!$1:$1048576,MATCH($B37&amp;"."&amp;$G$6&amp;"."&amp;E$31&amp;"."&amp;$G$7&amp;"."&amp;$G$8,index!$A:$A,0),MATCH($G$4,'Raw'!$1:$1,0))</f>
        <v>0.43889933701715123</v>
      </c>
      <c r="F37" s="14">
        <f>INDEX('Raw'!$1:$1048576,MATCH($B37&amp;"."&amp;$G$6&amp;"."&amp;F$31&amp;"."&amp;$G$7&amp;"."&amp;$G$8,index!$A:$A,0),MATCH($G$4,'Raw'!$1:$1,0))</f>
        <v>0.44784291101136464</v>
      </c>
    </row>
    <row r="38" spans="2:6">
      <c r="B38" s="23">
        <v>2006</v>
      </c>
      <c r="D38" s="14">
        <f>INDEX('Raw'!$1:$1048576,MATCH($B38&amp;"."&amp;$G$6&amp;"."&amp;D$31&amp;"."&amp;$G$7&amp;"."&amp;$G$8,index!$A:$A,0),MATCH($G$4,'Raw'!$1:$1,0))</f>
        <v>0.43298585155870928</v>
      </c>
      <c r="E38" s="14">
        <f>INDEX('Raw'!$1:$1048576,MATCH($B38&amp;"."&amp;$G$6&amp;"."&amp;E$31&amp;"."&amp;$G$7&amp;"."&amp;$G$8,index!$A:$A,0),MATCH($G$4,'Raw'!$1:$1,0))</f>
        <v>0.34606220226649498</v>
      </c>
      <c r="F38" s="14">
        <f>INDEX('Raw'!$1:$1048576,MATCH($B38&amp;"."&amp;$G$6&amp;"."&amp;F$31&amp;"."&amp;$G$7&amp;"."&amp;$G$8,index!$A:$A,0),MATCH($G$4,'Raw'!$1:$1,0))</f>
        <v>0.36503783420367419</v>
      </c>
    </row>
    <row r="39" spans="2:6">
      <c r="B39" s="23">
        <v>2007</v>
      </c>
      <c r="D39" s="14">
        <f>INDEX('Raw'!$1:$1048576,MATCH($B39&amp;"."&amp;$G$6&amp;"."&amp;D$31&amp;"."&amp;$G$7&amp;"."&amp;$G$8,index!$A:$A,0),MATCH($G$4,'Raw'!$1:$1,0))</f>
        <v>0.36420726218653332</v>
      </c>
      <c r="E39" s="14">
        <f>INDEX('Raw'!$1:$1048576,MATCH($B39&amp;"."&amp;$G$6&amp;"."&amp;E$31&amp;"."&amp;$G$7&amp;"."&amp;$G$8,index!$A:$A,0),MATCH($G$4,'Raw'!$1:$1,0))</f>
        <v>0.22632895525036556</v>
      </c>
      <c r="F39" s="14">
        <f>INDEX('Raw'!$1:$1048576,MATCH($B39&amp;"."&amp;$G$6&amp;"."&amp;F$31&amp;"."&amp;$G$7&amp;"."&amp;$G$8,index!$A:$A,0),MATCH($G$4,'Raw'!$1:$1,0))</f>
        <v>0.25877543903480849</v>
      </c>
    </row>
    <row r="40" spans="2:6">
      <c r="B40" s="23">
        <v>2008</v>
      </c>
      <c r="D40" s="14">
        <f>INDEX('Raw'!$1:$1048576,MATCH($B40&amp;"."&amp;$G$6&amp;"."&amp;D$31&amp;"."&amp;$G$7&amp;"."&amp;$G$8,index!$A:$A,0),MATCH($G$4,'Raw'!$1:$1,0))</f>
        <v>0.29178900833077837</v>
      </c>
      <c r="E40" s="14">
        <f>INDEX('Raw'!$1:$1048576,MATCH($B40&amp;"."&amp;$G$6&amp;"."&amp;E$31&amp;"."&amp;$G$7&amp;"."&amp;$G$8,index!$A:$A,0),MATCH($G$4,'Raw'!$1:$1,0))</f>
        <v>9.3709550356835258E-2</v>
      </c>
      <c r="F40" s="14">
        <f>INDEX('Raw'!$1:$1048576,MATCH($B40&amp;"."&amp;$G$6&amp;"."&amp;F$31&amp;"."&amp;$G$7&amp;"."&amp;$G$8,index!$A:$A,0),MATCH($G$4,'Raw'!$1:$1,0))</f>
        <v>0.14183679433337204</v>
      </c>
    </row>
    <row r="41" spans="2:6">
      <c r="B41" s="23">
        <v>2009</v>
      </c>
      <c r="D41" s="14">
        <f>INDEX('Raw'!$1:$1048576,MATCH($B41&amp;"."&amp;$G$6&amp;"."&amp;D$31&amp;"."&amp;$G$7&amp;"."&amp;$G$8,index!$A:$A,0),MATCH($G$4,'Raw'!$1:$1,0))</f>
        <v>0.22321560582194699</v>
      </c>
      <c r="E41" s="14">
        <f>INDEX('Raw'!$1:$1048576,MATCH($B41&amp;"."&amp;$G$6&amp;"."&amp;E$31&amp;"."&amp;$G$7&amp;"."&amp;$G$8,index!$A:$A,0),MATCH($G$4,'Raw'!$1:$1,0))</f>
        <v>-3.9751430244316932E-2</v>
      </c>
      <c r="F41" s="14">
        <f>INDEX('Raw'!$1:$1048576,MATCH($B41&amp;"."&amp;$G$6&amp;"."&amp;F$31&amp;"."&amp;$G$7&amp;"."&amp;$G$8,index!$A:$A,0),MATCH($G$4,'Raw'!$1:$1,0))</f>
        <v>2.433012431046766E-2</v>
      </c>
    </row>
    <row r="42" spans="2:6">
      <c r="B42" s="23">
        <v>2010</v>
      </c>
      <c r="D42" s="14">
        <f>INDEX('Raw'!$1:$1048576,MATCH($B42&amp;"."&amp;$G$6&amp;"."&amp;D$31&amp;"."&amp;$G$7&amp;"."&amp;$G$8,index!$A:$A,0),MATCH($G$4,'Raw'!$1:$1,0))</f>
        <v>0.16304985983131015</v>
      </c>
      <c r="E42" s="14">
        <f>INDEX('Raw'!$1:$1048576,MATCH($B42&amp;"."&amp;$G$6&amp;"."&amp;E$31&amp;"."&amp;$G$7&amp;"."&amp;$G$8,index!$A:$A,0),MATCH($G$4,'Raw'!$1:$1,0))</f>
        <v>-0.16361931881748726</v>
      </c>
      <c r="F42" s="14">
        <f>INDEX('Raw'!$1:$1048576,MATCH($B42&amp;"."&amp;$G$6&amp;"."&amp;F$31&amp;"."&amp;$G$7&amp;"."&amp;$G$8,index!$A:$A,0),MATCH($G$4,'Raw'!$1:$1,0))</f>
        <v>-8.5714112888501948E-2</v>
      </c>
    </row>
    <row r="43" spans="2:6">
      <c r="B43" s="23">
        <v>2011</v>
      </c>
      <c r="D43" s="14">
        <f>INDEX('Raw'!$1:$1048576,MATCH($B43&amp;"."&amp;$G$6&amp;"."&amp;D$31&amp;"."&amp;$G$7&amp;"."&amp;$G$8,index!$A:$A,0),MATCH($G$4,'Raw'!$1:$1,0))</f>
        <v>0.11371069345817997</v>
      </c>
      <c r="E43" s="14">
        <f>INDEX('Raw'!$1:$1048576,MATCH($B43&amp;"."&amp;$G$6&amp;"."&amp;E$31&amp;"."&amp;$G$7&amp;"."&amp;$G$8,index!$A:$A,0),MATCH($G$4,'Raw'!$1:$1,0))</f>
        <v>-0.2689642220959243</v>
      </c>
      <c r="F43" s="14">
        <f>INDEX('Raw'!$1:$1048576,MATCH($B43&amp;"."&amp;$G$6&amp;"."&amp;F$31&amp;"."&amp;$G$7&amp;"."&amp;$G$8,index!$A:$A,0),MATCH($G$4,'Raw'!$1:$1,0))</f>
        <v>-0.18193930023282512</v>
      </c>
    </row>
    <row r="44" spans="2:6">
      <c r="B44" s="23">
        <v>2012</v>
      </c>
      <c r="D44" s="14">
        <f>INDEX('Raw'!$1:$1048576,MATCH($B44&amp;"."&amp;$G$6&amp;"."&amp;D$31&amp;"."&amp;$G$7&amp;"."&amp;$G$8,index!$A:$A,0),MATCH($G$4,'Raw'!$1:$1,0))</f>
        <v>7.6084136353116172E-2</v>
      </c>
      <c r="E44" s="14">
        <f>INDEX('Raw'!$1:$1048576,MATCH($B44&amp;"."&amp;$G$6&amp;"."&amp;E$31&amp;"."&amp;$G$7&amp;"."&amp;$G$8,index!$A:$A,0),MATCH($G$4,'Raw'!$1:$1,0))</f>
        <v>-0.34851295335939225</v>
      </c>
      <c r="F44" s="14">
        <f>INDEX('Raw'!$1:$1048576,MATCH($B44&amp;"."&amp;$G$6&amp;"."&amp;F$31&amp;"."&amp;$G$7&amp;"."&amp;$G$8,index!$A:$A,0),MATCH($G$4,'Raw'!$1:$1,0))</f>
        <v>-0.25948906515110837</v>
      </c>
    </row>
    <row r="45" spans="2:6">
      <c r="B45" s="23">
        <v>2013</v>
      </c>
      <c r="D45" s="14">
        <f>INDEX('Raw'!$1:$1048576,MATCH($B45&amp;"."&amp;$G$6&amp;"."&amp;D$31&amp;"."&amp;$G$7&amp;"."&amp;$G$8,index!$A:$A,0),MATCH($G$4,'Raw'!$1:$1,0))</f>
        <v>4.9986528204915004E-2</v>
      </c>
      <c r="E45" s="14">
        <f>INDEX('Raw'!$1:$1048576,MATCH($B45&amp;"."&amp;$G$6&amp;"."&amp;E$31&amp;"."&amp;$G$7&amp;"."&amp;$G$8,index!$A:$A,0),MATCH($G$4,'Raw'!$1:$1,0))</f>
        <v>-0.39694349256650385</v>
      </c>
      <c r="F45" s="14">
        <f>INDEX('Raw'!$1:$1048576,MATCH($B45&amp;"."&amp;$G$6&amp;"."&amp;F$31&amp;"."&amp;$G$7&amp;"."&amp;$G$8,index!$A:$A,0),MATCH($G$4,'Raw'!$1:$1,0))</f>
        <v>-0.31498585666278611</v>
      </c>
    </row>
    <row r="46" spans="2:6">
      <c r="B46" s="23">
        <v>2014</v>
      </c>
      <c r="D46" s="14">
        <f>INDEX('Raw'!$1:$1048576,MATCH($B46&amp;"."&amp;$G$6&amp;"."&amp;D$31&amp;"."&amp;$G$7&amp;"."&amp;$G$8,index!$A:$A,0),MATCH($G$4,'Raw'!$1:$1,0))</f>
        <v>3.4519675803235117E-2</v>
      </c>
      <c r="E46" s="14">
        <f>INDEX('Raw'!$1:$1048576,MATCH($B46&amp;"."&amp;$G$6&amp;"."&amp;E$31&amp;"."&amp;$G$7&amp;"."&amp;$G$8,index!$A:$A,0),MATCH($G$4,'Raw'!$1:$1,0))</f>
        <v>-0.41118810840017339</v>
      </c>
      <c r="F46" s="14">
        <f>INDEX('Raw'!$1:$1048576,MATCH($B46&amp;"."&amp;$G$6&amp;"."&amp;F$31&amp;"."&amp;$G$7&amp;"."&amp;$G$8,index!$A:$A,0),MATCH($G$4,'Raw'!$1:$1,0))</f>
        <v>-0.34656269711825782</v>
      </c>
    </row>
    <row r="47" spans="2:6">
      <c r="B47" s="23">
        <v>2015</v>
      </c>
      <c r="D47" s="14">
        <f>INDEX('Raw'!$1:$1048576,MATCH($B47&amp;"."&amp;$G$6&amp;"."&amp;D$31&amp;"."&amp;$G$7&amp;"."&amp;$G$8,index!$A:$A,0),MATCH($G$4,'Raw'!$1:$1,0))</f>
        <v>2.8347956432894783E-2</v>
      </c>
      <c r="E47" s="14">
        <f>INDEX('Raw'!$1:$1048576,MATCH($B47&amp;"."&amp;$G$6&amp;"."&amp;E$31&amp;"."&amp;$G$7&amp;"."&amp;$G$8,index!$A:$A,0),MATCH($G$4,'Raw'!$1:$1,0))</f>
        <v>-0.39063435070715302</v>
      </c>
      <c r="F47" s="14">
        <f>INDEX('Raw'!$1:$1048576,MATCH($B47&amp;"."&amp;$G$6&amp;"."&amp;F$31&amp;"."&amp;$G$7&amp;"."&amp;$G$8,index!$A:$A,0),MATCH($G$4,'Raw'!$1:$1,0))</f>
        <v>-0.35387127081888403</v>
      </c>
    </row>
    <row r="48" spans="2:6">
      <c r="B48" s="23">
        <v>2016</v>
      </c>
      <c r="D48" s="14">
        <f>INDEX('Raw'!$1:$1048576,MATCH($B48&amp;"."&amp;$G$6&amp;"."&amp;D$31&amp;"."&amp;$G$7&amp;"."&amp;$G$8,index!$A:$A,0),MATCH($G$4,'Raw'!$1:$1,0))</f>
        <v>2.9914967846766949E-2</v>
      </c>
      <c r="E48" s="14">
        <f>INDEX('Raw'!$1:$1048576,MATCH($B48&amp;"."&amp;$G$6&amp;"."&amp;E$31&amp;"."&amp;$G$7&amp;"."&amp;$G$8,index!$A:$A,0),MATCH($G$4,'Raw'!$1:$1,0))</f>
        <v>-0.33714967590566802</v>
      </c>
      <c r="F48" s="14">
        <f>INDEX('Raw'!$1:$1048576,MATCH($B48&amp;"."&amp;$G$6&amp;"."&amp;F$31&amp;"."&amp;$G$7&amp;"."&amp;$G$8,index!$A:$A,0),MATCH($G$4,'Raw'!$1:$1,0))</f>
        <v>-0.33801746730290905</v>
      </c>
    </row>
    <row r="49" spans="2:6">
      <c r="B49" s="23">
        <v>2017</v>
      </c>
      <c r="D49" s="14">
        <f>INDEX('Raw'!$1:$1048576,MATCH($B49&amp;"."&amp;$G$6&amp;"."&amp;D$31&amp;"."&amp;$G$7&amp;"."&amp;$G$8,index!$A:$A,0),MATCH($G$4,'Raw'!$1:$1,0))</f>
        <v>3.7608217022833124E-2</v>
      </c>
      <c r="E49" s="14">
        <f>INDEX('Raw'!$1:$1048576,MATCH($B49&amp;"."&amp;$G$6&amp;"."&amp;E$31&amp;"."&amp;$G$7&amp;"."&amp;$G$8,index!$A:$A,0),MATCH($G$4,'Raw'!$1:$1,0))</f>
        <v>-0.2548971422657087</v>
      </c>
      <c r="F49" s="14">
        <f>INDEX('Raw'!$1:$1048576,MATCH($B49&amp;"."&amp;$G$6&amp;"."&amp;F$31&amp;"."&amp;$G$7&amp;"."&amp;$G$8,index!$A:$A,0),MATCH($G$4,'Raw'!$1:$1,0))</f>
        <v>-0.30140655766328628</v>
      </c>
    </row>
    <row r="50" spans="2:6">
      <c r="B50" s="23">
        <v>2018</v>
      </c>
      <c r="D50" s="14">
        <f>INDEX('Raw'!$1:$1048576,MATCH($B50&amp;"."&amp;$G$6&amp;"."&amp;D$31&amp;"."&amp;$G$7&amp;"."&amp;$G$8,index!$A:$A,0),MATCH($G$4,'Raw'!$1:$1,0))</f>
        <v>4.9878801403857587E-2</v>
      </c>
      <c r="E50" s="14">
        <f>INDEX('Raw'!$1:$1048576,MATCH($B50&amp;"."&amp;$G$6&amp;"."&amp;E$31&amp;"."&amp;$G$7&amp;"."&amp;$G$8,index!$A:$A,0),MATCH($G$4,'Raw'!$1:$1,0))</f>
        <v>-0.1499493154638265</v>
      </c>
      <c r="F50" s="14">
        <f>INDEX('Raw'!$1:$1048576,MATCH($B50&amp;"."&amp;$G$6&amp;"."&amp;F$31&amp;"."&amp;$G$7&amp;"."&amp;$G$8,index!$A:$A,0),MATCH($G$4,'Raw'!$1:$1,0))</f>
        <v>-0.24750041088119623</v>
      </c>
    </row>
    <row r="51" spans="2:6">
      <c r="B51" s="23">
        <v>2019</v>
      </c>
      <c r="D51" s="14">
        <f>INDEX('Raw'!$1:$1048576,MATCH($B51&amp;"."&amp;$G$6&amp;"."&amp;D$31&amp;"."&amp;$G$7&amp;"."&amp;$G$8,index!$A:$A,0),MATCH($G$4,'Raw'!$1:$1,0))</f>
        <v>6.5320810721813949E-2</v>
      </c>
      <c r="E51" s="14">
        <f>INDEX('Raw'!$1:$1048576,MATCH($B51&amp;"."&amp;$G$6&amp;"."&amp;E$31&amp;"."&amp;$G$7&amp;"."&amp;$G$8,index!$A:$A,0),MATCH($G$4,'Raw'!$1:$1,0))</f>
        <v>-2.9739945209150687E-2</v>
      </c>
      <c r="F51" s="14">
        <f>INDEX('Raw'!$1:$1048576,MATCH($B51&amp;"."&amp;$G$6&amp;"."&amp;F$31&amp;"."&amp;$G$7&amp;"."&amp;$G$8,index!$A:$A,0),MATCH($G$4,'Raw'!$1:$1,0))</f>
        <v>-0.18050691573892053</v>
      </c>
    </row>
    <row r="52" spans="2:6">
      <c r="B52" s="23">
        <v>2020</v>
      </c>
      <c r="D52" s="14">
        <f>INDEX('Raw'!$1:$1048576,MATCH($B52&amp;"."&amp;$G$6&amp;"."&amp;D$31&amp;"."&amp;$G$7&amp;"."&amp;$G$8,index!$A:$A,0),MATCH($G$4,'Raw'!$1:$1,0))</f>
        <v>8.2717217954542122E-2</v>
      </c>
      <c r="E52" s="14">
        <f>INDEX('Raw'!$1:$1048576,MATCH($B52&amp;"."&amp;$G$6&amp;"."&amp;E$31&amp;"."&amp;$G$7&amp;"."&amp;$G$8,index!$A:$A,0),MATCH($G$4,'Raw'!$1:$1,0))</f>
        <v>9.7582828520414999E-2</v>
      </c>
      <c r="F52" s="14">
        <f>INDEX('Raw'!$1:$1048576,MATCH($B52&amp;"."&amp;$G$6&amp;"."&amp;F$31&amp;"."&amp;$G$7&amp;"."&amp;$G$8,index!$A:$A,0),MATCH($G$4,'Raw'!$1:$1,0))</f>
        <v>-0.10503211782334487</v>
      </c>
    </row>
    <row r="53" spans="2:6">
      <c r="B53" s="23">
        <v>2021</v>
      </c>
      <c r="D53" s="14">
        <f>INDEX('Raw'!$1:$1048576,MATCH($B53&amp;"."&amp;$G$6&amp;"."&amp;D$31&amp;"."&amp;$G$7&amp;"."&amp;$G$8,index!$A:$A,0),MATCH($G$4,'Raw'!$1:$1,0))</f>
        <v>0.1010587535127172</v>
      </c>
      <c r="E53" s="14">
        <f>INDEX('Raw'!$1:$1048576,MATCH($B53&amp;"."&amp;$G$6&amp;"."&amp;E$31&amp;"."&amp;$G$7&amp;"."&amp;$G$8,index!$A:$A,0),MATCH($G$4,'Raw'!$1:$1,0))</f>
        <v>0.22382769012785353</v>
      </c>
      <c r="F53" s="14">
        <f>INDEX('Raw'!$1:$1048576,MATCH($B53&amp;"."&amp;$G$6&amp;"."&amp;F$31&amp;"."&amp;$G$7&amp;"."&amp;$G$8,index!$A:$A,0),MATCH($G$4,'Raw'!$1:$1,0))</f>
        <v>-2.5727856530211035E-2</v>
      </c>
    </row>
    <row r="54" spans="2:6">
      <c r="B54" s="23">
        <v>2022</v>
      </c>
      <c r="D54" s="14">
        <f>INDEX('Raw'!$1:$1048576,MATCH($B54&amp;"."&amp;$G$6&amp;"."&amp;D$31&amp;"."&amp;$G$7&amp;"."&amp;$G$8,index!$A:$A,0),MATCH($G$4,'Raw'!$1:$1,0))</f>
        <v>0.11954288383073663</v>
      </c>
      <c r="E54" s="14">
        <f>INDEX('Raw'!$1:$1048576,MATCH($B54&amp;"."&amp;$G$6&amp;"."&amp;E$31&amp;"."&amp;$G$7&amp;"."&amp;$G$8,index!$A:$A,0),MATCH($G$4,'Raw'!$1:$1,0))</f>
        <v>0.34138504587764018</v>
      </c>
      <c r="F54" s="14">
        <f>INDEX('Raw'!$1:$1048576,MATCH($B54&amp;"."&amp;$G$6&amp;"."&amp;F$31&amp;"."&amp;$G$7&amp;"."&amp;$G$8,index!$A:$A,0),MATCH($G$4,'Raw'!$1:$1,0))</f>
        <v>5.3030608366366749E-2</v>
      </c>
    </row>
    <row r="55" spans="2:6">
      <c r="B55" s="23">
        <v>2023</v>
      </c>
      <c r="D55" s="14">
        <f>INDEX('Raw'!$1:$1048576,MATCH($B55&amp;"."&amp;$G$6&amp;"."&amp;D$31&amp;"."&amp;$G$7&amp;"."&amp;$G$8,index!$A:$A,0),MATCH($G$4,'Raw'!$1:$1,0))</f>
        <v>0.13755891138096388</v>
      </c>
      <c r="E55" s="14">
        <f>INDEX('Raw'!$1:$1048576,MATCH($B55&amp;"."&amp;$G$6&amp;"."&amp;E$31&amp;"."&amp;$G$7&amp;"."&amp;$G$8,index!$A:$A,0),MATCH($G$4,'Raw'!$1:$1,0))</f>
        <v>0.44374900696497743</v>
      </c>
      <c r="F55" s="14">
        <f>INDEX('Raw'!$1:$1048576,MATCH($B55&amp;"."&amp;$G$6&amp;"."&amp;F$31&amp;"."&amp;$G$7&amp;"."&amp;$G$8,index!$A:$A,0),MATCH($G$4,'Raw'!$1:$1,0))</f>
        <v>0.12741080177762765</v>
      </c>
    </row>
    <row r="56" spans="2:6">
      <c r="B56" s="23">
        <v>2024</v>
      </c>
      <c r="D56" s="14">
        <f>INDEX('Raw'!$1:$1048576,MATCH($B56&amp;"."&amp;$G$6&amp;"."&amp;D$31&amp;"."&amp;$G$7&amp;"."&amp;$G$8,index!$A:$A,0),MATCH($G$4,'Raw'!$1:$1,0))</f>
        <v>0.15466510875266071</v>
      </c>
      <c r="E56" s="14">
        <f>INDEX('Raw'!$1:$1048576,MATCH($B56&amp;"."&amp;$G$6&amp;"."&amp;E$31&amp;"."&amp;$G$7&amp;"."&amp;$G$8,index!$A:$A,0),MATCH($G$4,'Raw'!$1:$1,0))</f>
        <v>0.52589988732303361</v>
      </c>
      <c r="F56" s="14">
        <f>INDEX('Raw'!$1:$1048576,MATCH($B56&amp;"."&amp;$G$6&amp;"."&amp;F$31&amp;"."&amp;$G$7&amp;"."&amp;$G$8,index!$A:$A,0),MATCH($G$4,'Raw'!$1:$1,0))</f>
        <v>0.19431502426723313</v>
      </c>
    </row>
    <row r="57" spans="2:6">
      <c r="B57" s="23">
        <v>2025</v>
      </c>
      <c r="D57" s="14">
        <f>INDEX('Raw'!$1:$1048576,MATCH($B57&amp;"."&amp;$G$6&amp;"."&amp;D$31&amp;"."&amp;$G$7&amp;"."&amp;$G$8,index!$A:$A,0),MATCH($G$4,'Raw'!$1:$1,0))</f>
        <v>0.17056199674654327</v>
      </c>
      <c r="E57" s="14">
        <f>INDEX('Raw'!$1:$1048576,MATCH($B57&amp;"."&amp;$G$6&amp;"."&amp;E$31&amp;"."&amp;$G$7&amp;"."&amp;$G$8,index!$A:$A,0),MATCH($G$4,'Raw'!$1:$1,0))</f>
        <v>0.58452992589381747</v>
      </c>
      <c r="F57" s="14">
        <f>INDEX('Raw'!$1:$1048576,MATCH($B57&amp;"."&amp;$G$6&amp;"."&amp;F$31&amp;"."&amp;$G$7&amp;"."&amp;$G$8,index!$A:$A,0),MATCH($G$4,'Raw'!$1:$1,0))</f>
        <v>0.25149003918256696</v>
      </c>
    </row>
    <row r="58" spans="2:6">
      <c r="B58" s="23">
        <v>2026</v>
      </c>
      <c r="D58" s="14">
        <f>INDEX('Raw'!$1:$1048576,MATCH($B58&amp;"."&amp;$G$6&amp;"."&amp;D$31&amp;"."&amp;$G$7&amp;"."&amp;$G$8,index!$A:$A,0),MATCH($G$4,'Raw'!$1:$1,0))</f>
        <v>0.18506514059946078</v>
      </c>
      <c r="E58" s="14">
        <f>INDEX('Raw'!$1:$1048576,MATCH($B58&amp;"."&amp;$G$6&amp;"."&amp;E$31&amp;"."&amp;$G$7&amp;"."&amp;$G$8,index!$A:$A,0),MATCH($G$4,'Raw'!$1:$1,0))</f>
        <v>0.61811041305546155</v>
      </c>
      <c r="F58" s="14">
        <f>INDEX('Raw'!$1:$1048576,MATCH($B58&amp;"."&amp;$G$6&amp;"."&amp;F$31&amp;"."&amp;$G$7&amp;"."&amp;$G$8,index!$A:$A,0),MATCH($G$4,'Raw'!$1:$1,0))</f>
        <v>0.29755644554012584</v>
      </c>
    </row>
    <row r="59" spans="2:6">
      <c r="B59" s="23">
        <v>2027</v>
      </c>
      <c r="D59" s="14">
        <f>INDEX('Raw'!$1:$1048576,MATCH($B59&amp;"."&amp;$G$6&amp;"."&amp;D$31&amp;"."&amp;$G$7&amp;"."&amp;$G$8,index!$A:$A,0),MATCH($G$4,'Raw'!$1:$1,0))</f>
        <v>0.1980796731437362</v>
      </c>
      <c r="E59" s="14">
        <f>INDEX('Raw'!$1:$1048576,MATCH($B59&amp;"."&amp;$G$6&amp;"."&amp;E$31&amp;"."&amp;$G$7&amp;"."&amp;$G$8,index!$A:$A,0),MATCH($G$4,'Raw'!$1:$1,0))</f>
        <v>0.62681384029585896</v>
      </c>
      <c r="F59" s="14">
        <f>INDEX('Raw'!$1:$1048576,MATCH($B59&amp;"."&amp;$G$6&amp;"."&amp;F$31&amp;"."&amp;$G$7&amp;"."&amp;$G$8,index!$A:$A,0),MATCH($G$4,'Raw'!$1:$1,0))</f>
        <v>0.33196734850298171</v>
      </c>
    </row>
    <row r="60" spans="2:6">
      <c r="B60" s="23">
        <v>2028</v>
      </c>
      <c r="D60" s="14">
        <f>INDEX('Raw'!$1:$1048576,MATCH($B60&amp;"."&amp;$G$6&amp;"."&amp;D$31&amp;"."&amp;$G$7&amp;"."&amp;$G$8,index!$A:$A,0),MATCH($G$4,'Raw'!$1:$1,0))</f>
        <v>0.20957777923571452</v>
      </c>
      <c r="E60" s="14">
        <f>INDEX('Raw'!$1:$1048576,MATCH($B60&amp;"."&amp;$G$6&amp;"."&amp;E$31&amp;"."&amp;$G$7&amp;"."&amp;$G$8,index!$A:$A,0),MATCH($G$4,'Raw'!$1:$1,0))</f>
        <v>0.61231298116020128</v>
      </c>
      <c r="F60" s="14">
        <f>INDEX('Raw'!$1:$1048576,MATCH($B60&amp;"."&amp;$G$6&amp;"."&amp;F$31&amp;"."&amp;$G$7&amp;"."&amp;$G$8,index!$A:$A,0),MATCH($G$4,'Raw'!$1:$1,0))</f>
        <v>0.35491200225126196</v>
      </c>
    </row>
    <row r="61" spans="2:6">
      <c r="B61" s="23">
        <v>2029</v>
      </c>
      <c r="D61" s="14">
        <f>INDEX('Raw'!$1:$1048576,MATCH($B61&amp;"."&amp;$G$6&amp;"."&amp;D$31&amp;"."&amp;$G$7&amp;"."&amp;$G$8,index!$A:$A,0),MATCH($G$4,'Raw'!$1:$1,0))</f>
        <v>0.21957991570442648</v>
      </c>
      <c r="E61" s="14">
        <f>INDEX('Raw'!$1:$1048576,MATCH($B61&amp;"."&amp;$G$6&amp;"."&amp;E$31&amp;"."&amp;$G$7&amp;"."&amp;$G$8,index!$A:$A,0),MATCH($G$4,'Raw'!$1:$1,0))</f>
        <v>0.5774900185490317</v>
      </c>
      <c r="F61" s="14">
        <f>INDEX('Raw'!$1:$1048576,MATCH($B61&amp;"."&amp;$G$6&amp;"."&amp;F$31&amp;"."&amp;$G$7&amp;"."&amp;$G$8,index!$A:$A,0),MATCH($G$4,'Raw'!$1:$1,0))</f>
        <v>0.3671806048121784</v>
      </c>
    </row>
    <row r="62" spans="2:6">
      <c r="B62" s="23">
        <v>2030</v>
      </c>
      <c r="D62" s="14">
        <f>INDEX('Raw'!$1:$1048576,MATCH($B62&amp;"."&amp;$G$6&amp;"."&amp;D$31&amp;"."&amp;$G$7&amp;"."&amp;$G$8,index!$A:$A,0),MATCH($G$4,'Raw'!$1:$1,0))</f>
        <v>0.22813947080400077</v>
      </c>
      <c r="E62" s="14">
        <f>INDEX('Raw'!$1:$1048576,MATCH($B62&amp;"."&amp;$G$6&amp;"."&amp;E$31&amp;"."&amp;$G$7&amp;"."&amp;$G$8,index!$A:$A,0),MATCH($G$4,'Raw'!$1:$1,0))</f>
        <v>0.5260931544062597</v>
      </c>
      <c r="F62" s="14">
        <f>INDEX('Raw'!$1:$1048576,MATCH($B62&amp;"."&amp;$G$6&amp;"."&amp;F$31&amp;"."&amp;$G$7&amp;"."&amp;$G$8,index!$A:$A,0),MATCH($G$4,'Raw'!$1:$1,0))</f>
        <v>0.37000950370917884</v>
      </c>
    </row>
    <row r="63" spans="2:6">
      <c r="B63" s="23">
        <v>2031</v>
      </c>
      <c r="D63" s="14">
        <f>INDEX('Raw'!$1:$1048576,MATCH($B63&amp;"."&amp;$G$6&amp;"."&amp;D$31&amp;"."&amp;$G$7&amp;"."&amp;$G$8,index!$A:$A,0),MATCH($G$4,'Raw'!$1:$1,0))</f>
        <v>0.23533121471546181</v>
      </c>
      <c r="E63" s="14">
        <f>INDEX('Raw'!$1:$1048576,MATCH($B63&amp;"."&amp;$G$6&amp;"."&amp;E$31&amp;"."&amp;$G$7&amp;"."&amp;$G$8,index!$A:$A,0),MATCH($G$4,'Raw'!$1:$1,0))</f>
        <v>0.46238049251550173</v>
      </c>
      <c r="F63" s="14">
        <f>INDEX('Raw'!$1:$1048576,MATCH($B63&amp;"."&amp;$G$6&amp;"."&amp;F$31&amp;"."&amp;$G$7&amp;"."&amp;$G$8,index!$A:$A,0),MATCH($G$4,'Raw'!$1:$1,0))</f>
        <v>0.36492212190701867</v>
      </c>
    </row>
    <row r="64" spans="2:6">
      <c r="B64" s="23">
        <v>2032</v>
      </c>
      <c r="D64" s="14">
        <f>INDEX('Raw'!$1:$1048576,MATCH($B64&amp;"."&amp;$G$6&amp;"."&amp;D$31&amp;"."&amp;$G$7&amp;"."&amp;$G$8,index!$A:$A,0),MATCH($G$4,'Raw'!$1:$1,0))</f>
        <v>0.24124251125212659</v>
      </c>
      <c r="E64" s="14">
        <f>INDEX('Raw'!$1:$1048576,MATCH($B64&amp;"."&amp;$G$6&amp;"."&amp;E$31&amp;"."&amp;$G$7&amp;"."&amp;$G$8,index!$A:$A,0),MATCH($G$4,'Raw'!$1:$1,0))</f>
        <v>0.39078565429198076</v>
      </c>
      <c r="F64" s="14">
        <f>INDEX('Raw'!$1:$1048576,MATCH($B64&amp;"."&amp;$G$6&amp;"."&amp;F$31&amp;"."&amp;$G$7&amp;"."&amp;$G$8,index!$A:$A,0),MATCH($G$4,'Raw'!$1:$1,0))</f>
        <v>0.35357940656024489</v>
      </c>
    </row>
    <row r="65" spans="2:6">
      <c r="B65" s="23">
        <v>2033</v>
      </c>
      <c r="D65" s="14">
        <f>INDEX('Raw'!$1:$1048576,MATCH($B65&amp;"."&amp;$G$6&amp;"."&amp;D$31&amp;"."&amp;$G$7&amp;"."&amp;$G$8,index!$A:$A,0),MATCH($G$4,'Raw'!$1:$1,0))</f>
        <v>0.24596694430314425</v>
      </c>
      <c r="E65" s="14">
        <f>INDEX('Raw'!$1:$1048576,MATCH($B65&amp;"."&amp;$G$6&amp;"."&amp;E$31&amp;"."&amp;$G$7&amp;"."&amp;$G$8,index!$A:$A,0),MATCH($G$4,'Raw'!$1:$1,0))</f>
        <v>0.31563107500089949</v>
      </c>
      <c r="F65" s="14">
        <f>INDEX('Raw'!$1:$1048576,MATCH($B65&amp;"."&amp;$G$6&amp;"."&amp;F$31&amp;"."&amp;$G$7&amp;"."&amp;$G$8,index!$A:$A,0),MATCH($G$4,'Raw'!$1:$1,0))</f>
        <v>0.33764991763993724</v>
      </c>
    </row>
    <row r="66" spans="2:6">
      <c r="B66" s="23">
        <v>2034</v>
      </c>
      <c r="D66" s="14">
        <f>INDEX('Raw'!$1:$1048576,MATCH($B66&amp;"."&amp;$G$6&amp;"."&amp;D$31&amp;"."&amp;$G$7&amp;"."&amp;$G$8,index!$A:$A,0),MATCH($G$4,'Raw'!$1:$1,0))</f>
        <v>0.24960014459063373</v>
      </c>
      <c r="E66" s="14">
        <f>INDEX('Raw'!$1:$1048576,MATCH($B66&amp;"."&amp;$G$6&amp;"."&amp;E$31&amp;"."&amp;$G$7&amp;"."&amp;$G$8,index!$A:$A,0),MATCH($G$4,'Raw'!$1:$1,0))</f>
        <v>0.24090363851361207</v>
      </c>
      <c r="F66" s="14">
        <f>INDEX('Raw'!$1:$1048576,MATCH($B66&amp;"."&amp;$G$6&amp;"."&amp;F$31&amp;"."&amp;$G$7&amp;"."&amp;$G$8,index!$A:$A,0),MATCH($G$4,'Raw'!$1:$1,0))</f>
        <v>0.31870583790098994</v>
      </c>
    </row>
    <row r="67" spans="2:6">
      <c r="B67" s="23">
        <v>2035</v>
      </c>
      <c r="D67" s="14">
        <f>INDEX('Raw'!$1:$1048576,MATCH($B67&amp;"."&amp;$G$6&amp;"."&amp;D$31&amp;"."&amp;$G$7&amp;"."&amp;$G$8,index!$A:$A,0),MATCH($G$4,'Raw'!$1:$1,0))</f>
        <v>0.25223685028614717</v>
      </c>
      <c r="E67" s="14">
        <f>INDEX('Raw'!$1:$1048576,MATCH($B67&amp;"."&amp;$G$6&amp;"."&amp;E$31&amp;"."&amp;$G$7&amp;"."&amp;$G$8,index!$A:$A,0),MATCH($G$4,'Raw'!$1:$1,0))</f>
        <v>0.17009494887432197</v>
      </c>
      <c r="F67" s="14">
        <f>INDEX('Raw'!$1:$1048576,MATCH($B67&amp;"."&amp;$G$6&amp;"."&amp;F$31&amp;"."&amp;$G$7&amp;"."&amp;$G$8,index!$A:$A,0),MATCH($G$4,'Raw'!$1:$1,0))</f>
        <v>0.29814748166474558</v>
      </c>
    </row>
    <row r="68" spans="2:6">
      <c r="B68" s="23">
        <v>2036</v>
      </c>
      <c r="D68" s="14">
        <f>INDEX('Raw'!$1:$1048576,MATCH($B68&amp;"."&amp;$G$6&amp;"."&amp;D$31&amp;"."&amp;$G$7&amp;"."&amp;$G$8,index!$A:$A,0),MATCH($G$4,'Raw'!$1:$1,0))</f>
        <v>0.25396891360225382</v>
      </c>
      <c r="E68" s="14">
        <f>INDEX('Raw'!$1:$1048576,MATCH($B68&amp;"."&amp;$G$6&amp;"."&amp;E$31&amp;"."&amp;$G$7&amp;"."&amp;$G$8,index!$A:$A,0),MATCH($G$4,'Raw'!$1:$1,0))</f>
        <v>0.10610094809238024</v>
      </c>
      <c r="F68" s="14">
        <f>INDEX('Raw'!$1:$1048576,MATCH($B68&amp;"."&amp;$G$6&amp;"."&amp;F$31&amp;"."&amp;$G$7&amp;"."&amp;$G$8,index!$A:$A,0),MATCH($G$4,'Raw'!$1:$1,0))</f>
        <v>0.27715623045796445</v>
      </c>
    </row>
    <row r="69" spans="2:6">
      <c r="B69" s="23">
        <v>2037</v>
      </c>
      <c r="D69" s="14">
        <f>INDEX('Raw'!$1:$1048576,MATCH($B69&amp;"."&amp;$G$6&amp;"."&amp;D$31&amp;"."&amp;$G$7&amp;"."&amp;$G$8,index!$A:$A,0),MATCH($G$4,'Raw'!$1:$1,0))</f>
        <v>0.25488429424607162</v>
      </c>
      <c r="E69" s="14">
        <f>INDEX('Raw'!$1:$1048576,MATCH($B69&amp;"."&amp;$G$6&amp;"."&amp;E$31&amp;"."&amp;$G$7&amp;"."&amp;$G$8,index!$A:$A,0),MATCH($G$4,'Raw'!$1:$1,0))</f>
        <v>5.11688437563107E-2</v>
      </c>
      <c r="F69" s="14">
        <f>INDEX('Raw'!$1:$1048576,MATCH($B69&amp;"."&amp;$G$6&amp;"."&amp;F$31&amp;"."&amp;$G$7&amp;"."&amp;$G$8,index!$A:$A,0),MATCH($G$4,'Raw'!$1:$1,0))</f>
        <v>0.25667310092085671</v>
      </c>
    </row>
    <row r="70" spans="2:6">
      <c r="B70" s="23">
        <v>2038</v>
      </c>
      <c r="D70" s="14">
        <f>INDEX('Raw'!$1:$1048576,MATCH($B70&amp;"."&amp;$G$6&amp;"."&amp;D$31&amp;"."&amp;$G$7&amp;"."&amp;$G$8,index!$A:$A,0),MATCH($G$4,'Raw'!$1:$1,0))</f>
        <v>0.25506631933700508</v>
      </c>
      <c r="E70" s="14">
        <f>INDEX('Raw'!$1:$1048576,MATCH($B70&amp;"."&amp;$G$6&amp;"."&amp;E$31&amp;"."&amp;$G$7&amp;"."&amp;$G$8,index!$A:$A,0),MATCH($G$4,'Raw'!$1:$1,0))</f>
        <v>6.8798835811900716E-3</v>
      </c>
      <c r="F70" s="14">
        <f>INDEX('Raw'!$1:$1048576,MATCH($B70&amp;"."&amp;$G$6&amp;"."&amp;F$31&amp;"."&amp;$G$7&amp;"."&amp;$G$8,index!$A:$A,0),MATCH($G$4,'Raw'!$1:$1,0))</f>
        <v>0.23739819807615525</v>
      </c>
    </row>
    <row r="71" spans="2:6">
      <c r="B71" s="23">
        <v>2039</v>
      </c>
      <c r="D71" s="14">
        <f>INDEX('Raw'!$1:$1048576,MATCH($B71&amp;"."&amp;$G$6&amp;"."&amp;D$31&amp;"."&amp;$G$7&amp;"."&amp;$G$8,index!$A:$A,0),MATCH($G$4,'Raw'!$1:$1,0))</f>
        <v>0.25459320597889246</v>
      </c>
      <c r="E71" s="14">
        <f>INDEX('Raw'!$1:$1048576,MATCH($B71&amp;"."&amp;$G$6&amp;"."&amp;E$31&amp;"."&amp;$G$7&amp;"."&amp;$G$8,index!$A:$A,0),MATCH($G$4,'Raw'!$1:$1,0))</f>
        <v>-2.5842005005471957E-2</v>
      </c>
      <c r="F71" s="14">
        <f>INDEX('Raw'!$1:$1048576,MATCH($B71&amp;"."&amp;$G$6&amp;"."&amp;F$31&amp;"."&amp;$G$7&amp;"."&amp;$G$8,index!$A:$A,0),MATCH($G$4,'Raw'!$1:$1,0))</f>
        <v>0.21980659513811673</v>
      </c>
    </row>
    <row r="72" spans="2:6">
      <c r="B72" s="23">
        <v>2040</v>
      </c>
      <c r="D72" s="14">
        <f>INDEX('Raw'!$1:$1048576,MATCH($B72&amp;"."&amp;$G$6&amp;"."&amp;D$31&amp;"."&amp;$G$7&amp;"."&amp;$G$8,index!$A:$A,0),MATCH($G$4,'Raw'!$1:$1,0))</f>
        <v>0.25353800137373206</v>
      </c>
      <c r="E72" s="14">
        <f>INDEX('Raw'!$1:$1048576,MATCH($B72&amp;"."&amp;$G$6&amp;"."&amp;E$31&amp;"."&amp;$G$7&amp;"."&amp;$G$8,index!$A:$A,0),MATCH($G$4,'Raw'!$1:$1,0))</f>
        <v>-4.6702692973199511E-2</v>
      </c>
      <c r="F72" s="14">
        <f>INDEX('Raw'!$1:$1048576,MATCH($B72&amp;"."&amp;$G$6&amp;"."&amp;F$31&amp;"."&amp;$G$7&amp;"."&amp;$G$8,index!$A:$A,0),MATCH($G$4,'Raw'!$1:$1,0))</f>
        <v>0.20417481073051746</v>
      </c>
    </row>
    <row r="73" spans="2:6">
      <c r="B73" s="23">
        <v>2041</v>
      </c>
      <c r="D73" s="14">
        <f>INDEX('Raw'!$1:$1048576,MATCH($B73&amp;"."&amp;$G$6&amp;"."&amp;D$31&amp;"."&amp;$G$7&amp;"."&amp;$G$8,index!$A:$A,0),MATCH($G$4,'Raw'!$1:$1,0))</f>
        <v>0.25196829919742481</v>
      </c>
      <c r="E73" s="14">
        <f>INDEX('Raw'!$1:$1048576,MATCH($B73&amp;"."&amp;$G$6&amp;"."&amp;E$31&amp;"."&amp;$G$7&amp;"."&amp;$G$8,index!$A:$A,0),MATCH($G$4,'Raw'!$1:$1,0))</f>
        <v>-5.5993900015560705E-2</v>
      </c>
      <c r="F73" s="14">
        <f>INDEX('Raw'!$1:$1048576,MATCH($B73&amp;"."&amp;$G$6&amp;"."&amp;F$31&amp;"."&amp;$G$7&amp;"."&amp;$G$8,index!$A:$A,0),MATCH($G$4,'Raw'!$1:$1,0))</f>
        <v>0.19061335690793157</v>
      </c>
    </row>
    <row r="74" spans="2:6">
      <c r="B74" s="23">
        <v>2042</v>
      </c>
      <c r="D74" s="14">
        <f>INDEX('Raw'!$1:$1048576,MATCH($B74&amp;"."&amp;$G$6&amp;"."&amp;D$31&amp;"."&amp;$G$7&amp;"."&amp;$G$8,index!$A:$A,0),MATCH($G$4,'Raw'!$1:$1,0))</f>
        <v>0.24994634246087166</v>
      </c>
      <c r="E74" s="14">
        <f>INDEX('Raw'!$1:$1048576,MATCH($B74&amp;"."&amp;$G$6&amp;"."&amp;E$31&amp;"."&amp;$G$7&amp;"."&amp;$G$8,index!$A:$A,0),MATCH($G$4,'Raw'!$1:$1,0))</f>
        <v>-5.453366261943815E-2</v>
      </c>
      <c r="F74" s="14">
        <f>INDEX('Raw'!$1:$1048576,MATCH($B74&amp;"."&amp;$G$6&amp;"."&amp;F$31&amp;"."&amp;$G$7&amp;"."&amp;$G$8,index!$A:$A,0),MATCH($G$4,'Raw'!$1:$1,0))</f>
        <v>0.17910144990029853</v>
      </c>
    </row>
    <row r="75" spans="2:6">
      <c r="B75" s="23">
        <v>2043</v>
      </c>
      <c r="D75" s="14">
        <f>INDEX('Raw'!$1:$1048576,MATCH($B75&amp;"."&amp;$G$6&amp;"."&amp;D$31&amp;"."&amp;$G$7&amp;"."&amp;$G$8,index!$A:$A,0),MATCH($G$4,'Raw'!$1:$1,0))</f>
        <v>0.24752896108510836</v>
      </c>
      <c r="E75" s="14">
        <f>INDEX('Raw'!$1:$1048576,MATCH($B75&amp;"."&amp;$G$6&amp;"."&amp;E$31&amp;"."&amp;$G$7&amp;"."&amp;$G$8,index!$A:$A,0),MATCH($G$4,'Raw'!$1:$1,0))</f>
        <v>-4.3590714668650943E-2</v>
      </c>
      <c r="F75" s="14">
        <f>INDEX('Raw'!$1:$1048576,MATCH($B75&amp;"."&amp;$G$6&amp;"."&amp;F$31&amp;"."&amp;$G$7&amp;"."&amp;$G$8,index!$A:$A,0),MATCH($G$4,'Raw'!$1:$1,0))</f>
        <v>0.16952065968318664</v>
      </c>
    </row>
    <row r="76" spans="2:6">
      <c r="B76" s="23">
        <v>2044</v>
      </c>
      <c r="D76" s="14">
        <f>INDEX('Raw'!$1:$1048576,MATCH($B76&amp;"."&amp;$G$6&amp;"."&amp;D$31&amp;"."&amp;$G$7&amp;"."&amp;$G$8,index!$A:$A,0),MATCH($G$4,'Raw'!$1:$1,0))</f>
        <v>0.24476777413640072</v>
      </c>
      <c r="E76" s="14">
        <f>INDEX('Raw'!$1:$1048576,MATCH($B76&amp;"."&amp;$G$6&amp;"."&amp;E$31&amp;"."&amp;$G$7&amp;"."&amp;$G$8,index!$A:$A,0),MATCH($G$4,'Raw'!$1:$1,0))</f>
        <v>-2.4793507319609276E-2</v>
      </c>
      <c r="F76" s="14">
        <f>INDEX('Raw'!$1:$1048576,MATCH($B76&amp;"."&amp;$G$6&amp;"."&amp;F$31&amp;"."&amp;$G$7&amp;"."&amp;$G$8,index!$A:$A,0),MATCH($G$4,'Raw'!$1:$1,0))</f>
        <v>0.16168558582969617</v>
      </c>
    </row>
    <row r="77" spans="2:6">
      <c r="B77" s="23">
        <v>2045</v>
      </c>
      <c r="D77" s="14">
        <f>INDEX('Raw'!$1:$1048576,MATCH($B77&amp;"."&amp;$G$6&amp;"."&amp;D$31&amp;"."&amp;$G$7&amp;"."&amp;$G$8,index!$A:$A,0),MATCH($G$4,'Raw'!$1:$1,0))</f>
        <v>0.24170930690130543</v>
      </c>
      <c r="E77" s="14">
        <f>INDEX('Raw'!$1:$1048576,MATCH($B77&amp;"."&amp;$G$6&amp;"."&amp;E$31&amp;"."&amp;$G$7&amp;"."&amp;$G$8,index!$A:$A,0),MATCH($G$4,'Raw'!$1:$1,0))</f>
        <v>-2.601375638233705E-5</v>
      </c>
      <c r="F77" s="14">
        <f>INDEX('Raw'!$1:$1048576,MATCH($B77&amp;"."&amp;$G$6&amp;"."&amp;F$31&amp;"."&amp;$G$7&amp;"."&amp;$G$8,index!$A:$A,0),MATCH($G$4,'Raw'!$1:$1,0))</f>
        <v>0.15537030231793647</v>
      </c>
    </row>
    <row r="78" spans="2:6">
      <c r="B78" s="23">
        <v>2046</v>
      </c>
      <c r="D78" s="14">
        <f>INDEX('Raw'!$1:$1048576,MATCH($B78&amp;"."&amp;$G$6&amp;"."&amp;D$31&amp;"."&amp;$G$7&amp;"."&amp;$G$8,index!$A:$A,0),MATCH($G$4,'Raw'!$1:$1,0))</f>
        <v>0.23839519910175966</v>
      </c>
      <c r="E78" s="14">
        <f>INDEX('Raw'!$1:$1048576,MATCH($B78&amp;"."&amp;$G$6&amp;"."&amp;E$31&amp;"."&amp;$G$7&amp;"."&amp;$G$8,index!$A:$A,0),MATCH($G$4,'Raw'!$1:$1,0))</f>
        <v>2.8685662147220903E-2</v>
      </c>
      <c r="F78" s="14">
        <f>INDEX('Raw'!$1:$1048576,MATCH($B78&amp;"."&amp;$G$6&amp;"."&amp;F$31&amp;"."&amp;$G$7&amp;"."&amp;$G$8,index!$A:$A,0),MATCH($G$4,'Raw'!$1:$1,0))</f>
        <v>0.15033013770198167</v>
      </c>
    </row>
    <row r="79" spans="2:6">
      <c r="B79" s="23">
        <v>2047</v>
      </c>
      <c r="D79" s="14">
        <f>INDEX('Raw'!$1:$1048576,MATCH($B79&amp;"."&amp;$G$6&amp;"."&amp;D$31&amp;"."&amp;$G$7&amp;"."&amp;$G$8,index!$A:$A,0),MATCH($G$4,'Raw'!$1:$1,0))</f>
        <v>0.23486249104263113</v>
      </c>
      <c r="E79" s="14">
        <f>INDEX('Raw'!$1:$1048576,MATCH($B79&amp;"."&amp;$G$6&amp;"."&amp;E$31&amp;"."&amp;$G$7&amp;"."&amp;$G$8,index!$A:$A,0),MATCH($G$4,'Raw'!$1:$1,0))</f>
        <v>5.9289476366974903E-2</v>
      </c>
      <c r="F79" s="14">
        <f>INDEX('Raw'!$1:$1048576,MATCH($B79&amp;"."&amp;$G$6&amp;"."&amp;F$31&amp;"."&amp;$G$7&amp;"."&amp;$G$8,index!$A:$A,0),MATCH($G$4,'Raw'!$1:$1,0))</f>
        <v>0.146318695742087</v>
      </c>
    </row>
    <row r="80" spans="2:6">
      <c r="B80" s="23">
        <v>2048</v>
      </c>
      <c r="D80" s="14">
        <f>INDEX('Raw'!$1:$1048576,MATCH($B80&amp;"."&amp;$G$6&amp;"."&amp;D$31&amp;"."&amp;$G$7&amp;"."&amp;$G$8,index!$A:$A,0),MATCH($G$4,'Raw'!$1:$1,0))</f>
        <v>0.23114397739507631</v>
      </c>
      <c r="E80" s="14">
        <f>INDEX('Raw'!$1:$1048576,MATCH($B80&amp;"."&amp;$G$6&amp;"."&amp;E$31&amp;"."&amp;$G$7&amp;"."&amp;$G$8,index!$A:$A,0),MATCH($G$4,'Raw'!$1:$1,0))</f>
        <v>8.9819636909016509E-2</v>
      </c>
      <c r="F80" s="14">
        <f>INDEX('Raw'!$1:$1048576,MATCH($B80&amp;"."&amp;$G$6&amp;"."&amp;F$31&amp;"."&amp;$G$7&amp;"."&amp;$G$8,index!$A:$A,0),MATCH($G$4,'Raw'!$1:$1,0))</f>
        <v>0.1431004406704961</v>
      </c>
    </row>
    <row r="81" spans="2:6">
      <c r="B81" s="23">
        <v>2049</v>
      </c>
      <c r="D81" s="14">
        <f>INDEX('Raw'!$1:$1048576,MATCH($B81&amp;"."&amp;$G$6&amp;"."&amp;D$31&amp;"."&amp;$G$7&amp;"."&amp;$G$8,index!$A:$A,0),MATCH($G$4,'Raw'!$1:$1,0))</f>
        <v>0.22726848175937953</v>
      </c>
      <c r="E81" s="14">
        <f>INDEX('Raw'!$1:$1048576,MATCH($B81&amp;"."&amp;$G$6&amp;"."&amp;E$31&amp;"."&amp;$G$7&amp;"."&amp;$G$8,index!$A:$A,0),MATCH($G$4,'Raw'!$1:$1,0))</f>
        <v>0.11849745210323892</v>
      </c>
      <c r="F81" s="14">
        <f>INDEX('Raw'!$1:$1048576,MATCH($B81&amp;"."&amp;$G$6&amp;"."&amp;F$31&amp;"."&amp;$G$7&amp;"."&amp;$G$8,index!$A:$A,0),MATCH($G$4,'Raw'!$1:$1,0))</f>
        <v>0.14045952060321998</v>
      </c>
    </row>
    <row r="82" spans="2:6">
      <c r="B82" s="23">
        <v>2050</v>
      </c>
      <c r="D82" s="14">
        <f>INDEX('Raw'!$1:$1048576,MATCH($B82&amp;"."&amp;$G$6&amp;"."&amp;D$31&amp;"."&amp;$G$7&amp;"."&amp;$G$8,index!$A:$A,0),MATCH($G$4,'Raw'!$1:$1,0))</f>
        <v>0.22326130832472924</v>
      </c>
      <c r="E82" s="14">
        <f>INDEX('Raw'!$1:$1048576,MATCH($B82&amp;"."&amp;$G$6&amp;"."&amp;E$31&amp;"."&amp;$G$7&amp;"."&amp;$G$8,index!$A:$A,0),MATCH($G$4,'Raw'!$1:$1,0))</f>
        <v>0.14381470747850678</v>
      </c>
      <c r="F82" s="14">
        <f>INDEX('Raw'!$1:$1048576,MATCH($B82&amp;"."&amp;$G$6&amp;"."&amp;F$31&amp;"."&amp;$G$7&amp;"."&amp;$G$8,index!$A:$A,0),MATCH($G$4,'Raw'!$1:$1,0))</f>
        <v>0.13820538439877073</v>
      </c>
    </row>
  </sheetData>
  <mergeCells count="11">
    <mergeCell ref="B30:C30"/>
    <mergeCell ref="B31:C31"/>
    <mergeCell ref="B2:H2"/>
    <mergeCell ref="B4:C4"/>
    <mergeCell ref="B6:C6"/>
    <mergeCell ref="B7:C7"/>
    <mergeCell ref="B8:C8"/>
    <mergeCell ref="D7:F7"/>
    <mergeCell ref="D8:F8"/>
    <mergeCell ref="D6:F6"/>
    <mergeCell ref="D4:F4"/>
  </mergeCells>
  <dataValidations count="1">
    <dataValidation type="list" allowBlank="1" showInputMessage="1" showErrorMessage="1" sqref="D4" xr:uid="{00000000-0002-0000-0500-000000000000}">
      <formula1>Output_variable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Lists!$I$1:$I$2</xm:f>
          </x14:formula1>
          <xm:sqref>D8</xm:sqref>
        </x14:dataValidation>
        <x14:dataValidation type="list" allowBlank="1" showInputMessage="1" showErrorMessage="1" xr:uid="{00000000-0002-0000-0500-000002000000}">
          <x14:formula1>
            <xm:f>Lists!$G$1:$G$2</xm:f>
          </x14:formula1>
          <xm:sqref>D7</xm:sqref>
        </x14:dataValidation>
        <x14:dataValidation type="list" allowBlank="1" showInputMessage="1" showErrorMessage="1" xr:uid="{00000000-0002-0000-0500-000003000000}">
          <x14:formula1>
            <xm:f>Lists!$C$1:$C$2</xm:f>
          </x14:formula1>
          <xm:sqref>D6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81"/>
  <sheetViews>
    <sheetView zoomScale="133" zoomScaleNormal="133" workbookViewId="0">
      <selection activeCell="D8" sqref="D8:F8"/>
    </sheetView>
  </sheetViews>
  <sheetFormatPr baseColWidth="10" defaultColWidth="11.453125" defaultRowHeight="14.5"/>
  <cols>
    <col min="1" max="16384" width="11.453125" style="2"/>
  </cols>
  <sheetData>
    <row r="2" spans="2:8">
      <c r="B2" s="111" t="s">
        <v>125</v>
      </c>
      <c r="C2" s="112"/>
      <c r="D2" s="112"/>
      <c r="E2" s="112"/>
      <c r="F2" s="112"/>
      <c r="G2" s="112"/>
      <c r="H2" s="113"/>
    </row>
    <row r="4" spans="2:8">
      <c r="B4" s="114" t="s">
        <v>54</v>
      </c>
      <c r="C4" s="115"/>
      <c r="D4" s="128" t="s">
        <v>140</v>
      </c>
      <c r="E4" s="128"/>
      <c r="F4" s="129"/>
      <c r="G4" s="20" t="str">
        <f>VLOOKUP(D4,Lists!A1:B20,2,FALSE)</f>
        <v>100*(gdp_1/gdp_0-1)</v>
      </c>
    </row>
    <row r="5" spans="2:8">
      <c r="G5" s="20"/>
    </row>
    <row r="6" spans="2:8">
      <c r="B6" s="116" t="s">
        <v>56</v>
      </c>
      <c r="C6" s="117"/>
      <c r="D6" s="132" t="s">
        <v>59</v>
      </c>
      <c r="E6" s="132"/>
      <c r="F6" s="124"/>
      <c r="G6" s="20">
        <f>VLOOKUP(D6,Lists!C1:D2,2,FALSE)</f>
        <v>1</v>
      </c>
    </row>
    <row r="7" spans="2:8">
      <c r="B7" s="118" t="s">
        <v>55</v>
      </c>
      <c r="C7" s="119"/>
      <c r="D7" s="135" t="s">
        <v>65</v>
      </c>
      <c r="E7" s="135"/>
      <c r="F7" s="135"/>
      <c r="G7" s="20">
        <f>VLOOKUP(D7,Lists!E1:F3,2,FALSE)</f>
        <v>0</v>
      </c>
    </row>
    <row r="8" spans="2:8">
      <c r="B8" s="109" t="s">
        <v>58</v>
      </c>
      <c r="C8" s="110"/>
      <c r="D8" s="126" t="s">
        <v>64</v>
      </c>
      <c r="E8" s="126"/>
      <c r="F8" s="127"/>
      <c r="G8" s="20">
        <f>VLOOKUP(D8,Lists!I1:J2,2,FALSE)</f>
        <v>1</v>
      </c>
    </row>
    <row r="29" spans="2:6">
      <c r="B29" s="133" t="s">
        <v>57</v>
      </c>
      <c r="C29" s="133"/>
      <c r="D29" s="14" t="s">
        <v>148</v>
      </c>
      <c r="E29" s="14" t="s">
        <v>149</v>
      </c>
    </row>
    <row r="30" spans="2:6">
      <c r="B30" s="134" t="s">
        <v>127</v>
      </c>
      <c r="C30" s="134"/>
      <c r="D30" s="46">
        <v>0</v>
      </c>
      <c r="E30" s="46">
        <v>1</v>
      </c>
    </row>
    <row r="31" spans="2:6">
      <c r="B31" s="23">
        <v>2000</v>
      </c>
      <c r="D31" s="14">
        <f>INDEX('Raw'!$1:$1048576,MATCH($B31&amp;"."&amp;$G$6&amp;"."&amp;$G$7&amp;"."&amp;D$30&amp;"."&amp;$G$8,index!$A:$A,0),MATCH($G$4,'Raw'!$1:$1,0))</f>
        <v>0</v>
      </c>
      <c r="E31" s="14">
        <f>INDEX('Raw'!$1:$1048576,MATCH($B31&amp;"."&amp;$G$6&amp;"."&amp;$G$7&amp;"."&amp;E$30&amp;"."&amp;$G$8,index!$A:$A,0),MATCH($G$4,'Raw'!$1:$1,0))</f>
        <v>0</v>
      </c>
      <c r="F31" s="14"/>
    </row>
    <row r="32" spans="2:6">
      <c r="B32" s="23">
        <v>2001</v>
      </c>
      <c r="D32" s="14">
        <f>INDEX('Raw'!$1:$1048576,MATCH($B32&amp;"."&amp;$G$6&amp;"."&amp;$G$7&amp;"."&amp;D$30&amp;"."&amp;$G$8,index!$A:$A,0),MATCH($G$4,'Raw'!$1:$1,0))</f>
        <v>1.588066502922203E-3</v>
      </c>
      <c r="E32" s="14">
        <f>INDEX('Raw'!$1:$1048576,MATCH($B32&amp;"."&amp;$G$6&amp;"."&amp;$G$7&amp;"."&amp;E$30&amp;"."&amp;$G$8,index!$A:$A,0),MATCH($G$4,'Raw'!$1:$1,0))</f>
        <v>0.21895395848681165</v>
      </c>
      <c r="F32" s="14"/>
    </row>
    <row r="33" spans="2:6">
      <c r="B33" s="23">
        <v>2002</v>
      </c>
      <c r="D33" s="14">
        <f>INDEX('Raw'!$1:$1048576,MATCH($B33&amp;"."&amp;$G$6&amp;"."&amp;$G$7&amp;"."&amp;D$30&amp;"."&amp;$G$8,index!$A:$A,0),MATCH($G$4,'Raw'!$1:$1,0))</f>
        <v>-9.8470344685575029E-3</v>
      </c>
      <c r="E33" s="14">
        <f>INDEX('Raw'!$1:$1048576,MATCH($B33&amp;"."&amp;$G$6&amp;"."&amp;$G$7&amp;"."&amp;E$30&amp;"."&amp;$G$8,index!$A:$A,0),MATCH($G$4,'Raw'!$1:$1,0))</f>
        <v>0.38987568109816184</v>
      </c>
      <c r="F33" s="14"/>
    </row>
    <row r="34" spans="2:6">
      <c r="B34" s="23">
        <v>2003</v>
      </c>
      <c r="D34" s="14">
        <f>INDEX('Raw'!$1:$1048576,MATCH($B34&amp;"."&amp;$G$6&amp;"."&amp;$G$7&amp;"."&amp;D$30&amp;"."&amp;$G$8,index!$A:$A,0),MATCH($G$4,'Raw'!$1:$1,0))</f>
        <v>-3.993783478443147E-2</v>
      </c>
      <c r="E34" s="14">
        <f>INDEX('Raw'!$1:$1048576,MATCH($B34&amp;"."&amp;$G$6&amp;"."&amp;$G$7&amp;"."&amp;E$30&amp;"."&amp;$G$8,index!$A:$A,0),MATCH($G$4,'Raw'!$1:$1,0))</f>
        <v>0.48419045591279186</v>
      </c>
      <c r="F34" s="14"/>
    </row>
    <row r="35" spans="2:6">
      <c r="B35" s="23">
        <v>2004</v>
      </c>
      <c r="D35" s="14">
        <f>INDEX('Raw'!$1:$1048576,MATCH($B35&amp;"."&amp;$G$6&amp;"."&amp;$G$7&amp;"."&amp;D$30&amp;"."&amp;$G$8,index!$A:$A,0),MATCH($G$4,'Raw'!$1:$1,0))</f>
        <v>-8.8370302728468797E-2</v>
      </c>
      <c r="E35" s="14">
        <f>INDEX('Raw'!$1:$1048576,MATCH($B35&amp;"."&amp;$G$6&amp;"."&amp;$G$7&amp;"."&amp;E$30&amp;"."&amp;$G$8,index!$A:$A,0),MATCH($G$4,'Raw'!$1:$1,0))</f>
        <v>0.51029402066147256</v>
      </c>
      <c r="F35" s="14"/>
    </row>
    <row r="36" spans="2:6">
      <c r="B36" s="23">
        <v>2005</v>
      </c>
      <c r="D36" s="14">
        <f>INDEX('Raw'!$1:$1048576,MATCH($B36&amp;"."&amp;$G$6&amp;"."&amp;$G$7&amp;"."&amp;D$30&amp;"."&amp;$G$8,index!$A:$A,0),MATCH($G$4,'Raw'!$1:$1,0))</f>
        <v>-0.14876528326083216</v>
      </c>
      <c r="E36" s="14">
        <f>INDEX('Raw'!$1:$1048576,MATCH($B36&amp;"."&amp;$G$6&amp;"."&amp;$G$7&amp;"."&amp;E$30&amp;"."&amp;$G$8,index!$A:$A,0),MATCH($G$4,'Raw'!$1:$1,0))</f>
        <v>0.4868675674533085</v>
      </c>
      <c r="F36" s="14"/>
    </row>
    <row r="37" spans="2:6">
      <c r="B37" s="23">
        <v>2006</v>
      </c>
      <c r="D37" s="14">
        <f>INDEX('Raw'!$1:$1048576,MATCH($B37&amp;"."&amp;$G$6&amp;"."&amp;$G$7&amp;"."&amp;D$30&amp;"."&amp;$G$8,index!$A:$A,0),MATCH($G$4,'Raw'!$1:$1,0))</f>
        <v>-0.21295867801980339</v>
      </c>
      <c r="E37" s="14">
        <f>INDEX('Raw'!$1:$1048576,MATCH($B37&amp;"."&amp;$G$6&amp;"."&amp;$G$7&amp;"."&amp;E$30&amp;"."&amp;$G$8,index!$A:$A,0),MATCH($G$4,'Raw'!$1:$1,0))</f>
        <v>0.43298585155870928</v>
      </c>
      <c r="F37" s="14"/>
    </row>
    <row r="38" spans="2:6">
      <c r="B38" s="23">
        <v>2007</v>
      </c>
      <c r="D38" s="14">
        <f>INDEX('Raw'!$1:$1048576,MATCH($B38&amp;"."&amp;$G$6&amp;"."&amp;$G$7&amp;"."&amp;D$30&amp;"."&amp;$G$8,index!$A:$A,0),MATCH($G$4,'Raw'!$1:$1,0))</f>
        <v>-0.27386337111614534</v>
      </c>
      <c r="E38" s="14">
        <f>INDEX('Raw'!$1:$1048576,MATCH($B38&amp;"."&amp;$G$6&amp;"."&amp;$G$7&amp;"."&amp;E$30&amp;"."&amp;$G$8,index!$A:$A,0),MATCH($G$4,'Raw'!$1:$1,0))</f>
        <v>0.36420726218653332</v>
      </c>
      <c r="F38" s="14"/>
    </row>
    <row r="39" spans="2:6">
      <c r="B39" s="23">
        <v>2008</v>
      </c>
      <c r="D39" s="14">
        <f>INDEX('Raw'!$1:$1048576,MATCH($B39&amp;"."&amp;$G$6&amp;"."&amp;$G$7&amp;"."&amp;D$30&amp;"."&amp;$G$8,index!$A:$A,0),MATCH($G$4,'Raw'!$1:$1,0))</f>
        <v>-0.32656275070970242</v>
      </c>
      <c r="E39" s="14">
        <f>INDEX('Raw'!$1:$1048576,MATCH($B39&amp;"."&amp;$G$6&amp;"."&amp;$G$7&amp;"."&amp;E$30&amp;"."&amp;$G$8,index!$A:$A,0),MATCH($G$4,'Raw'!$1:$1,0))</f>
        <v>0.29178900833077837</v>
      </c>
      <c r="F39" s="14"/>
    </row>
    <row r="40" spans="2:6">
      <c r="B40" s="23">
        <v>2009</v>
      </c>
      <c r="D40" s="14">
        <f>INDEX('Raw'!$1:$1048576,MATCH($B40&amp;"."&amp;$G$6&amp;"."&amp;$G$7&amp;"."&amp;D$30&amp;"."&amp;$G$8,index!$A:$A,0),MATCH($G$4,'Raw'!$1:$1,0))</f>
        <v>-0.36836753862358185</v>
      </c>
      <c r="E40" s="14">
        <f>INDEX('Raw'!$1:$1048576,MATCH($B40&amp;"."&amp;$G$6&amp;"."&amp;$G$7&amp;"."&amp;E$30&amp;"."&amp;$G$8,index!$A:$A,0),MATCH($G$4,'Raw'!$1:$1,0))</f>
        <v>0.22321560582194699</v>
      </c>
      <c r="F40" s="14"/>
    </row>
    <row r="41" spans="2:6">
      <c r="B41" s="23">
        <v>2010</v>
      </c>
      <c r="D41" s="14">
        <f>INDEX('Raw'!$1:$1048576,MATCH($B41&amp;"."&amp;$G$6&amp;"."&amp;$G$7&amp;"."&amp;D$30&amp;"."&amp;$G$8,index!$A:$A,0),MATCH($G$4,'Raw'!$1:$1,0))</f>
        <v>-0.39843166776846184</v>
      </c>
      <c r="E41" s="14">
        <f>INDEX('Raw'!$1:$1048576,MATCH($B41&amp;"."&amp;$G$6&amp;"."&amp;$G$7&amp;"."&amp;E$30&amp;"."&amp;$G$8,index!$A:$A,0),MATCH($G$4,'Raw'!$1:$1,0))</f>
        <v>0.16304985983131015</v>
      </c>
      <c r="F41" s="14"/>
    </row>
    <row r="42" spans="2:6">
      <c r="B42" s="23">
        <v>2011</v>
      </c>
      <c r="D42" s="14">
        <f>INDEX('Raw'!$1:$1048576,MATCH($B42&amp;"."&amp;$G$6&amp;"."&amp;$G$7&amp;"."&amp;D$30&amp;"."&amp;$G$8,index!$A:$A,0),MATCH($G$4,'Raw'!$1:$1,0))</f>
        <v>-0.41724841186308037</v>
      </c>
      <c r="E42" s="14">
        <f>INDEX('Raw'!$1:$1048576,MATCH($B42&amp;"."&amp;$G$6&amp;"."&amp;$G$7&amp;"."&amp;E$30&amp;"."&amp;$G$8,index!$A:$A,0),MATCH($G$4,'Raw'!$1:$1,0))</f>
        <v>0.11371069345817997</v>
      </c>
      <c r="F42" s="14"/>
    </row>
    <row r="43" spans="2:6">
      <c r="B43" s="23">
        <v>2012</v>
      </c>
      <c r="D43" s="14">
        <f>INDEX('Raw'!$1:$1048576,MATCH($B43&amp;"."&amp;$G$6&amp;"."&amp;$G$7&amp;"."&amp;D$30&amp;"."&amp;$G$8,index!$A:$A,0),MATCH($G$4,'Raw'!$1:$1,0))</f>
        <v>-0.42617004724614382</v>
      </c>
      <c r="E43" s="14">
        <f>INDEX('Raw'!$1:$1048576,MATCH($B43&amp;"."&amp;$G$6&amp;"."&amp;$G$7&amp;"."&amp;E$30&amp;"."&amp;$G$8,index!$A:$A,0),MATCH($G$4,'Raw'!$1:$1,0))</f>
        <v>7.6084136353116172E-2</v>
      </c>
      <c r="F43" s="14"/>
    </row>
    <row r="44" spans="2:6">
      <c r="B44" s="23">
        <v>2013</v>
      </c>
      <c r="D44" s="14">
        <f>INDEX('Raw'!$1:$1048576,MATCH($B44&amp;"."&amp;$G$6&amp;"."&amp;$G$7&amp;"."&amp;D$30&amp;"."&amp;$G$8,index!$A:$A,0),MATCH($G$4,'Raw'!$1:$1,0))</f>
        <v>-0.42700444102526935</v>
      </c>
      <c r="E44" s="14">
        <f>INDEX('Raw'!$1:$1048576,MATCH($B44&amp;"."&amp;$G$6&amp;"."&amp;$G$7&amp;"."&amp;E$30&amp;"."&amp;$G$8,index!$A:$A,0),MATCH($G$4,'Raw'!$1:$1,0))</f>
        <v>4.9986528204915004E-2</v>
      </c>
      <c r="F44" s="14"/>
    </row>
    <row r="45" spans="2:6">
      <c r="B45" s="23">
        <v>2014</v>
      </c>
      <c r="D45" s="14">
        <f>INDEX('Raw'!$1:$1048576,MATCH($B45&amp;"."&amp;$G$6&amp;"."&amp;$G$7&amp;"."&amp;D$30&amp;"."&amp;$G$8,index!$A:$A,0),MATCH($G$4,'Raw'!$1:$1,0))</f>
        <v>-0.421702913235944</v>
      </c>
      <c r="E45" s="14">
        <f>INDEX('Raw'!$1:$1048576,MATCH($B45&amp;"."&amp;$G$6&amp;"."&amp;$G$7&amp;"."&amp;E$30&amp;"."&amp;$G$8,index!$A:$A,0),MATCH($G$4,'Raw'!$1:$1,0))</f>
        <v>3.4519675803235117E-2</v>
      </c>
      <c r="F45" s="14"/>
    </row>
    <row r="46" spans="2:6">
      <c r="B46" s="23">
        <v>2015</v>
      </c>
      <c r="D46" s="14">
        <f>INDEX('Raw'!$1:$1048576,MATCH($B46&amp;"."&amp;$G$6&amp;"."&amp;$G$7&amp;"."&amp;D$30&amp;"."&amp;$G$8,index!$A:$A,0),MATCH($G$4,'Raw'!$1:$1,0))</f>
        <v>-0.41213734400573632</v>
      </c>
      <c r="E46" s="14">
        <f>INDEX('Raw'!$1:$1048576,MATCH($B46&amp;"."&amp;$G$6&amp;"."&amp;$G$7&amp;"."&amp;E$30&amp;"."&amp;$G$8,index!$A:$A,0),MATCH($G$4,'Raw'!$1:$1,0))</f>
        <v>2.8347956432894783E-2</v>
      </c>
      <c r="F46" s="14"/>
    </row>
    <row r="47" spans="2:6">
      <c r="B47" s="23">
        <v>2016</v>
      </c>
      <c r="D47" s="14">
        <f>INDEX('Raw'!$1:$1048576,MATCH($B47&amp;"."&amp;$G$6&amp;"."&amp;$G$7&amp;"."&amp;D$30&amp;"."&amp;$G$8,index!$A:$A,0),MATCH($G$4,'Raw'!$1:$1,0))</f>
        <v>-0.39995679826227981</v>
      </c>
      <c r="E47" s="14">
        <f>INDEX('Raw'!$1:$1048576,MATCH($B47&amp;"."&amp;$G$6&amp;"."&amp;$G$7&amp;"."&amp;E$30&amp;"."&amp;$G$8,index!$A:$A,0),MATCH($G$4,'Raw'!$1:$1,0))</f>
        <v>2.9914967846766949E-2</v>
      </c>
      <c r="F47" s="14"/>
    </row>
    <row r="48" spans="2:6">
      <c r="B48" s="23">
        <v>2017</v>
      </c>
      <c r="D48" s="14">
        <f>INDEX('Raw'!$1:$1048576,MATCH($B48&amp;"."&amp;$G$6&amp;"."&amp;$G$7&amp;"."&amp;D$30&amp;"."&amp;$G$8,index!$A:$A,0),MATCH($G$4,'Raw'!$1:$1,0))</f>
        <v>-0.38651139847549754</v>
      </c>
      <c r="E48" s="14">
        <f>INDEX('Raw'!$1:$1048576,MATCH($B48&amp;"."&amp;$G$6&amp;"."&amp;$G$7&amp;"."&amp;E$30&amp;"."&amp;$G$8,index!$A:$A,0),MATCH($G$4,'Raw'!$1:$1,0))</f>
        <v>3.7608217022833124E-2</v>
      </c>
      <c r="F48" s="14"/>
    </row>
    <row r="49" spans="2:6">
      <c r="B49" s="23">
        <v>2018</v>
      </c>
      <c r="D49" s="14">
        <f>INDEX('Raw'!$1:$1048576,MATCH($B49&amp;"."&amp;$G$6&amp;"."&amp;$G$7&amp;"."&amp;D$30&amp;"."&amp;$G$8,index!$A:$A,0),MATCH($G$4,'Raw'!$1:$1,0))</f>
        <v>-0.37282816840106259</v>
      </c>
      <c r="E49" s="14">
        <f>INDEX('Raw'!$1:$1048576,MATCH($B49&amp;"."&amp;$G$6&amp;"."&amp;$G$7&amp;"."&amp;E$30&amp;"."&amp;$G$8,index!$A:$A,0),MATCH($G$4,'Raw'!$1:$1,0))</f>
        <v>4.9878801403857587E-2</v>
      </c>
      <c r="F49" s="14"/>
    </row>
    <row r="50" spans="2:6">
      <c r="B50" s="23">
        <v>2019</v>
      </c>
      <c r="D50" s="14">
        <f>INDEX('Raw'!$1:$1048576,MATCH($B50&amp;"."&amp;$G$6&amp;"."&amp;$G$7&amp;"."&amp;D$30&amp;"."&amp;$G$8,index!$A:$A,0),MATCH($G$4,'Raw'!$1:$1,0))</f>
        <v>-0.35962466623766787</v>
      </c>
      <c r="E50" s="14">
        <f>INDEX('Raw'!$1:$1048576,MATCH($B50&amp;"."&amp;$G$6&amp;"."&amp;$G$7&amp;"."&amp;E$30&amp;"."&amp;$G$8,index!$A:$A,0),MATCH($G$4,'Raw'!$1:$1,0))</f>
        <v>6.5320810721813949E-2</v>
      </c>
      <c r="F50" s="14"/>
    </row>
    <row r="51" spans="2:6">
      <c r="B51" s="23">
        <v>2020</v>
      </c>
      <c r="D51" s="14">
        <f>INDEX('Raw'!$1:$1048576,MATCH($B51&amp;"."&amp;$G$6&amp;"."&amp;$G$7&amp;"."&amp;D$30&amp;"."&amp;$G$8,index!$A:$A,0),MATCH($G$4,'Raw'!$1:$1,0))</f>
        <v>-0.34734662685705908</v>
      </c>
      <c r="E51" s="14">
        <f>INDEX('Raw'!$1:$1048576,MATCH($B51&amp;"."&amp;$G$6&amp;"."&amp;$G$7&amp;"."&amp;E$30&amp;"."&amp;$G$8,index!$A:$A,0),MATCH($G$4,'Raw'!$1:$1,0))</f>
        <v>8.2717217954542122E-2</v>
      </c>
      <c r="F51" s="14"/>
    </row>
    <row r="52" spans="2:6">
      <c r="B52" s="23">
        <v>2021</v>
      </c>
      <c r="D52" s="14">
        <f>INDEX('Raw'!$1:$1048576,MATCH($B52&amp;"."&amp;$G$6&amp;"."&amp;$G$7&amp;"."&amp;D$30&amp;"."&amp;$G$8,index!$A:$A,0),MATCH($G$4,'Raw'!$1:$1,0))</f>
        <v>-0.33621839812282284</v>
      </c>
      <c r="E52" s="14">
        <f>INDEX('Raw'!$1:$1048576,MATCH($B52&amp;"."&amp;$G$6&amp;"."&amp;$G$7&amp;"."&amp;E$30&amp;"."&amp;$G$8,index!$A:$A,0),MATCH($G$4,'Raw'!$1:$1,0))</f>
        <v>0.1010587535127172</v>
      </c>
      <c r="F52" s="14"/>
    </row>
    <row r="53" spans="2:6">
      <c r="B53" s="23">
        <v>2022</v>
      </c>
      <c r="D53" s="14">
        <f>INDEX('Raw'!$1:$1048576,MATCH($B53&amp;"."&amp;$G$6&amp;"."&amp;$G$7&amp;"."&amp;D$30&amp;"."&amp;$G$8,index!$A:$A,0),MATCH($G$4,'Raw'!$1:$1,0))</f>
        <v>-0.32629734194651316</v>
      </c>
      <c r="E53" s="14">
        <f>INDEX('Raw'!$1:$1048576,MATCH($B53&amp;"."&amp;$G$6&amp;"."&amp;$G$7&amp;"."&amp;E$30&amp;"."&amp;$G$8,index!$A:$A,0),MATCH($G$4,'Raw'!$1:$1,0))</f>
        <v>0.11954288383073663</v>
      </c>
      <c r="F53" s="14"/>
    </row>
    <row r="54" spans="2:6">
      <c r="B54" s="23">
        <v>2023</v>
      </c>
      <c r="D54" s="14">
        <f>INDEX('Raw'!$1:$1048576,MATCH($B54&amp;"."&amp;$G$6&amp;"."&amp;$G$7&amp;"."&amp;D$30&amp;"."&amp;$G$8,index!$A:$A,0),MATCH($G$4,'Raw'!$1:$1,0))</f>
        <v>-0.31752467024374065</v>
      </c>
      <c r="E54" s="14">
        <f>INDEX('Raw'!$1:$1048576,MATCH($B54&amp;"."&amp;$G$6&amp;"."&amp;$G$7&amp;"."&amp;E$30&amp;"."&amp;$G$8,index!$A:$A,0),MATCH($G$4,'Raw'!$1:$1,0))</f>
        <v>0.13755891138096388</v>
      </c>
      <c r="F54" s="14"/>
    </row>
    <row r="55" spans="2:6">
      <c r="B55" s="23">
        <v>2024</v>
      </c>
      <c r="D55" s="14">
        <f>INDEX('Raw'!$1:$1048576,MATCH($B55&amp;"."&amp;$G$6&amp;"."&amp;$G$7&amp;"."&amp;D$30&amp;"."&amp;$G$8,index!$A:$A,0),MATCH($G$4,'Raw'!$1:$1,0))</f>
        <v>-0.30977047665404767</v>
      </c>
      <c r="E55" s="14">
        <f>INDEX('Raw'!$1:$1048576,MATCH($B55&amp;"."&amp;$G$6&amp;"."&amp;$G$7&amp;"."&amp;E$30&amp;"."&amp;$G$8,index!$A:$A,0),MATCH($G$4,'Raw'!$1:$1,0))</f>
        <v>0.15466510875266071</v>
      </c>
      <c r="F55" s="14"/>
    </row>
    <row r="56" spans="2:6">
      <c r="B56" s="23">
        <v>2025</v>
      </c>
      <c r="D56" s="14">
        <f>INDEX('Raw'!$1:$1048576,MATCH($B56&amp;"."&amp;$G$6&amp;"."&amp;$G$7&amp;"."&amp;D$30&amp;"."&amp;$G$8,index!$A:$A,0),MATCH($G$4,'Raw'!$1:$1,0))</f>
        <v>-0.30286935988919073</v>
      </c>
      <c r="E56" s="14">
        <f>INDEX('Raw'!$1:$1048576,MATCH($B56&amp;"."&amp;$G$6&amp;"."&amp;$G$7&amp;"."&amp;E$30&amp;"."&amp;$G$8,index!$A:$A,0),MATCH($G$4,'Raw'!$1:$1,0))</f>
        <v>0.17056199674654327</v>
      </c>
      <c r="F56" s="14"/>
    </row>
    <row r="57" spans="2:6">
      <c r="B57" s="23">
        <v>2026</v>
      </c>
      <c r="D57" s="14">
        <f>INDEX('Raw'!$1:$1048576,MATCH($B57&amp;"."&amp;$G$6&amp;"."&amp;$G$7&amp;"."&amp;D$30&amp;"."&amp;$G$8,index!$A:$A,0),MATCH($G$4,'Raw'!$1:$1,0))</f>
        <v>-0.29664731936852595</v>
      </c>
      <c r="E57" s="14">
        <f>INDEX('Raw'!$1:$1048576,MATCH($B57&amp;"."&amp;$G$6&amp;"."&amp;$G$7&amp;"."&amp;E$30&amp;"."&amp;$G$8,index!$A:$A,0),MATCH($G$4,'Raw'!$1:$1,0))</f>
        <v>0.18506514059946078</v>
      </c>
      <c r="F57" s="14"/>
    </row>
    <row r="58" spans="2:6">
      <c r="B58" s="23">
        <v>2027</v>
      </c>
      <c r="D58" s="14">
        <f>INDEX('Raw'!$1:$1048576,MATCH($B58&amp;"."&amp;$G$6&amp;"."&amp;$G$7&amp;"."&amp;D$30&amp;"."&amp;$G$8,index!$A:$A,0),MATCH($G$4,'Raw'!$1:$1,0))</f>
        <v>-0.29093965910255148</v>
      </c>
      <c r="E58" s="14">
        <f>INDEX('Raw'!$1:$1048576,MATCH($B58&amp;"."&amp;$G$6&amp;"."&amp;$G$7&amp;"."&amp;E$30&amp;"."&amp;$G$8,index!$A:$A,0),MATCH($G$4,'Raw'!$1:$1,0))</f>
        <v>0.1980796731437362</v>
      </c>
      <c r="F58" s="14"/>
    </row>
    <row r="59" spans="2:6">
      <c r="B59" s="23">
        <v>2028</v>
      </c>
      <c r="D59" s="14">
        <f>INDEX('Raw'!$1:$1048576,MATCH($B59&amp;"."&amp;$G$6&amp;"."&amp;$G$7&amp;"."&amp;D$30&amp;"."&amp;$G$8,index!$A:$A,0),MATCH($G$4,'Raw'!$1:$1,0))</f>
        <v>-0.28560200569274219</v>
      </c>
      <c r="E59" s="14">
        <f>INDEX('Raw'!$1:$1048576,MATCH($B59&amp;"."&amp;$G$6&amp;"."&amp;$G$7&amp;"."&amp;E$30&amp;"."&amp;$G$8,index!$A:$A,0),MATCH($G$4,'Raw'!$1:$1,0))</f>
        <v>0.20957777923571452</v>
      </c>
      <c r="F59" s="14"/>
    </row>
    <row r="60" spans="2:6">
      <c r="B60" s="23">
        <v>2029</v>
      </c>
      <c r="D60" s="14">
        <f>INDEX('Raw'!$1:$1048576,MATCH($B60&amp;"."&amp;$G$6&amp;"."&amp;$G$7&amp;"."&amp;D$30&amp;"."&amp;$G$8,index!$A:$A,0),MATCH($G$4,'Raw'!$1:$1,0))</f>
        <v>-0.28051512833077163</v>
      </c>
      <c r="E60" s="14">
        <f>INDEX('Raw'!$1:$1048576,MATCH($B60&amp;"."&amp;$G$6&amp;"."&amp;$G$7&amp;"."&amp;E$30&amp;"."&amp;$G$8,index!$A:$A,0),MATCH($G$4,'Raw'!$1:$1,0))</f>
        <v>0.21957991570442648</v>
      </c>
      <c r="F60" s="14"/>
    </row>
    <row r="61" spans="2:6">
      <c r="B61" s="23">
        <v>2030</v>
      </c>
      <c r="D61" s="14">
        <f>INDEX('Raw'!$1:$1048576,MATCH($B61&amp;"."&amp;$G$6&amp;"."&amp;$G$7&amp;"."&amp;D$30&amp;"."&amp;$G$8,index!$A:$A,0),MATCH($G$4,'Raw'!$1:$1,0))</f>
        <v>-0.27558609067240836</v>
      </c>
      <c r="E61" s="14">
        <f>INDEX('Raw'!$1:$1048576,MATCH($B61&amp;"."&amp;$G$6&amp;"."&amp;$G$7&amp;"."&amp;E$30&amp;"."&amp;$G$8,index!$A:$A,0),MATCH($G$4,'Raw'!$1:$1,0))</f>
        <v>0.22813947080400077</v>
      </c>
      <c r="F61" s="14"/>
    </row>
    <row r="62" spans="2:6">
      <c r="B62" s="23">
        <v>2031</v>
      </c>
      <c r="D62" s="14">
        <f>INDEX('Raw'!$1:$1048576,MATCH($B62&amp;"."&amp;$G$6&amp;"."&amp;$G$7&amp;"."&amp;D$30&amp;"."&amp;$G$8,index!$A:$A,0),MATCH($G$4,'Raw'!$1:$1,0))</f>
        <v>-0.27074608381733034</v>
      </c>
      <c r="E62" s="14">
        <f>INDEX('Raw'!$1:$1048576,MATCH($B62&amp;"."&amp;$G$6&amp;"."&amp;$G$7&amp;"."&amp;E$30&amp;"."&amp;$G$8,index!$A:$A,0),MATCH($G$4,'Raw'!$1:$1,0))</f>
        <v>0.23533121471546181</v>
      </c>
      <c r="F62" s="14"/>
    </row>
    <row r="63" spans="2:6">
      <c r="B63" s="23">
        <v>2032</v>
      </c>
      <c r="D63" s="14">
        <f>INDEX('Raw'!$1:$1048576,MATCH($B63&amp;"."&amp;$G$6&amp;"."&amp;$G$7&amp;"."&amp;D$30&amp;"."&amp;$G$8,index!$A:$A,0),MATCH($G$4,'Raw'!$1:$1,0))</f>
        <v>-0.26594721693361523</v>
      </c>
      <c r="E63" s="14">
        <f>INDEX('Raw'!$1:$1048576,MATCH($B63&amp;"."&amp;$G$6&amp;"."&amp;$G$7&amp;"."&amp;E$30&amp;"."&amp;$G$8,index!$A:$A,0),MATCH($G$4,'Raw'!$1:$1,0))</f>
        <v>0.24124251125212659</v>
      </c>
      <c r="F63" s="14"/>
    </row>
    <row r="64" spans="2:6">
      <c r="B64" s="23">
        <v>2033</v>
      </c>
      <c r="D64" s="14">
        <f>INDEX('Raw'!$1:$1048576,MATCH($B64&amp;"."&amp;$G$6&amp;"."&amp;$G$7&amp;"."&amp;D$30&amp;"."&amp;$G$8,index!$A:$A,0),MATCH($G$4,'Raw'!$1:$1,0))</f>
        <v>-0.26115828779800232</v>
      </c>
      <c r="E64" s="14">
        <f>INDEX('Raw'!$1:$1048576,MATCH($B64&amp;"."&amp;$G$6&amp;"."&amp;$G$7&amp;"."&amp;E$30&amp;"."&amp;$G$8,index!$A:$A,0),MATCH($G$4,'Raw'!$1:$1,0))</f>
        <v>0.24596694430314425</v>
      </c>
      <c r="F64" s="14"/>
    </row>
    <row r="65" spans="2:6">
      <c r="B65" s="23">
        <v>2034</v>
      </c>
      <c r="D65" s="14">
        <f>INDEX('Raw'!$1:$1048576,MATCH($B65&amp;"."&amp;$G$6&amp;"."&amp;$G$7&amp;"."&amp;D$30&amp;"."&amp;$G$8,index!$A:$A,0),MATCH($G$4,'Raw'!$1:$1,0))</f>
        <v>-0.25636086137484915</v>
      </c>
      <c r="E65" s="14">
        <f>INDEX('Raw'!$1:$1048576,MATCH($B65&amp;"."&amp;$G$6&amp;"."&amp;$G$7&amp;"."&amp;E$30&amp;"."&amp;$G$8,index!$A:$A,0),MATCH($G$4,'Raw'!$1:$1,0))</f>
        <v>0.24960014459063373</v>
      </c>
      <c r="F65" s="14"/>
    </row>
    <row r="66" spans="2:6">
      <c r="B66" s="23">
        <v>2035</v>
      </c>
      <c r="D66" s="14">
        <f>INDEX('Raw'!$1:$1048576,MATCH($B66&amp;"."&amp;$G$6&amp;"."&amp;$G$7&amp;"."&amp;D$30&amp;"."&amp;$G$8,index!$A:$A,0),MATCH($G$4,'Raw'!$1:$1,0))</f>
        <v>-0.25154554181553435</v>
      </c>
      <c r="E66" s="14">
        <f>INDEX('Raw'!$1:$1048576,MATCH($B66&amp;"."&amp;$G$6&amp;"."&amp;$G$7&amp;"."&amp;E$30&amp;"."&amp;$G$8,index!$A:$A,0),MATCH($G$4,'Raw'!$1:$1,0))</f>
        <v>0.25223685028614717</v>
      </c>
      <c r="F66" s="14"/>
    </row>
    <row r="67" spans="2:6">
      <c r="B67" s="23">
        <v>2036</v>
      </c>
      <c r="D67" s="14">
        <f>INDEX('Raw'!$1:$1048576,MATCH($B67&amp;"."&amp;$G$6&amp;"."&amp;$G$7&amp;"."&amp;D$30&amp;"."&amp;$G$8,index!$A:$A,0),MATCH($G$4,'Raw'!$1:$1,0))</f>
        <v>-0.24670916249092123</v>
      </c>
      <c r="E67" s="14">
        <f>INDEX('Raw'!$1:$1048576,MATCH($B67&amp;"."&amp;$G$6&amp;"."&amp;$G$7&amp;"."&amp;E$30&amp;"."&amp;$G$8,index!$A:$A,0),MATCH($G$4,'Raw'!$1:$1,0))</f>
        <v>0.25396891360225382</v>
      </c>
      <c r="F67" s="14"/>
    </row>
    <row r="68" spans="2:6">
      <c r="B68" s="23">
        <v>2037</v>
      </c>
      <c r="D68" s="14">
        <f>INDEX('Raw'!$1:$1048576,MATCH($B68&amp;"."&amp;$G$6&amp;"."&amp;$G$7&amp;"."&amp;D$30&amp;"."&amp;$G$8,index!$A:$A,0),MATCH($G$4,'Raw'!$1:$1,0))</f>
        <v>-0.24185233058410249</v>
      </c>
      <c r="E68" s="14">
        <f>INDEX('Raw'!$1:$1048576,MATCH($B68&amp;"."&amp;$G$6&amp;"."&amp;$G$7&amp;"."&amp;E$30&amp;"."&amp;$G$8,index!$A:$A,0),MATCH($G$4,'Raw'!$1:$1,0))</f>
        <v>0.25488429424607162</v>
      </c>
      <c r="F68" s="14"/>
    </row>
    <row r="69" spans="2:6">
      <c r="B69" s="23">
        <v>2038</v>
      </c>
      <c r="D69" s="14">
        <f>INDEX('Raw'!$1:$1048576,MATCH($B69&amp;"."&amp;$G$6&amp;"."&amp;$G$7&amp;"."&amp;D$30&amp;"."&amp;$G$8,index!$A:$A,0),MATCH($G$4,'Raw'!$1:$1,0))</f>
        <v>-0.23697787375458468</v>
      </c>
      <c r="E69" s="14">
        <f>INDEX('Raw'!$1:$1048576,MATCH($B69&amp;"."&amp;$G$6&amp;"."&amp;$G$7&amp;"."&amp;E$30&amp;"."&amp;$G$8,index!$A:$A,0),MATCH($G$4,'Raw'!$1:$1,0))</f>
        <v>0.25506631933700508</v>
      </c>
      <c r="F69" s="14"/>
    </row>
    <row r="70" spans="2:6">
      <c r="B70" s="23">
        <v>2039</v>
      </c>
      <c r="D70" s="14">
        <f>INDEX('Raw'!$1:$1048576,MATCH($B70&amp;"."&amp;$G$6&amp;"."&amp;$G$7&amp;"."&amp;D$30&amp;"."&amp;$G$8,index!$A:$A,0),MATCH($G$4,'Raw'!$1:$1,0))</f>
        <v>-0.23208977732850355</v>
      </c>
      <c r="E70" s="14">
        <f>INDEX('Raw'!$1:$1048576,MATCH($B70&amp;"."&amp;$G$6&amp;"."&amp;$G$7&amp;"."&amp;E$30&amp;"."&amp;$G$8,index!$A:$A,0),MATCH($G$4,'Raw'!$1:$1,0))</f>
        <v>0.25459320597889246</v>
      </c>
      <c r="F70" s="14"/>
    </row>
    <row r="71" spans="2:6">
      <c r="B71" s="23">
        <v>2040</v>
      </c>
      <c r="D71" s="14">
        <f>INDEX('Raw'!$1:$1048576,MATCH($B71&amp;"."&amp;$G$6&amp;"."&amp;$G$7&amp;"."&amp;D$30&amp;"."&amp;$G$8,index!$A:$A,0),MATCH($G$4,'Raw'!$1:$1,0))</f>
        <v>-0.22719255713691267</v>
      </c>
      <c r="E71" s="14">
        <f>INDEX('Raw'!$1:$1048576,MATCH($B71&amp;"."&amp;$G$6&amp;"."&amp;$G$7&amp;"."&amp;E$30&amp;"."&amp;$G$8,index!$A:$A,0),MATCH($G$4,'Raw'!$1:$1,0))</f>
        <v>0.25353800137373206</v>
      </c>
      <c r="F71" s="14"/>
    </row>
    <row r="72" spans="2:6">
      <c r="B72" s="23">
        <v>2041</v>
      </c>
      <c r="D72" s="14">
        <f>INDEX('Raw'!$1:$1048576,MATCH($B72&amp;"."&amp;$G$6&amp;"."&amp;$G$7&amp;"."&amp;D$30&amp;"."&amp;$G$8,index!$A:$A,0),MATCH($G$4,'Raw'!$1:$1,0))</f>
        <v>-0.22229099250473672</v>
      </c>
      <c r="E72" s="14">
        <f>INDEX('Raw'!$1:$1048576,MATCH($B72&amp;"."&amp;$G$6&amp;"."&amp;$G$7&amp;"."&amp;E$30&amp;"."&amp;$G$8,index!$A:$A,0),MATCH($G$4,'Raw'!$1:$1,0))</f>
        <v>0.25196829919742481</v>
      </c>
      <c r="F72" s="14"/>
    </row>
    <row r="73" spans="2:6">
      <c r="B73" s="23">
        <v>2042</v>
      </c>
      <c r="D73" s="14">
        <f>INDEX('Raw'!$1:$1048576,MATCH($B73&amp;"."&amp;$G$6&amp;"."&amp;$G$7&amp;"."&amp;D$30&amp;"."&amp;$G$8,index!$A:$A,0),MATCH($G$4,'Raw'!$1:$1,0))</f>
        <v>-0.2173899765729459</v>
      </c>
      <c r="E73" s="14">
        <f>INDEX('Raw'!$1:$1048576,MATCH($B73&amp;"."&amp;$G$6&amp;"."&amp;$G$7&amp;"."&amp;E$30&amp;"."&amp;$G$8,index!$A:$A,0),MATCH($G$4,'Raw'!$1:$1,0))</f>
        <v>0.24994634246087166</v>
      </c>
      <c r="F73" s="14"/>
    </row>
    <row r="74" spans="2:6">
      <c r="B74" s="23">
        <v>2043</v>
      </c>
      <c r="D74" s="14">
        <f>INDEX('Raw'!$1:$1048576,MATCH($B74&amp;"."&amp;$G$6&amp;"."&amp;$G$7&amp;"."&amp;D$30&amp;"."&amp;$G$8,index!$A:$A,0),MATCH($G$4,'Raw'!$1:$1,0))</f>
        <v>-0.21249449026840006</v>
      </c>
      <c r="E74" s="14">
        <f>INDEX('Raw'!$1:$1048576,MATCH($B74&amp;"."&amp;$G$6&amp;"."&amp;$G$7&amp;"."&amp;E$30&amp;"."&amp;$G$8,index!$A:$A,0),MATCH($G$4,'Raw'!$1:$1,0))</f>
        <v>0.24752896108510836</v>
      </c>
      <c r="F74" s="14"/>
    </row>
    <row r="75" spans="2:6">
      <c r="B75" s="23">
        <v>2044</v>
      </c>
      <c r="D75" s="14">
        <f>INDEX('Raw'!$1:$1048576,MATCH($B75&amp;"."&amp;$G$6&amp;"."&amp;$G$7&amp;"."&amp;D$30&amp;"."&amp;$G$8,index!$A:$A,0),MATCH($G$4,'Raw'!$1:$1,0))</f>
        <v>-0.20760983401336697</v>
      </c>
      <c r="E75" s="14">
        <f>INDEX('Raw'!$1:$1048576,MATCH($B75&amp;"."&amp;$G$6&amp;"."&amp;$G$7&amp;"."&amp;E$30&amp;"."&amp;$G$8,index!$A:$A,0),MATCH($G$4,'Raw'!$1:$1,0))</f>
        <v>0.24476777413640072</v>
      </c>
      <c r="F75" s="14"/>
    </row>
    <row r="76" spans="2:6">
      <c r="B76" s="23">
        <v>2045</v>
      </c>
      <c r="D76" s="14">
        <f>INDEX('Raw'!$1:$1048576,MATCH($B76&amp;"."&amp;$G$6&amp;"."&amp;$G$7&amp;"."&amp;D$30&amp;"."&amp;$G$8,index!$A:$A,0),MATCH($G$4,'Raw'!$1:$1,0))</f>
        <v>-0.20274143433781644</v>
      </c>
      <c r="E76" s="14">
        <f>INDEX('Raw'!$1:$1048576,MATCH($B76&amp;"."&amp;$G$6&amp;"."&amp;$G$7&amp;"."&amp;E$30&amp;"."&amp;$G$8,index!$A:$A,0),MATCH($G$4,'Raw'!$1:$1,0))</f>
        <v>0.24170930690130543</v>
      </c>
      <c r="F76" s="14"/>
    </row>
    <row r="77" spans="2:6">
      <c r="B77" s="23">
        <v>2046</v>
      </c>
      <c r="D77" s="14">
        <f>INDEX('Raw'!$1:$1048576,MATCH($B77&amp;"."&amp;$G$6&amp;"."&amp;$G$7&amp;"."&amp;D$30&amp;"."&amp;$G$8,index!$A:$A,0),MATCH($G$4,'Raw'!$1:$1,0))</f>
        <v>-0.19789501850673297</v>
      </c>
      <c r="E77" s="14">
        <f>INDEX('Raw'!$1:$1048576,MATCH($B77&amp;"."&amp;$G$6&amp;"."&amp;$G$7&amp;"."&amp;E$30&amp;"."&amp;$G$8,index!$A:$A,0),MATCH($G$4,'Raw'!$1:$1,0))</f>
        <v>0.23839519910175966</v>
      </c>
      <c r="F77" s="14"/>
    </row>
    <row r="78" spans="2:6">
      <c r="B78" s="23">
        <v>2047</v>
      </c>
      <c r="D78" s="14">
        <f>INDEX('Raw'!$1:$1048576,MATCH($B78&amp;"."&amp;$G$6&amp;"."&amp;$G$7&amp;"."&amp;D$30&amp;"."&amp;$G$8,index!$A:$A,0),MATCH($G$4,'Raw'!$1:$1,0))</f>
        <v>-0.19307662681983251</v>
      </c>
      <c r="E78" s="14">
        <f>INDEX('Raw'!$1:$1048576,MATCH($B78&amp;"."&amp;$G$6&amp;"."&amp;$G$7&amp;"."&amp;E$30&amp;"."&amp;$G$8,index!$A:$A,0),MATCH($G$4,'Raw'!$1:$1,0))</f>
        <v>0.23486249104263113</v>
      </c>
      <c r="F78" s="14"/>
    </row>
    <row r="79" spans="2:6">
      <c r="B79" s="23">
        <v>2048</v>
      </c>
      <c r="D79" s="14">
        <f>INDEX('Raw'!$1:$1048576,MATCH($B79&amp;"."&amp;$G$6&amp;"."&amp;$G$7&amp;"."&amp;D$30&amp;"."&amp;$G$8,index!$A:$A,0),MATCH($G$4,'Raw'!$1:$1,0))</f>
        <v>-0.18829238468871523</v>
      </c>
      <c r="E79" s="14">
        <f>INDEX('Raw'!$1:$1048576,MATCH($B79&amp;"."&amp;$G$6&amp;"."&amp;$G$7&amp;"."&amp;E$30&amp;"."&amp;$G$8,index!$A:$A,0),MATCH($G$4,'Raw'!$1:$1,0))</f>
        <v>0.23114397739507631</v>
      </c>
      <c r="F79" s="14"/>
    </row>
    <row r="80" spans="2:6">
      <c r="B80" s="23">
        <v>2049</v>
      </c>
      <c r="D80" s="14">
        <f>INDEX('Raw'!$1:$1048576,MATCH($B80&amp;"."&amp;$G$6&amp;"."&amp;$G$7&amp;"."&amp;D$30&amp;"."&amp;$G$8,index!$A:$A,0),MATCH($G$4,'Raw'!$1:$1,0))</f>
        <v>-0.18354862686500439</v>
      </c>
      <c r="E80" s="14">
        <f>INDEX('Raw'!$1:$1048576,MATCH($B80&amp;"."&amp;$G$6&amp;"."&amp;$G$7&amp;"."&amp;E$30&amp;"."&amp;$G$8,index!$A:$A,0),MATCH($G$4,'Raw'!$1:$1,0))</f>
        <v>0.22726848175937953</v>
      </c>
      <c r="F80" s="14"/>
    </row>
    <row r="81" spans="2:6">
      <c r="B81" s="23">
        <v>2050</v>
      </c>
      <c r="D81" s="14">
        <f>INDEX('Raw'!$1:$1048576,MATCH($B81&amp;"."&amp;$G$6&amp;"."&amp;$G$7&amp;"."&amp;D$30&amp;"."&amp;$G$8,index!$A:$A,0),MATCH($G$4,'Raw'!$1:$1,0))</f>
        <v>-0.17885162719704084</v>
      </c>
      <c r="E81" s="14">
        <f>INDEX('Raw'!$1:$1048576,MATCH($B81&amp;"."&amp;$G$6&amp;"."&amp;$G$7&amp;"."&amp;E$30&amp;"."&amp;$G$8,index!$A:$A,0),MATCH($G$4,'Raw'!$1:$1,0))</f>
        <v>0.22326130832472924</v>
      </c>
      <c r="F81" s="14"/>
    </row>
  </sheetData>
  <mergeCells count="11">
    <mergeCell ref="B29:C29"/>
    <mergeCell ref="B30:C30"/>
    <mergeCell ref="B2:H2"/>
    <mergeCell ref="B4:C4"/>
    <mergeCell ref="B6:C6"/>
    <mergeCell ref="B7:C7"/>
    <mergeCell ref="B8:C8"/>
    <mergeCell ref="D4:F4"/>
    <mergeCell ref="D6:F6"/>
    <mergeCell ref="D7:F7"/>
    <mergeCell ref="D8:F8"/>
  </mergeCells>
  <dataValidations count="1">
    <dataValidation type="list" allowBlank="1" showInputMessage="1" showErrorMessage="1" sqref="D4" xr:uid="{00000000-0002-0000-0600-000000000000}">
      <formula1>Output_variable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1000000}">
          <x14:formula1>
            <xm:f>Lists!$I$1:$I$2</xm:f>
          </x14:formula1>
          <xm:sqref>D8</xm:sqref>
        </x14:dataValidation>
        <x14:dataValidation type="list" allowBlank="1" showInputMessage="1" showErrorMessage="1" xr:uid="{00000000-0002-0000-0600-000002000000}">
          <x14:formula1>
            <xm:f>Lists!$E$1:$E$3</xm:f>
          </x14:formula1>
          <xm:sqref>D7</xm:sqref>
        </x14:dataValidation>
        <x14:dataValidation type="list" allowBlank="1" showInputMessage="1" showErrorMessage="1" xr:uid="{00000000-0002-0000-0600-000003000000}">
          <x14:formula1>
            <xm:f>Lists!$C$1:$C$2</xm:f>
          </x14:formula1>
          <xm:sqref>D6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81"/>
  <sheetViews>
    <sheetView zoomScale="64" zoomScaleNormal="135" workbookViewId="0">
      <selection activeCell="M15" sqref="M15"/>
    </sheetView>
  </sheetViews>
  <sheetFormatPr baseColWidth="10" defaultColWidth="11.453125" defaultRowHeight="14.5"/>
  <cols>
    <col min="1" max="16384" width="11.453125" style="2"/>
  </cols>
  <sheetData>
    <row r="2" spans="2:8">
      <c r="B2" s="111" t="s">
        <v>124</v>
      </c>
      <c r="C2" s="112"/>
      <c r="D2" s="112"/>
      <c r="E2" s="112"/>
      <c r="F2" s="112"/>
      <c r="G2" s="112"/>
      <c r="H2" s="113"/>
    </row>
    <row r="4" spans="2:8">
      <c r="B4" s="114" t="s">
        <v>54</v>
      </c>
      <c r="C4" s="115"/>
      <c r="D4" s="128" t="s">
        <v>140</v>
      </c>
      <c r="E4" s="128"/>
      <c r="F4" s="129"/>
      <c r="G4" s="20" t="str">
        <f>VLOOKUP(D4,Lists!A1:B20,2,FALSE)</f>
        <v>100*(gdp_1/gdp_0-1)</v>
      </c>
    </row>
    <row r="5" spans="2:8">
      <c r="G5" s="20"/>
    </row>
    <row r="6" spans="2:8">
      <c r="B6" s="116" t="s">
        <v>56</v>
      </c>
      <c r="C6" s="117"/>
      <c r="D6" s="132" t="s">
        <v>59</v>
      </c>
      <c r="E6" s="132"/>
      <c r="F6" s="124"/>
      <c r="G6" s="20">
        <f>VLOOKUP(D6,Lists!C1:D2,2,FALSE)</f>
        <v>1</v>
      </c>
    </row>
    <row r="7" spans="2:8">
      <c r="B7" s="118" t="s">
        <v>55</v>
      </c>
      <c r="C7" s="119"/>
      <c r="D7" s="135" t="s">
        <v>65</v>
      </c>
      <c r="E7" s="135"/>
      <c r="F7" s="135"/>
      <c r="G7" s="20">
        <f>VLOOKUP(D7,Lists!E1:F3,2,FALSE)</f>
        <v>0</v>
      </c>
    </row>
    <row r="8" spans="2:8">
      <c r="B8" s="109" t="s">
        <v>57</v>
      </c>
      <c r="C8" s="110"/>
      <c r="D8" s="127" t="s">
        <v>62</v>
      </c>
      <c r="E8" s="127"/>
      <c r="F8" s="127"/>
      <c r="G8" s="20">
        <f>VLOOKUP(D8,Lists!G1:H2,2,FALSE)</f>
        <v>0</v>
      </c>
    </row>
    <row r="29" spans="2:5">
      <c r="B29" s="130" t="s">
        <v>128</v>
      </c>
      <c r="C29" s="130"/>
      <c r="D29" s="24" t="s">
        <v>150</v>
      </c>
      <c r="E29" s="24" t="s">
        <v>151</v>
      </c>
    </row>
    <row r="30" spans="2:5">
      <c r="B30" s="131" t="s">
        <v>127</v>
      </c>
      <c r="C30" s="131"/>
      <c r="D30" s="20">
        <v>0</v>
      </c>
      <c r="E30" s="20">
        <v>1</v>
      </c>
    </row>
    <row r="31" spans="2:5">
      <c r="B31" s="25">
        <v>2000</v>
      </c>
      <c r="D31" s="14">
        <f>INDEX('Raw'!$1:$1048576,MATCH($B31&amp;"."&amp;$G$6&amp;"."&amp;$G$7&amp;"."&amp;$G$8&amp;"."&amp;D$30,index!$A:$A,0),MATCH($G$4,'Raw'!$1:$1,0))</f>
        <v>0</v>
      </c>
      <c r="E31" s="14">
        <f>INDEX('Raw'!$1:$1048576,MATCH($B31&amp;"."&amp;$G$6&amp;"."&amp;$G$7&amp;"."&amp;$G$8&amp;"."&amp;E$30,index!$A:$A,0),MATCH($G$4,'Raw'!$1:$1,0))</f>
        <v>0</v>
      </c>
    </row>
    <row r="32" spans="2:5">
      <c r="B32" s="25">
        <v>2001</v>
      </c>
      <c r="D32" s="14">
        <f>INDEX('Raw'!$1:$1048576,MATCH($B32&amp;"."&amp;$G$6&amp;"."&amp;$G$7&amp;"."&amp;$G$8&amp;"."&amp;D$30,index!$A:$A,0),MATCH($G$4,'Raw'!$1:$1,0))</f>
        <v>3.1198580247604468E-2</v>
      </c>
      <c r="E32" s="14">
        <f>INDEX('Raw'!$1:$1048576,MATCH($B32&amp;"."&amp;$G$6&amp;"."&amp;$G$7&amp;"."&amp;$G$8&amp;"."&amp;E$30,index!$A:$A,0),MATCH($G$4,'Raw'!$1:$1,0))</f>
        <v>1.588066502922203E-3</v>
      </c>
    </row>
    <row r="33" spans="2:5">
      <c r="B33" s="25">
        <v>2002</v>
      </c>
      <c r="D33" s="14">
        <f>INDEX('Raw'!$1:$1048576,MATCH($B33&amp;"."&amp;$G$6&amp;"."&amp;$G$7&amp;"."&amp;$G$8&amp;"."&amp;D$30,index!$A:$A,0),MATCH($G$4,'Raw'!$1:$1,0))</f>
        <v>6.3863962537991092E-2</v>
      </c>
      <c r="E33" s="14">
        <f>INDEX('Raw'!$1:$1048576,MATCH($B33&amp;"."&amp;$G$6&amp;"."&amp;$G$7&amp;"."&amp;$G$8&amp;"."&amp;E$30,index!$A:$A,0),MATCH($G$4,'Raw'!$1:$1,0))</f>
        <v>-9.8470344685575029E-3</v>
      </c>
    </row>
    <row r="34" spans="2:5">
      <c r="B34" s="25">
        <v>2003</v>
      </c>
      <c r="D34" s="14">
        <f>INDEX('Raw'!$1:$1048576,MATCH($B34&amp;"."&amp;$G$6&amp;"."&amp;$G$7&amp;"."&amp;$G$8&amp;"."&amp;D$30,index!$A:$A,0),MATCH($G$4,'Raw'!$1:$1,0))</f>
        <v>8.5481765982309277E-2</v>
      </c>
      <c r="E34" s="14">
        <f>INDEX('Raw'!$1:$1048576,MATCH($B34&amp;"."&amp;$G$6&amp;"."&amp;$G$7&amp;"."&amp;$G$8&amp;"."&amp;E$30,index!$A:$A,0),MATCH($G$4,'Raw'!$1:$1,0))</f>
        <v>-3.993783478443147E-2</v>
      </c>
    </row>
    <row r="35" spans="2:5">
      <c r="B35" s="25">
        <v>2004</v>
      </c>
      <c r="D35" s="14">
        <f>INDEX('Raw'!$1:$1048576,MATCH($B35&amp;"."&amp;$G$6&amp;"."&amp;$G$7&amp;"."&amp;$G$8&amp;"."&amp;D$30,index!$A:$A,0),MATCH($G$4,'Raw'!$1:$1,0))</f>
        <v>9.1518266003220994E-2</v>
      </c>
      <c r="E35" s="14">
        <f>INDEX('Raw'!$1:$1048576,MATCH($B35&amp;"."&amp;$G$6&amp;"."&amp;$G$7&amp;"."&amp;$G$8&amp;"."&amp;E$30,index!$A:$A,0),MATCH($G$4,'Raw'!$1:$1,0))</f>
        <v>-8.8370302728468797E-2</v>
      </c>
    </row>
    <row r="36" spans="2:5">
      <c r="B36" s="25">
        <v>2005</v>
      </c>
      <c r="D36" s="14">
        <f>INDEX('Raw'!$1:$1048576,MATCH($B36&amp;"."&amp;$G$6&amp;"."&amp;$G$7&amp;"."&amp;$G$8&amp;"."&amp;D$30,index!$A:$A,0),MATCH($G$4,'Raw'!$1:$1,0))</f>
        <v>8.4319173258728952E-2</v>
      </c>
      <c r="E36" s="14">
        <f>INDEX('Raw'!$1:$1048576,MATCH($B36&amp;"."&amp;$G$6&amp;"."&amp;$G$7&amp;"."&amp;$G$8&amp;"."&amp;E$30,index!$A:$A,0),MATCH($G$4,'Raw'!$1:$1,0))</f>
        <v>-0.14876528326083216</v>
      </c>
    </row>
    <row r="37" spans="2:5">
      <c r="B37" s="25">
        <v>2006</v>
      </c>
      <c r="D37" s="14">
        <f>INDEX('Raw'!$1:$1048576,MATCH($B37&amp;"."&amp;$G$6&amp;"."&amp;$G$7&amp;"."&amp;$G$8&amp;"."&amp;D$30,index!$A:$A,0),MATCH($G$4,'Raw'!$1:$1,0))</f>
        <v>6.8778920246259645E-2</v>
      </c>
      <c r="E37" s="14">
        <f>INDEX('Raw'!$1:$1048576,MATCH($B37&amp;"."&amp;$G$6&amp;"."&amp;$G$7&amp;"."&amp;$G$8&amp;"."&amp;E$30,index!$A:$A,0),MATCH($G$4,'Raw'!$1:$1,0))</f>
        <v>-0.21295867801980339</v>
      </c>
    </row>
    <row r="38" spans="2:5">
      <c r="B38" s="25">
        <v>2007</v>
      </c>
      <c r="D38" s="14">
        <f>INDEX('Raw'!$1:$1048576,MATCH($B38&amp;"."&amp;$G$6&amp;"."&amp;$G$7&amp;"."&amp;$G$8&amp;"."&amp;D$30,index!$A:$A,0),MATCH($G$4,'Raw'!$1:$1,0))</f>
        <v>4.9608981564364107E-2</v>
      </c>
      <c r="E38" s="14">
        <f>INDEX('Raw'!$1:$1048576,MATCH($B38&amp;"."&amp;$G$6&amp;"."&amp;$G$7&amp;"."&amp;$G$8&amp;"."&amp;E$30,index!$A:$A,0),MATCH($G$4,'Raw'!$1:$1,0))</f>
        <v>-0.27386337111614534</v>
      </c>
    </row>
    <row r="39" spans="2:5">
      <c r="B39" s="25">
        <v>2008</v>
      </c>
      <c r="D39" s="14">
        <f>INDEX('Raw'!$1:$1048576,MATCH($B39&amp;"."&amp;$G$6&amp;"."&amp;$G$7&amp;"."&amp;$G$8&amp;"."&amp;D$30,index!$A:$A,0),MATCH($G$4,'Raw'!$1:$1,0))</f>
        <v>3.0297855192862322E-2</v>
      </c>
      <c r="E39" s="14">
        <f>INDEX('Raw'!$1:$1048576,MATCH($B39&amp;"."&amp;$G$6&amp;"."&amp;$G$7&amp;"."&amp;$G$8&amp;"."&amp;E$30,index!$A:$A,0),MATCH($G$4,'Raw'!$1:$1,0))</f>
        <v>-0.32656275070970242</v>
      </c>
    </row>
    <row r="40" spans="2:5">
      <c r="B40" s="25">
        <v>2009</v>
      </c>
      <c r="D40" s="14">
        <f>INDEX('Raw'!$1:$1048576,MATCH($B40&amp;"."&amp;$G$6&amp;"."&amp;$G$7&amp;"."&amp;$G$8&amp;"."&amp;D$30,index!$A:$A,0),MATCH($G$4,'Raw'!$1:$1,0))</f>
        <v>1.2993907352831791E-2</v>
      </c>
      <c r="E40" s="14">
        <f>INDEX('Raw'!$1:$1048576,MATCH($B40&amp;"."&amp;$G$6&amp;"."&amp;$G$7&amp;"."&amp;$G$8&amp;"."&amp;E$30,index!$A:$A,0),MATCH($G$4,'Raw'!$1:$1,0))</f>
        <v>-0.36836753862358185</v>
      </c>
    </row>
    <row r="41" spans="2:5">
      <c r="B41" s="25">
        <v>2010</v>
      </c>
      <c r="D41" s="14">
        <f>INDEX('Raw'!$1:$1048576,MATCH($B41&amp;"."&amp;$G$6&amp;"."&amp;$G$7&amp;"."&amp;$G$8&amp;"."&amp;D$30,index!$A:$A,0),MATCH($G$4,'Raw'!$1:$1,0))</f>
        <v>-1.2550694091228998E-3</v>
      </c>
      <c r="E41" s="14">
        <f>INDEX('Raw'!$1:$1048576,MATCH($B41&amp;"."&amp;$G$6&amp;"."&amp;$G$7&amp;"."&amp;$G$8&amp;"."&amp;E$30,index!$A:$A,0),MATCH($G$4,'Raw'!$1:$1,0))</f>
        <v>-0.39843166776846184</v>
      </c>
    </row>
    <row r="42" spans="2:5">
      <c r="B42" s="25">
        <v>2011</v>
      </c>
      <c r="D42" s="14">
        <f>INDEX('Raw'!$1:$1048576,MATCH($B42&amp;"."&amp;$G$6&amp;"."&amp;$G$7&amp;"."&amp;$G$8&amp;"."&amp;D$30,index!$A:$A,0),MATCH($G$4,'Raw'!$1:$1,0))</f>
        <v>-1.2184269381942947E-2</v>
      </c>
      <c r="E42" s="14">
        <f>INDEX('Raw'!$1:$1048576,MATCH($B42&amp;"."&amp;$G$6&amp;"."&amp;$G$7&amp;"."&amp;$G$8&amp;"."&amp;E$30,index!$A:$A,0),MATCH($G$4,'Raw'!$1:$1,0))</f>
        <v>-0.41724841186308037</v>
      </c>
    </row>
    <row r="43" spans="2:5">
      <c r="B43" s="25">
        <v>2012</v>
      </c>
      <c r="D43" s="14">
        <f>INDEX('Raw'!$1:$1048576,MATCH($B43&amp;"."&amp;$G$6&amp;"."&amp;$G$7&amp;"."&amp;$G$8&amp;"."&amp;D$30,index!$A:$A,0),MATCH($G$4,'Raw'!$1:$1,0))</f>
        <v>-2.0025883577312609E-2</v>
      </c>
      <c r="E43" s="14">
        <f>INDEX('Raw'!$1:$1048576,MATCH($B43&amp;"."&amp;$G$6&amp;"."&amp;$G$7&amp;"."&amp;$G$8&amp;"."&amp;E$30,index!$A:$A,0),MATCH($G$4,'Raw'!$1:$1,0))</f>
        <v>-0.42617004724614382</v>
      </c>
    </row>
    <row r="44" spans="2:5">
      <c r="B44" s="25">
        <v>2013</v>
      </c>
      <c r="D44" s="14">
        <f>INDEX('Raw'!$1:$1048576,MATCH($B44&amp;"."&amp;$G$6&amp;"."&amp;$G$7&amp;"."&amp;$G$8&amp;"."&amp;D$30,index!$A:$A,0),MATCH($G$4,'Raw'!$1:$1,0))</f>
        <v>-2.5282988103991766E-2</v>
      </c>
      <c r="E44" s="14">
        <f>INDEX('Raw'!$1:$1048576,MATCH($B44&amp;"."&amp;$G$6&amp;"."&amp;$G$7&amp;"."&amp;$G$8&amp;"."&amp;E$30,index!$A:$A,0),MATCH($G$4,'Raw'!$1:$1,0))</f>
        <v>-0.42700444102526935</v>
      </c>
    </row>
    <row r="45" spans="2:5">
      <c r="B45" s="25">
        <v>2014</v>
      </c>
      <c r="D45" s="14">
        <f>INDEX('Raw'!$1:$1048576,MATCH($B45&amp;"."&amp;$G$6&amp;"."&amp;$G$7&amp;"."&amp;$G$8&amp;"."&amp;D$30,index!$A:$A,0),MATCH($G$4,'Raw'!$1:$1,0))</f>
        <v>-2.8564038386225121E-2</v>
      </c>
      <c r="E45" s="14">
        <f>INDEX('Raw'!$1:$1048576,MATCH($B45&amp;"."&amp;$G$6&amp;"."&amp;$G$7&amp;"."&amp;$G$8&amp;"."&amp;E$30,index!$A:$A,0),MATCH($G$4,'Raw'!$1:$1,0))</f>
        <v>-0.421702913235944</v>
      </c>
    </row>
    <row r="46" spans="2:5">
      <c r="B46" s="25">
        <v>2015</v>
      </c>
      <c r="D46" s="14">
        <f>INDEX('Raw'!$1:$1048576,MATCH($B46&amp;"."&amp;$G$6&amp;"."&amp;$G$7&amp;"."&amp;$G$8&amp;"."&amp;D$30,index!$A:$A,0),MATCH($G$4,'Raw'!$1:$1,0))</f>
        <v>-3.0470413933003648E-2</v>
      </c>
      <c r="E46" s="14">
        <f>INDEX('Raw'!$1:$1048576,MATCH($B46&amp;"."&amp;$G$6&amp;"."&amp;$G$7&amp;"."&amp;$G$8&amp;"."&amp;E$30,index!$A:$A,0),MATCH($G$4,'Raw'!$1:$1,0))</f>
        <v>-0.41213734400573632</v>
      </c>
    </row>
    <row r="47" spans="2:5">
      <c r="B47" s="25">
        <v>2016</v>
      </c>
      <c r="D47" s="14">
        <f>INDEX('Raw'!$1:$1048576,MATCH($B47&amp;"."&amp;$G$6&amp;"."&amp;$G$7&amp;"."&amp;$G$8&amp;"."&amp;D$30,index!$A:$A,0),MATCH($G$4,'Raw'!$1:$1,0))</f>
        <v>-3.1527151672572362E-2</v>
      </c>
      <c r="E47" s="14">
        <f>INDEX('Raw'!$1:$1048576,MATCH($B47&amp;"."&amp;$G$6&amp;"."&amp;$G$7&amp;"."&amp;$G$8&amp;"."&amp;E$30,index!$A:$A,0),MATCH($G$4,'Raw'!$1:$1,0))</f>
        <v>-0.39995679826227981</v>
      </c>
    </row>
    <row r="48" spans="2:5">
      <c r="B48" s="25">
        <v>2017</v>
      </c>
      <c r="D48" s="14">
        <f>INDEX('Raw'!$1:$1048576,MATCH($B48&amp;"."&amp;$G$6&amp;"."&amp;$G$7&amp;"."&amp;$G$8&amp;"."&amp;D$30,index!$A:$A,0),MATCH($G$4,'Raw'!$1:$1,0))</f>
        <v>-3.2148556226851976E-2</v>
      </c>
      <c r="E48" s="14">
        <f>INDEX('Raw'!$1:$1048576,MATCH($B48&amp;"."&amp;$G$6&amp;"."&amp;$G$7&amp;"."&amp;$G$8&amp;"."&amp;E$30,index!$A:$A,0),MATCH($G$4,'Raw'!$1:$1,0))</f>
        <v>-0.38651139847549754</v>
      </c>
    </row>
    <row r="49" spans="2:5">
      <c r="B49" s="25">
        <v>2018</v>
      </c>
      <c r="D49" s="14">
        <f>INDEX('Raw'!$1:$1048576,MATCH($B49&amp;"."&amp;$G$6&amp;"."&amp;$G$7&amp;"."&amp;$G$8&amp;"."&amp;D$30,index!$A:$A,0),MATCH($G$4,'Raw'!$1:$1,0))</f>
        <v>-3.262798046546056E-2</v>
      </c>
      <c r="E49" s="14">
        <f>INDEX('Raw'!$1:$1048576,MATCH($B49&amp;"."&amp;$G$6&amp;"."&amp;$G$7&amp;"."&amp;$G$8&amp;"."&amp;E$30,index!$A:$A,0),MATCH($G$4,'Raw'!$1:$1,0))</f>
        <v>-0.37282816840106259</v>
      </c>
    </row>
    <row r="50" spans="2:5">
      <c r="B50" s="25">
        <v>2019</v>
      </c>
      <c r="D50" s="14">
        <f>INDEX('Raw'!$1:$1048576,MATCH($B50&amp;"."&amp;$G$6&amp;"."&amp;$G$7&amp;"."&amp;$G$8&amp;"."&amp;D$30,index!$A:$A,0),MATCH($G$4,'Raw'!$1:$1,0))</f>
        <v>-3.3145894604302839E-2</v>
      </c>
      <c r="E50" s="14">
        <f>INDEX('Raw'!$1:$1048576,MATCH($B50&amp;"."&amp;$G$6&amp;"."&amp;$G$7&amp;"."&amp;$G$8&amp;"."&amp;E$30,index!$A:$A,0),MATCH($G$4,'Raw'!$1:$1,0))</f>
        <v>-0.35962466623766787</v>
      </c>
    </row>
    <row r="51" spans="2:5">
      <c r="B51" s="25">
        <v>2020</v>
      </c>
      <c r="D51" s="14">
        <f>INDEX('Raw'!$1:$1048576,MATCH($B51&amp;"."&amp;$G$6&amp;"."&amp;$G$7&amp;"."&amp;$G$8&amp;"."&amp;D$30,index!$A:$A,0),MATCH($G$4,'Raw'!$1:$1,0))</f>
        <v>-3.3787749752633989E-2</v>
      </c>
      <c r="E51" s="14">
        <f>INDEX('Raw'!$1:$1048576,MATCH($B51&amp;"."&amp;$G$6&amp;"."&amp;$G$7&amp;"."&amp;$G$8&amp;"."&amp;E$30,index!$A:$A,0),MATCH($G$4,'Raw'!$1:$1,0))</f>
        <v>-0.34734662685705908</v>
      </c>
    </row>
    <row r="52" spans="2:5">
      <c r="B52" s="25">
        <v>2021</v>
      </c>
      <c r="D52" s="14">
        <f>INDEX('Raw'!$1:$1048576,MATCH($B52&amp;"."&amp;$G$6&amp;"."&amp;$G$7&amp;"."&amp;$G$8&amp;"."&amp;D$30,index!$A:$A,0),MATCH($G$4,'Raw'!$1:$1,0))</f>
        <v>-3.4566631695820416E-2</v>
      </c>
      <c r="E52" s="14">
        <f>INDEX('Raw'!$1:$1048576,MATCH($B52&amp;"."&amp;$G$6&amp;"."&amp;$G$7&amp;"."&amp;$G$8&amp;"."&amp;E$30,index!$A:$A,0),MATCH($G$4,'Raw'!$1:$1,0))</f>
        <v>-0.33621839812282284</v>
      </c>
    </row>
    <row r="53" spans="2:5">
      <c r="B53" s="25">
        <v>2022</v>
      </c>
      <c r="D53" s="14">
        <f>INDEX('Raw'!$1:$1048576,MATCH($B53&amp;"."&amp;$G$6&amp;"."&amp;$G$7&amp;"."&amp;$G$8&amp;"."&amp;D$30,index!$A:$A,0),MATCH($G$4,'Raw'!$1:$1,0))</f>
        <v>-3.5446244871373267E-2</v>
      </c>
      <c r="E53" s="14">
        <f>INDEX('Raw'!$1:$1048576,MATCH($B53&amp;"."&amp;$G$6&amp;"."&amp;$G$7&amp;"."&amp;$G$8&amp;"."&amp;E$30,index!$A:$A,0),MATCH($G$4,'Raw'!$1:$1,0))</f>
        <v>-0.32629734194651316</v>
      </c>
    </row>
    <row r="54" spans="2:5">
      <c r="B54" s="25">
        <v>2023</v>
      </c>
      <c r="D54" s="14">
        <f>INDEX('Raw'!$1:$1048576,MATCH($B54&amp;"."&amp;$G$6&amp;"."&amp;$G$7&amp;"."&amp;$G$8&amp;"."&amp;D$30,index!$A:$A,0),MATCH($G$4,'Raw'!$1:$1,0))</f>
        <v>-3.6361956607711132E-2</v>
      </c>
      <c r="E54" s="14">
        <f>INDEX('Raw'!$1:$1048576,MATCH($B54&amp;"."&amp;$G$6&amp;"."&amp;$G$7&amp;"."&amp;$G$8&amp;"."&amp;E$30,index!$A:$A,0),MATCH($G$4,'Raw'!$1:$1,0))</f>
        <v>-0.31752467024374065</v>
      </c>
    </row>
    <row r="55" spans="2:5">
      <c r="B55" s="25">
        <v>2024</v>
      </c>
      <c r="D55" s="14">
        <f>INDEX('Raw'!$1:$1048576,MATCH($B55&amp;"."&amp;$G$6&amp;"."&amp;$G$7&amp;"."&amp;$G$8&amp;"."&amp;D$30,index!$A:$A,0),MATCH($G$4,'Raw'!$1:$1,0))</f>
        <v>-3.7237753305408017E-2</v>
      </c>
      <c r="E55" s="14">
        <f>INDEX('Raw'!$1:$1048576,MATCH($B55&amp;"."&amp;$G$6&amp;"."&amp;$G$7&amp;"."&amp;$G$8&amp;"."&amp;E$30,index!$A:$A,0),MATCH($G$4,'Raw'!$1:$1,0))</f>
        <v>-0.30977047665404767</v>
      </c>
    </row>
    <row r="56" spans="2:5">
      <c r="B56" s="25">
        <v>2025</v>
      </c>
      <c r="D56" s="14">
        <f>INDEX('Raw'!$1:$1048576,MATCH($B56&amp;"."&amp;$G$6&amp;"."&amp;$G$7&amp;"."&amp;$G$8&amp;"."&amp;D$30,index!$A:$A,0),MATCH($G$4,'Raw'!$1:$1,0))</f>
        <v>-3.7999046394432412E-2</v>
      </c>
      <c r="E56" s="14">
        <f>INDEX('Raw'!$1:$1048576,MATCH($B56&amp;"."&amp;$G$6&amp;"."&amp;$G$7&amp;"."&amp;$G$8&amp;"."&amp;E$30,index!$A:$A,0),MATCH($G$4,'Raw'!$1:$1,0))</f>
        <v>-0.30286935988919073</v>
      </c>
    </row>
    <row r="57" spans="2:5">
      <c r="B57" s="25">
        <v>2026</v>
      </c>
      <c r="D57" s="14">
        <f>INDEX('Raw'!$1:$1048576,MATCH($B57&amp;"."&amp;$G$6&amp;"."&amp;$G$7&amp;"."&amp;$G$8&amp;"."&amp;D$30,index!$A:$A,0),MATCH($G$4,'Raw'!$1:$1,0))</f>
        <v>-3.8580976502877729E-2</v>
      </c>
      <c r="E57" s="14">
        <f>INDEX('Raw'!$1:$1048576,MATCH($B57&amp;"."&amp;$G$6&amp;"."&amp;$G$7&amp;"."&amp;$G$8&amp;"."&amp;E$30,index!$A:$A,0),MATCH($G$4,'Raw'!$1:$1,0))</f>
        <v>-0.29664731936852595</v>
      </c>
    </row>
    <row r="58" spans="2:5">
      <c r="B58" s="25">
        <v>2027</v>
      </c>
      <c r="D58" s="14">
        <f>INDEX('Raw'!$1:$1048576,MATCH($B58&amp;"."&amp;$G$6&amp;"."&amp;$G$7&amp;"."&amp;$G$8&amp;"."&amp;D$30,index!$A:$A,0),MATCH($G$4,'Raw'!$1:$1,0))</f>
        <v>-3.8933448554245853E-2</v>
      </c>
      <c r="E58" s="14">
        <f>INDEX('Raw'!$1:$1048576,MATCH($B58&amp;"."&amp;$G$6&amp;"."&amp;$G$7&amp;"."&amp;$G$8&amp;"."&amp;E$30,index!$A:$A,0),MATCH($G$4,'Raw'!$1:$1,0))</f>
        <v>-0.29093965910255148</v>
      </c>
    </row>
    <row r="59" spans="2:5">
      <c r="B59" s="25">
        <v>2028</v>
      </c>
      <c r="D59" s="14">
        <f>INDEX('Raw'!$1:$1048576,MATCH($B59&amp;"."&amp;$G$6&amp;"."&amp;$G$7&amp;"."&amp;$G$8&amp;"."&amp;D$30,index!$A:$A,0),MATCH($G$4,'Raw'!$1:$1,0))</f>
        <v>-3.902260604177199E-2</v>
      </c>
      <c r="E59" s="14">
        <f>INDEX('Raw'!$1:$1048576,MATCH($B59&amp;"."&amp;$G$6&amp;"."&amp;$G$7&amp;"."&amp;$G$8&amp;"."&amp;E$30,index!$A:$A,0),MATCH($G$4,'Raw'!$1:$1,0))</f>
        <v>-0.28560200569274219</v>
      </c>
    </row>
    <row r="60" spans="2:5">
      <c r="B60" s="25">
        <v>2029</v>
      </c>
      <c r="D60" s="14">
        <f>INDEX('Raw'!$1:$1048576,MATCH($B60&amp;"."&amp;$G$6&amp;"."&amp;$G$7&amp;"."&amp;$G$8&amp;"."&amp;D$30,index!$A:$A,0),MATCH($G$4,'Raw'!$1:$1,0))</f>
        <v>-3.8830824050606338E-2</v>
      </c>
      <c r="E60" s="14">
        <f>INDEX('Raw'!$1:$1048576,MATCH($B60&amp;"."&amp;$G$6&amp;"."&amp;$G$7&amp;"."&amp;$G$8&amp;"."&amp;E$30,index!$A:$A,0),MATCH($G$4,'Raw'!$1:$1,0))</f>
        <v>-0.28051512833077163</v>
      </c>
    </row>
    <row r="61" spans="2:5">
      <c r="B61" s="25">
        <v>2030</v>
      </c>
      <c r="D61" s="14">
        <f>INDEX('Raw'!$1:$1048576,MATCH($B61&amp;"."&amp;$G$6&amp;"."&amp;$G$7&amp;"."&amp;$G$8&amp;"."&amp;D$30,index!$A:$A,0),MATCH($G$4,'Raw'!$1:$1,0))</f>
        <v>-3.8354621336633699E-2</v>
      </c>
      <c r="E61" s="14">
        <f>INDEX('Raw'!$1:$1048576,MATCH($B61&amp;"."&amp;$G$6&amp;"."&amp;$G$7&amp;"."&amp;$G$8&amp;"."&amp;E$30,index!$A:$A,0),MATCH($G$4,'Raw'!$1:$1,0))</f>
        <v>-0.27558609067240836</v>
      </c>
    </row>
    <row r="62" spans="2:5">
      <c r="B62" s="25">
        <v>2031</v>
      </c>
      <c r="D62" s="14">
        <f>INDEX('Raw'!$1:$1048576,MATCH($B62&amp;"."&amp;$G$6&amp;"."&amp;$G$7&amp;"."&amp;$G$8&amp;"."&amp;D$30,index!$A:$A,0),MATCH($G$4,'Raw'!$1:$1,0))</f>
        <v>-3.7602398833580519E-2</v>
      </c>
      <c r="E62" s="14">
        <f>INDEX('Raw'!$1:$1048576,MATCH($B62&amp;"."&amp;$G$6&amp;"."&amp;$G$7&amp;"."&amp;$G$8&amp;"."&amp;E$30,index!$A:$A,0),MATCH($G$4,'Raw'!$1:$1,0))</f>
        <v>-0.27074608381733034</v>
      </c>
    </row>
    <row r="63" spans="2:5">
      <c r="B63" s="25">
        <v>2032</v>
      </c>
      <c r="D63" s="14">
        <f>INDEX('Raw'!$1:$1048576,MATCH($B63&amp;"."&amp;$G$6&amp;"."&amp;$G$7&amp;"."&amp;$G$8&amp;"."&amp;D$30,index!$A:$A,0),MATCH($G$4,'Raw'!$1:$1,0))</f>
        <v>-3.6591608794633856E-2</v>
      </c>
      <c r="E63" s="14">
        <f>INDEX('Raw'!$1:$1048576,MATCH($B63&amp;"."&amp;$G$6&amp;"."&amp;$G$7&amp;"."&amp;$G$8&amp;"."&amp;E$30,index!$A:$A,0),MATCH($G$4,'Raw'!$1:$1,0))</f>
        <v>-0.26594721693361523</v>
      </c>
    </row>
    <row r="64" spans="2:5">
      <c r="B64" s="25">
        <v>2033</v>
      </c>
      <c r="D64" s="14">
        <f>INDEX('Raw'!$1:$1048576,MATCH($B64&amp;"."&amp;$G$6&amp;"."&amp;$G$7&amp;"."&amp;$G$8&amp;"."&amp;D$30,index!$A:$A,0),MATCH($G$4,'Raw'!$1:$1,0))</f>
        <v>-3.5345818053489353E-2</v>
      </c>
      <c r="E64" s="14">
        <f>INDEX('Raw'!$1:$1048576,MATCH($B64&amp;"."&amp;$G$6&amp;"."&amp;$G$7&amp;"."&amp;$G$8&amp;"."&amp;E$30,index!$A:$A,0),MATCH($G$4,'Raw'!$1:$1,0))</f>
        <v>-0.26115828779800232</v>
      </c>
    </row>
    <row r="65" spans="2:5">
      <c r="B65" s="25">
        <v>2034</v>
      </c>
      <c r="D65" s="14">
        <f>INDEX('Raw'!$1:$1048576,MATCH($B65&amp;"."&amp;$G$6&amp;"."&amp;$G$7&amp;"."&amp;$G$8&amp;"."&amp;D$30,index!$A:$A,0),MATCH($G$4,'Raw'!$1:$1,0))</f>
        <v>-3.3892505059607281E-2</v>
      </c>
      <c r="E65" s="14">
        <f>INDEX('Raw'!$1:$1048576,MATCH($B65&amp;"."&amp;$G$6&amp;"."&amp;$G$7&amp;"."&amp;$G$8&amp;"."&amp;E$30,index!$A:$A,0),MATCH($G$4,'Raw'!$1:$1,0))</f>
        <v>-0.25636086137484915</v>
      </c>
    </row>
    <row r="66" spans="2:5">
      <c r="B66" s="25">
        <v>2035</v>
      </c>
      <c r="D66" s="14">
        <f>INDEX('Raw'!$1:$1048576,MATCH($B66&amp;"."&amp;$G$6&amp;"."&amp;$G$7&amp;"."&amp;$G$8&amp;"."&amp;D$30,index!$A:$A,0),MATCH($G$4,'Raw'!$1:$1,0))</f>
        <v>-3.2260951001550353E-2</v>
      </c>
      <c r="E66" s="14">
        <f>INDEX('Raw'!$1:$1048576,MATCH($B66&amp;"."&amp;$G$6&amp;"."&amp;$G$7&amp;"."&amp;$G$8&amp;"."&amp;E$30,index!$A:$A,0),MATCH($G$4,'Raw'!$1:$1,0))</f>
        <v>-0.25154554181553435</v>
      </c>
    </row>
    <row r="67" spans="2:5">
      <c r="B67" s="25">
        <v>2036</v>
      </c>
      <c r="D67" s="14">
        <f>INDEX('Raw'!$1:$1048576,MATCH($B67&amp;"."&amp;$G$6&amp;"."&amp;$G$7&amp;"."&amp;$G$8&amp;"."&amp;D$30,index!$A:$A,0),MATCH($G$4,'Raw'!$1:$1,0))</f>
        <v>-3.0480602796312262E-2</v>
      </c>
      <c r="E67" s="14">
        <f>INDEX('Raw'!$1:$1048576,MATCH($B67&amp;"."&amp;$G$6&amp;"."&amp;$G$7&amp;"."&amp;$G$8&amp;"."&amp;E$30,index!$A:$A,0),MATCH($G$4,'Raw'!$1:$1,0))</f>
        <v>-0.24670916249092123</v>
      </c>
    </row>
    <row r="68" spans="2:5">
      <c r="B68" s="25">
        <v>2037</v>
      </c>
      <c r="D68" s="14">
        <f>INDEX('Raw'!$1:$1048576,MATCH($B68&amp;"."&amp;$G$6&amp;"."&amp;$G$7&amp;"."&amp;$G$8&amp;"."&amp;D$30,index!$A:$A,0),MATCH($G$4,'Raw'!$1:$1,0))</f>
        <v>-2.8579957092933483E-2</v>
      </c>
      <c r="E68" s="14">
        <f>INDEX('Raw'!$1:$1048576,MATCH($B68&amp;"."&amp;$G$6&amp;"."&amp;$G$7&amp;"."&amp;$G$8&amp;"."&amp;E$30,index!$A:$A,0),MATCH($G$4,'Raw'!$1:$1,0))</f>
        <v>-0.24185233058410249</v>
      </c>
    </row>
    <row r="69" spans="2:5">
      <c r="B69" s="25">
        <v>2038</v>
      </c>
      <c r="D69" s="14">
        <f>INDEX('Raw'!$1:$1048576,MATCH($B69&amp;"."&amp;$G$6&amp;"."&amp;$G$7&amp;"."&amp;$G$8&amp;"."&amp;D$30,index!$A:$A,0),MATCH($G$4,'Raw'!$1:$1,0))</f>
        <v>-2.658583456554009E-2</v>
      </c>
      <c r="E69" s="14">
        <f>INDEX('Raw'!$1:$1048576,MATCH($B69&amp;"."&amp;$G$6&amp;"."&amp;$G$7&amp;"."&amp;$G$8&amp;"."&amp;E$30,index!$A:$A,0),MATCH($G$4,'Raw'!$1:$1,0))</f>
        <v>-0.23697787375458468</v>
      </c>
    </row>
    <row r="70" spans="2:5">
      <c r="B70" s="25">
        <v>2039</v>
      </c>
      <c r="D70" s="14">
        <f>INDEX('Raw'!$1:$1048576,MATCH($B70&amp;"."&amp;$G$6&amp;"."&amp;$G$7&amp;"."&amp;$G$8&amp;"."&amp;D$30,index!$A:$A,0),MATCH($G$4,'Raw'!$1:$1,0))</f>
        <v>-2.4522834926554715E-2</v>
      </c>
      <c r="E70" s="14">
        <f>INDEX('Raw'!$1:$1048576,MATCH($B70&amp;"."&amp;$G$6&amp;"."&amp;$G$7&amp;"."&amp;$G$8&amp;"."&amp;E$30,index!$A:$A,0),MATCH($G$4,'Raw'!$1:$1,0))</f>
        <v>-0.23208977732850355</v>
      </c>
    </row>
    <row r="71" spans="2:5">
      <c r="B71" s="25">
        <v>2040</v>
      </c>
      <c r="D71" s="14">
        <f>INDEX('Raw'!$1:$1048576,MATCH($B71&amp;"."&amp;$G$6&amp;"."&amp;$G$7&amp;"."&amp;$G$8&amp;"."&amp;D$30,index!$A:$A,0),MATCH($G$4,'Raw'!$1:$1,0))</f>
        <v>-2.2413207874327767E-2</v>
      </c>
      <c r="E71" s="14">
        <f>INDEX('Raw'!$1:$1048576,MATCH($B71&amp;"."&amp;$G$6&amp;"."&amp;$G$7&amp;"."&amp;$G$8&amp;"."&amp;E$30,index!$A:$A,0),MATCH($G$4,'Raw'!$1:$1,0))</f>
        <v>-0.22719255713691267</v>
      </c>
    </row>
    <row r="72" spans="2:5">
      <c r="B72" s="25">
        <v>2041</v>
      </c>
      <c r="D72" s="14">
        <f>INDEX('Raw'!$1:$1048576,MATCH($B72&amp;"."&amp;$G$6&amp;"."&amp;$G$7&amp;"."&amp;$G$8&amp;"."&amp;D$30,index!$A:$A,0),MATCH($G$4,'Raw'!$1:$1,0))</f>
        <v>-2.0276680278341619E-2</v>
      </c>
      <c r="E72" s="14">
        <f>INDEX('Raw'!$1:$1048576,MATCH($B72&amp;"."&amp;$G$6&amp;"."&amp;$G$7&amp;"."&amp;$G$8&amp;"."&amp;E$30,index!$A:$A,0),MATCH($G$4,'Raw'!$1:$1,0))</f>
        <v>-0.22229099250473672</v>
      </c>
    </row>
    <row r="73" spans="2:5">
      <c r="B73" s="25">
        <v>2042</v>
      </c>
      <c r="D73" s="14">
        <f>INDEX('Raw'!$1:$1048576,MATCH($B73&amp;"."&amp;$G$6&amp;"."&amp;$G$7&amp;"."&amp;$G$8&amp;"."&amp;D$30,index!$A:$A,0),MATCH($G$4,'Raw'!$1:$1,0))</f>
        <v>-1.8130779612124392E-2</v>
      </c>
      <c r="E73" s="14">
        <f>INDEX('Raw'!$1:$1048576,MATCH($B73&amp;"."&amp;$G$6&amp;"."&amp;$G$7&amp;"."&amp;$G$8&amp;"."&amp;E$30,index!$A:$A,0),MATCH($G$4,'Raw'!$1:$1,0))</f>
        <v>-0.2173899765729459</v>
      </c>
    </row>
    <row r="74" spans="2:5">
      <c r="B74" s="25">
        <v>2043</v>
      </c>
      <c r="D74" s="14">
        <f>INDEX('Raw'!$1:$1048576,MATCH($B74&amp;"."&amp;$G$6&amp;"."&amp;$G$7&amp;"."&amp;$G$8&amp;"."&amp;D$30,index!$A:$A,0),MATCH($G$4,'Raw'!$1:$1,0))</f>
        <v>-1.5990695738399285E-2</v>
      </c>
      <c r="E74" s="14">
        <f>INDEX('Raw'!$1:$1048576,MATCH($B74&amp;"."&amp;$G$6&amp;"."&amp;$G$7&amp;"."&amp;$G$8&amp;"."&amp;E$30,index!$A:$A,0),MATCH($G$4,'Raw'!$1:$1,0))</f>
        <v>-0.21249449026840006</v>
      </c>
    </row>
    <row r="75" spans="2:5">
      <c r="B75" s="25">
        <v>2044</v>
      </c>
      <c r="D75" s="14">
        <f>INDEX('Raw'!$1:$1048576,MATCH($B75&amp;"."&amp;$G$6&amp;"."&amp;$G$7&amp;"."&amp;$G$8&amp;"."&amp;D$30,index!$A:$A,0),MATCH($G$4,'Raw'!$1:$1,0))</f>
        <v>-1.3869680530187445E-2</v>
      </c>
      <c r="E75" s="14">
        <f>INDEX('Raw'!$1:$1048576,MATCH($B75&amp;"."&amp;$G$6&amp;"."&amp;$G$7&amp;"."&amp;$G$8&amp;"."&amp;E$30,index!$A:$A,0),MATCH($G$4,'Raw'!$1:$1,0))</f>
        <v>-0.20760983401336697</v>
      </c>
    </row>
    <row r="76" spans="2:5">
      <c r="B76" s="25">
        <v>2045</v>
      </c>
      <c r="D76" s="14">
        <f>INDEX('Raw'!$1:$1048576,MATCH($B76&amp;"."&amp;$G$6&amp;"."&amp;$G$7&amp;"."&amp;$G$8&amp;"."&amp;D$30,index!$A:$A,0),MATCH($G$4,'Raw'!$1:$1,0))</f>
        <v>-1.1779202411177359E-2</v>
      </c>
      <c r="E76" s="14">
        <f>INDEX('Raw'!$1:$1048576,MATCH($B76&amp;"."&amp;$G$6&amp;"."&amp;$G$7&amp;"."&amp;$G$8&amp;"."&amp;E$30,index!$A:$A,0),MATCH($G$4,'Raw'!$1:$1,0))</f>
        <v>-0.20274143433781644</v>
      </c>
    </row>
    <row r="77" spans="2:5">
      <c r="B77" s="25">
        <v>2046</v>
      </c>
      <c r="D77" s="14">
        <f>INDEX('Raw'!$1:$1048576,MATCH($B77&amp;"."&amp;$G$6&amp;"."&amp;$G$7&amp;"."&amp;$G$8&amp;"."&amp;D$30,index!$A:$A,0),MATCH($G$4,'Raw'!$1:$1,0))</f>
        <v>-9.7291121399112335E-3</v>
      </c>
      <c r="E77" s="14">
        <f>INDEX('Raw'!$1:$1048576,MATCH($B77&amp;"."&amp;$G$6&amp;"."&amp;$G$7&amp;"."&amp;$G$8&amp;"."&amp;E$30,index!$A:$A,0),MATCH($G$4,'Raw'!$1:$1,0))</f>
        <v>-0.19789501850673297</v>
      </c>
    </row>
    <row r="78" spans="2:5">
      <c r="B78" s="25">
        <v>2047</v>
      </c>
      <c r="D78" s="14">
        <f>INDEX('Raw'!$1:$1048576,MATCH($B78&amp;"."&amp;$G$6&amp;"."&amp;$G$7&amp;"."&amp;$G$8&amp;"."&amp;D$30,index!$A:$A,0),MATCH($G$4,'Raw'!$1:$1,0))</f>
        <v>-7.7278577344186417E-3</v>
      </c>
      <c r="E78" s="14">
        <f>INDEX('Raw'!$1:$1048576,MATCH($B78&amp;"."&amp;$G$6&amp;"."&amp;$G$7&amp;"."&amp;$G$8&amp;"."&amp;E$30,index!$A:$A,0),MATCH($G$4,'Raw'!$1:$1,0))</f>
        <v>-0.19307662681983251</v>
      </c>
    </row>
    <row r="79" spans="2:5">
      <c r="B79" s="25">
        <v>2048</v>
      </c>
      <c r="D79" s="14">
        <f>INDEX('Raw'!$1:$1048576,MATCH($B79&amp;"."&amp;$G$6&amp;"."&amp;$G$7&amp;"."&amp;$G$8&amp;"."&amp;D$30,index!$A:$A,0),MATCH($G$4,'Raw'!$1:$1,0))</f>
        <v>-5.7826620152967578E-3</v>
      </c>
      <c r="E79" s="14">
        <f>INDEX('Raw'!$1:$1048576,MATCH($B79&amp;"."&amp;$G$6&amp;"."&amp;$G$7&amp;"."&amp;$G$8&amp;"."&amp;E$30,index!$A:$A,0),MATCH($G$4,'Raw'!$1:$1,0))</f>
        <v>-0.18829238468871523</v>
      </c>
    </row>
    <row r="80" spans="2:5">
      <c r="B80" s="25">
        <v>2049</v>
      </c>
      <c r="D80" s="14">
        <f>INDEX('Raw'!$1:$1048576,MATCH($B80&amp;"."&amp;$G$6&amp;"."&amp;$G$7&amp;"."&amp;$G$8&amp;"."&amp;D$30,index!$A:$A,0),MATCH($G$4,'Raw'!$1:$1,0))</f>
        <v>-3.8996278929337436E-3</v>
      </c>
      <c r="E80" s="14">
        <f>INDEX('Raw'!$1:$1048576,MATCH($B80&amp;"."&amp;$G$6&amp;"."&amp;$G$7&amp;"."&amp;$G$8&amp;"."&amp;E$30,index!$A:$A,0),MATCH($G$4,'Raw'!$1:$1,0))</f>
        <v>-0.18354862686500439</v>
      </c>
    </row>
    <row r="81" spans="2:5">
      <c r="B81" s="25">
        <v>2050</v>
      </c>
      <c r="D81" s="14">
        <f>INDEX('Raw'!$1:$1048576,MATCH($B81&amp;"."&amp;$G$6&amp;"."&amp;$G$7&amp;"."&amp;$G$8&amp;"."&amp;D$30,index!$A:$A,0),MATCH($G$4,'Raw'!$1:$1,0))</f>
        <v>-2.0839506793324247E-3</v>
      </c>
      <c r="E81" s="14">
        <f>INDEX('Raw'!$1:$1048576,MATCH($B81&amp;"."&amp;$G$6&amp;"."&amp;$G$7&amp;"."&amp;$G$8&amp;"."&amp;E$30,index!$A:$A,0),MATCH($G$4,'Raw'!$1:$1,0))</f>
        <v>-0.17885162719704084</v>
      </c>
    </row>
  </sheetData>
  <mergeCells count="11">
    <mergeCell ref="B29:C29"/>
    <mergeCell ref="B30:C30"/>
    <mergeCell ref="B2:H2"/>
    <mergeCell ref="B4:C4"/>
    <mergeCell ref="B6:C6"/>
    <mergeCell ref="B7:C7"/>
    <mergeCell ref="B8:C8"/>
    <mergeCell ref="D4:F4"/>
    <mergeCell ref="D6:F6"/>
    <mergeCell ref="D7:F7"/>
    <mergeCell ref="D8:F8"/>
  </mergeCells>
  <dataValidations count="1">
    <dataValidation type="list" allowBlank="1" showInputMessage="1" showErrorMessage="1" sqref="D4" xr:uid="{00000000-0002-0000-0700-000000000000}">
      <formula1>Output_variable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Lists!$G$1:$G$2</xm:f>
          </x14:formula1>
          <xm:sqref>D8</xm:sqref>
        </x14:dataValidation>
        <x14:dataValidation type="list" allowBlank="1" showInputMessage="1" showErrorMessage="1" xr:uid="{00000000-0002-0000-0700-000002000000}">
          <x14:formula1>
            <xm:f>Lists!$E$1:$E$3</xm:f>
          </x14:formula1>
          <xm:sqref>D7</xm:sqref>
        </x14:dataValidation>
        <x14:dataValidation type="list" allowBlank="1" showInputMessage="1" showErrorMessage="1" xr:uid="{00000000-0002-0000-0700-000003000000}">
          <x14:formula1>
            <xm:f>Lists!$C$1:$C$2</xm:f>
          </x14:formula1>
          <xm:sqref>D6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59"/>
  <sheetViews>
    <sheetView workbookViewId="0">
      <selection activeCell="F22" sqref="F22"/>
    </sheetView>
  </sheetViews>
  <sheetFormatPr baseColWidth="10" defaultColWidth="11.453125" defaultRowHeight="14.5"/>
  <cols>
    <col min="1" max="1" width="26.54296875" bestFit="1" customWidth="1"/>
    <col min="2" max="2" width="21.1796875" bestFit="1" customWidth="1"/>
    <col min="3" max="4" width="12.54296875" customWidth="1"/>
    <col min="5" max="5" width="12.54296875" bestFit="1" customWidth="1"/>
    <col min="6" max="6" width="34.81640625" bestFit="1" customWidth="1"/>
    <col min="7" max="7" width="35.54296875" bestFit="1" customWidth="1"/>
    <col min="8" max="22" width="12.54296875" bestFit="1" customWidth="1"/>
    <col min="23" max="23" width="11.54296875" bestFit="1" customWidth="1"/>
    <col min="24" max="31" width="12.54296875" bestFit="1" customWidth="1"/>
    <col min="32" max="32" width="11.54296875" bestFit="1" customWidth="1"/>
    <col min="33" max="37" width="12.54296875" bestFit="1" customWidth="1"/>
    <col min="38" max="38" width="11.54296875" bestFit="1" customWidth="1"/>
    <col min="39" max="44" width="12.54296875" bestFit="1" customWidth="1"/>
    <col min="45" max="45" width="11.54296875" bestFit="1" customWidth="1"/>
    <col min="46" max="55" width="12.54296875" bestFit="1" customWidth="1"/>
    <col min="56" max="56" width="11.54296875" bestFit="1" customWidth="1"/>
    <col min="57" max="76" width="12.54296875" bestFit="1" customWidth="1"/>
    <col min="77" max="78" width="11.54296875" bestFit="1" customWidth="1"/>
    <col min="79" max="94" width="12.54296875" bestFit="1" customWidth="1"/>
    <col min="95" max="95" width="11.54296875" bestFit="1" customWidth="1"/>
    <col min="96" max="101" width="12.54296875" bestFit="1" customWidth="1"/>
    <col min="102" max="103" width="11.54296875" bestFit="1" customWidth="1"/>
    <col min="104" max="137" width="12.54296875" bestFit="1" customWidth="1"/>
    <col min="138" max="138" width="11.54296875" bestFit="1" customWidth="1"/>
    <col min="139" max="140" width="12.54296875" bestFit="1" customWidth="1"/>
    <col min="141" max="141" width="11.54296875" bestFit="1" customWidth="1"/>
    <col min="142" max="149" width="12.54296875" bestFit="1" customWidth="1"/>
    <col min="150" max="150" width="11.54296875" bestFit="1" customWidth="1"/>
    <col min="151" max="156" width="12.54296875" bestFit="1" customWidth="1"/>
    <col min="157" max="157" width="11.54296875" bestFit="1" customWidth="1"/>
    <col min="158" max="184" width="12.54296875" bestFit="1" customWidth="1"/>
    <col min="185" max="185" width="11.54296875" bestFit="1" customWidth="1"/>
    <col min="186" max="189" width="12.54296875" bestFit="1" customWidth="1"/>
    <col min="190" max="190" width="10.54296875" bestFit="1" customWidth="1"/>
    <col min="191" max="193" width="12.54296875" bestFit="1" customWidth="1"/>
    <col min="194" max="194" width="11.54296875" bestFit="1" customWidth="1"/>
    <col min="195" max="196" width="12.54296875" bestFit="1" customWidth="1"/>
    <col min="197" max="197" width="11.54296875" bestFit="1" customWidth="1"/>
    <col min="198" max="211" width="12.54296875" bestFit="1" customWidth="1"/>
    <col min="212" max="212" width="11.54296875" bestFit="1" customWidth="1"/>
    <col min="213" max="219" width="12.54296875" bestFit="1" customWidth="1"/>
    <col min="220" max="220" width="2" bestFit="1" customWidth="1"/>
    <col min="221" max="244" width="12" bestFit="1" customWidth="1"/>
    <col min="245" max="246" width="11" bestFit="1" customWidth="1"/>
    <col min="247" max="249" width="12" bestFit="1" customWidth="1"/>
    <col min="250" max="250" width="11" bestFit="1" customWidth="1"/>
    <col min="251" max="255" width="12" bestFit="1" customWidth="1"/>
    <col min="256" max="256" width="11" bestFit="1" customWidth="1"/>
    <col min="257" max="280" width="12" bestFit="1" customWidth="1"/>
    <col min="281" max="281" width="11" bestFit="1" customWidth="1"/>
    <col min="282" max="291" width="12" bestFit="1" customWidth="1"/>
    <col min="292" max="292" width="11" bestFit="1" customWidth="1"/>
    <col min="293" max="297" width="12" bestFit="1" customWidth="1"/>
    <col min="298" max="298" width="11" bestFit="1" customWidth="1"/>
    <col min="299" max="329" width="12" bestFit="1" customWidth="1"/>
    <col min="330" max="330" width="11" bestFit="1" customWidth="1"/>
    <col min="331" max="342" width="12" bestFit="1" customWidth="1"/>
    <col min="343" max="343" width="11" bestFit="1" customWidth="1"/>
    <col min="344" max="357" width="12" bestFit="1" customWidth="1"/>
    <col min="358" max="358" width="11" bestFit="1" customWidth="1"/>
    <col min="359" max="362" width="12" bestFit="1" customWidth="1"/>
    <col min="363" max="363" width="11" bestFit="1" customWidth="1"/>
    <col min="364" max="374" width="12" bestFit="1" customWidth="1"/>
    <col min="375" max="375" width="11" bestFit="1" customWidth="1"/>
    <col min="376" max="379" width="12" bestFit="1" customWidth="1"/>
    <col min="380" max="380" width="11" bestFit="1" customWidth="1"/>
    <col min="381" max="381" width="12" bestFit="1" customWidth="1"/>
    <col min="382" max="382" width="11" bestFit="1" customWidth="1"/>
    <col min="383" max="383" width="12" bestFit="1" customWidth="1"/>
    <col min="384" max="384" width="11" bestFit="1" customWidth="1"/>
    <col min="385" max="394" width="12" bestFit="1" customWidth="1"/>
    <col min="395" max="395" width="11" bestFit="1" customWidth="1"/>
    <col min="396" max="402" width="12" bestFit="1" customWidth="1"/>
    <col min="403" max="403" width="12.453125" bestFit="1" customWidth="1"/>
  </cols>
  <sheetData>
    <row r="2" spans="1:3">
      <c r="A2" s="16" t="s">
        <v>1</v>
      </c>
      <c r="B2" s="17">
        <v>1</v>
      </c>
    </row>
    <row r="3" spans="1:3">
      <c r="A3" s="16" t="s">
        <v>2</v>
      </c>
      <c r="B3" s="17">
        <v>2</v>
      </c>
    </row>
    <row r="4" spans="1:3">
      <c r="A4" s="16" t="s">
        <v>4</v>
      </c>
      <c r="B4" s="17">
        <v>0</v>
      </c>
    </row>
    <row r="6" spans="1:3">
      <c r="A6" s="16" t="s">
        <v>122</v>
      </c>
      <c r="B6" s="16" t="s">
        <v>68</v>
      </c>
    </row>
    <row r="7" spans="1:3">
      <c r="A7" s="16" t="s">
        <v>70</v>
      </c>
      <c r="B7">
        <v>0</v>
      </c>
      <c r="C7">
        <v>1</v>
      </c>
    </row>
    <row r="8" spans="1:3">
      <c r="A8" s="17" t="s">
        <v>71</v>
      </c>
      <c r="B8">
        <v>0</v>
      </c>
      <c r="C8">
        <v>0</v>
      </c>
    </row>
    <row r="9" spans="1:3">
      <c r="A9" s="17" t="s">
        <v>72</v>
      </c>
      <c r="B9">
        <v>2.4940653908456234E-2</v>
      </c>
      <c r="C9">
        <v>0.24649600577715258</v>
      </c>
    </row>
    <row r="10" spans="1:3">
      <c r="A10" s="17" t="s">
        <v>73</v>
      </c>
      <c r="B10">
        <v>5.2637090282980914E-2</v>
      </c>
      <c r="C10">
        <v>0.47483617080570362</v>
      </c>
    </row>
    <row r="11" spans="1:3">
      <c r="A11" s="17" t="s">
        <v>74</v>
      </c>
      <c r="B11">
        <v>6.9067087380680903E-2</v>
      </c>
      <c r="C11">
        <v>0.65273231958657973</v>
      </c>
    </row>
    <row r="12" spans="1:3">
      <c r="A12" s="17" t="s">
        <v>75</v>
      </c>
      <c r="B12">
        <v>6.9123258945236188E-2</v>
      </c>
      <c r="C12">
        <v>0.78238068387534998</v>
      </c>
    </row>
    <row r="13" spans="1:3">
      <c r="A13" s="17" t="s">
        <v>76</v>
      </c>
      <c r="B13">
        <v>5.5385803611374129E-2</v>
      </c>
      <c r="C13">
        <v>0.8741192049338764</v>
      </c>
    </row>
    <row r="14" spans="1:3">
      <c r="A14" s="17" t="s">
        <v>77</v>
      </c>
      <c r="B14">
        <v>3.3476435259505166E-2</v>
      </c>
      <c r="C14">
        <v>0.93815375784360722</v>
      </c>
    </row>
    <row r="15" spans="1:3">
      <c r="A15" s="17" t="s">
        <v>78</v>
      </c>
      <c r="B15">
        <v>8.9214268721660162E-3</v>
      </c>
      <c r="C15">
        <v>0.98197635144985362</v>
      </c>
    </row>
    <row r="16" spans="1:3">
      <c r="A16" s="17" t="s">
        <v>79</v>
      </c>
      <c r="B16">
        <v>-1.4206741190947447E-2</v>
      </c>
      <c r="C16">
        <v>1.0103613606065709</v>
      </c>
    </row>
    <row r="17" spans="1:3">
      <c r="A17" s="17" t="s">
        <v>80</v>
      </c>
      <c r="B17">
        <v>-3.3558548800738386E-2</v>
      </c>
      <c r="C17">
        <v>1.0262021614715566</v>
      </c>
    </row>
    <row r="18" spans="1:3">
      <c r="A18" s="17" t="s">
        <v>81</v>
      </c>
      <c r="B18">
        <v>-4.8262496928086485E-2</v>
      </c>
      <c r="C18">
        <v>1.0313415606533205</v>
      </c>
    </row>
    <row r="19" spans="1:3">
      <c r="A19" s="17" t="s">
        <v>82</v>
      </c>
      <c r="B19">
        <v>-5.8498553206676185E-2</v>
      </c>
      <c r="C19">
        <v>1.0271289832471497</v>
      </c>
    </row>
    <row r="20" spans="1:3">
      <c r="A20" s="17" t="s">
        <v>83</v>
      </c>
      <c r="B20">
        <v>-6.5061850239100938E-2</v>
      </c>
      <c r="C20">
        <v>1.0147128393235061</v>
      </c>
    </row>
    <row r="21" spans="1:3">
      <c r="A21" s="17" t="s">
        <v>84</v>
      </c>
      <c r="B21">
        <v>-6.8996531066312095E-2</v>
      </c>
      <c r="C21">
        <v>0.99515923981416954</v>
      </c>
    </row>
    <row r="22" spans="1:3">
      <c r="A22" s="17" t="s">
        <v>85</v>
      </c>
      <c r="B22">
        <v>-7.1331612082381479E-2</v>
      </c>
      <c r="C22">
        <v>0.96948265888441298</v>
      </c>
    </row>
    <row r="23" spans="1:3">
      <c r="A23" s="17" t="s">
        <v>86</v>
      </c>
      <c r="B23">
        <v>-7.2919916767755222E-2</v>
      </c>
      <c r="C23">
        <v>0.93864453653709212</v>
      </c>
    </row>
    <row r="24" spans="1:3">
      <c r="A24" s="17" t="s">
        <v>87</v>
      </c>
      <c r="B24">
        <v>-7.4367013938780868E-2</v>
      </c>
      <c r="C24">
        <v>0.90354673901957838</v>
      </c>
    </row>
    <row r="25" spans="1:3">
      <c r="A25" s="17" t="s">
        <v>88</v>
      </c>
      <c r="B25">
        <v>-7.6025549617964039E-2</v>
      </c>
      <c r="C25">
        <v>0.86502881587036118</v>
      </c>
    </row>
    <row r="26" spans="1:3">
      <c r="A26" s="17" t="s">
        <v>89</v>
      </c>
      <c r="B26">
        <v>-7.8032359233715098E-2</v>
      </c>
      <c r="C26">
        <v>0.82386833299574747</v>
      </c>
    </row>
    <row r="27" spans="1:3">
      <c r="A27" s="17" t="s">
        <v>90</v>
      </c>
      <c r="B27">
        <v>-8.0364663749477039E-2</v>
      </c>
      <c r="C27">
        <v>0.78078209242060659</v>
      </c>
    </row>
    <row r="28" spans="1:3">
      <c r="A28" s="17" t="s">
        <v>91</v>
      </c>
      <c r="B28">
        <v>-8.290107503358124E-2</v>
      </c>
      <c r="C28">
        <v>0.73642501884916278</v>
      </c>
    </row>
    <row r="29" spans="1:3">
      <c r="A29" s="17" t="s">
        <v>92</v>
      </c>
      <c r="B29">
        <v>-8.5474824603337662E-2</v>
      </c>
      <c r="C29">
        <v>0.69138669489348104</v>
      </c>
    </row>
    <row r="30" spans="1:3">
      <c r="A30" s="17" t="s">
        <v>93</v>
      </c>
      <c r="B30">
        <v>-8.7915206568855986E-2</v>
      </c>
      <c r="C30">
        <v>0.64618573398758095</v>
      </c>
    </row>
    <row r="31" spans="1:3">
      <c r="A31" s="17" t="s">
        <v>94</v>
      </c>
      <c r="B31">
        <v>-9.0074777312243448E-2</v>
      </c>
      <c r="C31">
        <v>0.60126522968364515</v>
      </c>
    </row>
    <row r="32" spans="1:3">
      <c r="A32" s="17" t="s">
        <v>95</v>
      </c>
      <c r="B32">
        <v>-9.1844112487060592E-2</v>
      </c>
      <c r="C32">
        <v>0.5569898368134929</v>
      </c>
    </row>
    <row r="33" spans="1:3">
      <c r="A33" s="17" t="s">
        <v>96</v>
      </c>
      <c r="B33">
        <v>-9.3156238915326206E-2</v>
      </c>
      <c r="C33">
        <v>0.51364810119456372</v>
      </c>
    </row>
    <row r="34" spans="1:3">
      <c r="A34" s="17" t="s">
        <v>97</v>
      </c>
      <c r="B34">
        <v>-9.3983748166392989E-2</v>
      </c>
      <c r="C34">
        <v>0.47145928891971778</v>
      </c>
    </row>
    <row r="35" spans="1:3">
      <c r="A35" s="17" t="s">
        <v>98</v>
      </c>
      <c r="B35">
        <v>-9.4331543490611125E-2</v>
      </c>
      <c r="C35">
        <v>0.43058559331727864</v>
      </c>
    </row>
    <row r="36" spans="1:3">
      <c r="A36" s="17" t="s">
        <v>99</v>
      </c>
      <c r="B36">
        <v>-9.4227796985479895E-2</v>
      </c>
      <c r="C36">
        <v>0.39114695750563921</v>
      </c>
    </row>
    <row r="37" spans="1:3">
      <c r="A37" s="17" t="s">
        <v>100</v>
      </c>
      <c r="B37">
        <v>-9.3714903071995259E-2</v>
      </c>
      <c r="C37">
        <v>0.35323735595589323</v>
      </c>
    </row>
    <row r="38" spans="1:3">
      <c r="A38" s="17" t="s">
        <v>101</v>
      </c>
      <c r="B38">
        <v>-9.2841614542271689E-2</v>
      </c>
      <c r="C38">
        <v>0.31693945250814703</v>
      </c>
    </row>
    <row r="39" spans="1:3">
      <c r="A39" s="17" t="s">
        <v>102</v>
      </c>
      <c r="B39">
        <v>-9.1657201726358384E-2</v>
      </c>
      <c r="C39">
        <v>0.28233512374646885</v>
      </c>
    </row>
    <row r="40" spans="1:3">
      <c r="A40" s="17" t="s">
        <v>103</v>
      </c>
      <c r="B40">
        <v>-9.0207507961925781E-2</v>
      </c>
      <c r="C40">
        <v>0.24951102691264104</v>
      </c>
    </row>
    <row r="41" spans="1:3">
      <c r="A41" s="17" t="s">
        <v>104</v>
      </c>
      <c r="B41">
        <v>-8.8533246564947987E-2</v>
      </c>
      <c r="C41">
        <v>0.21855810202695558</v>
      </c>
    </row>
    <row r="42" spans="1:3">
      <c r="A42" s="17" t="s">
        <v>105</v>
      </c>
      <c r="B42">
        <v>-8.6669722982868347E-2</v>
      </c>
      <c r="C42">
        <v>0.18956578620796805</v>
      </c>
    </row>
    <row r="43" spans="1:3">
      <c r="A43" s="17" t="s">
        <v>106</v>
      </c>
      <c r="B43">
        <v>-8.4647407419236043E-2</v>
      </c>
      <c r="C43">
        <v>0.16261238595076666</v>
      </c>
    </row>
    <row r="44" spans="1:3">
      <c r="A44" s="17" t="s">
        <v>107</v>
      </c>
      <c r="B44">
        <v>-8.2493286552753897E-2</v>
      </c>
      <c r="C44">
        <v>0.13775360112802115</v>
      </c>
    </row>
    <row r="45" spans="1:3">
      <c r="A45" s="17" t="s">
        <v>108</v>
      </c>
      <c r="B45">
        <v>-8.0232030897009476E-2</v>
      </c>
      <c r="C45">
        <v>0.11501154290800564</v>
      </c>
    </row>
    <row r="46" spans="1:3">
      <c r="A46" s="17" t="s">
        <v>109</v>
      </c>
      <c r="B46">
        <v>-7.7887091602302227E-2</v>
      </c>
      <c r="C46">
        <v>9.4366184961747201E-2</v>
      </c>
    </row>
    <row r="47" spans="1:3">
      <c r="A47" s="17" t="s">
        <v>110</v>
      </c>
      <c r="B47">
        <v>-7.5481194670923291E-2</v>
      </c>
      <c r="C47">
        <v>7.575080645927379E-2</v>
      </c>
    </row>
    <row r="48" spans="1:3">
      <c r="A48" s="17" t="s">
        <v>111</v>
      </c>
      <c r="B48">
        <v>-7.3036539135606926E-2</v>
      </c>
      <c r="C48">
        <v>5.9051934956255714E-2</v>
      </c>
    </row>
    <row r="49" spans="1:3">
      <c r="A49" s="17" t="s">
        <v>112</v>
      </c>
      <c r="B49">
        <v>-7.0574468317929906E-2</v>
      </c>
      <c r="C49">
        <v>4.4114040072984473E-2</v>
      </c>
    </row>
    <row r="50" spans="1:3">
      <c r="A50" s="17" t="s">
        <v>113</v>
      </c>
      <c r="B50">
        <v>-6.8114903788296655E-2</v>
      </c>
      <c r="C50">
        <v>3.074785774022093E-2</v>
      </c>
    </row>
    <row r="51" spans="1:3">
      <c r="A51" s="17" t="s">
        <v>114</v>
      </c>
      <c r="B51">
        <v>-6.5675895821148966E-2</v>
      </c>
      <c r="C51">
        <v>1.8741554839718511E-2</v>
      </c>
    </row>
    <row r="52" spans="1:3">
      <c r="A52" s="17" t="s">
        <v>115</v>
      </c>
      <c r="B52">
        <v>-6.3272708807560196E-2</v>
      </c>
      <c r="C52">
        <v>7.8729931884957693E-3</v>
      </c>
    </row>
    <row r="53" spans="1:3">
      <c r="A53" s="17" t="s">
        <v>116</v>
      </c>
      <c r="B53">
        <v>-6.0917617747757724E-2</v>
      </c>
      <c r="C53">
        <v>-2.0780265277409171E-3</v>
      </c>
    </row>
    <row r="54" spans="1:3">
      <c r="A54" s="17" t="s">
        <v>117</v>
      </c>
      <c r="B54">
        <v>-5.8619495587530768E-2</v>
      </c>
      <c r="C54">
        <v>-1.1318784926672709E-2</v>
      </c>
    </row>
    <row r="55" spans="1:3">
      <c r="A55" s="17" t="s">
        <v>118</v>
      </c>
      <c r="B55">
        <v>-5.6383814177507485E-2</v>
      </c>
      <c r="C55">
        <v>-2.0034895335019343E-2</v>
      </c>
    </row>
    <row r="56" spans="1:3">
      <c r="A56" s="17" t="s">
        <v>119</v>
      </c>
      <c r="B56">
        <v>-5.4212946227827352E-2</v>
      </c>
      <c r="C56">
        <v>-2.8383869701065212E-2</v>
      </c>
    </row>
    <row r="57" spans="1:3">
      <c r="A57" s="17" t="s">
        <v>120</v>
      </c>
      <c r="B57">
        <v>-5.2106292117493069E-2</v>
      </c>
      <c r="C57">
        <v>-3.6491700700547192E-2</v>
      </c>
    </row>
    <row r="58" spans="1:3">
      <c r="A58" s="17" t="s">
        <v>121</v>
      </c>
      <c r="B58">
        <v>-5.0061034533033233E-2</v>
      </c>
      <c r="C58">
        <v>-4.4451594924543869E-2</v>
      </c>
    </row>
    <row r="59" spans="1:3">
      <c r="A59" s="17" t="s">
        <v>69</v>
      </c>
      <c r="B59">
        <v>-2.8593243283787095</v>
      </c>
      <c r="C59">
        <v>23.589457147728723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selection activeCell="D21" sqref="D21"/>
    </sheetView>
  </sheetViews>
  <sheetFormatPr baseColWidth="10" defaultColWidth="11.453125" defaultRowHeight="14.5"/>
  <cols>
    <col min="1" max="1" width="36" style="2" bestFit="1" customWidth="1"/>
    <col min="2" max="2" width="53.81640625" style="2" customWidth="1"/>
    <col min="3" max="3" width="33" style="2" bestFit="1" customWidth="1"/>
    <col min="4" max="4" width="11.453125" style="2"/>
    <col min="5" max="5" width="18.81640625" style="2" bestFit="1" customWidth="1"/>
    <col min="6" max="16384" width="11.453125" style="2"/>
  </cols>
  <sheetData>
    <row r="1" spans="1:10">
      <c r="A1" s="2" t="s">
        <v>140</v>
      </c>
      <c r="B1" s="2" t="s">
        <v>5</v>
      </c>
      <c r="C1" s="2" t="s">
        <v>59</v>
      </c>
      <c r="D1" s="13">
        <v>1</v>
      </c>
      <c r="E1" s="2" t="s">
        <v>65</v>
      </c>
      <c r="F1" s="13">
        <v>0</v>
      </c>
      <c r="G1" s="2" t="s">
        <v>62</v>
      </c>
      <c r="H1" s="13">
        <v>0</v>
      </c>
      <c r="I1" s="2" t="s">
        <v>63</v>
      </c>
      <c r="J1" s="13">
        <v>0</v>
      </c>
    </row>
    <row r="2" spans="1:10">
      <c r="A2" s="2" t="s">
        <v>50</v>
      </c>
      <c r="B2" s="2" t="s">
        <v>6</v>
      </c>
      <c r="C2" s="2" t="s">
        <v>60</v>
      </c>
      <c r="D2" s="13">
        <v>0</v>
      </c>
      <c r="E2" s="2" t="s">
        <v>66</v>
      </c>
      <c r="F2" s="13">
        <v>1</v>
      </c>
      <c r="G2" s="2" t="s">
        <v>61</v>
      </c>
      <c r="H2" s="13">
        <v>1</v>
      </c>
      <c r="I2" s="2" t="s">
        <v>64</v>
      </c>
      <c r="J2" s="13">
        <v>1</v>
      </c>
    </row>
    <row r="3" spans="1:10">
      <c r="A3" s="2" t="s">
        <v>28</v>
      </c>
      <c r="B3" s="2" t="s">
        <v>7</v>
      </c>
      <c r="E3" s="2" t="s">
        <v>35</v>
      </c>
      <c r="F3" s="13">
        <v>2</v>
      </c>
    </row>
    <row r="4" spans="1:10">
      <c r="A4" s="2" t="s">
        <v>36</v>
      </c>
      <c r="B4" s="2" t="s">
        <v>8</v>
      </c>
    </row>
    <row r="5" spans="1:10">
      <c r="A5" s="2" t="s">
        <v>37</v>
      </c>
      <c r="B5" s="2" t="s">
        <v>9</v>
      </c>
    </row>
    <row r="6" spans="1:10">
      <c r="A6" s="2" t="s">
        <v>38</v>
      </c>
      <c r="B6" s="2" t="s">
        <v>10</v>
      </c>
    </row>
    <row r="7" spans="1:10">
      <c r="A7" s="2" t="s">
        <v>39</v>
      </c>
      <c r="B7" s="2" t="s">
        <v>11</v>
      </c>
    </row>
    <row r="8" spans="1:10">
      <c r="A8" s="2" t="s">
        <v>40</v>
      </c>
      <c r="B8" s="2" t="s">
        <v>12</v>
      </c>
    </row>
    <row r="9" spans="1:10">
      <c r="A9" s="2" t="s">
        <v>41</v>
      </c>
      <c r="B9" s="2" t="s">
        <v>13</v>
      </c>
    </row>
    <row r="10" spans="1:10">
      <c r="A10" s="2" t="s">
        <v>42</v>
      </c>
      <c r="B10" s="2" t="s">
        <v>14</v>
      </c>
    </row>
    <row r="11" spans="1:10">
      <c r="A11" s="2" t="s">
        <v>43</v>
      </c>
      <c r="B11" s="2" t="s">
        <v>15</v>
      </c>
    </row>
    <row r="12" spans="1:10">
      <c r="A12" s="2" t="s">
        <v>44</v>
      </c>
      <c r="B12" s="2" t="s">
        <v>16</v>
      </c>
    </row>
    <row r="13" spans="1:10">
      <c r="A13" s="2" t="s">
        <v>45</v>
      </c>
      <c r="B13" s="2" t="s">
        <v>17</v>
      </c>
    </row>
    <row r="14" spans="1:10">
      <c r="A14" s="2" t="s">
        <v>46</v>
      </c>
      <c r="B14" s="2" t="s">
        <v>18</v>
      </c>
    </row>
    <row r="15" spans="1:10">
      <c r="A15" s="2" t="s">
        <v>47</v>
      </c>
      <c r="B15" s="2" t="s">
        <v>19</v>
      </c>
    </row>
    <row r="16" spans="1:10">
      <c r="A16" s="2" t="s">
        <v>48</v>
      </c>
      <c r="B16" s="2" t="s">
        <v>20</v>
      </c>
    </row>
    <row r="17" spans="1:2">
      <c r="A17" s="2" t="s">
        <v>49</v>
      </c>
      <c r="B17" s="2" t="s">
        <v>21</v>
      </c>
    </row>
    <row r="18" spans="1:2">
      <c r="A18" s="2" t="s">
        <v>51</v>
      </c>
      <c r="B18" s="2" t="s">
        <v>22</v>
      </c>
    </row>
    <row r="19" spans="1:2">
      <c r="A19" s="2" t="s">
        <v>52</v>
      </c>
      <c r="B19" s="2" t="s">
        <v>23</v>
      </c>
    </row>
    <row r="20" spans="1:2">
      <c r="A20" s="2" t="s">
        <v>53</v>
      </c>
      <c r="B20" s="2" t="s">
        <v>24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225"/>
  <sheetViews>
    <sheetView workbookViewId="0">
      <selection activeCell="A2" sqref="A2"/>
    </sheetView>
  </sheetViews>
  <sheetFormatPr baseColWidth="10" defaultColWidth="11.453125" defaultRowHeight="14.5"/>
  <sheetData>
    <row r="1" spans="1:1">
      <c r="A1" t="s">
        <v>67</v>
      </c>
    </row>
    <row r="2" spans="1:1">
      <c r="A2" t="str">
        <f t="array" ref="A2">+YEAR(raw[[#This Row],[_date_]])&amp;"."&amp;raw[[#This Row],[redis_ls]]&amp;"."&amp;raw[[#This Row],[wage_eq]]&amp;"."&amp;raw[[#This Row],[flex]]&amp;"."&amp;raw[[#This Row],[expo]]</f>
        <v>2000.1.2.1.1</v>
      </c>
    </row>
    <row r="3" spans="1:1">
      <c r="A3" t="str">
        <f t="array" ref="A3">+YEAR(raw[[#This Row],[_date_]])&amp;"."&amp;raw[[#This Row],[redis_ls]]&amp;"."&amp;raw[[#This Row],[wage_eq]]&amp;"."&amp;raw[[#This Row],[flex]]&amp;"."&amp;raw[[#This Row],[expo]]</f>
        <v>2001.1.2.1.1</v>
      </c>
    </row>
    <row r="4" spans="1:1">
      <c r="A4" t="str">
        <f t="array" ref="A4">+YEAR(raw[[#This Row],[_date_]])&amp;"."&amp;raw[[#This Row],[redis_ls]]&amp;"."&amp;raw[[#This Row],[wage_eq]]&amp;"."&amp;raw[[#This Row],[flex]]&amp;"."&amp;raw[[#This Row],[expo]]</f>
        <v>2002.1.2.1.1</v>
      </c>
    </row>
    <row r="5" spans="1:1">
      <c r="A5" t="str">
        <f t="array" ref="A5">+YEAR(raw[[#This Row],[_date_]])&amp;"."&amp;raw[[#This Row],[redis_ls]]&amp;"."&amp;raw[[#This Row],[wage_eq]]&amp;"."&amp;raw[[#This Row],[flex]]&amp;"."&amp;raw[[#This Row],[expo]]</f>
        <v>2003.1.2.1.1</v>
      </c>
    </row>
    <row r="6" spans="1:1">
      <c r="A6" t="str">
        <f t="array" ref="A6">+YEAR(raw[[#This Row],[_date_]])&amp;"."&amp;raw[[#This Row],[redis_ls]]&amp;"."&amp;raw[[#This Row],[wage_eq]]&amp;"."&amp;raw[[#This Row],[flex]]&amp;"."&amp;raw[[#This Row],[expo]]</f>
        <v>2004.1.2.1.1</v>
      </c>
    </row>
    <row r="7" spans="1:1">
      <c r="A7" t="str">
        <f t="array" ref="A7">+YEAR(raw[[#This Row],[_date_]])&amp;"."&amp;raw[[#This Row],[redis_ls]]&amp;"."&amp;raw[[#This Row],[wage_eq]]&amp;"."&amp;raw[[#This Row],[flex]]&amp;"."&amp;raw[[#This Row],[expo]]</f>
        <v>2005.1.2.1.1</v>
      </c>
    </row>
    <row r="8" spans="1:1">
      <c r="A8" t="str">
        <f t="array" ref="A8">+YEAR(raw[[#This Row],[_date_]])&amp;"."&amp;raw[[#This Row],[redis_ls]]&amp;"."&amp;raw[[#This Row],[wage_eq]]&amp;"."&amp;raw[[#This Row],[flex]]&amp;"."&amp;raw[[#This Row],[expo]]</f>
        <v>2006.1.2.1.1</v>
      </c>
    </row>
    <row r="9" spans="1:1">
      <c r="A9" t="str">
        <f t="array" ref="A9">+YEAR(raw[[#This Row],[_date_]])&amp;"."&amp;raw[[#This Row],[redis_ls]]&amp;"."&amp;raw[[#This Row],[wage_eq]]&amp;"."&amp;raw[[#This Row],[flex]]&amp;"."&amp;raw[[#This Row],[expo]]</f>
        <v>2007.1.2.1.1</v>
      </c>
    </row>
    <row r="10" spans="1:1">
      <c r="A10" t="str">
        <f t="array" ref="A10">+YEAR(raw[[#This Row],[_date_]])&amp;"."&amp;raw[[#This Row],[redis_ls]]&amp;"."&amp;raw[[#This Row],[wage_eq]]&amp;"."&amp;raw[[#This Row],[flex]]&amp;"."&amp;raw[[#This Row],[expo]]</f>
        <v>2008.1.2.1.1</v>
      </c>
    </row>
    <row r="11" spans="1:1">
      <c r="A11" t="str">
        <f t="array" ref="A11">+YEAR(raw[[#This Row],[_date_]])&amp;"."&amp;raw[[#This Row],[redis_ls]]&amp;"."&amp;raw[[#This Row],[wage_eq]]&amp;"."&amp;raw[[#This Row],[flex]]&amp;"."&amp;raw[[#This Row],[expo]]</f>
        <v>2009.1.2.1.1</v>
      </c>
    </row>
    <row r="12" spans="1:1">
      <c r="A12" t="str">
        <f t="array" ref="A12">+YEAR(raw[[#This Row],[_date_]])&amp;"."&amp;raw[[#This Row],[redis_ls]]&amp;"."&amp;raw[[#This Row],[wage_eq]]&amp;"."&amp;raw[[#This Row],[flex]]&amp;"."&amp;raw[[#This Row],[expo]]</f>
        <v>2010.1.2.1.1</v>
      </c>
    </row>
    <row r="13" spans="1:1">
      <c r="A13" t="str">
        <f t="array" ref="A13">+YEAR(raw[[#This Row],[_date_]])&amp;"."&amp;raw[[#This Row],[redis_ls]]&amp;"."&amp;raw[[#This Row],[wage_eq]]&amp;"."&amp;raw[[#This Row],[flex]]&amp;"."&amp;raw[[#This Row],[expo]]</f>
        <v>2011.1.2.1.1</v>
      </c>
    </row>
    <row r="14" spans="1:1">
      <c r="A14" t="str">
        <f t="array" ref="A14">+YEAR(raw[[#This Row],[_date_]])&amp;"."&amp;raw[[#This Row],[redis_ls]]&amp;"."&amp;raw[[#This Row],[wage_eq]]&amp;"."&amp;raw[[#This Row],[flex]]&amp;"."&amp;raw[[#This Row],[expo]]</f>
        <v>2012.1.2.1.1</v>
      </c>
    </row>
    <row r="15" spans="1:1">
      <c r="A15" t="str">
        <f t="array" ref="A15">+YEAR(raw[[#This Row],[_date_]])&amp;"."&amp;raw[[#This Row],[redis_ls]]&amp;"."&amp;raw[[#This Row],[wage_eq]]&amp;"."&amp;raw[[#This Row],[flex]]&amp;"."&amp;raw[[#This Row],[expo]]</f>
        <v>2013.1.2.1.1</v>
      </c>
    </row>
    <row r="16" spans="1:1">
      <c r="A16" t="str">
        <f t="array" ref="A16">+YEAR(raw[[#This Row],[_date_]])&amp;"."&amp;raw[[#This Row],[redis_ls]]&amp;"."&amp;raw[[#This Row],[wage_eq]]&amp;"."&amp;raw[[#This Row],[flex]]&amp;"."&amp;raw[[#This Row],[expo]]</f>
        <v>2014.1.2.1.1</v>
      </c>
    </row>
    <row r="17" spans="1:1">
      <c r="A17" t="str">
        <f t="array" ref="A17">+YEAR(raw[[#This Row],[_date_]])&amp;"."&amp;raw[[#This Row],[redis_ls]]&amp;"."&amp;raw[[#This Row],[wage_eq]]&amp;"."&amp;raw[[#This Row],[flex]]&amp;"."&amp;raw[[#This Row],[expo]]</f>
        <v>2015.1.2.1.1</v>
      </c>
    </row>
    <row r="18" spans="1:1">
      <c r="A18" t="str">
        <f t="array" ref="A18">+YEAR(raw[[#This Row],[_date_]])&amp;"."&amp;raw[[#This Row],[redis_ls]]&amp;"."&amp;raw[[#This Row],[wage_eq]]&amp;"."&amp;raw[[#This Row],[flex]]&amp;"."&amp;raw[[#This Row],[expo]]</f>
        <v>2016.1.2.1.1</v>
      </c>
    </row>
    <row r="19" spans="1:1">
      <c r="A19" t="str">
        <f t="array" ref="A19">+YEAR(raw[[#This Row],[_date_]])&amp;"."&amp;raw[[#This Row],[redis_ls]]&amp;"."&amp;raw[[#This Row],[wage_eq]]&amp;"."&amp;raw[[#This Row],[flex]]&amp;"."&amp;raw[[#This Row],[expo]]</f>
        <v>2017.1.2.1.1</v>
      </c>
    </row>
    <row r="20" spans="1:1">
      <c r="A20" t="str">
        <f t="array" ref="A20">+YEAR(raw[[#This Row],[_date_]])&amp;"."&amp;raw[[#This Row],[redis_ls]]&amp;"."&amp;raw[[#This Row],[wage_eq]]&amp;"."&amp;raw[[#This Row],[flex]]&amp;"."&amp;raw[[#This Row],[expo]]</f>
        <v>2018.1.2.1.1</v>
      </c>
    </row>
    <row r="21" spans="1:1">
      <c r="A21" t="str">
        <f t="array" ref="A21">+YEAR(raw[[#This Row],[_date_]])&amp;"."&amp;raw[[#This Row],[redis_ls]]&amp;"."&amp;raw[[#This Row],[wage_eq]]&amp;"."&amp;raw[[#This Row],[flex]]&amp;"."&amp;raw[[#This Row],[expo]]</f>
        <v>2019.1.2.1.1</v>
      </c>
    </row>
    <row r="22" spans="1:1">
      <c r="A22" t="str">
        <f t="array" ref="A22">+YEAR(raw[[#This Row],[_date_]])&amp;"."&amp;raw[[#This Row],[redis_ls]]&amp;"."&amp;raw[[#This Row],[wage_eq]]&amp;"."&amp;raw[[#This Row],[flex]]&amp;"."&amp;raw[[#This Row],[expo]]</f>
        <v>2020.1.2.1.1</v>
      </c>
    </row>
    <row r="23" spans="1:1">
      <c r="A23" t="str">
        <f t="array" ref="A23">+YEAR(raw[[#This Row],[_date_]])&amp;"."&amp;raw[[#This Row],[redis_ls]]&amp;"."&amp;raw[[#This Row],[wage_eq]]&amp;"."&amp;raw[[#This Row],[flex]]&amp;"."&amp;raw[[#This Row],[expo]]</f>
        <v>2021.1.2.1.1</v>
      </c>
    </row>
    <row r="24" spans="1:1">
      <c r="A24" t="str">
        <f t="array" ref="A24">+YEAR(raw[[#This Row],[_date_]])&amp;"."&amp;raw[[#This Row],[redis_ls]]&amp;"."&amp;raw[[#This Row],[wage_eq]]&amp;"."&amp;raw[[#This Row],[flex]]&amp;"."&amp;raw[[#This Row],[expo]]</f>
        <v>2022.1.2.1.1</v>
      </c>
    </row>
    <row r="25" spans="1:1">
      <c r="A25" t="str">
        <f t="array" ref="A25">+YEAR(raw[[#This Row],[_date_]])&amp;"."&amp;raw[[#This Row],[redis_ls]]&amp;"."&amp;raw[[#This Row],[wage_eq]]&amp;"."&amp;raw[[#This Row],[flex]]&amp;"."&amp;raw[[#This Row],[expo]]</f>
        <v>2023.1.2.1.1</v>
      </c>
    </row>
    <row r="26" spans="1:1">
      <c r="A26" t="str">
        <f t="array" ref="A26">+YEAR(raw[[#This Row],[_date_]])&amp;"."&amp;raw[[#This Row],[redis_ls]]&amp;"."&amp;raw[[#This Row],[wage_eq]]&amp;"."&amp;raw[[#This Row],[flex]]&amp;"."&amp;raw[[#This Row],[expo]]</f>
        <v>2024.1.2.1.1</v>
      </c>
    </row>
    <row r="27" spans="1:1">
      <c r="A27" t="str">
        <f t="array" ref="A27">+YEAR(raw[[#This Row],[_date_]])&amp;"."&amp;raw[[#This Row],[redis_ls]]&amp;"."&amp;raw[[#This Row],[wage_eq]]&amp;"."&amp;raw[[#This Row],[flex]]&amp;"."&amp;raw[[#This Row],[expo]]</f>
        <v>2025.1.2.1.1</v>
      </c>
    </row>
    <row r="28" spans="1:1">
      <c r="A28" t="str">
        <f t="array" ref="A28">+YEAR(raw[[#This Row],[_date_]])&amp;"."&amp;raw[[#This Row],[redis_ls]]&amp;"."&amp;raw[[#This Row],[wage_eq]]&amp;"."&amp;raw[[#This Row],[flex]]&amp;"."&amp;raw[[#This Row],[expo]]</f>
        <v>2026.1.2.1.1</v>
      </c>
    </row>
    <row r="29" spans="1:1">
      <c r="A29" t="str">
        <f t="array" ref="A29">+YEAR(raw[[#This Row],[_date_]])&amp;"."&amp;raw[[#This Row],[redis_ls]]&amp;"."&amp;raw[[#This Row],[wage_eq]]&amp;"."&amp;raw[[#This Row],[flex]]&amp;"."&amp;raw[[#This Row],[expo]]</f>
        <v>2027.1.2.1.1</v>
      </c>
    </row>
    <row r="30" spans="1:1">
      <c r="A30" t="str">
        <f t="array" ref="A30">+YEAR(raw[[#This Row],[_date_]])&amp;"."&amp;raw[[#This Row],[redis_ls]]&amp;"."&amp;raw[[#This Row],[wage_eq]]&amp;"."&amp;raw[[#This Row],[flex]]&amp;"."&amp;raw[[#This Row],[expo]]</f>
        <v>2028.1.2.1.1</v>
      </c>
    </row>
    <row r="31" spans="1:1">
      <c r="A31" t="str">
        <f t="array" ref="A31">+YEAR(raw[[#This Row],[_date_]])&amp;"."&amp;raw[[#This Row],[redis_ls]]&amp;"."&amp;raw[[#This Row],[wage_eq]]&amp;"."&amp;raw[[#This Row],[flex]]&amp;"."&amp;raw[[#This Row],[expo]]</f>
        <v>2029.1.2.1.1</v>
      </c>
    </row>
    <row r="32" spans="1:1">
      <c r="A32" t="str">
        <f t="array" ref="A32">+YEAR(raw[[#This Row],[_date_]])&amp;"."&amp;raw[[#This Row],[redis_ls]]&amp;"."&amp;raw[[#This Row],[wage_eq]]&amp;"."&amp;raw[[#This Row],[flex]]&amp;"."&amp;raw[[#This Row],[expo]]</f>
        <v>2030.1.2.1.1</v>
      </c>
    </row>
    <row r="33" spans="1:1">
      <c r="A33" t="str">
        <f t="array" ref="A33">+YEAR(raw[[#This Row],[_date_]])&amp;"."&amp;raw[[#This Row],[redis_ls]]&amp;"."&amp;raw[[#This Row],[wage_eq]]&amp;"."&amp;raw[[#This Row],[flex]]&amp;"."&amp;raw[[#This Row],[expo]]</f>
        <v>2031.1.2.1.1</v>
      </c>
    </row>
    <row r="34" spans="1:1">
      <c r="A34" t="str">
        <f t="array" ref="A34">+YEAR(raw[[#This Row],[_date_]])&amp;"."&amp;raw[[#This Row],[redis_ls]]&amp;"."&amp;raw[[#This Row],[wage_eq]]&amp;"."&amp;raw[[#This Row],[flex]]&amp;"."&amp;raw[[#This Row],[expo]]</f>
        <v>2032.1.2.1.1</v>
      </c>
    </row>
    <row r="35" spans="1:1">
      <c r="A35" t="str">
        <f t="array" ref="A35">+YEAR(raw[[#This Row],[_date_]])&amp;"."&amp;raw[[#This Row],[redis_ls]]&amp;"."&amp;raw[[#This Row],[wage_eq]]&amp;"."&amp;raw[[#This Row],[flex]]&amp;"."&amp;raw[[#This Row],[expo]]</f>
        <v>2033.1.2.1.1</v>
      </c>
    </row>
    <row r="36" spans="1:1">
      <c r="A36" t="str">
        <f t="array" ref="A36">+YEAR(raw[[#This Row],[_date_]])&amp;"."&amp;raw[[#This Row],[redis_ls]]&amp;"."&amp;raw[[#This Row],[wage_eq]]&amp;"."&amp;raw[[#This Row],[flex]]&amp;"."&amp;raw[[#This Row],[expo]]</f>
        <v>2034.1.2.1.1</v>
      </c>
    </row>
    <row r="37" spans="1:1">
      <c r="A37" t="str">
        <f t="array" ref="A37">+YEAR(raw[[#This Row],[_date_]])&amp;"."&amp;raw[[#This Row],[redis_ls]]&amp;"."&amp;raw[[#This Row],[wage_eq]]&amp;"."&amp;raw[[#This Row],[flex]]&amp;"."&amp;raw[[#This Row],[expo]]</f>
        <v>2035.1.2.1.1</v>
      </c>
    </row>
    <row r="38" spans="1:1">
      <c r="A38" t="str">
        <f t="array" ref="A38">+YEAR(raw[[#This Row],[_date_]])&amp;"."&amp;raw[[#This Row],[redis_ls]]&amp;"."&amp;raw[[#This Row],[wage_eq]]&amp;"."&amp;raw[[#This Row],[flex]]&amp;"."&amp;raw[[#This Row],[expo]]</f>
        <v>2036.1.2.1.1</v>
      </c>
    </row>
    <row r="39" spans="1:1">
      <c r="A39" t="str">
        <f t="array" ref="A39">+YEAR(raw[[#This Row],[_date_]])&amp;"."&amp;raw[[#This Row],[redis_ls]]&amp;"."&amp;raw[[#This Row],[wage_eq]]&amp;"."&amp;raw[[#This Row],[flex]]&amp;"."&amp;raw[[#This Row],[expo]]</f>
        <v>2037.1.2.1.1</v>
      </c>
    </row>
    <row r="40" spans="1:1">
      <c r="A40" t="str">
        <f t="array" ref="A40">+YEAR(raw[[#This Row],[_date_]])&amp;"."&amp;raw[[#This Row],[redis_ls]]&amp;"."&amp;raw[[#This Row],[wage_eq]]&amp;"."&amp;raw[[#This Row],[flex]]&amp;"."&amp;raw[[#This Row],[expo]]</f>
        <v>2038.1.2.1.1</v>
      </c>
    </row>
    <row r="41" spans="1:1">
      <c r="A41" t="str">
        <f t="array" ref="A41">+YEAR(raw[[#This Row],[_date_]])&amp;"."&amp;raw[[#This Row],[redis_ls]]&amp;"."&amp;raw[[#This Row],[wage_eq]]&amp;"."&amp;raw[[#This Row],[flex]]&amp;"."&amp;raw[[#This Row],[expo]]</f>
        <v>2039.1.2.1.1</v>
      </c>
    </row>
    <row r="42" spans="1:1">
      <c r="A42" t="str">
        <f t="array" ref="A42">+YEAR(raw[[#This Row],[_date_]])&amp;"."&amp;raw[[#This Row],[redis_ls]]&amp;"."&amp;raw[[#This Row],[wage_eq]]&amp;"."&amp;raw[[#This Row],[flex]]&amp;"."&amp;raw[[#This Row],[expo]]</f>
        <v>2040.1.2.1.1</v>
      </c>
    </row>
    <row r="43" spans="1:1">
      <c r="A43" t="str">
        <f t="array" ref="A43">+YEAR(raw[[#This Row],[_date_]])&amp;"."&amp;raw[[#This Row],[redis_ls]]&amp;"."&amp;raw[[#This Row],[wage_eq]]&amp;"."&amp;raw[[#This Row],[flex]]&amp;"."&amp;raw[[#This Row],[expo]]</f>
        <v>2041.1.2.1.1</v>
      </c>
    </row>
    <row r="44" spans="1:1">
      <c r="A44" t="str">
        <f t="array" ref="A44">+YEAR(raw[[#This Row],[_date_]])&amp;"."&amp;raw[[#This Row],[redis_ls]]&amp;"."&amp;raw[[#This Row],[wage_eq]]&amp;"."&amp;raw[[#This Row],[flex]]&amp;"."&amp;raw[[#This Row],[expo]]</f>
        <v>2042.1.2.1.1</v>
      </c>
    </row>
    <row r="45" spans="1:1">
      <c r="A45" t="str">
        <f t="array" ref="A45">+YEAR(raw[[#This Row],[_date_]])&amp;"."&amp;raw[[#This Row],[redis_ls]]&amp;"."&amp;raw[[#This Row],[wage_eq]]&amp;"."&amp;raw[[#This Row],[flex]]&amp;"."&amp;raw[[#This Row],[expo]]</f>
        <v>2043.1.2.1.1</v>
      </c>
    </row>
    <row r="46" spans="1:1">
      <c r="A46" t="str">
        <f t="array" ref="A46">+YEAR(raw[[#This Row],[_date_]])&amp;"."&amp;raw[[#This Row],[redis_ls]]&amp;"."&amp;raw[[#This Row],[wage_eq]]&amp;"."&amp;raw[[#This Row],[flex]]&amp;"."&amp;raw[[#This Row],[expo]]</f>
        <v>2044.1.2.1.1</v>
      </c>
    </row>
    <row r="47" spans="1:1">
      <c r="A47" t="str">
        <f t="array" ref="A47">+YEAR(raw[[#This Row],[_date_]])&amp;"."&amp;raw[[#This Row],[redis_ls]]&amp;"."&amp;raw[[#This Row],[wage_eq]]&amp;"."&amp;raw[[#This Row],[flex]]&amp;"."&amp;raw[[#This Row],[expo]]</f>
        <v>2045.1.2.1.1</v>
      </c>
    </row>
    <row r="48" spans="1:1">
      <c r="A48" t="str">
        <f t="array" ref="A48">+YEAR(raw[[#This Row],[_date_]])&amp;"."&amp;raw[[#This Row],[redis_ls]]&amp;"."&amp;raw[[#This Row],[wage_eq]]&amp;"."&amp;raw[[#This Row],[flex]]&amp;"."&amp;raw[[#This Row],[expo]]</f>
        <v>2046.1.2.1.1</v>
      </c>
    </row>
    <row r="49" spans="1:1">
      <c r="A49" t="str">
        <f t="array" ref="A49">+YEAR(raw[[#This Row],[_date_]])&amp;"."&amp;raw[[#This Row],[redis_ls]]&amp;"."&amp;raw[[#This Row],[wage_eq]]&amp;"."&amp;raw[[#This Row],[flex]]&amp;"."&amp;raw[[#This Row],[expo]]</f>
        <v>2047.1.2.1.1</v>
      </c>
    </row>
    <row r="50" spans="1:1">
      <c r="A50" t="str">
        <f t="array" ref="A50">+YEAR(raw[[#This Row],[_date_]])&amp;"."&amp;raw[[#This Row],[redis_ls]]&amp;"."&amp;raw[[#This Row],[wage_eq]]&amp;"."&amp;raw[[#This Row],[flex]]&amp;"."&amp;raw[[#This Row],[expo]]</f>
        <v>2048.1.2.1.1</v>
      </c>
    </row>
    <row r="51" spans="1:1">
      <c r="A51" t="str">
        <f t="array" ref="A51">+YEAR(raw[[#This Row],[_date_]])&amp;"."&amp;raw[[#This Row],[redis_ls]]&amp;"."&amp;raw[[#This Row],[wage_eq]]&amp;"."&amp;raw[[#This Row],[flex]]&amp;"."&amp;raw[[#This Row],[expo]]</f>
        <v>2049.1.2.1.1</v>
      </c>
    </row>
    <row r="52" spans="1:1">
      <c r="A52" t="str">
        <f t="array" ref="A52">+YEAR(raw[[#This Row],[_date_]])&amp;"."&amp;raw[[#This Row],[redis_ls]]&amp;"."&amp;raw[[#This Row],[wage_eq]]&amp;"."&amp;raw[[#This Row],[flex]]&amp;"."&amp;raw[[#This Row],[expo]]</f>
        <v>2050.1.2.1.1</v>
      </c>
    </row>
    <row r="53" spans="1:1">
      <c r="A53" t="str">
        <f t="array" ref="A53">+YEAR(raw[[#This Row],[_date_]])&amp;"."&amp;raw[[#This Row],[redis_ls]]&amp;"."&amp;raw[[#This Row],[wage_eq]]&amp;"."&amp;raw[[#This Row],[flex]]&amp;"."&amp;raw[[#This Row],[expo]]</f>
        <v>2000.1.2.1.0</v>
      </c>
    </row>
    <row r="54" spans="1:1">
      <c r="A54" t="str">
        <f t="array" ref="A54">+YEAR(raw[[#This Row],[_date_]])&amp;"."&amp;raw[[#This Row],[redis_ls]]&amp;"."&amp;raw[[#This Row],[wage_eq]]&amp;"."&amp;raw[[#This Row],[flex]]&amp;"."&amp;raw[[#This Row],[expo]]</f>
        <v>2001.1.2.1.0</v>
      </c>
    </row>
    <row r="55" spans="1:1">
      <c r="A55" t="str">
        <f t="array" ref="A55">+YEAR(raw[[#This Row],[_date_]])&amp;"."&amp;raw[[#This Row],[redis_ls]]&amp;"."&amp;raw[[#This Row],[wage_eq]]&amp;"."&amp;raw[[#This Row],[flex]]&amp;"."&amp;raw[[#This Row],[expo]]</f>
        <v>2002.1.2.1.0</v>
      </c>
    </row>
    <row r="56" spans="1:1">
      <c r="A56" t="str">
        <f t="array" ref="A56">+YEAR(raw[[#This Row],[_date_]])&amp;"."&amp;raw[[#This Row],[redis_ls]]&amp;"."&amp;raw[[#This Row],[wage_eq]]&amp;"."&amp;raw[[#This Row],[flex]]&amp;"."&amp;raw[[#This Row],[expo]]</f>
        <v>2003.1.2.1.0</v>
      </c>
    </row>
    <row r="57" spans="1:1">
      <c r="A57" t="str">
        <f t="array" ref="A57">+YEAR(raw[[#This Row],[_date_]])&amp;"."&amp;raw[[#This Row],[redis_ls]]&amp;"."&amp;raw[[#This Row],[wage_eq]]&amp;"."&amp;raw[[#This Row],[flex]]&amp;"."&amp;raw[[#This Row],[expo]]</f>
        <v>2004.1.2.1.0</v>
      </c>
    </row>
    <row r="58" spans="1:1">
      <c r="A58" t="str">
        <f t="array" ref="A58">+YEAR(raw[[#This Row],[_date_]])&amp;"."&amp;raw[[#This Row],[redis_ls]]&amp;"."&amp;raw[[#This Row],[wage_eq]]&amp;"."&amp;raw[[#This Row],[flex]]&amp;"."&amp;raw[[#This Row],[expo]]</f>
        <v>2005.1.2.1.0</v>
      </c>
    </row>
    <row r="59" spans="1:1">
      <c r="A59" t="str">
        <f t="array" ref="A59">+YEAR(raw[[#This Row],[_date_]])&amp;"."&amp;raw[[#This Row],[redis_ls]]&amp;"."&amp;raw[[#This Row],[wage_eq]]&amp;"."&amp;raw[[#This Row],[flex]]&amp;"."&amp;raw[[#This Row],[expo]]</f>
        <v>2006.1.2.1.0</v>
      </c>
    </row>
    <row r="60" spans="1:1">
      <c r="A60" t="str">
        <f t="array" ref="A60">+YEAR(raw[[#This Row],[_date_]])&amp;"."&amp;raw[[#This Row],[redis_ls]]&amp;"."&amp;raw[[#This Row],[wage_eq]]&amp;"."&amp;raw[[#This Row],[flex]]&amp;"."&amp;raw[[#This Row],[expo]]</f>
        <v>2007.1.2.1.0</v>
      </c>
    </row>
    <row r="61" spans="1:1">
      <c r="A61" t="str">
        <f t="array" ref="A61">+YEAR(raw[[#This Row],[_date_]])&amp;"."&amp;raw[[#This Row],[redis_ls]]&amp;"."&amp;raw[[#This Row],[wage_eq]]&amp;"."&amp;raw[[#This Row],[flex]]&amp;"."&amp;raw[[#This Row],[expo]]</f>
        <v>2008.1.2.1.0</v>
      </c>
    </row>
    <row r="62" spans="1:1">
      <c r="A62" t="str">
        <f t="array" ref="A62">+YEAR(raw[[#This Row],[_date_]])&amp;"."&amp;raw[[#This Row],[redis_ls]]&amp;"."&amp;raw[[#This Row],[wage_eq]]&amp;"."&amp;raw[[#This Row],[flex]]&amp;"."&amp;raw[[#This Row],[expo]]</f>
        <v>2009.1.2.1.0</v>
      </c>
    </row>
    <row r="63" spans="1:1">
      <c r="A63" t="str">
        <f t="array" ref="A63">+YEAR(raw[[#This Row],[_date_]])&amp;"."&amp;raw[[#This Row],[redis_ls]]&amp;"."&amp;raw[[#This Row],[wage_eq]]&amp;"."&amp;raw[[#This Row],[flex]]&amp;"."&amp;raw[[#This Row],[expo]]</f>
        <v>2010.1.2.1.0</v>
      </c>
    </row>
    <row r="64" spans="1:1">
      <c r="A64" t="str">
        <f t="array" ref="A64">+YEAR(raw[[#This Row],[_date_]])&amp;"."&amp;raw[[#This Row],[redis_ls]]&amp;"."&amp;raw[[#This Row],[wage_eq]]&amp;"."&amp;raw[[#This Row],[flex]]&amp;"."&amp;raw[[#This Row],[expo]]</f>
        <v>2011.1.2.1.0</v>
      </c>
    </row>
    <row r="65" spans="1:1">
      <c r="A65" t="str">
        <f t="array" ref="A65">+YEAR(raw[[#This Row],[_date_]])&amp;"."&amp;raw[[#This Row],[redis_ls]]&amp;"."&amp;raw[[#This Row],[wage_eq]]&amp;"."&amp;raw[[#This Row],[flex]]&amp;"."&amp;raw[[#This Row],[expo]]</f>
        <v>2012.1.2.1.0</v>
      </c>
    </row>
    <row r="66" spans="1:1">
      <c r="A66" t="str">
        <f t="array" ref="A66">+YEAR(raw[[#This Row],[_date_]])&amp;"."&amp;raw[[#This Row],[redis_ls]]&amp;"."&amp;raw[[#This Row],[wage_eq]]&amp;"."&amp;raw[[#This Row],[flex]]&amp;"."&amp;raw[[#This Row],[expo]]</f>
        <v>2013.1.2.1.0</v>
      </c>
    </row>
    <row r="67" spans="1:1">
      <c r="A67" t="str">
        <f t="array" ref="A67">+YEAR(raw[[#This Row],[_date_]])&amp;"."&amp;raw[[#This Row],[redis_ls]]&amp;"."&amp;raw[[#This Row],[wage_eq]]&amp;"."&amp;raw[[#This Row],[flex]]&amp;"."&amp;raw[[#This Row],[expo]]</f>
        <v>2014.1.2.1.0</v>
      </c>
    </row>
    <row r="68" spans="1:1">
      <c r="A68" t="str">
        <f t="array" ref="A68">+YEAR(raw[[#This Row],[_date_]])&amp;"."&amp;raw[[#This Row],[redis_ls]]&amp;"."&amp;raw[[#This Row],[wage_eq]]&amp;"."&amp;raw[[#This Row],[flex]]&amp;"."&amp;raw[[#This Row],[expo]]</f>
        <v>2015.1.2.1.0</v>
      </c>
    </row>
    <row r="69" spans="1:1">
      <c r="A69" t="str">
        <f t="array" ref="A69">+YEAR(raw[[#This Row],[_date_]])&amp;"."&amp;raw[[#This Row],[redis_ls]]&amp;"."&amp;raw[[#This Row],[wage_eq]]&amp;"."&amp;raw[[#This Row],[flex]]&amp;"."&amp;raw[[#This Row],[expo]]</f>
        <v>2016.1.2.1.0</v>
      </c>
    </row>
    <row r="70" spans="1:1">
      <c r="A70" t="str">
        <f t="array" ref="A70">+YEAR(raw[[#This Row],[_date_]])&amp;"."&amp;raw[[#This Row],[redis_ls]]&amp;"."&amp;raw[[#This Row],[wage_eq]]&amp;"."&amp;raw[[#This Row],[flex]]&amp;"."&amp;raw[[#This Row],[expo]]</f>
        <v>2017.1.2.1.0</v>
      </c>
    </row>
    <row r="71" spans="1:1">
      <c r="A71" t="str">
        <f t="array" ref="A71">+YEAR(raw[[#This Row],[_date_]])&amp;"."&amp;raw[[#This Row],[redis_ls]]&amp;"."&amp;raw[[#This Row],[wage_eq]]&amp;"."&amp;raw[[#This Row],[flex]]&amp;"."&amp;raw[[#This Row],[expo]]</f>
        <v>2018.1.2.1.0</v>
      </c>
    </row>
    <row r="72" spans="1:1">
      <c r="A72" t="str">
        <f t="array" ref="A72">+YEAR(raw[[#This Row],[_date_]])&amp;"."&amp;raw[[#This Row],[redis_ls]]&amp;"."&amp;raw[[#This Row],[wage_eq]]&amp;"."&amp;raw[[#This Row],[flex]]&amp;"."&amp;raw[[#This Row],[expo]]</f>
        <v>2019.1.2.1.0</v>
      </c>
    </row>
    <row r="73" spans="1:1">
      <c r="A73" t="str">
        <f t="array" ref="A73">+YEAR(raw[[#This Row],[_date_]])&amp;"."&amp;raw[[#This Row],[redis_ls]]&amp;"."&amp;raw[[#This Row],[wage_eq]]&amp;"."&amp;raw[[#This Row],[flex]]&amp;"."&amp;raw[[#This Row],[expo]]</f>
        <v>2020.1.2.1.0</v>
      </c>
    </row>
    <row r="74" spans="1:1">
      <c r="A74" t="str">
        <f t="array" ref="A74">+YEAR(raw[[#This Row],[_date_]])&amp;"."&amp;raw[[#This Row],[redis_ls]]&amp;"."&amp;raw[[#This Row],[wage_eq]]&amp;"."&amp;raw[[#This Row],[flex]]&amp;"."&amp;raw[[#This Row],[expo]]</f>
        <v>2021.1.2.1.0</v>
      </c>
    </row>
    <row r="75" spans="1:1">
      <c r="A75" t="str">
        <f t="array" ref="A75">+YEAR(raw[[#This Row],[_date_]])&amp;"."&amp;raw[[#This Row],[redis_ls]]&amp;"."&amp;raw[[#This Row],[wage_eq]]&amp;"."&amp;raw[[#This Row],[flex]]&amp;"."&amp;raw[[#This Row],[expo]]</f>
        <v>2022.1.2.1.0</v>
      </c>
    </row>
    <row r="76" spans="1:1">
      <c r="A76" t="str">
        <f t="array" ref="A76">+YEAR(raw[[#This Row],[_date_]])&amp;"."&amp;raw[[#This Row],[redis_ls]]&amp;"."&amp;raw[[#This Row],[wage_eq]]&amp;"."&amp;raw[[#This Row],[flex]]&amp;"."&amp;raw[[#This Row],[expo]]</f>
        <v>2023.1.2.1.0</v>
      </c>
    </row>
    <row r="77" spans="1:1">
      <c r="A77" t="str">
        <f t="array" ref="A77">+YEAR(raw[[#This Row],[_date_]])&amp;"."&amp;raw[[#This Row],[redis_ls]]&amp;"."&amp;raw[[#This Row],[wage_eq]]&amp;"."&amp;raw[[#This Row],[flex]]&amp;"."&amp;raw[[#This Row],[expo]]</f>
        <v>2024.1.2.1.0</v>
      </c>
    </row>
    <row r="78" spans="1:1">
      <c r="A78" t="str">
        <f t="array" ref="A78">+YEAR(raw[[#This Row],[_date_]])&amp;"."&amp;raw[[#This Row],[redis_ls]]&amp;"."&amp;raw[[#This Row],[wage_eq]]&amp;"."&amp;raw[[#This Row],[flex]]&amp;"."&amp;raw[[#This Row],[expo]]</f>
        <v>2025.1.2.1.0</v>
      </c>
    </row>
    <row r="79" spans="1:1">
      <c r="A79" t="str">
        <f t="array" ref="A79">+YEAR(raw[[#This Row],[_date_]])&amp;"."&amp;raw[[#This Row],[redis_ls]]&amp;"."&amp;raw[[#This Row],[wage_eq]]&amp;"."&amp;raw[[#This Row],[flex]]&amp;"."&amp;raw[[#This Row],[expo]]</f>
        <v>2026.1.2.1.0</v>
      </c>
    </row>
    <row r="80" spans="1:1">
      <c r="A80" t="str">
        <f t="array" ref="A80">+YEAR(raw[[#This Row],[_date_]])&amp;"."&amp;raw[[#This Row],[redis_ls]]&amp;"."&amp;raw[[#This Row],[wage_eq]]&amp;"."&amp;raw[[#This Row],[flex]]&amp;"."&amp;raw[[#This Row],[expo]]</f>
        <v>2027.1.2.1.0</v>
      </c>
    </row>
    <row r="81" spans="1:1">
      <c r="A81" t="str">
        <f t="array" ref="A81">+YEAR(raw[[#This Row],[_date_]])&amp;"."&amp;raw[[#This Row],[redis_ls]]&amp;"."&amp;raw[[#This Row],[wage_eq]]&amp;"."&amp;raw[[#This Row],[flex]]&amp;"."&amp;raw[[#This Row],[expo]]</f>
        <v>2028.1.2.1.0</v>
      </c>
    </row>
    <row r="82" spans="1:1">
      <c r="A82" t="str">
        <f t="array" ref="A82">+YEAR(raw[[#This Row],[_date_]])&amp;"."&amp;raw[[#This Row],[redis_ls]]&amp;"."&amp;raw[[#This Row],[wage_eq]]&amp;"."&amp;raw[[#This Row],[flex]]&amp;"."&amp;raw[[#This Row],[expo]]</f>
        <v>2029.1.2.1.0</v>
      </c>
    </row>
    <row r="83" spans="1:1">
      <c r="A83" t="str">
        <f t="array" ref="A83">+YEAR(raw[[#This Row],[_date_]])&amp;"."&amp;raw[[#This Row],[redis_ls]]&amp;"."&amp;raw[[#This Row],[wage_eq]]&amp;"."&amp;raw[[#This Row],[flex]]&amp;"."&amp;raw[[#This Row],[expo]]</f>
        <v>2030.1.2.1.0</v>
      </c>
    </row>
    <row r="84" spans="1:1">
      <c r="A84" t="str">
        <f t="array" ref="A84">+YEAR(raw[[#This Row],[_date_]])&amp;"."&amp;raw[[#This Row],[redis_ls]]&amp;"."&amp;raw[[#This Row],[wage_eq]]&amp;"."&amp;raw[[#This Row],[flex]]&amp;"."&amp;raw[[#This Row],[expo]]</f>
        <v>2031.1.2.1.0</v>
      </c>
    </row>
    <row r="85" spans="1:1">
      <c r="A85" t="str">
        <f t="array" ref="A85">+YEAR(raw[[#This Row],[_date_]])&amp;"."&amp;raw[[#This Row],[redis_ls]]&amp;"."&amp;raw[[#This Row],[wage_eq]]&amp;"."&amp;raw[[#This Row],[flex]]&amp;"."&amp;raw[[#This Row],[expo]]</f>
        <v>2032.1.2.1.0</v>
      </c>
    </row>
    <row r="86" spans="1:1">
      <c r="A86" t="str">
        <f t="array" ref="A86">+YEAR(raw[[#This Row],[_date_]])&amp;"."&amp;raw[[#This Row],[redis_ls]]&amp;"."&amp;raw[[#This Row],[wage_eq]]&amp;"."&amp;raw[[#This Row],[flex]]&amp;"."&amp;raw[[#This Row],[expo]]</f>
        <v>2033.1.2.1.0</v>
      </c>
    </row>
    <row r="87" spans="1:1">
      <c r="A87" t="str">
        <f t="array" ref="A87">+YEAR(raw[[#This Row],[_date_]])&amp;"."&amp;raw[[#This Row],[redis_ls]]&amp;"."&amp;raw[[#This Row],[wage_eq]]&amp;"."&amp;raw[[#This Row],[flex]]&amp;"."&amp;raw[[#This Row],[expo]]</f>
        <v>2034.1.2.1.0</v>
      </c>
    </row>
    <row r="88" spans="1:1">
      <c r="A88" t="str">
        <f t="array" ref="A88">+YEAR(raw[[#This Row],[_date_]])&amp;"."&amp;raw[[#This Row],[redis_ls]]&amp;"."&amp;raw[[#This Row],[wage_eq]]&amp;"."&amp;raw[[#This Row],[flex]]&amp;"."&amp;raw[[#This Row],[expo]]</f>
        <v>2035.1.2.1.0</v>
      </c>
    </row>
    <row r="89" spans="1:1">
      <c r="A89" t="str">
        <f t="array" ref="A89">+YEAR(raw[[#This Row],[_date_]])&amp;"."&amp;raw[[#This Row],[redis_ls]]&amp;"."&amp;raw[[#This Row],[wage_eq]]&amp;"."&amp;raw[[#This Row],[flex]]&amp;"."&amp;raw[[#This Row],[expo]]</f>
        <v>2036.1.2.1.0</v>
      </c>
    </row>
    <row r="90" spans="1:1">
      <c r="A90" t="str">
        <f t="array" ref="A90">+YEAR(raw[[#This Row],[_date_]])&amp;"."&amp;raw[[#This Row],[redis_ls]]&amp;"."&amp;raw[[#This Row],[wage_eq]]&amp;"."&amp;raw[[#This Row],[flex]]&amp;"."&amp;raw[[#This Row],[expo]]</f>
        <v>2037.1.2.1.0</v>
      </c>
    </row>
    <row r="91" spans="1:1">
      <c r="A91" t="str">
        <f t="array" ref="A91">+YEAR(raw[[#This Row],[_date_]])&amp;"."&amp;raw[[#This Row],[redis_ls]]&amp;"."&amp;raw[[#This Row],[wage_eq]]&amp;"."&amp;raw[[#This Row],[flex]]&amp;"."&amp;raw[[#This Row],[expo]]</f>
        <v>2038.1.2.1.0</v>
      </c>
    </row>
    <row r="92" spans="1:1">
      <c r="A92" t="str">
        <f t="array" ref="A92">+YEAR(raw[[#This Row],[_date_]])&amp;"."&amp;raw[[#This Row],[redis_ls]]&amp;"."&amp;raw[[#This Row],[wage_eq]]&amp;"."&amp;raw[[#This Row],[flex]]&amp;"."&amp;raw[[#This Row],[expo]]</f>
        <v>2039.1.2.1.0</v>
      </c>
    </row>
    <row r="93" spans="1:1">
      <c r="A93" t="str">
        <f t="array" ref="A93">+YEAR(raw[[#This Row],[_date_]])&amp;"."&amp;raw[[#This Row],[redis_ls]]&amp;"."&amp;raw[[#This Row],[wage_eq]]&amp;"."&amp;raw[[#This Row],[flex]]&amp;"."&amp;raw[[#This Row],[expo]]</f>
        <v>2040.1.2.1.0</v>
      </c>
    </row>
    <row r="94" spans="1:1">
      <c r="A94" t="str">
        <f t="array" ref="A94">+YEAR(raw[[#This Row],[_date_]])&amp;"."&amp;raw[[#This Row],[redis_ls]]&amp;"."&amp;raw[[#This Row],[wage_eq]]&amp;"."&amp;raw[[#This Row],[flex]]&amp;"."&amp;raw[[#This Row],[expo]]</f>
        <v>2041.1.2.1.0</v>
      </c>
    </row>
    <row r="95" spans="1:1">
      <c r="A95" t="str">
        <f t="array" ref="A95">+YEAR(raw[[#This Row],[_date_]])&amp;"."&amp;raw[[#This Row],[redis_ls]]&amp;"."&amp;raw[[#This Row],[wage_eq]]&amp;"."&amp;raw[[#This Row],[flex]]&amp;"."&amp;raw[[#This Row],[expo]]</f>
        <v>2042.1.2.1.0</v>
      </c>
    </row>
    <row r="96" spans="1:1">
      <c r="A96" t="str">
        <f t="array" ref="A96">+YEAR(raw[[#This Row],[_date_]])&amp;"."&amp;raw[[#This Row],[redis_ls]]&amp;"."&amp;raw[[#This Row],[wage_eq]]&amp;"."&amp;raw[[#This Row],[flex]]&amp;"."&amp;raw[[#This Row],[expo]]</f>
        <v>2043.1.2.1.0</v>
      </c>
    </row>
    <row r="97" spans="1:1">
      <c r="A97" t="str">
        <f t="array" ref="A97">+YEAR(raw[[#This Row],[_date_]])&amp;"."&amp;raw[[#This Row],[redis_ls]]&amp;"."&amp;raw[[#This Row],[wage_eq]]&amp;"."&amp;raw[[#This Row],[flex]]&amp;"."&amp;raw[[#This Row],[expo]]</f>
        <v>2044.1.2.1.0</v>
      </c>
    </row>
    <row r="98" spans="1:1">
      <c r="A98" t="str">
        <f t="array" ref="A98">+YEAR(raw[[#This Row],[_date_]])&amp;"."&amp;raw[[#This Row],[redis_ls]]&amp;"."&amp;raw[[#This Row],[wage_eq]]&amp;"."&amp;raw[[#This Row],[flex]]&amp;"."&amp;raw[[#This Row],[expo]]</f>
        <v>2045.1.2.1.0</v>
      </c>
    </row>
    <row r="99" spans="1:1">
      <c r="A99" t="str">
        <f t="array" ref="A99">+YEAR(raw[[#This Row],[_date_]])&amp;"."&amp;raw[[#This Row],[redis_ls]]&amp;"."&amp;raw[[#This Row],[wage_eq]]&amp;"."&amp;raw[[#This Row],[flex]]&amp;"."&amp;raw[[#This Row],[expo]]</f>
        <v>2046.1.2.1.0</v>
      </c>
    </row>
    <row r="100" spans="1:1">
      <c r="A100" t="str">
        <f t="array" ref="A100">+YEAR(raw[[#This Row],[_date_]])&amp;"."&amp;raw[[#This Row],[redis_ls]]&amp;"."&amp;raw[[#This Row],[wage_eq]]&amp;"."&amp;raw[[#This Row],[flex]]&amp;"."&amp;raw[[#This Row],[expo]]</f>
        <v>2047.1.2.1.0</v>
      </c>
    </row>
    <row r="101" spans="1:1">
      <c r="A101" t="str">
        <f t="array" ref="A101">+YEAR(raw[[#This Row],[_date_]])&amp;"."&amp;raw[[#This Row],[redis_ls]]&amp;"."&amp;raw[[#This Row],[wage_eq]]&amp;"."&amp;raw[[#This Row],[flex]]&amp;"."&amp;raw[[#This Row],[expo]]</f>
        <v>2048.1.2.1.0</v>
      </c>
    </row>
    <row r="102" spans="1:1">
      <c r="A102" t="str">
        <f t="array" ref="A102">+YEAR(raw[[#This Row],[_date_]])&amp;"."&amp;raw[[#This Row],[redis_ls]]&amp;"."&amp;raw[[#This Row],[wage_eq]]&amp;"."&amp;raw[[#This Row],[flex]]&amp;"."&amp;raw[[#This Row],[expo]]</f>
        <v>2049.1.2.1.0</v>
      </c>
    </row>
    <row r="103" spans="1:1">
      <c r="A103" t="str">
        <f t="array" ref="A103">+YEAR(raw[[#This Row],[_date_]])&amp;"."&amp;raw[[#This Row],[redis_ls]]&amp;"."&amp;raw[[#This Row],[wage_eq]]&amp;"."&amp;raw[[#This Row],[flex]]&amp;"."&amp;raw[[#This Row],[expo]]</f>
        <v>2050.1.2.1.0</v>
      </c>
    </row>
    <row r="104" spans="1:1">
      <c r="A104" t="str">
        <f t="array" ref="A104">+YEAR(raw[[#This Row],[_date_]])&amp;"."&amp;raw[[#This Row],[redis_ls]]&amp;"."&amp;raw[[#This Row],[wage_eq]]&amp;"."&amp;raw[[#This Row],[flex]]&amp;"."&amp;raw[[#This Row],[expo]]</f>
        <v>2000.1.2.0.1</v>
      </c>
    </row>
    <row r="105" spans="1:1">
      <c r="A105" t="str">
        <f t="array" ref="A105">+YEAR(raw[[#This Row],[_date_]])&amp;"."&amp;raw[[#This Row],[redis_ls]]&amp;"."&amp;raw[[#This Row],[wage_eq]]&amp;"."&amp;raw[[#This Row],[flex]]&amp;"."&amp;raw[[#This Row],[expo]]</f>
        <v>2001.1.2.0.1</v>
      </c>
    </row>
    <row r="106" spans="1:1">
      <c r="A106" t="str">
        <f t="array" ref="A106">+YEAR(raw[[#This Row],[_date_]])&amp;"."&amp;raw[[#This Row],[redis_ls]]&amp;"."&amp;raw[[#This Row],[wage_eq]]&amp;"."&amp;raw[[#This Row],[flex]]&amp;"."&amp;raw[[#This Row],[expo]]</f>
        <v>2002.1.2.0.1</v>
      </c>
    </row>
    <row r="107" spans="1:1">
      <c r="A107" t="str">
        <f t="array" ref="A107">+YEAR(raw[[#This Row],[_date_]])&amp;"."&amp;raw[[#This Row],[redis_ls]]&amp;"."&amp;raw[[#This Row],[wage_eq]]&amp;"."&amp;raw[[#This Row],[flex]]&amp;"."&amp;raw[[#This Row],[expo]]</f>
        <v>2003.1.2.0.1</v>
      </c>
    </row>
    <row r="108" spans="1:1">
      <c r="A108" t="str">
        <f t="array" ref="A108">+YEAR(raw[[#This Row],[_date_]])&amp;"."&amp;raw[[#This Row],[redis_ls]]&amp;"."&amp;raw[[#This Row],[wage_eq]]&amp;"."&amp;raw[[#This Row],[flex]]&amp;"."&amp;raw[[#This Row],[expo]]</f>
        <v>2004.1.2.0.1</v>
      </c>
    </row>
    <row r="109" spans="1:1">
      <c r="A109" t="str">
        <f t="array" ref="A109">+YEAR(raw[[#This Row],[_date_]])&amp;"."&amp;raw[[#This Row],[redis_ls]]&amp;"."&amp;raw[[#This Row],[wage_eq]]&amp;"."&amp;raw[[#This Row],[flex]]&amp;"."&amp;raw[[#This Row],[expo]]</f>
        <v>2005.1.2.0.1</v>
      </c>
    </row>
    <row r="110" spans="1:1">
      <c r="A110" t="str">
        <f t="array" ref="A110">+YEAR(raw[[#This Row],[_date_]])&amp;"."&amp;raw[[#This Row],[redis_ls]]&amp;"."&amp;raw[[#This Row],[wage_eq]]&amp;"."&amp;raw[[#This Row],[flex]]&amp;"."&amp;raw[[#This Row],[expo]]</f>
        <v>2006.1.2.0.1</v>
      </c>
    </row>
    <row r="111" spans="1:1">
      <c r="A111" t="str">
        <f t="array" ref="A111">+YEAR(raw[[#This Row],[_date_]])&amp;"."&amp;raw[[#This Row],[redis_ls]]&amp;"."&amp;raw[[#This Row],[wage_eq]]&amp;"."&amp;raw[[#This Row],[flex]]&amp;"."&amp;raw[[#This Row],[expo]]</f>
        <v>2007.1.2.0.1</v>
      </c>
    </row>
    <row r="112" spans="1:1">
      <c r="A112" t="str">
        <f t="array" ref="A112">+YEAR(raw[[#This Row],[_date_]])&amp;"."&amp;raw[[#This Row],[redis_ls]]&amp;"."&amp;raw[[#This Row],[wage_eq]]&amp;"."&amp;raw[[#This Row],[flex]]&amp;"."&amp;raw[[#This Row],[expo]]</f>
        <v>2008.1.2.0.1</v>
      </c>
    </row>
    <row r="113" spans="1:1">
      <c r="A113" t="str">
        <f t="array" ref="A113">+YEAR(raw[[#This Row],[_date_]])&amp;"."&amp;raw[[#This Row],[redis_ls]]&amp;"."&amp;raw[[#This Row],[wage_eq]]&amp;"."&amp;raw[[#This Row],[flex]]&amp;"."&amp;raw[[#This Row],[expo]]</f>
        <v>2009.1.2.0.1</v>
      </c>
    </row>
    <row r="114" spans="1:1">
      <c r="A114" t="str">
        <f t="array" ref="A114">+YEAR(raw[[#This Row],[_date_]])&amp;"."&amp;raw[[#This Row],[redis_ls]]&amp;"."&amp;raw[[#This Row],[wage_eq]]&amp;"."&amp;raw[[#This Row],[flex]]&amp;"."&amp;raw[[#This Row],[expo]]</f>
        <v>2010.1.2.0.1</v>
      </c>
    </row>
    <row r="115" spans="1:1">
      <c r="A115" t="str">
        <f t="array" ref="A115">+YEAR(raw[[#This Row],[_date_]])&amp;"."&amp;raw[[#This Row],[redis_ls]]&amp;"."&amp;raw[[#This Row],[wage_eq]]&amp;"."&amp;raw[[#This Row],[flex]]&amp;"."&amp;raw[[#This Row],[expo]]</f>
        <v>2011.1.2.0.1</v>
      </c>
    </row>
    <row r="116" spans="1:1">
      <c r="A116" t="str">
        <f t="array" ref="A116">+YEAR(raw[[#This Row],[_date_]])&amp;"."&amp;raw[[#This Row],[redis_ls]]&amp;"."&amp;raw[[#This Row],[wage_eq]]&amp;"."&amp;raw[[#This Row],[flex]]&amp;"."&amp;raw[[#This Row],[expo]]</f>
        <v>2012.1.2.0.1</v>
      </c>
    </row>
    <row r="117" spans="1:1">
      <c r="A117" t="str">
        <f t="array" ref="A117">+YEAR(raw[[#This Row],[_date_]])&amp;"."&amp;raw[[#This Row],[redis_ls]]&amp;"."&amp;raw[[#This Row],[wage_eq]]&amp;"."&amp;raw[[#This Row],[flex]]&amp;"."&amp;raw[[#This Row],[expo]]</f>
        <v>2013.1.2.0.1</v>
      </c>
    </row>
    <row r="118" spans="1:1">
      <c r="A118" t="str">
        <f t="array" ref="A118">+YEAR(raw[[#This Row],[_date_]])&amp;"."&amp;raw[[#This Row],[redis_ls]]&amp;"."&amp;raw[[#This Row],[wage_eq]]&amp;"."&amp;raw[[#This Row],[flex]]&amp;"."&amp;raw[[#This Row],[expo]]</f>
        <v>2014.1.2.0.1</v>
      </c>
    </row>
    <row r="119" spans="1:1">
      <c r="A119" t="str">
        <f t="array" ref="A119">+YEAR(raw[[#This Row],[_date_]])&amp;"."&amp;raw[[#This Row],[redis_ls]]&amp;"."&amp;raw[[#This Row],[wage_eq]]&amp;"."&amp;raw[[#This Row],[flex]]&amp;"."&amp;raw[[#This Row],[expo]]</f>
        <v>2015.1.2.0.1</v>
      </c>
    </row>
    <row r="120" spans="1:1">
      <c r="A120" t="str">
        <f t="array" ref="A120">+YEAR(raw[[#This Row],[_date_]])&amp;"."&amp;raw[[#This Row],[redis_ls]]&amp;"."&amp;raw[[#This Row],[wage_eq]]&amp;"."&amp;raw[[#This Row],[flex]]&amp;"."&amp;raw[[#This Row],[expo]]</f>
        <v>2016.1.2.0.1</v>
      </c>
    </row>
    <row r="121" spans="1:1">
      <c r="A121" t="str">
        <f t="array" ref="A121">+YEAR(raw[[#This Row],[_date_]])&amp;"."&amp;raw[[#This Row],[redis_ls]]&amp;"."&amp;raw[[#This Row],[wage_eq]]&amp;"."&amp;raw[[#This Row],[flex]]&amp;"."&amp;raw[[#This Row],[expo]]</f>
        <v>2017.1.2.0.1</v>
      </c>
    </row>
    <row r="122" spans="1:1">
      <c r="A122" t="str">
        <f t="array" ref="A122">+YEAR(raw[[#This Row],[_date_]])&amp;"."&amp;raw[[#This Row],[redis_ls]]&amp;"."&amp;raw[[#This Row],[wage_eq]]&amp;"."&amp;raw[[#This Row],[flex]]&amp;"."&amp;raw[[#This Row],[expo]]</f>
        <v>2018.1.2.0.1</v>
      </c>
    </row>
    <row r="123" spans="1:1">
      <c r="A123" t="str">
        <f t="array" ref="A123">+YEAR(raw[[#This Row],[_date_]])&amp;"."&amp;raw[[#This Row],[redis_ls]]&amp;"."&amp;raw[[#This Row],[wage_eq]]&amp;"."&amp;raw[[#This Row],[flex]]&amp;"."&amp;raw[[#This Row],[expo]]</f>
        <v>2019.1.2.0.1</v>
      </c>
    </row>
    <row r="124" spans="1:1">
      <c r="A124" t="str">
        <f t="array" ref="A124">+YEAR(raw[[#This Row],[_date_]])&amp;"."&amp;raw[[#This Row],[redis_ls]]&amp;"."&amp;raw[[#This Row],[wage_eq]]&amp;"."&amp;raw[[#This Row],[flex]]&amp;"."&amp;raw[[#This Row],[expo]]</f>
        <v>2020.1.2.0.1</v>
      </c>
    </row>
    <row r="125" spans="1:1">
      <c r="A125" t="str">
        <f t="array" ref="A125">+YEAR(raw[[#This Row],[_date_]])&amp;"."&amp;raw[[#This Row],[redis_ls]]&amp;"."&amp;raw[[#This Row],[wage_eq]]&amp;"."&amp;raw[[#This Row],[flex]]&amp;"."&amp;raw[[#This Row],[expo]]</f>
        <v>2021.1.2.0.1</v>
      </c>
    </row>
    <row r="126" spans="1:1">
      <c r="A126" t="str">
        <f t="array" ref="A126">+YEAR(raw[[#This Row],[_date_]])&amp;"."&amp;raw[[#This Row],[redis_ls]]&amp;"."&amp;raw[[#This Row],[wage_eq]]&amp;"."&amp;raw[[#This Row],[flex]]&amp;"."&amp;raw[[#This Row],[expo]]</f>
        <v>2022.1.2.0.1</v>
      </c>
    </row>
    <row r="127" spans="1:1">
      <c r="A127" t="str">
        <f t="array" ref="A127">+YEAR(raw[[#This Row],[_date_]])&amp;"."&amp;raw[[#This Row],[redis_ls]]&amp;"."&amp;raw[[#This Row],[wage_eq]]&amp;"."&amp;raw[[#This Row],[flex]]&amp;"."&amp;raw[[#This Row],[expo]]</f>
        <v>2023.1.2.0.1</v>
      </c>
    </row>
    <row r="128" spans="1:1">
      <c r="A128" t="str">
        <f t="array" ref="A128">+YEAR(raw[[#This Row],[_date_]])&amp;"."&amp;raw[[#This Row],[redis_ls]]&amp;"."&amp;raw[[#This Row],[wage_eq]]&amp;"."&amp;raw[[#This Row],[flex]]&amp;"."&amp;raw[[#This Row],[expo]]</f>
        <v>2024.1.2.0.1</v>
      </c>
    </row>
    <row r="129" spans="1:1">
      <c r="A129" t="str">
        <f t="array" ref="A129">+YEAR(raw[[#This Row],[_date_]])&amp;"."&amp;raw[[#This Row],[redis_ls]]&amp;"."&amp;raw[[#This Row],[wage_eq]]&amp;"."&amp;raw[[#This Row],[flex]]&amp;"."&amp;raw[[#This Row],[expo]]</f>
        <v>2025.1.2.0.1</v>
      </c>
    </row>
    <row r="130" spans="1:1">
      <c r="A130" t="str">
        <f t="array" ref="A130">+YEAR(raw[[#This Row],[_date_]])&amp;"."&amp;raw[[#This Row],[redis_ls]]&amp;"."&amp;raw[[#This Row],[wage_eq]]&amp;"."&amp;raw[[#This Row],[flex]]&amp;"."&amp;raw[[#This Row],[expo]]</f>
        <v>2026.1.2.0.1</v>
      </c>
    </row>
    <row r="131" spans="1:1">
      <c r="A131" t="str">
        <f t="array" ref="A131">+YEAR(raw[[#This Row],[_date_]])&amp;"."&amp;raw[[#This Row],[redis_ls]]&amp;"."&amp;raw[[#This Row],[wage_eq]]&amp;"."&amp;raw[[#This Row],[flex]]&amp;"."&amp;raw[[#This Row],[expo]]</f>
        <v>2027.1.2.0.1</v>
      </c>
    </row>
    <row r="132" spans="1:1">
      <c r="A132" t="str">
        <f t="array" ref="A132">+YEAR(raw[[#This Row],[_date_]])&amp;"."&amp;raw[[#This Row],[redis_ls]]&amp;"."&amp;raw[[#This Row],[wage_eq]]&amp;"."&amp;raw[[#This Row],[flex]]&amp;"."&amp;raw[[#This Row],[expo]]</f>
        <v>2028.1.2.0.1</v>
      </c>
    </row>
    <row r="133" spans="1:1">
      <c r="A133" t="str">
        <f t="array" ref="A133">+YEAR(raw[[#This Row],[_date_]])&amp;"."&amp;raw[[#This Row],[redis_ls]]&amp;"."&amp;raw[[#This Row],[wage_eq]]&amp;"."&amp;raw[[#This Row],[flex]]&amp;"."&amp;raw[[#This Row],[expo]]</f>
        <v>2029.1.2.0.1</v>
      </c>
    </row>
    <row r="134" spans="1:1">
      <c r="A134" t="str">
        <f t="array" ref="A134">+YEAR(raw[[#This Row],[_date_]])&amp;"."&amp;raw[[#This Row],[redis_ls]]&amp;"."&amp;raw[[#This Row],[wage_eq]]&amp;"."&amp;raw[[#This Row],[flex]]&amp;"."&amp;raw[[#This Row],[expo]]</f>
        <v>2030.1.2.0.1</v>
      </c>
    </row>
    <row r="135" spans="1:1">
      <c r="A135" t="str">
        <f t="array" ref="A135">+YEAR(raw[[#This Row],[_date_]])&amp;"."&amp;raw[[#This Row],[redis_ls]]&amp;"."&amp;raw[[#This Row],[wage_eq]]&amp;"."&amp;raw[[#This Row],[flex]]&amp;"."&amp;raw[[#This Row],[expo]]</f>
        <v>2031.1.2.0.1</v>
      </c>
    </row>
    <row r="136" spans="1:1">
      <c r="A136" t="str">
        <f t="array" ref="A136">+YEAR(raw[[#This Row],[_date_]])&amp;"."&amp;raw[[#This Row],[redis_ls]]&amp;"."&amp;raw[[#This Row],[wage_eq]]&amp;"."&amp;raw[[#This Row],[flex]]&amp;"."&amp;raw[[#This Row],[expo]]</f>
        <v>2032.1.2.0.1</v>
      </c>
    </row>
    <row r="137" spans="1:1">
      <c r="A137" t="str">
        <f t="array" ref="A137">+YEAR(raw[[#This Row],[_date_]])&amp;"."&amp;raw[[#This Row],[redis_ls]]&amp;"."&amp;raw[[#This Row],[wage_eq]]&amp;"."&amp;raw[[#This Row],[flex]]&amp;"."&amp;raw[[#This Row],[expo]]</f>
        <v>2033.1.2.0.1</v>
      </c>
    </row>
    <row r="138" spans="1:1">
      <c r="A138" t="str">
        <f t="array" ref="A138">+YEAR(raw[[#This Row],[_date_]])&amp;"."&amp;raw[[#This Row],[redis_ls]]&amp;"."&amp;raw[[#This Row],[wage_eq]]&amp;"."&amp;raw[[#This Row],[flex]]&amp;"."&amp;raw[[#This Row],[expo]]</f>
        <v>2034.1.2.0.1</v>
      </c>
    </row>
    <row r="139" spans="1:1">
      <c r="A139" t="str">
        <f t="array" ref="A139">+YEAR(raw[[#This Row],[_date_]])&amp;"."&amp;raw[[#This Row],[redis_ls]]&amp;"."&amp;raw[[#This Row],[wage_eq]]&amp;"."&amp;raw[[#This Row],[flex]]&amp;"."&amp;raw[[#This Row],[expo]]</f>
        <v>2035.1.2.0.1</v>
      </c>
    </row>
    <row r="140" spans="1:1">
      <c r="A140" t="str">
        <f t="array" ref="A140">+YEAR(raw[[#This Row],[_date_]])&amp;"."&amp;raw[[#This Row],[redis_ls]]&amp;"."&amp;raw[[#This Row],[wage_eq]]&amp;"."&amp;raw[[#This Row],[flex]]&amp;"."&amp;raw[[#This Row],[expo]]</f>
        <v>2036.1.2.0.1</v>
      </c>
    </row>
    <row r="141" spans="1:1">
      <c r="A141" t="str">
        <f t="array" ref="A141">+YEAR(raw[[#This Row],[_date_]])&amp;"."&amp;raw[[#This Row],[redis_ls]]&amp;"."&amp;raw[[#This Row],[wage_eq]]&amp;"."&amp;raw[[#This Row],[flex]]&amp;"."&amp;raw[[#This Row],[expo]]</f>
        <v>2037.1.2.0.1</v>
      </c>
    </row>
    <row r="142" spans="1:1">
      <c r="A142" t="str">
        <f t="array" ref="A142">+YEAR(raw[[#This Row],[_date_]])&amp;"."&amp;raw[[#This Row],[redis_ls]]&amp;"."&amp;raw[[#This Row],[wage_eq]]&amp;"."&amp;raw[[#This Row],[flex]]&amp;"."&amp;raw[[#This Row],[expo]]</f>
        <v>2038.1.2.0.1</v>
      </c>
    </row>
    <row r="143" spans="1:1">
      <c r="A143" t="str">
        <f t="array" ref="A143">+YEAR(raw[[#This Row],[_date_]])&amp;"."&amp;raw[[#This Row],[redis_ls]]&amp;"."&amp;raw[[#This Row],[wage_eq]]&amp;"."&amp;raw[[#This Row],[flex]]&amp;"."&amp;raw[[#This Row],[expo]]</f>
        <v>2039.1.2.0.1</v>
      </c>
    </row>
    <row r="144" spans="1:1">
      <c r="A144" t="str">
        <f t="array" ref="A144">+YEAR(raw[[#This Row],[_date_]])&amp;"."&amp;raw[[#This Row],[redis_ls]]&amp;"."&amp;raw[[#This Row],[wage_eq]]&amp;"."&amp;raw[[#This Row],[flex]]&amp;"."&amp;raw[[#This Row],[expo]]</f>
        <v>2040.1.2.0.1</v>
      </c>
    </row>
    <row r="145" spans="1:1">
      <c r="A145" t="str">
        <f t="array" ref="A145">+YEAR(raw[[#This Row],[_date_]])&amp;"."&amp;raw[[#This Row],[redis_ls]]&amp;"."&amp;raw[[#This Row],[wage_eq]]&amp;"."&amp;raw[[#This Row],[flex]]&amp;"."&amp;raw[[#This Row],[expo]]</f>
        <v>2041.1.2.0.1</v>
      </c>
    </row>
    <row r="146" spans="1:1">
      <c r="A146" t="str">
        <f t="array" ref="A146">+YEAR(raw[[#This Row],[_date_]])&amp;"."&amp;raw[[#This Row],[redis_ls]]&amp;"."&amp;raw[[#This Row],[wage_eq]]&amp;"."&amp;raw[[#This Row],[flex]]&amp;"."&amp;raw[[#This Row],[expo]]</f>
        <v>2042.1.2.0.1</v>
      </c>
    </row>
    <row r="147" spans="1:1">
      <c r="A147" t="str">
        <f t="array" ref="A147">+YEAR(raw[[#This Row],[_date_]])&amp;"."&amp;raw[[#This Row],[redis_ls]]&amp;"."&amp;raw[[#This Row],[wage_eq]]&amp;"."&amp;raw[[#This Row],[flex]]&amp;"."&amp;raw[[#This Row],[expo]]</f>
        <v>2043.1.2.0.1</v>
      </c>
    </row>
    <row r="148" spans="1:1">
      <c r="A148" t="str">
        <f t="array" ref="A148">+YEAR(raw[[#This Row],[_date_]])&amp;"."&amp;raw[[#This Row],[redis_ls]]&amp;"."&amp;raw[[#This Row],[wage_eq]]&amp;"."&amp;raw[[#This Row],[flex]]&amp;"."&amp;raw[[#This Row],[expo]]</f>
        <v>2044.1.2.0.1</v>
      </c>
    </row>
    <row r="149" spans="1:1">
      <c r="A149" t="str">
        <f t="array" ref="A149">+YEAR(raw[[#This Row],[_date_]])&amp;"."&amp;raw[[#This Row],[redis_ls]]&amp;"."&amp;raw[[#This Row],[wage_eq]]&amp;"."&amp;raw[[#This Row],[flex]]&amp;"."&amp;raw[[#This Row],[expo]]</f>
        <v>2045.1.2.0.1</v>
      </c>
    </row>
    <row r="150" spans="1:1">
      <c r="A150" t="str">
        <f t="array" ref="A150">+YEAR(raw[[#This Row],[_date_]])&amp;"."&amp;raw[[#This Row],[redis_ls]]&amp;"."&amp;raw[[#This Row],[wage_eq]]&amp;"."&amp;raw[[#This Row],[flex]]&amp;"."&amp;raw[[#This Row],[expo]]</f>
        <v>2046.1.2.0.1</v>
      </c>
    </row>
    <row r="151" spans="1:1">
      <c r="A151" t="str">
        <f t="array" ref="A151">+YEAR(raw[[#This Row],[_date_]])&amp;"."&amp;raw[[#This Row],[redis_ls]]&amp;"."&amp;raw[[#This Row],[wage_eq]]&amp;"."&amp;raw[[#This Row],[flex]]&amp;"."&amp;raw[[#This Row],[expo]]</f>
        <v>2047.1.2.0.1</v>
      </c>
    </row>
    <row r="152" spans="1:1">
      <c r="A152" t="str">
        <f t="array" ref="A152">+YEAR(raw[[#This Row],[_date_]])&amp;"."&amp;raw[[#This Row],[redis_ls]]&amp;"."&amp;raw[[#This Row],[wage_eq]]&amp;"."&amp;raw[[#This Row],[flex]]&amp;"."&amp;raw[[#This Row],[expo]]</f>
        <v>2048.1.2.0.1</v>
      </c>
    </row>
    <row r="153" spans="1:1">
      <c r="A153" t="str">
        <f t="array" ref="A153">+YEAR(raw[[#This Row],[_date_]])&amp;"."&amp;raw[[#This Row],[redis_ls]]&amp;"."&amp;raw[[#This Row],[wage_eq]]&amp;"."&amp;raw[[#This Row],[flex]]&amp;"."&amp;raw[[#This Row],[expo]]</f>
        <v>2049.1.2.0.1</v>
      </c>
    </row>
    <row r="154" spans="1:1">
      <c r="A154" t="str">
        <f t="array" ref="A154">+YEAR(raw[[#This Row],[_date_]])&amp;"."&amp;raw[[#This Row],[redis_ls]]&amp;"."&amp;raw[[#This Row],[wage_eq]]&amp;"."&amp;raw[[#This Row],[flex]]&amp;"."&amp;raw[[#This Row],[expo]]</f>
        <v>2050.1.2.0.1</v>
      </c>
    </row>
    <row r="155" spans="1:1">
      <c r="A155" t="str">
        <f t="array" ref="A155">+YEAR(raw[[#This Row],[_date_]])&amp;"."&amp;raw[[#This Row],[redis_ls]]&amp;"."&amp;raw[[#This Row],[wage_eq]]&amp;"."&amp;raw[[#This Row],[flex]]&amp;"."&amp;raw[[#This Row],[expo]]</f>
        <v>2000.1.2.0.0</v>
      </c>
    </row>
    <row r="156" spans="1:1">
      <c r="A156" t="str">
        <f t="array" ref="A156">+YEAR(raw[[#This Row],[_date_]])&amp;"."&amp;raw[[#This Row],[redis_ls]]&amp;"."&amp;raw[[#This Row],[wage_eq]]&amp;"."&amp;raw[[#This Row],[flex]]&amp;"."&amp;raw[[#This Row],[expo]]</f>
        <v>2001.1.2.0.0</v>
      </c>
    </row>
    <row r="157" spans="1:1">
      <c r="A157" t="str">
        <f t="array" ref="A157">+YEAR(raw[[#This Row],[_date_]])&amp;"."&amp;raw[[#This Row],[redis_ls]]&amp;"."&amp;raw[[#This Row],[wage_eq]]&amp;"."&amp;raw[[#This Row],[flex]]&amp;"."&amp;raw[[#This Row],[expo]]</f>
        <v>2002.1.2.0.0</v>
      </c>
    </row>
    <row r="158" spans="1:1">
      <c r="A158" t="str">
        <f t="array" ref="A158">+YEAR(raw[[#This Row],[_date_]])&amp;"."&amp;raw[[#This Row],[redis_ls]]&amp;"."&amp;raw[[#This Row],[wage_eq]]&amp;"."&amp;raw[[#This Row],[flex]]&amp;"."&amp;raw[[#This Row],[expo]]</f>
        <v>2003.1.2.0.0</v>
      </c>
    </row>
    <row r="159" spans="1:1">
      <c r="A159" t="str">
        <f t="array" ref="A159">+YEAR(raw[[#This Row],[_date_]])&amp;"."&amp;raw[[#This Row],[redis_ls]]&amp;"."&amp;raw[[#This Row],[wage_eq]]&amp;"."&amp;raw[[#This Row],[flex]]&amp;"."&amp;raw[[#This Row],[expo]]</f>
        <v>2004.1.2.0.0</v>
      </c>
    </row>
    <row r="160" spans="1:1">
      <c r="A160" t="str">
        <f t="array" ref="A160">+YEAR(raw[[#This Row],[_date_]])&amp;"."&amp;raw[[#This Row],[redis_ls]]&amp;"."&amp;raw[[#This Row],[wage_eq]]&amp;"."&amp;raw[[#This Row],[flex]]&amp;"."&amp;raw[[#This Row],[expo]]</f>
        <v>2005.1.2.0.0</v>
      </c>
    </row>
    <row r="161" spans="1:1">
      <c r="A161" t="str">
        <f t="array" ref="A161">+YEAR(raw[[#This Row],[_date_]])&amp;"."&amp;raw[[#This Row],[redis_ls]]&amp;"."&amp;raw[[#This Row],[wage_eq]]&amp;"."&amp;raw[[#This Row],[flex]]&amp;"."&amp;raw[[#This Row],[expo]]</f>
        <v>2006.1.2.0.0</v>
      </c>
    </row>
    <row r="162" spans="1:1">
      <c r="A162" t="str">
        <f t="array" ref="A162">+YEAR(raw[[#This Row],[_date_]])&amp;"."&amp;raw[[#This Row],[redis_ls]]&amp;"."&amp;raw[[#This Row],[wage_eq]]&amp;"."&amp;raw[[#This Row],[flex]]&amp;"."&amp;raw[[#This Row],[expo]]</f>
        <v>2007.1.2.0.0</v>
      </c>
    </row>
    <row r="163" spans="1:1">
      <c r="A163" t="str">
        <f t="array" ref="A163">+YEAR(raw[[#This Row],[_date_]])&amp;"."&amp;raw[[#This Row],[redis_ls]]&amp;"."&amp;raw[[#This Row],[wage_eq]]&amp;"."&amp;raw[[#This Row],[flex]]&amp;"."&amp;raw[[#This Row],[expo]]</f>
        <v>2008.1.2.0.0</v>
      </c>
    </row>
    <row r="164" spans="1:1">
      <c r="A164" t="str">
        <f t="array" ref="A164">+YEAR(raw[[#This Row],[_date_]])&amp;"."&amp;raw[[#This Row],[redis_ls]]&amp;"."&amp;raw[[#This Row],[wage_eq]]&amp;"."&amp;raw[[#This Row],[flex]]&amp;"."&amp;raw[[#This Row],[expo]]</f>
        <v>2009.1.2.0.0</v>
      </c>
    </row>
    <row r="165" spans="1:1">
      <c r="A165" t="str">
        <f t="array" ref="A165">+YEAR(raw[[#This Row],[_date_]])&amp;"."&amp;raw[[#This Row],[redis_ls]]&amp;"."&amp;raw[[#This Row],[wage_eq]]&amp;"."&amp;raw[[#This Row],[flex]]&amp;"."&amp;raw[[#This Row],[expo]]</f>
        <v>2010.1.2.0.0</v>
      </c>
    </row>
    <row r="166" spans="1:1">
      <c r="A166" t="str">
        <f t="array" ref="A166">+YEAR(raw[[#This Row],[_date_]])&amp;"."&amp;raw[[#This Row],[redis_ls]]&amp;"."&amp;raw[[#This Row],[wage_eq]]&amp;"."&amp;raw[[#This Row],[flex]]&amp;"."&amp;raw[[#This Row],[expo]]</f>
        <v>2011.1.2.0.0</v>
      </c>
    </row>
    <row r="167" spans="1:1">
      <c r="A167" t="str">
        <f t="array" ref="A167">+YEAR(raw[[#This Row],[_date_]])&amp;"."&amp;raw[[#This Row],[redis_ls]]&amp;"."&amp;raw[[#This Row],[wage_eq]]&amp;"."&amp;raw[[#This Row],[flex]]&amp;"."&amp;raw[[#This Row],[expo]]</f>
        <v>2012.1.2.0.0</v>
      </c>
    </row>
    <row r="168" spans="1:1">
      <c r="A168" t="str">
        <f t="array" ref="A168">+YEAR(raw[[#This Row],[_date_]])&amp;"."&amp;raw[[#This Row],[redis_ls]]&amp;"."&amp;raw[[#This Row],[wage_eq]]&amp;"."&amp;raw[[#This Row],[flex]]&amp;"."&amp;raw[[#This Row],[expo]]</f>
        <v>2013.1.2.0.0</v>
      </c>
    </row>
    <row r="169" spans="1:1">
      <c r="A169" t="str">
        <f t="array" ref="A169">+YEAR(raw[[#This Row],[_date_]])&amp;"."&amp;raw[[#This Row],[redis_ls]]&amp;"."&amp;raw[[#This Row],[wage_eq]]&amp;"."&amp;raw[[#This Row],[flex]]&amp;"."&amp;raw[[#This Row],[expo]]</f>
        <v>2014.1.2.0.0</v>
      </c>
    </row>
    <row r="170" spans="1:1">
      <c r="A170" t="str">
        <f t="array" ref="A170">+YEAR(raw[[#This Row],[_date_]])&amp;"."&amp;raw[[#This Row],[redis_ls]]&amp;"."&amp;raw[[#This Row],[wage_eq]]&amp;"."&amp;raw[[#This Row],[flex]]&amp;"."&amp;raw[[#This Row],[expo]]</f>
        <v>2015.1.2.0.0</v>
      </c>
    </row>
    <row r="171" spans="1:1">
      <c r="A171" t="str">
        <f t="array" ref="A171">+YEAR(raw[[#This Row],[_date_]])&amp;"."&amp;raw[[#This Row],[redis_ls]]&amp;"."&amp;raw[[#This Row],[wage_eq]]&amp;"."&amp;raw[[#This Row],[flex]]&amp;"."&amp;raw[[#This Row],[expo]]</f>
        <v>2016.1.2.0.0</v>
      </c>
    </row>
    <row r="172" spans="1:1">
      <c r="A172" t="str">
        <f t="array" ref="A172">+YEAR(raw[[#This Row],[_date_]])&amp;"."&amp;raw[[#This Row],[redis_ls]]&amp;"."&amp;raw[[#This Row],[wage_eq]]&amp;"."&amp;raw[[#This Row],[flex]]&amp;"."&amp;raw[[#This Row],[expo]]</f>
        <v>2017.1.2.0.0</v>
      </c>
    </row>
    <row r="173" spans="1:1">
      <c r="A173" t="str">
        <f t="array" ref="A173">+YEAR(raw[[#This Row],[_date_]])&amp;"."&amp;raw[[#This Row],[redis_ls]]&amp;"."&amp;raw[[#This Row],[wage_eq]]&amp;"."&amp;raw[[#This Row],[flex]]&amp;"."&amp;raw[[#This Row],[expo]]</f>
        <v>2018.1.2.0.0</v>
      </c>
    </row>
    <row r="174" spans="1:1">
      <c r="A174" t="str">
        <f t="array" ref="A174">+YEAR(raw[[#This Row],[_date_]])&amp;"."&amp;raw[[#This Row],[redis_ls]]&amp;"."&amp;raw[[#This Row],[wage_eq]]&amp;"."&amp;raw[[#This Row],[flex]]&amp;"."&amp;raw[[#This Row],[expo]]</f>
        <v>2019.1.2.0.0</v>
      </c>
    </row>
    <row r="175" spans="1:1">
      <c r="A175" t="str">
        <f t="array" ref="A175">+YEAR(raw[[#This Row],[_date_]])&amp;"."&amp;raw[[#This Row],[redis_ls]]&amp;"."&amp;raw[[#This Row],[wage_eq]]&amp;"."&amp;raw[[#This Row],[flex]]&amp;"."&amp;raw[[#This Row],[expo]]</f>
        <v>2020.1.2.0.0</v>
      </c>
    </row>
    <row r="176" spans="1:1">
      <c r="A176" t="str">
        <f t="array" ref="A176">+YEAR(raw[[#This Row],[_date_]])&amp;"."&amp;raw[[#This Row],[redis_ls]]&amp;"."&amp;raw[[#This Row],[wage_eq]]&amp;"."&amp;raw[[#This Row],[flex]]&amp;"."&amp;raw[[#This Row],[expo]]</f>
        <v>2021.1.2.0.0</v>
      </c>
    </row>
    <row r="177" spans="1:1">
      <c r="A177" t="str">
        <f t="array" ref="A177">+YEAR(raw[[#This Row],[_date_]])&amp;"."&amp;raw[[#This Row],[redis_ls]]&amp;"."&amp;raw[[#This Row],[wage_eq]]&amp;"."&amp;raw[[#This Row],[flex]]&amp;"."&amp;raw[[#This Row],[expo]]</f>
        <v>2022.1.2.0.0</v>
      </c>
    </row>
    <row r="178" spans="1:1">
      <c r="A178" t="str">
        <f t="array" ref="A178">+YEAR(raw[[#This Row],[_date_]])&amp;"."&amp;raw[[#This Row],[redis_ls]]&amp;"."&amp;raw[[#This Row],[wage_eq]]&amp;"."&amp;raw[[#This Row],[flex]]&amp;"."&amp;raw[[#This Row],[expo]]</f>
        <v>2023.1.2.0.0</v>
      </c>
    </row>
    <row r="179" spans="1:1">
      <c r="A179" t="str">
        <f t="array" ref="A179">+YEAR(raw[[#This Row],[_date_]])&amp;"."&amp;raw[[#This Row],[redis_ls]]&amp;"."&amp;raw[[#This Row],[wage_eq]]&amp;"."&amp;raw[[#This Row],[flex]]&amp;"."&amp;raw[[#This Row],[expo]]</f>
        <v>2024.1.2.0.0</v>
      </c>
    </row>
    <row r="180" spans="1:1">
      <c r="A180" t="str">
        <f t="array" ref="A180">+YEAR(raw[[#This Row],[_date_]])&amp;"."&amp;raw[[#This Row],[redis_ls]]&amp;"."&amp;raw[[#This Row],[wage_eq]]&amp;"."&amp;raw[[#This Row],[flex]]&amp;"."&amp;raw[[#This Row],[expo]]</f>
        <v>2025.1.2.0.0</v>
      </c>
    </row>
    <row r="181" spans="1:1">
      <c r="A181" t="str">
        <f t="array" ref="A181">+YEAR(raw[[#This Row],[_date_]])&amp;"."&amp;raw[[#This Row],[redis_ls]]&amp;"."&amp;raw[[#This Row],[wage_eq]]&amp;"."&amp;raw[[#This Row],[flex]]&amp;"."&amp;raw[[#This Row],[expo]]</f>
        <v>2026.1.2.0.0</v>
      </c>
    </row>
    <row r="182" spans="1:1">
      <c r="A182" t="str">
        <f t="array" ref="A182">+YEAR(raw[[#This Row],[_date_]])&amp;"."&amp;raw[[#This Row],[redis_ls]]&amp;"."&amp;raw[[#This Row],[wage_eq]]&amp;"."&amp;raw[[#This Row],[flex]]&amp;"."&amp;raw[[#This Row],[expo]]</f>
        <v>2027.1.2.0.0</v>
      </c>
    </row>
    <row r="183" spans="1:1">
      <c r="A183" t="str">
        <f t="array" ref="A183">+YEAR(raw[[#This Row],[_date_]])&amp;"."&amp;raw[[#This Row],[redis_ls]]&amp;"."&amp;raw[[#This Row],[wage_eq]]&amp;"."&amp;raw[[#This Row],[flex]]&amp;"."&amp;raw[[#This Row],[expo]]</f>
        <v>2028.1.2.0.0</v>
      </c>
    </row>
    <row r="184" spans="1:1">
      <c r="A184" t="str">
        <f t="array" ref="A184">+YEAR(raw[[#This Row],[_date_]])&amp;"."&amp;raw[[#This Row],[redis_ls]]&amp;"."&amp;raw[[#This Row],[wage_eq]]&amp;"."&amp;raw[[#This Row],[flex]]&amp;"."&amp;raw[[#This Row],[expo]]</f>
        <v>2029.1.2.0.0</v>
      </c>
    </row>
    <row r="185" spans="1:1">
      <c r="A185" t="str">
        <f t="array" ref="A185">+YEAR(raw[[#This Row],[_date_]])&amp;"."&amp;raw[[#This Row],[redis_ls]]&amp;"."&amp;raw[[#This Row],[wage_eq]]&amp;"."&amp;raw[[#This Row],[flex]]&amp;"."&amp;raw[[#This Row],[expo]]</f>
        <v>2030.1.2.0.0</v>
      </c>
    </row>
    <row r="186" spans="1:1">
      <c r="A186" t="str">
        <f t="array" ref="A186">+YEAR(raw[[#This Row],[_date_]])&amp;"."&amp;raw[[#This Row],[redis_ls]]&amp;"."&amp;raw[[#This Row],[wage_eq]]&amp;"."&amp;raw[[#This Row],[flex]]&amp;"."&amp;raw[[#This Row],[expo]]</f>
        <v>2031.1.2.0.0</v>
      </c>
    </row>
    <row r="187" spans="1:1">
      <c r="A187" t="str">
        <f t="array" ref="A187">+YEAR(raw[[#This Row],[_date_]])&amp;"."&amp;raw[[#This Row],[redis_ls]]&amp;"."&amp;raw[[#This Row],[wage_eq]]&amp;"."&amp;raw[[#This Row],[flex]]&amp;"."&amp;raw[[#This Row],[expo]]</f>
        <v>2032.1.2.0.0</v>
      </c>
    </row>
    <row r="188" spans="1:1">
      <c r="A188" t="str">
        <f t="array" ref="A188">+YEAR(raw[[#This Row],[_date_]])&amp;"."&amp;raw[[#This Row],[redis_ls]]&amp;"."&amp;raw[[#This Row],[wage_eq]]&amp;"."&amp;raw[[#This Row],[flex]]&amp;"."&amp;raw[[#This Row],[expo]]</f>
        <v>2033.1.2.0.0</v>
      </c>
    </row>
    <row r="189" spans="1:1">
      <c r="A189" t="str">
        <f t="array" ref="A189">+YEAR(raw[[#This Row],[_date_]])&amp;"."&amp;raw[[#This Row],[redis_ls]]&amp;"."&amp;raw[[#This Row],[wage_eq]]&amp;"."&amp;raw[[#This Row],[flex]]&amp;"."&amp;raw[[#This Row],[expo]]</f>
        <v>2034.1.2.0.0</v>
      </c>
    </row>
    <row r="190" spans="1:1">
      <c r="A190" t="str">
        <f t="array" ref="A190">+YEAR(raw[[#This Row],[_date_]])&amp;"."&amp;raw[[#This Row],[redis_ls]]&amp;"."&amp;raw[[#This Row],[wage_eq]]&amp;"."&amp;raw[[#This Row],[flex]]&amp;"."&amp;raw[[#This Row],[expo]]</f>
        <v>2035.1.2.0.0</v>
      </c>
    </row>
    <row r="191" spans="1:1">
      <c r="A191" t="str">
        <f t="array" ref="A191">+YEAR(raw[[#This Row],[_date_]])&amp;"."&amp;raw[[#This Row],[redis_ls]]&amp;"."&amp;raw[[#This Row],[wage_eq]]&amp;"."&amp;raw[[#This Row],[flex]]&amp;"."&amp;raw[[#This Row],[expo]]</f>
        <v>2036.1.2.0.0</v>
      </c>
    </row>
    <row r="192" spans="1:1">
      <c r="A192" t="str">
        <f t="array" ref="A192">+YEAR(raw[[#This Row],[_date_]])&amp;"."&amp;raw[[#This Row],[redis_ls]]&amp;"."&amp;raw[[#This Row],[wage_eq]]&amp;"."&amp;raw[[#This Row],[flex]]&amp;"."&amp;raw[[#This Row],[expo]]</f>
        <v>2037.1.2.0.0</v>
      </c>
    </row>
    <row r="193" spans="1:1">
      <c r="A193" t="str">
        <f t="array" ref="A193">+YEAR(raw[[#This Row],[_date_]])&amp;"."&amp;raw[[#This Row],[redis_ls]]&amp;"."&amp;raw[[#This Row],[wage_eq]]&amp;"."&amp;raw[[#This Row],[flex]]&amp;"."&amp;raw[[#This Row],[expo]]</f>
        <v>2038.1.2.0.0</v>
      </c>
    </row>
    <row r="194" spans="1:1">
      <c r="A194" t="str">
        <f t="array" ref="A194">+YEAR(raw[[#This Row],[_date_]])&amp;"."&amp;raw[[#This Row],[redis_ls]]&amp;"."&amp;raw[[#This Row],[wage_eq]]&amp;"."&amp;raw[[#This Row],[flex]]&amp;"."&amp;raw[[#This Row],[expo]]</f>
        <v>2039.1.2.0.0</v>
      </c>
    </row>
    <row r="195" spans="1:1">
      <c r="A195" t="str">
        <f t="array" ref="A195">+YEAR(raw[[#This Row],[_date_]])&amp;"."&amp;raw[[#This Row],[redis_ls]]&amp;"."&amp;raw[[#This Row],[wage_eq]]&amp;"."&amp;raw[[#This Row],[flex]]&amp;"."&amp;raw[[#This Row],[expo]]</f>
        <v>2040.1.2.0.0</v>
      </c>
    </row>
    <row r="196" spans="1:1">
      <c r="A196" t="str">
        <f t="array" ref="A196">+YEAR(raw[[#This Row],[_date_]])&amp;"."&amp;raw[[#This Row],[redis_ls]]&amp;"."&amp;raw[[#This Row],[wage_eq]]&amp;"."&amp;raw[[#This Row],[flex]]&amp;"."&amp;raw[[#This Row],[expo]]</f>
        <v>2041.1.2.0.0</v>
      </c>
    </row>
    <row r="197" spans="1:1">
      <c r="A197" t="str">
        <f t="array" ref="A197">+YEAR(raw[[#This Row],[_date_]])&amp;"."&amp;raw[[#This Row],[redis_ls]]&amp;"."&amp;raw[[#This Row],[wage_eq]]&amp;"."&amp;raw[[#This Row],[flex]]&amp;"."&amp;raw[[#This Row],[expo]]</f>
        <v>2042.1.2.0.0</v>
      </c>
    </row>
    <row r="198" spans="1:1">
      <c r="A198" t="str">
        <f t="array" ref="A198">+YEAR(raw[[#This Row],[_date_]])&amp;"."&amp;raw[[#This Row],[redis_ls]]&amp;"."&amp;raw[[#This Row],[wage_eq]]&amp;"."&amp;raw[[#This Row],[flex]]&amp;"."&amp;raw[[#This Row],[expo]]</f>
        <v>2043.1.2.0.0</v>
      </c>
    </row>
    <row r="199" spans="1:1">
      <c r="A199" t="str">
        <f t="array" ref="A199">+YEAR(raw[[#This Row],[_date_]])&amp;"."&amp;raw[[#This Row],[redis_ls]]&amp;"."&amp;raw[[#This Row],[wage_eq]]&amp;"."&amp;raw[[#This Row],[flex]]&amp;"."&amp;raw[[#This Row],[expo]]</f>
        <v>2044.1.2.0.0</v>
      </c>
    </row>
    <row r="200" spans="1:1">
      <c r="A200" t="str">
        <f t="array" ref="A200">+YEAR(raw[[#This Row],[_date_]])&amp;"."&amp;raw[[#This Row],[redis_ls]]&amp;"."&amp;raw[[#This Row],[wage_eq]]&amp;"."&amp;raw[[#This Row],[flex]]&amp;"."&amp;raw[[#This Row],[expo]]</f>
        <v>2045.1.2.0.0</v>
      </c>
    </row>
    <row r="201" spans="1:1">
      <c r="A201" t="str">
        <f t="array" ref="A201">+YEAR(raw[[#This Row],[_date_]])&amp;"."&amp;raw[[#This Row],[redis_ls]]&amp;"."&amp;raw[[#This Row],[wage_eq]]&amp;"."&amp;raw[[#This Row],[flex]]&amp;"."&amp;raw[[#This Row],[expo]]</f>
        <v>2046.1.2.0.0</v>
      </c>
    </row>
    <row r="202" spans="1:1">
      <c r="A202" t="str">
        <f t="array" ref="A202">+YEAR(raw[[#This Row],[_date_]])&amp;"."&amp;raw[[#This Row],[redis_ls]]&amp;"."&amp;raw[[#This Row],[wage_eq]]&amp;"."&amp;raw[[#This Row],[flex]]&amp;"."&amp;raw[[#This Row],[expo]]</f>
        <v>2047.1.2.0.0</v>
      </c>
    </row>
    <row r="203" spans="1:1">
      <c r="A203" t="str">
        <f t="array" ref="A203">+YEAR(raw[[#This Row],[_date_]])&amp;"."&amp;raw[[#This Row],[redis_ls]]&amp;"."&amp;raw[[#This Row],[wage_eq]]&amp;"."&amp;raw[[#This Row],[flex]]&amp;"."&amp;raw[[#This Row],[expo]]</f>
        <v>2048.1.2.0.0</v>
      </c>
    </row>
    <row r="204" spans="1:1">
      <c r="A204" t="str">
        <f t="array" ref="A204">+YEAR(raw[[#This Row],[_date_]])&amp;"."&amp;raw[[#This Row],[redis_ls]]&amp;"."&amp;raw[[#This Row],[wage_eq]]&amp;"."&amp;raw[[#This Row],[flex]]&amp;"."&amp;raw[[#This Row],[expo]]</f>
        <v>2049.1.2.0.0</v>
      </c>
    </row>
    <row r="205" spans="1:1">
      <c r="A205" t="str">
        <f t="array" ref="A205">+YEAR(raw[[#This Row],[_date_]])&amp;"."&amp;raw[[#This Row],[redis_ls]]&amp;"."&amp;raw[[#This Row],[wage_eq]]&amp;"."&amp;raw[[#This Row],[flex]]&amp;"."&amp;raw[[#This Row],[expo]]</f>
        <v>2050.1.2.0.0</v>
      </c>
    </row>
    <row r="206" spans="1:1">
      <c r="A206" t="str">
        <f t="array" ref="A206">+YEAR(raw[[#This Row],[_date_]])&amp;"."&amp;raw[[#This Row],[redis_ls]]&amp;"."&amp;raw[[#This Row],[wage_eq]]&amp;"."&amp;raw[[#This Row],[flex]]&amp;"."&amp;raw[[#This Row],[expo]]</f>
        <v>2000.1.1.1.1</v>
      </c>
    </row>
    <row r="207" spans="1:1">
      <c r="A207" t="str">
        <f t="array" ref="A207">+YEAR(raw[[#This Row],[_date_]])&amp;"."&amp;raw[[#This Row],[redis_ls]]&amp;"."&amp;raw[[#This Row],[wage_eq]]&amp;"."&amp;raw[[#This Row],[flex]]&amp;"."&amp;raw[[#This Row],[expo]]</f>
        <v>2001.1.1.1.1</v>
      </c>
    </row>
    <row r="208" spans="1:1">
      <c r="A208" t="str">
        <f t="array" ref="A208">+YEAR(raw[[#This Row],[_date_]])&amp;"."&amp;raw[[#This Row],[redis_ls]]&amp;"."&amp;raw[[#This Row],[wage_eq]]&amp;"."&amp;raw[[#This Row],[flex]]&amp;"."&amp;raw[[#This Row],[expo]]</f>
        <v>2002.1.1.1.1</v>
      </c>
    </row>
    <row r="209" spans="1:1">
      <c r="A209" t="str">
        <f t="array" ref="A209">+YEAR(raw[[#This Row],[_date_]])&amp;"."&amp;raw[[#This Row],[redis_ls]]&amp;"."&amp;raw[[#This Row],[wage_eq]]&amp;"."&amp;raw[[#This Row],[flex]]&amp;"."&amp;raw[[#This Row],[expo]]</f>
        <v>2003.1.1.1.1</v>
      </c>
    </row>
    <row r="210" spans="1:1">
      <c r="A210" t="str">
        <f t="array" ref="A210">+YEAR(raw[[#This Row],[_date_]])&amp;"."&amp;raw[[#This Row],[redis_ls]]&amp;"."&amp;raw[[#This Row],[wage_eq]]&amp;"."&amp;raw[[#This Row],[flex]]&amp;"."&amp;raw[[#This Row],[expo]]</f>
        <v>2004.1.1.1.1</v>
      </c>
    </row>
    <row r="211" spans="1:1">
      <c r="A211" t="str">
        <f t="array" ref="A211">+YEAR(raw[[#This Row],[_date_]])&amp;"."&amp;raw[[#This Row],[redis_ls]]&amp;"."&amp;raw[[#This Row],[wage_eq]]&amp;"."&amp;raw[[#This Row],[flex]]&amp;"."&amp;raw[[#This Row],[expo]]</f>
        <v>2005.1.1.1.1</v>
      </c>
    </row>
    <row r="212" spans="1:1">
      <c r="A212" t="str">
        <f t="array" ref="A212">+YEAR(raw[[#This Row],[_date_]])&amp;"."&amp;raw[[#This Row],[redis_ls]]&amp;"."&amp;raw[[#This Row],[wage_eq]]&amp;"."&amp;raw[[#This Row],[flex]]&amp;"."&amp;raw[[#This Row],[expo]]</f>
        <v>2006.1.1.1.1</v>
      </c>
    </row>
    <row r="213" spans="1:1">
      <c r="A213" t="str">
        <f t="array" ref="A213">+YEAR(raw[[#This Row],[_date_]])&amp;"."&amp;raw[[#This Row],[redis_ls]]&amp;"."&amp;raw[[#This Row],[wage_eq]]&amp;"."&amp;raw[[#This Row],[flex]]&amp;"."&amp;raw[[#This Row],[expo]]</f>
        <v>2007.1.1.1.1</v>
      </c>
    </row>
    <row r="214" spans="1:1">
      <c r="A214" t="str">
        <f t="array" ref="A214">+YEAR(raw[[#This Row],[_date_]])&amp;"."&amp;raw[[#This Row],[redis_ls]]&amp;"."&amp;raw[[#This Row],[wage_eq]]&amp;"."&amp;raw[[#This Row],[flex]]&amp;"."&amp;raw[[#This Row],[expo]]</f>
        <v>2008.1.1.1.1</v>
      </c>
    </row>
    <row r="215" spans="1:1">
      <c r="A215" t="str">
        <f t="array" ref="A215">+YEAR(raw[[#This Row],[_date_]])&amp;"."&amp;raw[[#This Row],[redis_ls]]&amp;"."&amp;raw[[#This Row],[wage_eq]]&amp;"."&amp;raw[[#This Row],[flex]]&amp;"."&amp;raw[[#This Row],[expo]]</f>
        <v>2009.1.1.1.1</v>
      </c>
    </row>
    <row r="216" spans="1:1">
      <c r="A216" t="str">
        <f t="array" ref="A216">+YEAR(raw[[#This Row],[_date_]])&amp;"."&amp;raw[[#This Row],[redis_ls]]&amp;"."&amp;raw[[#This Row],[wage_eq]]&amp;"."&amp;raw[[#This Row],[flex]]&amp;"."&amp;raw[[#This Row],[expo]]</f>
        <v>2010.1.1.1.1</v>
      </c>
    </row>
    <row r="217" spans="1:1">
      <c r="A217" t="str">
        <f t="array" ref="A217">+YEAR(raw[[#This Row],[_date_]])&amp;"."&amp;raw[[#This Row],[redis_ls]]&amp;"."&amp;raw[[#This Row],[wage_eq]]&amp;"."&amp;raw[[#This Row],[flex]]&amp;"."&amp;raw[[#This Row],[expo]]</f>
        <v>2011.1.1.1.1</v>
      </c>
    </row>
    <row r="218" spans="1:1">
      <c r="A218" t="str">
        <f t="array" ref="A218">+YEAR(raw[[#This Row],[_date_]])&amp;"."&amp;raw[[#This Row],[redis_ls]]&amp;"."&amp;raw[[#This Row],[wage_eq]]&amp;"."&amp;raw[[#This Row],[flex]]&amp;"."&amp;raw[[#This Row],[expo]]</f>
        <v>2012.1.1.1.1</v>
      </c>
    </row>
    <row r="219" spans="1:1">
      <c r="A219" t="str">
        <f t="array" ref="A219">+YEAR(raw[[#This Row],[_date_]])&amp;"."&amp;raw[[#This Row],[redis_ls]]&amp;"."&amp;raw[[#This Row],[wage_eq]]&amp;"."&amp;raw[[#This Row],[flex]]&amp;"."&amp;raw[[#This Row],[expo]]</f>
        <v>2013.1.1.1.1</v>
      </c>
    </row>
    <row r="220" spans="1:1">
      <c r="A220" t="str">
        <f t="array" ref="A220">+YEAR(raw[[#This Row],[_date_]])&amp;"."&amp;raw[[#This Row],[redis_ls]]&amp;"."&amp;raw[[#This Row],[wage_eq]]&amp;"."&amp;raw[[#This Row],[flex]]&amp;"."&amp;raw[[#This Row],[expo]]</f>
        <v>2014.1.1.1.1</v>
      </c>
    </row>
    <row r="221" spans="1:1">
      <c r="A221" t="str">
        <f t="array" ref="A221">+YEAR(raw[[#This Row],[_date_]])&amp;"."&amp;raw[[#This Row],[redis_ls]]&amp;"."&amp;raw[[#This Row],[wage_eq]]&amp;"."&amp;raw[[#This Row],[flex]]&amp;"."&amp;raw[[#This Row],[expo]]</f>
        <v>2015.1.1.1.1</v>
      </c>
    </row>
    <row r="222" spans="1:1">
      <c r="A222" t="str">
        <f t="array" ref="A222">+YEAR(raw[[#This Row],[_date_]])&amp;"."&amp;raw[[#This Row],[redis_ls]]&amp;"."&amp;raw[[#This Row],[wage_eq]]&amp;"."&amp;raw[[#This Row],[flex]]&amp;"."&amp;raw[[#This Row],[expo]]</f>
        <v>2016.1.1.1.1</v>
      </c>
    </row>
    <row r="223" spans="1:1">
      <c r="A223" t="str">
        <f t="array" ref="A223">+YEAR(raw[[#This Row],[_date_]])&amp;"."&amp;raw[[#This Row],[redis_ls]]&amp;"."&amp;raw[[#This Row],[wage_eq]]&amp;"."&amp;raw[[#This Row],[flex]]&amp;"."&amp;raw[[#This Row],[expo]]</f>
        <v>2017.1.1.1.1</v>
      </c>
    </row>
    <row r="224" spans="1:1">
      <c r="A224" t="str">
        <f t="array" ref="A224">+YEAR(raw[[#This Row],[_date_]])&amp;"."&amp;raw[[#This Row],[redis_ls]]&amp;"."&amp;raw[[#This Row],[wage_eq]]&amp;"."&amp;raw[[#This Row],[flex]]&amp;"."&amp;raw[[#This Row],[expo]]</f>
        <v>2018.1.1.1.1</v>
      </c>
    </row>
    <row r="225" spans="1:1">
      <c r="A225" t="str">
        <f t="array" ref="A225">+YEAR(raw[[#This Row],[_date_]])&amp;"."&amp;raw[[#This Row],[redis_ls]]&amp;"."&amp;raw[[#This Row],[wage_eq]]&amp;"."&amp;raw[[#This Row],[flex]]&amp;"."&amp;raw[[#This Row],[expo]]</f>
        <v>2019.1.1.1.1</v>
      </c>
    </row>
    <row r="226" spans="1:1">
      <c r="A226" t="str">
        <f t="array" ref="A226">+YEAR(raw[[#This Row],[_date_]])&amp;"."&amp;raw[[#This Row],[redis_ls]]&amp;"."&amp;raw[[#This Row],[wage_eq]]&amp;"."&amp;raw[[#This Row],[flex]]&amp;"."&amp;raw[[#This Row],[expo]]</f>
        <v>2020.1.1.1.1</v>
      </c>
    </row>
    <row r="227" spans="1:1">
      <c r="A227" t="str">
        <f t="array" ref="A227">+YEAR(raw[[#This Row],[_date_]])&amp;"."&amp;raw[[#This Row],[redis_ls]]&amp;"."&amp;raw[[#This Row],[wage_eq]]&amp;"."&amp;raw[[#This Row],[flex]]&amp;"."&amp;raw[[#This Row],[expo]]</f>
        <v>2021.1.1.1.1</v>
      </c>
    </row>
    <row r="228" spans="1:1">
      <c r="A228" t="str">
        <f t="array" ref="A228">+YEAR(raw[[#This Row],[_date_]])&amp;"."&amp;raw[[#This Row],[redis_ls]]&amp;"."&amp;raw[[#This Row],[wage_eq]]&amp;"."&amp;raw[[#This Row],[flex]]&amp;"."&amp;raw[[#This Row],[expo]]</f>
        <v>2022.1.1.1.1</v>
      </c>
    </row>
    <row r="229" spans="1:1">
      <c r="A229" t="str">
        <f t="array" ref="A229">+YEAR(raw[[#This Row],[_date_]])&amp;"."&amp;raw[[#This Row],[redis_ls]]&amp;"."&amp;raw[[#This Row],[wage_eq]]&amp;"."&amp;raw[[#This Row],[flex]]&amp;"."&amp;raw[[#This Row],[expo]]</f>
        <v>2023.1.1.1.1</v>
      </c>
    </row>
    <row r="230" spans="1:1">
      <c r="A230" t="str">
        <f t="array" ref="A230">+YEAR(raw[[#This Row],[_date_]])&amp;"."&amp;raw[[#This Row],[redis_ls]]&amp;"."&amp;raw[[#This Row],[wage_eq]]&amp;"."&amp;raw[[#This Row],[flex]]&amp;"."&amp;raw[[#This Row],[expo]]</f>
        <v>2024.1.1.1.1</v>
      </c>
    </row>
    <row r="231" spans="1:1">
      <c r="A231" t="str">
        <f t="array" ref="A231">+YEAR(raw[[#This Row],[_date_]])&amp;"."&amp;raw[[#This Row],[redis_ls]]&amp;"."&amp;raw[[#This Row],[wage_eq]]&amp;"."&amp;raw[[#This Row],[flex]]&amp;"."&amp;raw[[#This Row],[expo]]</f>
        <v>2025.1.1.1.1</v>
      </c>
    </row>
    <row r="232" spans="1:1">
      <c r="A232" t="str">
        <f t="array" ref="A232">+YEAR(raw[[#This Row],[_date_]])&amp;"."&amp;raw[[#This Row],[redis_ls]]&amp;"."&amp;raw[[#This Row],[wage_eq]]&amp;"."&amp;raw[[#This Row],[flex]]&amp;"."&amp;raw[[#This Row],[expo]]</f>
        <v>2026.1.1.1.1</v>
      </c>
    </row>
    <row r="233" spans="1:1">
      <c r="A233" t="str">
        <f t="array" ref="A233">+YEAR(raw[[#This Row],[_date_]])&amp;"."&amp;raw[[#This Row],[redis_ls]]&amp;"."&amp;raw[[#This Row],[wage_eq]]&amp;"."&amp;raw[[#This Row],[flex]]&amp;"."&amp;raw[[#This Row],[expo]]</f>
        <v>2027.1.1.1.1</v>
      </c>
    </row>
    <row r="234" spans="1:1">
      <c r="A234" t="str">
        <f t="array" ref="A234">+YEAR(raw[[#This Row],[_date_]])&amp;"."&amp;raw[[#This Row],[redis_ls]]&amp;"."&amp;raw[[#This Row],[wage_eq]]&amp;"."&amp;raw[[#This Row],[flex]]&amp;"."&amp;raw[[#This Row],[expo]]</f>
        <v>2028.1.1.1.1</v>
      </c>
    </row>
    <row r="235" spans="1:1">
      <c r="A235" t="str">
        <f t="array" ref="A235">+YEAR(raw[[#This Row],[_date_]])&amp;"."&amp;raw[[#This Row],[redis_ls]]&amp;"."&amp;raw[[#This Row],[wage_eq]]&amp;"."&amp;raw[[#This Row],[flex]]&amp;"."&amp;raw[[#This Row],[expo]]</f>
        <v>2029.1.1.1.1</v>
      </c>
    </row>
    <row r="236" spans="1:1">
      <c r="A236" t="str">
        <f t="array" ref="A236">+YEAR(raw[[#This Row],[_date_]])&amp;"."&amp;raw[[#This Row],[redis_ls]]&amp;"."&amp;raw[[#This Row],[wage_eq]]&amp;"."&amp;raw[[#This Row],[flex]]&amp;"."&amp;raw[[#This Row],[expo]]</f>
        <v>2030.1.1.1.1</v>
      </c>
    </row>
    <row r="237" spans="1:1">
      <c r="A237" t="str">
        <f t="array" ref="A237">+YEAR(raw[[#This Row],[_date_]])&amp;"."&amp;raw[[#This Row],[redis_ls]]&amp;"."&amp;raw[[#This Row],[wage_eq]]&amp;"."&amp;raw[[#This Row],[flex]]&amp;"."&amp;raw[[#This Row],[expo]]</f>
        <v>2031.1.1.1.1</v>
      </c>
    </row>
    <row r="238" spans="1:1">
      <c r="A238" t="str">
        <f t="array" ref="A238">+YEAR(raw[[#This Row],[_date_]])&amp;"."&amp;raw[[#This Row],[redis_ls]]&amp;"."&amp;raw[[#This Row],[wage_eq]]&amp;"."&amp;raw[[#This Row],[flex]]&amp;"."&amp;raw[[#This Row],[expo]]</f>
        <v>2032.1.1.1.1</v>
      </c>
    </row>
    <row r="239" spans="1:1">
      <c r="A239" t="str">
        <f t="array" ref="A239">+YEAR(raw[[#This Row],[_date_]])&amp;"."&amp;raw[[#This Row],[redis_ls]]&amp;"."&amp;raw[[#This Row],[wage_eq]]&amp;"."&amp;raw[[#This Row],[flex]]&amp;"."&amp;raw[[#This Row],[expo]]</f>
        <v>2033.1.1.1.1</v>
      </c>
    </row>
    <row r="240" spans="1:1">
      <c r="A240" t="str">
        <f t="array" ref="A240">+YEAR(raw[[#This Row],[_date_]])&amp;"."&amp;raw[[#This Row],[redis_ls]]&amp;"."&amp;raw[[#This Row],[wage_eq]]&amp;"."&amp;raw[[#This Row],[flex]]&amp;"."&amp;raw[[#This Row],[expo]]</f>
        <v>2034.1.1.1.1</v>
      </c>
    </row>
    <row r="241" spans="1:1">
      <c r="A241" t="str">
        <f t="array" ref="A241">+YEAR(raw[[#This Row],[_date_]])&amp;"."&amp;raw[[#This Row],[redis_ls]]&amp;"."&amp;raw[[#This Row],[wage_eq]]&amp;"."&amp;raw[[#This Row],[flex]]&amp;"."&amp;raw[[#This Row],[expo]]</f>
        <v>2035.1.1.1.1</v>
      </c>
    </row>
    <row r="242" spans="1:1">
      <c r="A242" t="str">
        <f t="array" ref="A242">+YEAR(raw[[#This Row],[_date_]])&amp;"."&amp;raw[[#This Row],[redis_ls]]&amp;"."&amp;raw[[#This Row],[wage_eq]]&amp;"."&amp;raw[[#This Row],[flex]]&amp;"."&amp;raw[[#This Row],[expo]]</f>
        <v>2036.1.1.1.1</v>
      </c>
    </row>
    <row r="243" spans="1:1">
      <c r="A243" t="str">
        <f t="array" ref="A243">+YEAR(raw[[#This Row],[_date_]])&amp;"."&amp;raw[[#This Row],[redis_ls]]&amp;"."&amp;raw[[#This Row],[wage_eq]]&amp;"."&amp;raw[[#This Row],[flex]]&amp;"."&amp;raw[[#This Row],[expo]]</f>
        <v>2037.1.1.1.1</v>
      </c>
    </row>
    <row r="244" spans="1:1">
      <c r="A244" t="str">
        <f t="array" ref="A244">+YEAR(raw[[#This Row],[_date_]])&amp;"."&amp;raw[[#This Row],[redis_ls]]&amp;"."&amp;raw[[#This Row],[wage_eq]]&amp;"."&amp;raw[[#This Row],[flex]]&amp;"."&amp;raw[[#This Row],[expo]]</f>
        <v>2038.1.1.1.1</v>
      </c>
    </row>
    <row r="245" spans="1:1">
      <c r="A245" t="str">
        <f t="array" ref="A245">+YEAR(raw[[#This Row],[_date_]])&amp;"."&amp;raw[[#This Row],[redis_ls]]&amp;"."&amp;raw[[#This Row],[wage_eq]]&amp;"."&amp;raw[[#This Row],[flex]]&amp;"."&amp;raw[[#This Row],[expo]]</f>
        <v>2039.1.1.1.1</v>
      </c>
    </row>
    <row r="246" spans="1:1">
      <c r="A246" t="str">
        <f t="array" ref="A246">+YEAR(raw[[#This Row],[_date_]])&amp;"."&amp;raw[[#This Row],[redis_ls]]&amp;"."&amp;raw[[#This Row],[wage_eq]]&amp;"."&amp;raw[[#This Row],[flex]]&amp;"."&amp;raw[[#This Row],[expo]]</f>
        <v>2040.1.1.1.1</v>
      </c>
    </row>
    <row r="247" spans="1:1">
      <c r="A247" t="str">
        <f t="array" ref="A247">+YEAR(raw[[#This Row],[_date_]])&amp;"."&amp;raw[[#This Row],[redis_ls]]&amp;"."&amp;raw[[#This Row],[wage_eq]]&amp;"."&amp;raw[[#This Row],[flex]]&amp;"."&amp;raw[[#This Row],[expo]]</f>
        <v>2041.1.1.1.1</v>
      </c>
    </row>
    <row r="248" spans="1:1">
      <c r="A248" t="str">
        <f t="array" ref="A248">+YEAR(raw[[#This Row],[_date_]])&amp;"."&amp;raw[[#This Row],[redis_ls]]&amp;"."&amp;raw[[#This Row],[wage_eq]]&amp;"."&amp;raw[[#This Row],[flex]]&amp;"."&amp;raw[[#This Row],[expo]]</f>
        <v>2042.1.1.1.1</v>
      </c>
    </row>
    <row r="249" spans="1:1">
      <c r="A249" t="str">
        <f t="array" ref="A249">+YEAR(raw[[#This Row],[_date_]])&amp;"."&amp;raw[[#This Row],[redis_ls]]&amp;"."&amp;raw[[#This Row],[wage_eq]]&amp;"."&amp;raw[[#This Row],[flex]]&amp;"."&amp;raw[[#This Row],[expo]]</f>
        <v>2043.1.1.1.1</v>
      </c>
    </row>
    <row r="250" spans="1:1">
      <c r="A250" t="str">
        <f t="array" ref="A250">+YEAR(raw[[#This Row],[_date_]])&amp;"."&amp;raw[[#This Row],[redis_ls]]&amp;"."&amp;raw[[#This Row],[wage_eq]]&amp;"."&amp;raw[[#This Row],[flex]]&amp;"."&amp;raw[[#This Row],[expo]]</f>
        <v>2044.1.1.1.1</v>
      </c>
    </row>
    <row r="251" spans="1:1">
      <c r="A251" t="str">
        <f t="array" ref="A251">+YEAR(raw[[#This Row],[_date_]])&amp;"."&amp;raw[[#This Row],[redis_ls]]&amp;"."&amp;raw[[#This Row],[wage_eq]]&amp;"."&amp;raw[[#This Row],[flex]]&amp;"."&amp;raw[[#This Row],[expo]]</f>
        <v>2045.1.1.1.1</v>
      </c>
    </row>
    <row r="252" spans="1:1">
      <c r="A252" t="str">
        <f t="array" ref="A252">+YEAR(raw[[#This Row],[_date_]])&amp;"."&amp;raw[[#This Row],[redis_ls]]&amp;"."&amp;raw[[#This Row],[wage_eq]]&amp;"."&amp;raw[[#This Row],[flex]]&amp;"."&amp;raw[[#This Row],[expo]]</f>
        <v>2046.1.1.1.1</v>
      </c>
    </row>
    <row r="253" spans="1:1">
      <c r="A253" t="str">
        <f t="array" ref="A253">+YEAR(raw[[#This Row],[_date_]])&amp;"."&amp;raw[[#This Row],[redis_ls]]&amp;"."&amp;raw[[#This Row],[wage_eq]]&amp;"."&amp;raw[[#This Row],[flex]]&amp;"."&amp;raw[[#This Row],[expo]]</f>
        <v>2047.1.1.1.1</v>
      </c>
    </row>
    <row r="254" spans="1:1">
      <c r="A254" t="str">
        <f t="array" ref="A254">+YEAR(raw[[#This Row],[_date_]])&amp;"."&amp;raw[[#This Row],[redis_ls]]&amp;"."&amp;raw[[#This Row],[wage_eq]]&amp;"."&amp;raw[[#This Row],[flex]]&amp;"."&amp;raw[[#This Row],[expo]]</f>
        <v>2048.1.1.1.1</v>
      </c>
    </row>
    <row r="255" spans="1:1">
      <c r="A255" t="str">
        <f t="array" ref="A255">+YEAR(raw[[#This Row],[_date_]])&amp;"."&amp;raw[[#This Row],[redis_ls]]&amp;"."&amp;raw[[#This Row],[wage_eq]]&amp;"."&amp;raw[[#This Row],[flex]]&amp;"."&amp;raw[[#This Row],[expo]]</f>
        <v>2049.1.1.1.1</v>
      </c>
    </row>
    <row r="256" spans="1:1">
      <c r="A256" t="str">
        <f t="array" ref="A256">+YEAR(raw[[#This Row],[_date_]])&amp;"."&amp;raw[[#This Row],[redis_ls]]&amp;"."&amp;raw[[#This Row],[wage_eq]]&amp;"."&amp;raw[[#This Row],[flex]]&amp;"."&amp;raw[[#This Row],[expo]]</f>
        <v>2050.1.1.1.1</v>
      </c>
    </row>
    <row r="257" spans="1:1">
      <c r="A257" t="str">
        <f t="array" ref="A257">+YEAR(raw[[#This Row],[_date_]])&amp;"."&amp;raw[[#This Row],[redis_ls]]&amp;"."&amp;raw[[#This Row],[wage_eq]]&amp;"."&amp;raw[[#This Row],[flex]]&amp;"."&amp;raw[[#This Row],[expo]]</f>
        <v>2000.1.1.1.0</v>
      </c>
    </row>
    <row r="258" spans="1:1">
      <c r="A258" t="str">
        <f t="array" ref="A258">+YEAR(raw[[#This Row],[_date_]])&amp;"."&amp;raw[[#This Row],[redis_ls]]&amp;"."&amp;raw[[#This Row],[wage_eq]]&amp;"."&amp;raw[[#This Row],[flex]]&amp;"."&amp;raw[[#This Row],[expo]]</f>
        <v>2001.1.1.1.0</v>
      </c>
    </row>
    <row r="259" spans="1:1">
      <c r="A259" t="str">
        <f t="array" ref="A259">+YEAR(raw[[#This Row],[_date_]])&amp;"."&amp;raw[[#This Row],[redis_ls]]&amp;"."&amp;raw[[#This Row],[wage_eq]]&amp;"."&amp;raw[[#This Row],[flex]]&amp;"."&amp;raw[[#This Row],[expo]]</f>
        <v>2002.1.1.1.0</v>
      </c>
    </row>
    <row r="260" spans="1:1">
      <c r="A260" t="str">
        <f t="array" ref="A260">+YEAR(raw[[#This Row],[_date_]])&amp;"."&amp;raw[[#This Row],[redis_ls]]&amp;"."&amp;raw[[#This Row],[wage_eq]]&amp;"."&amp;raw[[#This Row],[flex]]&amp;"."&amp;raw[[#This Row],[expo]]</f>
        <v>2003.1.1.1.0</v>
      </c>
    </row>
    <row r="261" spans="1:1">
      <c r="A261" t="str">
        <f t="array" ref="A261">+YEAR(raw[[#This Row],[_date_]])&amp;"."&amp;raw[[#This Row],[redis_ls]]&amp;"."&amp;raw[[#This Row],[wage_eq]]&amp;"."&amp;raw[[#This Row],[flex]]&amp;"."&amp;raw[[#This Row],[expo]]</f>
        <v>2004.1.1.1.0</v>
      </c>
    </row>
    <row r="262" spans="1:1">
      <c r="A262" t="str">
        <f t="array" ref="A262">+YEAR(raw[[#This Row],[_date_]])&amp;"."&amp;raw[[#This Row],[redis_ls]]&amp;"."&amp;raw[[#This Row],[wage_eq]]&amp;"."&amp;raw[[#This Row],[flex]]&amp;"."&amp;raw[[#This Row],[expo]]</f>
        <v>2005.1.1.1.0</v>
      </c>
    </row>
    <row r="263" spans="1:1">
      <c r="A263" t="str">
        <f t="array" ref="A263">+YEAR(raw[[#This Row],[_date_]])&amp;"."&amp;raw[[#This Row],[redis_ls]]&amp;"."&amp;raw[[#This Row],[wage_eq]]&amp;"."&amp;raw[[#This Row],[flex]]&amp;"."&amp;raw[[#This Row],[expo]]</f>
        <v>2006.1.1.1.0</v>
      </c>
    </row>
    <row r="264" spans="1:1">
      <c r="A264" t="str">
        <f t="array" ref="A264">+YEAR(raw[[#This Row],[_date_]])&amp;"."&amp;raw[[#This Row],[redis_ls]]&amp;"."&amp;raw[[#This Row],[wage_eq]]&amp;"."&amp;raw[[#This Row],[flex]]&amp;"."&amp;raw[[#This Row],[expo]]</f>
        <v>2007.1.1.1.0</v>
      </c>
    </row>
    <row r="265" spans="1:1">
      <c r="A265" t="str">
        <f t="array" ref="A265">+YEAR(raw[[#This Row],[_date_]])&amp;"."&amp;raw[[#This Row],[redis_ls]]&amp;"."&amp;raw[[#This Row],[wage_eq]]&amp;"."&amp;raw[[#This Row],[flex]]&amp;"."&amp;raw[[#This Row],[expo]]</f>
        <v>2008.1.1.1.0</v>
      </c>
    </row>
    <row r="266" spans="1:1">
      <c r="A266" t="str">
        <f t="array" ref="A266">+YEAR(raw[[#This Row],[_date_]])&amp;"."&amp;raw[[#This Row],[redis_ls]]&amp;"."&amp;raw[[#This Row],[wage_eq]]&amp;"."&amp;raw[[#This Row],[flex]]&amp;"."&amp;raw[[#This Row],[expo]]</f>
        <v>2009.1.1.1.0</v>
      </c>
    </row>
    <row r="267" spans="1:1">
      <c r="A267" t="str">
        <f t="array" ref="A267">+YEAR(raw[[#This Row],[_date_]])&amp;"."&amp;raw[[#This Row],[redis_ls]]&amp;"."&amp;raw[[#This Row],[wage_eq]]&amp;"."&amp;raw[[#This Row],[flex]]&amp;"."&amp;raw[[#This Row],[expo]]</f>
        <v>2010.1.1.1.0</v>
      </c>
    </row>
    <row r="268" spans="1:1">
      <c r="A268" t="str">
        <f t="array" ref="A268">+YEAR(raw[[#This Row],[_date_]])&amp;"."&amp;raw[[#This Row],[redis_ls]]&amp;"."&amp;raw[[#This Row],[wage_eq]]&amp;"."&amp;raw[[#This Row],[flex]]&amp;"."&amp;raw[[#This Row],[expo]]</f>
        <v>2011.1.1.1.0</v>
      </c>
    </row>
    <row r="269" spans="1:1">
      <c r="A269" t="str">
        <f t="array" ref="A269">+YEAR(raw[[#This Row],[_date_]])&amp;"."&amp;raw[[#This Row],[redis_ls]]&amp;"."&amp;raw[[#This Row],[wage_eq]]&amp;"."&amp;raw[[#This Row],[flex]]&amp;"."&amp;raw[[#This Row],[expo]]</f>
        <v>2012.1.1.1.0</v>
      </c>
    </row>
    <row r="270" spans="1:1">
      <c r="A270" t="str">
        <f t="array" ref="A270">+YEAR(raw[[#This Row],[_date_]])&amp;"."&amp;raw[[#This Row],[redis_ls]]&amp;"."&amp;raw[[#This Row],[wage_eq]]&amp;"."&amp;raw[[#This Row],[flex]]&amp;"."&amp;raw[[#This Row],[expo]]</f>
        <v>2013.1.1.1.0</v>
      </c>
    </row>
    <row r="271" spans="1:1">
      <c r="A271" t="str">
        <f t="array" ref="A271">+YEAR(raw[[#This Row],[_date_]])&amp;"."&amp;raw[[#This Row],[redis_ls]]&amp;"."&amp;raw[[#This Row],[wage_eq]]&amp;"."&amp;raw[[#This Row],[flex]]&amp;"."&amp;raw[[#This Row],[expo]]</f>
        <v>2014.1.1.1.0</v>
      </c>
    </row>
    <row r="272" spans="1:1">
      <c r="A272" t="str">
        <f t="array" ref="A272">+YEAR(raw[[#This Row],[_date_]])&amp;"."&amp;raw[[#This Row],[redis_ls]]&amp;"."&amp;raw[[#This Row],[wage_eq]]&amp;"."&amp;raw[[#This Row],[flex]]&amp;"."&amp;raw[[#This Row],[expo]]</f>
        <v>2015.1.1.1.0</v>
      </c>
    </row>
    <row r="273" spans="1:1">
      <c r="A273" t="str">
        <f t="array" ref="A273">+YEAR(raw[[#This Row],[_date_]])&amp;"."&amp;raw[[#This Row],[redis_ls]]&amp;"."&amp;raw[[#This Row],[wage_eq]]&amp;"."&amp;raw[[#This Row],[flex]]&amp;"."&amp;raw[[#This Row],[expo]]</f>
        <v>2016.1.1.1.0</v>
      </c>
    </row>
    <row r="274" spans="1:1">
      <c r="A274" t="str">
        <f t="array" ref="A274">+YEAR(raw[[#This Row],[_date_]])&amp;"."&amp;raw[[#This Row],[redis_ls]]&amp;"."&amp;raw[[#This Row],[wage_eq]]&amp;"."&amp;raw[[#This Row],[flex]]&amp;"."&amp;raw[[#This Row],[expo]]</f>
        <v>2017.1.1.1.0</v>
      </c>
    </row>
    <row r="275" spans="1:1">
      <c r="A275" t="str">
        <f t="array" ref="A275">+YEAR(raw[[#This Row],[_date_]])&amp;"."&amp;raw[[#This Row],[redis_ls]]&amp;"."&amp;raw[[#This Row],[wage_eq]]&amp;"."&amp;raw[[#This Row],[flex]]&amp;"."&amp;raw[[#This Row],[expo]]</f>
        <v>2018.1.1.1.0</v>
      </c>
    </row>
    <row r="276" spans="1:1">
      <c r="A276" t="str">
        <f t="array" ref="A276">+YEAR(raw[[#This Row],[_date_]])&amp;"."&amp;raw[[#This Row],[redis_ls]]&amp;"."&amp;raw[[#This Row],[wage_eq]]&amp;"."&amp;raw[[#This Row],[flex]]&amp;"."&amp;raw[[#This Row],[expo]]</f>
        <v>2019.1.1.1.0</v>
      </c>
    </row>
    <row r="277" spans="1:1">
      <c r="A277" t="str">
        <f t="array" ref="A277">+YEAR(raw[[#This Row],[_date_]])&amp;"."&amp;raw[[#This Row],[redis_ls]]&amp;"."&amp;raw[[#This Row],[wage_eq]]&amp;"."&amp;raw[[#This Row],[flex]]&amp;"."&amp;raw[[#This Row],[expo]]</f>
        <v>2020.1.1.1.0</v>
      </c>
    </row>
    <row r="278" spans="1:1">
      <c r="A278" t="str">
        <f t="array" ref="A278">+YEAR(raw[[#This Row],[_date_]])&amp;"."&amp;raw[[#This Row],[redis_ls]]&amp;"."&amp;raw[[#This Row],[wage_eq]]&amp;"."&amp;raw[[#This Row],[flex]]&amp;"."&amp;raw[[#This Row],[expo]]</f>
        <v>2021.1.1.1.0</v>
      </c>
    </row>
    <row r="279" spans="1:1">
      <c r="A279" t="str">
        <f t="array" ref="A279">+YEAR(raw[[#This Row],[_date_]])&amp;"."&amp;raw[[#This Row],[redis_ls]]&amp;"."&amp;raw[[#This Row],[wage_eq]]&amp;"."&amp;raw[[#This Row],[flex]]&amp;"."&amp;raw[[#This Row],[expo]]</f>
        <v>2022.1.1.1.0</v>
      </c>
    </row>
    <row r="280" spans="1:1">
      <c r="A280" t="str">
        <f t="array" ref="A280">+YEAR(raw[[#This Row],[_date_]])&amp;"."&amp;raw[[#This Row],[redis_ls]]&amp;"."&amp;raw[[#This Row],[wage_eq]]&amp;"."&amp;raw[[#This Row],[flex]]&amp;"."&amp;raw[[#This Row],[expo]]</f>
        <v>2023.1.1.1.0</v>
      </c>
    </row>
    <row r="281" spans="1:1">
      <c r="A281" t="str">
        <f t="array" ref="A281">+YEAR(raw[[#This Row],[_date_]])&amp;"."&amp;raw[[#This Row],[redis_ls]]&amp;"."&amp;raw[[#This Row],[wage_eq]]&amp;"."&amp;raw[[#This Row],[flex]]&amp;"."&amp;raw[[#This Row],[expo]]</f>
        <v>2024.1.1.1.0</v>
      </c>
    </row>
    <row r="282" spans="1:1">
      <c r="A282" t="str">
        <f t="array" ref="A282">+YEAR(raw[[#This Row],[_date_]])&amp;"."&amp;raw[[#This Row],[redis_ls]]&amp;"."&amp;raw[[#This Row],[wage_eq]]&amp;"."&amp;raw[[#This Row],[flex]]&amp;"."&amp;raw[[#This Row],[expo]]</f>
        <v>2025.1.1.1.0</v>
      </c>
    </row>
    <row r="283" spans="1:1">
      <c r="A283" t="str">
        <f t="array" ref="A283">+YEAR(raw[[#This Row],[_date_]])&amp;"."&amp;raw[[#This Row],[redis_ls]]&amp;"."&amp;raw[[#This Row],[wage_eq]]&amp;"."&amp;raw[[#This Row],[flex]]&amp;"."&amp;raw[[#This Row],[expo]]</f>
        <v>2026.1.1.1.0</v>
      </c>
    </row>
    <row r="284" spans="1:1">
      <c r="A284" t="str">
        <f t="array" ref="A284">+YEAR(raw[[#This Row],[_date_]])&amp;"."&amp;raw[[#This Row],[redis_ls]]&amp;"."&amp;raw[[#This Row],[wage_eq]]&amp;"."&amp;raw[[#This Row],[flex]]&amp;"."&amp;raw[[#This Row],[expo]]</f>
        <v>2027.1.1.1.0</v>
      </c>
    </row>
    <row r="285" spans="1:1">
      <c r="A285" t="str">
        <f t="array" ref="A285">+YEAR(raw[[#This Row],[_date_]])&amp;"."&amp;raw[[#This Row],[redis_ls]]&amp;"."&amp;raw[[#This Row],[wage_eq]]&amp;"."&amp;raw[[#This Row],[flex]]&amp;"."&amp;raw[[#This Row],[expo]]</f>
        <v>2028.1.1.1.0</v>
      </c>
    </row>
    <row r="286" spans="1:1">
      <c r="A286" t="str">
        <f t="array" ref="A286">+YEAR(raw[[#This Row],[_date_]])&amp;"."&amp;raw[[#This Row],[redis_ls]]&amp;"."&amp;raw[[#This Row],[wage_eq]]&amp;"."&amp;raw[[#This Row],[flex]]&amp;"."&amp;raw[[#This Row],[expo]]</f>
        <v>2029.1.1.1.0</v>
      </c>
    </row>
    <row r="287" spans="1:1">
      <c r="A287" t="str">
        <f t="array" ref="A287">+YEAR(raw[[#This Row],[_date_]])&amp;"."&amp;raw[[#This Row],[redis_ls]]&amp;"."&amp;raw[[#This Row],[wage_eq]]&amp;"."&amp;raw[[#This Row],[flex]]&amp;"."&amp;raw[[#This Row],[expo]]</f>
        <v>2030.1.1.1.0</v>
      </c>
    </row>
    <row r="288" spans="1:1">
      <c r="A288" t="str">
        <f t="array" ref="A288">+YEAR(raw[[#This Row],[_date_]])&amp;"."&amp;raw[[#This Row],[redis_ls]]&amp;"."&amp;raw[[#This Row],[wage_eq]]&amp;"."&amp;raw[[#This Row],[flex]]&amp;"."&amp;raw[[#This Row],[expo]]</f>
        <v>2031.1.1.1.0</v>
      </c>
    </row>
    <row r="289" spans="1:1">
      <c r="A289" t="str">
        <f t="array" ref="A289">+YEAR(raw[[#This Row],[_date_]])&amp;"."&amp;raw[[#This Row],[redis_ls]]&amp;"."&amp;raw[[#This Row],[wage_eq]]&amp;"."&amp;raw[[#This Row],[flex]]&amp;"."&amp;raw[[#This Row],[expo]]</f>
        <v>2032.1.1.1.0</v>
      </c>
    </row>
    <row r="290" spans="1:1">
      <c r="A290" t="str">
        <f t="array" ref="A290">+YEAR(raw[[#This Row],[_date_]])&amp;"."&amp;raw[[#This Row],[redis_ls]]&amp;"."&amp;raw[[#This Row],[wage_eq]]&amp;"."&amp;raw[[#This Row],[flex]]&amp;"."&amp;raw[[#This Row],[expo]]</f>
        <v>2033.1.1.1.0</v>
      </c>
    </row>
    <row r="291" spans="1:1">
      <c r="A291" t="str">
        <f t="array" ref="A291">+YEAR(raw[[#This Row],[_date_]])&amp;"."&amp;raw[[#This Row],[redis_ls]]&amp;"."&amp;raw[[#This Row],[wage_eq]]&amp;"."&amp;raw[[#This Row],[flex]]&amp;"."&amp;raw[[#This Row],[expo]]</f>
        <v>2034.1.1.1.0</v>
      </c>
    </row>
    <row r="292" spans="1:1">
      <c r="A292" t="str">
        <f t="array" ref="A292">+YEAR(raw[[#This Row],[_date_]])&amp;"."&amp;raw[[#This Row],[redis_ls]]&amp;"."&amp;raw[[#This Row],[wage_eq]]&amp;"."&amp;raw[[#This Row],[flex]]&amp;"."&amp;raw[[#This Row],[expo]]</f>
        <v>2035.1.1.1.0</v>
      </c>
    </row>
    <row r="293" spans="1:1">
      <c r="A293" t="str">
        <f t="array" ref="A293">+YEAR(raw[[#This Row],[_date_]])&amp;"."&amp;raw[[#This Row],[redis_ls]]&amp;"."&amp;raw[[#This Row],[wage_eq]]&amp;"."&amp;raw[[#This Row],[flex]]&amp;"."&amp;raw[[#This Row],[expo]]</f>
        <v>2036.1.1.1.0</v>
      </c>
    </row>
    <row r="294" spans="1:1">
      <c r="A294" t="str">
        <f t="array" ref="A294">+YEAR(raw[[#This Row],[_date_]])&amp;"."&amp;raw[[#This Row],[redis_ls]]&amp;"."&amp;raw[[#This Row],[wage_eq]]&amp;"."&amp;raw[[#This Row],[flex]]&amp;"."&amp;raw[[#This Row],[expo]]</f>
        <v>2037.1.1.1.0</v>
      </c>
    </row>
    <row r="295" spans="1:1">
      <c r="A295" t="str">
        <f t="array" ref="A295">+YEAR(raw[[#This Row],[_date_]])&amp;"."&amp;raw[[#This Row],[redis_ls]]&amp;"."&amp;raw[[#This Row],[wage_eq]]&amp;"."&amp;raw[[#This Row],[flex]]&amp;"."&amp;raw[[#This Row],[expo]]</f>
        <v>2038.1.1.1.0</v>
      </c>
    </row>
    <row r="296" spans="1:1">
      <c r="A296" t="str">
        <f t="array" ref="A296">+YEAR(raw[[#This Row],[_date_]])&amp;"."&amp;raw[[#This Row],[redis_ls]]&amp;"."&amp;raw[[#This Row],[wage_eq]]&amp;"."&amp;raw[[#This Row],[flex]]&amp;"."&amp;raw[[#This Row],[expo]]</f>
        <v>2039.1.1.1.0</v>
      </c>
    </row>
    <row r="297" spans="1:1">
      <c r="A297" t="str">
        <f t="array" ref="A297">+YEAR(raw[[#This Row],[_date_]])&amp;"."&amp;raw[[#This Row],[redis_ls]]&amp;"."&amp;raw[[#This Row],[wage_eq]]&amp;"."&amp;raw[[#This Row],[flex]]&amp;"."&amp;raw[[#This Row],[expo]]</f>
        <v>2040.1.1.1.0</v>
      </c>
    </row>
    <row r="298" spans="1:1">
      <c r="A298" t="str">
        <f t="array" ref="A298">+YEAR(raw[[#This Row],[_date_]])&amp;"."&amp;raw[[#This Row],[redis_ls]]&amp;"."&amp;raw[[#This Row],[wage_eq]]&amp;"."&amp;raw[[#This Row],[flex]]&amp;"."&amp;raw[[#This Row],[expo]]</f>
        <v>2041.1.1.1.0</v>
      </c>
    </row>
    <row r="299" spans="1:1">
      <c r="A299" t="str">
        <f t="array" ref="A299">+YEAR(raw[[#This Row],[_date_]])&amp;"."&amp;raw[[#This Row],[redis_ls]]&amp;"."&amp;raw[[#This Row],[wage_eq]]&amp;"."&amp;raw[[#This Row],[flex]]&amp;"."&amp;raw[[#This Row],[expo]]</f>
        <v>2042.1.1.1.0</v>
      </c>
    </row>
    <row r="300" spans="1:1">
      <c r="A300" t="str">
        <f t="array" ref="A300">+YEAR(raw[[#This Row],[_date_]])&amp;"."&amp;raw[[#This Row],[redis_ls]]&amp;"."&amp;raw[[#This Row],[wage_eq]]&amp;"."&amp;raw[[#This Row],[flex]]&amp;"."&amp;raw[[#This Row],[expo]]</f>
        <v>2043.1.1.1.0</v>
      </c>
    </row>
    <row r="301" spans="1:1">
      <c r="A301" t="str">
        <f t="array" ref="A301">+YEAR(raw[[#This Row],[_date_]])&amp;"."&amp;raw[[#This Row],[redis_ls]]&amp;"."&amp;raw[[#This Row],[wage_eq]]&amp;"."&amp;raw[[#This Row],[flex]]&amp;"."&amp;raw[[#This Row],[expo]]</f>
        <v>2044.1.1.1.0</v>
      </c>
    </row>
    <row r="302" spans="1:1">
      <c r="A302" t="str">
        <f t="array" ref="A302">+YEAR(raw[[#This Row],[_date_]])&amp;"."&amp;raw[[#This Row],[redis_ls]]&amp;"."&amp;raw[[#This Row],[wage_eq]]&amp;"."&amp;raw[[#This Row],[flex]]&amp;"."&amp;raw[[#This Row],[expo]]</f>
        <v>2045.1.1.1.0</v>
      </c>
    </row>
    <row r="303" spans="1:1">
      <c r="A303" t="str">
        <f t="array" ref="A303">+YEAR(raw[[#This Row],[_date_]])&amp;"."&amp;raw[[#This Row],[redis_ls]]&amp;"."&amp;raw[[#This Row],[wage_eq]]&amp;"."&amp;raw[[#This Row],[flex]]&amp;"."&amp;raw[[#This Row],[expo]]</f>
        <v>2046.1.1.1.0</v>
      </c>
    </row>
    <row r="304" spans="1:1">
      <c r="A304" t="str">
        <f t="array" ref="A304">+YEAR(raw[[#This Row],[_date_]])&amp;"."&amp;raw[[#This Row],[redis_ls]]&amp;"."&amp;raw[[#This Row],[wage_eq]]&amp;"."&amp;raw[[#This Row],[flex]]&amp;"."&amp;raw[[#This Row],[expo]]</f>
        <v>2047.1.1.1.0</v>
      </c>
    </row>
    <row r="305" spans="1:1">
      <c r="A305" t="str">
        <f t="array" ref="A305">+YEAR(raw[[#This Row],[_date_]])&amp;"."&amp;raw[[#This Row],[redis_ls]]&amp;"."&amp;raw[[#This Row],[wage_eq]]&amp;"."&amp;raw[[#This Row],[flex]]&amp;"."&amp;raw[[#This Row],[expo]]</f>
        <v>2048.1.1.1.0</v>
      </c>
    </row>
    <row r="306" spans="1:1">
      <c r="A306" t="str">
        <f t="array" ref="A306">+YEAR(raw[[#This Row],[_date_]])&amp;"."&amp;raw[[#This Row],[redis_ls]]&amp;"."&amp;raw[[#This Row],[wage_eq]]&amp;"."&amp;raw[[#This Row],[flex]]&amp;"."&amp;raw[[#This Row],[expo]]</f>
        <v>2049.1.1.1.0</v>
      </c>
    </row>
    <row r="307" spans="1:1">
      <c r="A307" t="str">
        <f t="array" ref="A307">+YEAR(raw[[#This Row],[_date_]])&amp;"."&amp;raw[[#This Row],[redis_ls]]&amp;"."&amp;raw[[#This Row],[wage_eq]]&amp;"."&amp;raw[[#This Row],[flex]]&amp;"."&amp;raw[[#This Row],[expo]]</f>
        <v>2050.1.1.1.0</v>
      </c>
    </row>
    <row r="308" spans="1:1">
      <c r="A308" t="str">
        <f t="array" ref="A308">+YEAR(raw[[#This Row],[_date_]])&amp;"."&amp;raw[[#This Row],[redis_ls]]&amp;"."&amp;raw[[#This Row],[wage_eq]]&amp;"."&amp;raw[[#This Row],[flex]]&amp;"."&amp;raw[[#This Row],[expo]]</f>
        <v>2000.1.1.0.1</v>
      </c>
    </row>
    <row r="309" spans="1:1">
      <c r="A309" t="str">
        <f t="array" ref="A309">+YEAR(raw[[#This Row],[_date_]])&amp;"."&amp;raw[[#This Row],[redis_ls]]&amp;"."&amp;raw[[#This Row],[wage_eq]]&amp;"."&amp;raw[[#This Row],[flex]]&amp;"."&amp;raw[[#This Row],[expo]]</f>
        <v>2001.1.1.0.1</v>
      </c>
    </row>
    <row r="310" spans="1:1">
      <c r="A310" t="str">
        <f t="array" ref="A310">+YEAR(raw[[#This Row],[_date_]])&amp;"."&amp;raw[[#This Row],[redis_ls]]&amp;"."&amp;raw[[#This Row],[wage_eq]]&amp;"."&amp;raw[[#This Row],[flex]]&amp;"."&amp;raw[[#This Row],[expo]]</f>
        <v>2002.1.1.0.1</v>
      </c>
    </row>
    <row r="311" spans="1:1">
      <c r="A311" t="str">
        <f t="array" ref="A311">+YEAR(raw[[#This Row],[_date_]])&amp;"."&amp;raw[[#This Row],[redis_ls]]&amp;"."&amp;raw[[#This Row],[wage_eq]]&amp;"."&amp;raw[[#This Row],[flex]]&amp;"."&amp;raw[[#This Row],[expo]]</f>
        <v>2003.1.1.0.1</v>
      </c>
    </row>
    <row r="312" spans="1:1">
      <c r="A312" t="str">
        <f t="array" ref="A312">+YEAR(raw[[#This Row],[_date_]])&amp;"."&amp;raw[[#This Row],[redis_ls]]&amp;"."&amp;raw[[#This Row],[wage_eq]]&amp;"."&amp;raw[[#This Row],[flex]]&amp;"."&amp;raw[[#This Row],[expo]]</f>
        <v>2004.1.1.0.1</v>
      </c>
    </row>
    <row r="313" spans="1:1">
      <c r="A313" t="str">
        <f t="array" ref="A313">+YEAR(raw[[#This Row],[_date_]])&amp;"."&amp;raw[[#This Row],[redis_ls]]&amp;"."&amp;raw[[#This Row],[wage_eq]]&amp;"."&amp;raw[[#This Row],[flex]]&amp;"."&amp;raw[[#This Row],[expo]]</f>
        <v>2005.1.1.0.1</v>
      </c>
    </row>
    <row r="314" spans="1:1">
      <c r="A314" t="str">
        <f t="array" ref="A314">+YEAR(raw[[#This Row],[_date_]])&amp;"."&amp;raw[[#This Row],[redis_ls]]&amp;"."&amp;raw[[#This Row],[wage_eq]]&amp;"."&amp;raw[[#This Row],[flex]]&amp;"."&amp;raw[[#This Row],[expo]]</f>
        <v>2006.1.1.0.1</v>
      </c>
    </row>
    <row r="315" spans="1:1">
      <c r="A315" t="str">
        <f t="array" ref="A315">+YEAR(raw[[#This Row],[_date_]])&amp;"."&amp;raw[[#This Row],[redis_ls]]&amp;"."&amp;raw[[#This Row],[wage_eq]]&amp;"."&amp;raw[[#This Row],[flex]]&amp;"."&amp;raw[[#This Row],[expo]]</f>
        <v>2007.1.1.0.1</v>
      </c>
    </row>
    <row r="316" spans="1:1">
      <c r="A316" t="str">
        <f t="array" ref="A316">+YEAR(raw[[#This Row],[_date_]])&amp;"."&amp;raw[[#This Row],[redis_ls]]&amp;"."&amp;raw[[#This Row],[wage_eq]]&amp;"."&amp;raw[[#This Row],[flex]]&amp;"."&amp;raw[[#This Row],[expo]]</f>
        <v>2008.1.1.0.1</v>
      </c>
    </row>
    <row r="317" spans="1:1">
      <c r="A317" t="str">
        <f t="array" ref="A317">+YEAR(raw[[#This Row],[_date_]])&amp;"."&amp;raw[[#This Row],[redis_ls]]&amp;"."&amp;raw[[#This Row],[wage_eq]]&amp;"."&amp;raw[[#This Row],[flex]]&amp;"."&amp;raw[[#This Row],[expo]]</f>
        <v>2009.1.1.0.1</v>
      </c>
    </row>
    <row r="318" spans="1:1">
      <c r="A318" t="str">
        <f t="array" ref="A318">+YEAR(raw[[#This Row],[_date_]])&amp;"."&amp;raw[[#This Row],[redis_ls]]&amp;"."&amp;raw[[#This Row],[wage_eq]]&amp;"."&amp;raw[[#This Row],[flex]]&amp;"."&amp;raw[[#This Row],[expo]]</f>
        <v>2010.1.1.0.1</v>
      </c>
    </row>
    <row r="319" spans="1:1">
      <c r="A319" t="str">
        <f t="array" ref="A319">+YEAR(raw[[#This Row],[_date_]])&amp;"."&amp;raw[[#This Row],[redis_ls]]&amp;"."&amp;raw[[#This Row],[wage_eq]]&amp;"."&amp;raw[[#This Row],[flex]]&amp;"."&amp;raw[[#This Row],[expo]]</f>
        <v>2011.1.1.0.1</v>
      </c>
    </row>
    <row r="320" spans="1:1">
      <c r="A320" t="str">
        <f t="array" ref="A320">+YEAR(raw[[#This Row],[_date_]])&amp;"."&amp;raw[[#This Row],[redis_ls]]&amp;"."&amp;raw[[#This Row],[wage_eq]]&amp;"."&amp;raw[[#This Row],[flex]]&amp;"."&amp;raw[[#This Row],[expo]]</f>
        <v>2012.1.1.0.1</v>
      </c>
    </row>
    <row r="321" spans="1:1">
      <c r="A321" t="str">
        <f t="array" ref="A321">+YEAR(raw[[#This Row],[_date_]])&amp;"."&amp;raw[[#This Row],[redis_ls]]&amp;"."&amp;raw[[#This Row],[wage_eq]]&amp;"."&amp;raw[[#This Row],[flex]]&amp;"."&amp;raw[[#This Row],[expo]]</f>
        <v>2013.1.1.0.1</v>
      </c>
    </row>
    <row r="322" spans="1:1">
      <c r="A322" t="str">
        <f t="array" ref="A322">+YEAR(raw[[#This Row],[_date_]])&amp;"."&amp;raw[[#This Row],[redis_ls]]&amp;"."&amp;raw[[#This Row],[wage_eq]]&amp;"."&amp;raw[[#This Row],[flex]]&amp;"."&amp;raw[[#This Row],[expo]]</f>
        <v>2014.1.1.0.1</v>
      </c>
    </row>
    <row r="323" spans="1:1">
      <c r="A323" t="str">
        <f t="array" ref="A323">+YEAR(raw[[#This Row],[_date_]])&amp;"."&amp;raw[[#This Row],[redis_ls]]&amp;"."&amp;raw[[#This Row],[wage_eq]]&amp;"."&amp;raw[[#This Row],[flex]]&amp;"."&amp;raw[[#This Row],[expo]]</f>
        <v>2015.1.1.0.1</v>
      </c>
    </row>
    <row r="324" spans="1:1">
      <c r="A324" t="str">
        <f t="array" ref="A324">+YEAR(raw[[#This Row],[_date_]])&amp;"."&amp;raw[[#This Row],[redis_ls]]&amp;"."&amp;raw[[#This Row],[wage_eq]]&amp;"."&amp;raw[[#This Row],[flex]]&amp;"."&amp;raw[[#This Row],[expo]]</f>
        <v>2016.1.1.0.1</v>
      </c>
    </row>
    <row r="325" spans="1:1">
      <c r="A325" t="str">
        <f t="array" ref="A325">+YEAR(raw[[#This Row],[_date_]])&amp;"."&amp;raw[[#This Row],[redis_ls]]&amp;"."&amp;raw[[#This Row],[wage_eq]]&amp;"."&amp;raw[[#This Row],[flex]]&amp;"."&amp;raw[[#This Row],[expo]]</f>
        <v>2017.1.1.0.1</v>
      </c>
    </row>
    <row r="326" spans="1:1">
      <c r="A326" t="str">
        <f t="array" ref="A326">+YEAR(raw[[#This Row],[_date_]])&amp;"."&amp;raw[[#This Row],[redis_ls]]&amp;"."&amp;raw[[#This Row],[wage_eq]]&amp;"."&amp;raw[[#This Row],[flex]]&amp;"."&amp;raw[[#This Row],[expo]]</f>
        <v>2018.1.1.0.1</v>
      </c>
    </row>
    <row r="327" spans="1:1">
      <c r="A327" t="str">
        <f t="array" ref="A327">+YEAR(raw[[#This Row],[_date_]])&amp;"."&amp;raw[[#This Row],[redis_ls]]&amp;"."&amp;raw[[#This Row],[wage_eq]]&amp;"."&amp;raw[[#This Row],[flex]]&amp;"."&amp;raw[[#This Row],[expo]]</f>
        <v>2019.1.1.0.1</v>
      </c>
    </row>
    <row r="328" spans="1:1">
      <c r="A328" t="str">
        <f t="array" ref="A328">+YEAR(raw[[#This Row],[_date_]])&amp;"."&amp;raw[[#This Row],[redis_ls]]&amp;"."&amp;raw[[#This Row],[wage_eq]]&amp;"."&amp;raw[[#This Row],[flex]]&amp;"."&amp;raw[[#This Row],[expo]]</f>
        <v>2020.1.1.0.1</v>
      </c>
    </row>
    <row r="329" spans="1:1">
      <c r="A329" t="str">
        <f t="array" ref="A329">+YEAR(raw[[#This Row],[_date_]])&amp;"."&amp;raw[[#This Row],[redis_ls]]&amp;"."&amp;raw[[#This Row],[wage_eq]]&amp;"."&amp;raw[[#This Row],[flex]]&amp;"."&amp;raw[[#This Row],[expo]]</f>
        <v>2021.1.1.0.1</v>
      </c>
    </row>
    <row r="330" spans="1:1">
      <c r="A330" t="str">
        <f t="array" ref="A330">+YEAR(raw[[#This Row],[_date_]])&amp;"."&amp;raw[[#This Row],[redis_ls]]&amp;"."&amp;raw[[#This Row],[wage_eq]]&amp;"."&amp;raw[[#This Row],[flex]]&amp;"."&amp;raw[[#This Row],[expo]]</f>
        <v>2022.1.1.0.1</v>
      </c>
    </row>
    <row r="331" spans="1:1">
      <c r="A331" t="str">
        <f t="array" ref="A331">+YEAR(raw[[#This Row],[_date_]])&amp;"."&amp;raw[[#This Row],[redis_ls]]&amp;"."&amp;raw[[#This Row],[wage_eq]]&amp;"."&amp;raw[[#This Row],[flex]]&amp;"."&amp;raw[[#This Row],[expo]]</f>
        <v>2023.1.1.0.1</v>
      </c>
    </row>
    <row r="332" spans="1:1">
      <c r="A332" t="str">
        <f t="array" ref="A332">+YEAR(raw[[#This Row],[_date_]])&amp;"."&amp;raw[[#This Row],[redis_ls]]&amp;"."&amp;raw[[#This Row],[wage_eq]]&amp;"."&amp;raw[[#This Row],[flex]]&amp;"."&amp;raw[[#This Row],[expo]]</f>
        <v>2024.1.1.0.1</v>
      </c>
    </row>
    <row r="333" spans="1:1">
      <c r="A333" t="str">
        <f t="array" ref="A333">+YEAR(raw[[#This Row],[_date_]])&amp;"."&amp;raw[[#This Row],[redis_ls]]&amp;"."&amp;raw[[#This Row],[wage_eq]]&amp;"."&amp;raw[[#This Row],[flex]]&amp;"."&amp;raw[[#This Row],[expo]]</f>
        <v>2025.1.1.0.1</v>
      </c>
    </row>
    <row r="334" spans="1:1">
      <c r="A334" t="str">
        <f t="array" ref="A334">+YEAR(raw[[#This Row],[_date_]])&amp;"."&amp;raw[[#This Row],[redis_ls]]&amp;"."&amp;raw[[#This Row],[wage_eq]]&amp;"."&amp;raw[[#This Row],[flex]]&amp;"."&amp;raw[[#This Row],[expo]]</f>
        <v>2026.1.1.0.1</v>
      </c>
    </row>
    <row r="335" spans="1:1">
      <c r="A335" t="str">
        <f t="array" ref="A335">+YEAR(raw[[#This Row],[_date_]])&amp;"."&amp;raw[[#This Row],[redis_ls]]&amp;"."&amp;raw[[#This Row],[wage_eq]]&amp;"."&amp;raw[[#This Row],[flex]]&amp;"."&amp;raw[[#This Row],[expo]]</f>
        <v>2027.1.1.0.1</v>
      </c>
    </row>
    <row r="336" spans="1:1">
      <c r="A336" t="str">
        <f t="array" ref="A336">+YEAR(raw[[#This Row],[_date_]])&amp;"."&amp;raw[[#This Row],[redis_ls]]&amp;"."&amp;raw[[#This Row],[wage_eq]]&amp;"."&amp;raw[[#This Row],[flex]]&amp;"."&amp;raw[[#This Row],[expo]]</f>
        <v>2028.1.1.0.1</v>
      </c>
    </row>
    <row r="337" spans="1:1">
      <c r="A337" t="str">
        <f t="array" ref="A337">+YEAR(raw[[#This Row],[_date_]])&amp;"."&amp;raw[[#This Row],[redis_ls]]&amp;"."&amp;raw[[#This Row],[wage_eq]]&amp;"."&amp;raw[[#This Row],[flex]]&amp;"."&amp;raw[[#This Row],[expo]]</f>
        <v>2029.1.1.0.1</v>
      </c>
    </row>
    <row r="338" spans="1:1">
      <c r="A338" t="str">
        <f t="array" ref="A338">+YEAR(raw[[#This Row],[_date_]])&amp;"."&amp;raw[[#This Row],[redis_ls]]&amp;"."&amp;raw[[#This Row],[wage_eq]]&amp;"."&amp;raw[[#This Row],[flex]]&amp;"."&amp;raw[[#This Row],[expo]]</f>
        <v>2030.1.1.0.1</v>
      </c>
    </row>
    <row r="339" spans="1:1">
      <c r="A339" t="str">
        <f t="array" ref="A339">+YEAR(raw[[#This Row],[_date_]])&amp;"."&amp;raw[[#This Row],[redis_ls]]&amp;"."&amp;raw[[#This Row],[wage_eq]]&amp;"."&amp;raw[[#This Row],[flex]]&amp;"."&amp;raw[[#This Row],[expo]]</f>
        <v>2031.1.1.0.1</v>
      </c>
    </row>
    <row r="340" spans="1:1">
      <c r="A340" t="str">
        <f t="array" ref="A340">+YEAR(raw[[#This Row],[_date_]])&amp;"."&amp;raw[[#This Row],[redis_ls]]&amp;"."&amp;raw[[#This Row],[wage_eq]]&amp;"."&amp;raw[[#This Row],[flex]]&amp;"."&amp;raw[[#This Row],[expo]]</f>
        <v>2032.1.1.0.1</v>
      </c>
    </row>
    <row r="341" spans="1:1">
      <c r="A341" t="str">
        <f t="array" ref="A341">+YEAR(raw[[#This Row],[_date_]])&amp;"."&amp;raw[[#This Row],[redis_ls]]&amp;"."&amp;raw[[#This Row],[wage_eq]]&amp;"."&amp;raw[[#This Row],[flex]]&amp;"."&amp;raw[[#This Row],[expo]]</f>
        <v>2033.1.1.0.1</v>
      </c>
    </row>
    <row r="342" spans="1:1">
      <c r="A342" t="str">
        <f t="array" ref="A342">+YEAR(raw[[#This Row],[_date_]])&amp;"."&amp;raw[[#This Row],[redis_ls]]&amp;"."&amp;raw[[#This Row],[wage_eq]]&amp;"."&amp;raw[[#This Row],[flex]]&amp;"."&amp;raw[[#This Row],[expo]]</f>
        <v>2034.1.1.0.1</v>
      </c>
    </row>
    <row r="343" spans="1:1">
      <c r="A343" t="str">
        <f t="array" ref="A343">+YEAR(raw[[#This Row],[_date_]])&amp;"."&amp;raw[[#This Row],[redis_ls]]&amp;"."&amp;raw[[#This Row],[wage_eq]]&amp;"."&amp;raw[[#This Row],[flex]]&amp;"."&amp;raw[[#This Row],[expo]]</f>
        <v>2035.1.1.0.1</v>
      </c>
    </row>
    <row r="344" spans="1:1">
      <c r="A344" t="str">
        <f t="array" ref="A344">+YEAR(raw[[#This Row],[_date_]])&amp;"."&amp;raw[[#This Row],[redis_ls]]&amp;"."&amp;raw[[#This Row],[wage_eq]]&amp;"."&amp;raw[[#This Row],[flex]]&amp;"."&amp;raw[[#This Row],[expo]]</f>
        <v>2036.1.1.0.1</v>
      </c>
    </row>
    <row r="345" spans="1:1">
      <c r="A345" t="str">
        <f t="array" ref="A345">+YEAR(raw[[#This Row],[_date_]])&amp;"."&amp;raw[[#This Row],[redis_ls]]&amp;"."&amp;raw[[#This Row],[wage_eq]]&amp;"."&amp;raw[[#This Row],[flex]]&amp;"."&amp;raw[[#This Row],[expo]]</f>
        <v>2037.1.1.0.1</v>
      </c>
    </row>
    <row r="346" spans="1:1">
      <c r="A346" t="str">
        <f t="array" ref="A346">+YEAR(raw[[#This Row],[_date_]])&amp;"."&amp;raw[[#This Row],[redis_ls]]&amp;"."&amp;raw[[#This Row],[wage_eq]]&amp;"."&amp;raw[[#This Row],[flex]]&amp;"."&amp;raw[[#This Row],[expo]]</f>
        <v>2038.1.1.0.1</v>
      </c>
    </row>
    <row r="347" spans="1:1">
      <c r="A347" t="str">
        <f t="array" ref="A347">+YEAR(raw[[#This Row],[_date_]])&amp;"."&amp;raw[[#This Row],[redis_ls]]&amp;"."&amp;raw[[#This Row],[wage_eq]]&amp;"."&amp;raw[[#This Row],[flex]]&amp;"."&amp;raw[[#This Row],[expo]]</f>
        <v>2039.1.1.0.1</v>
      </c>
    </row>
    <row r="348" spans="1:1">
      <c r="A348" t="str">
        <f t="array" ref="A348">+YEAR(raw[[#This Row],[_date_]])&amp;"."&amp;raw[[#This Row],[redis_ls]]&amp;"."&amp;raw[[#This Row],[wage_eq]]&amp;"."&amp;raw[[#This Row],[flex]]&amp;"."&amp;raw[[#This Row],[expo]]</f>
        <v>2040.1.1.0.1</v>
      </c>
    </row>
    <row r="349" spans="1:1">
      <c r="A349" t="str">
        <f t="array" ref="A349">+YEAR(raw[[#This Row],[_date_]])&amp;"."&amp;raw[[#This Row],[redis_ls]]&amp;"."&amp;raw[[#This Row],[wage_eq]]&amp;"."&amp;raw[[#This Row],[flex]]&amp;"."&amp;raw[[#This Row],[expo]]</f>
        <v>2041.1.1.0.1</v>
      </c>
    </row>
    <row r="350" spans="1:1">
      <c r="A350" t="str">
        <f t="array" ref="A350">+YEAR(raw[[#This Row],[_date_]])&amp;"."&amp;raw[[#This Row],[redis_ls]]&amp;"."&amp;raw[[#This Row],[wage_eq]]&amp;"."&amp;raw[[#This Row],[flex]]&amp;"."&amp;raw[[#This Row],[expo]]</f>
        <v>2042.1.1.0.1</v>
      </c>
    </row>
    <row r="351" spans="1:1">
      <c r="A351" t="str">
        <f t="array" ref="A351">+YEAR(raw[[#This Row],[_date_]])&amp;"."&amp;raw[[#This Row],[redis_ls]]&amp;"."&amp;raw[[#This Row],[wage_eq]]&amp;"."&amp;raw[[#This Row],[flex]]&amp;"."&amp;raw[[#This Row],[expo]]</f>
        <v>2043.1.1.0.1</v>
      </c>
    </row>
    <row r="352" spans="1:1">
      <c r="A352" t="str">
        <f t="array" ref="A352">+YEAR(raw[[#This Row],[_date_]])&amp;"."&amp;raw[[#This Row],[redis_ls]]&amp;"."&amp;raw[[#This Row],[wage_eq]]&amp;"."&amp;raw[[#This Row],[flex]]&amp;"."&amp;raw[[#This Row],[expo]]</f>
        <v>2044.1.1.0.1</v>
      </c>
    </row>
    <row r="353" spans="1:1">
      <c r="A353" t="str">
        <f t="array" ref="A353">+YEAR(raw[[#This Row],[_date_]])&amp;"."&amp;raw[[#This Row],[redis_ls]]&amp;"."&amp;raw[[#This Row],[wage_eq]]&amp;"."&amp;raw[[#This Row],[flex]]&amp;"."&amp;raw[[#This Row],[expo]]</f>
        <v>2045.1.1.0.1</v>
      </c>
    </row>
    <row r="354" spans="1:1">
      <c r="A354" t="str">
        <f t="array" ref="A354">+YEAR(raw[[#This Row],[_date_]])&amp;"."&amp;raw[[#This Row],[redis_ls]]&amp;"."&amp;raw[[#This Row],[wage_eq]]&amp;"."&amp;raw[[#This Row],[flex]]&amp;"."&amp;raw[[#This Row],[expo]]</f>
        <v>2046.1.1.0.1</v>
      </c>
    </row>
    <row r="355" spans="1:1">
      <c r="A355" t="str">
        <f t="array" ref="A355">+YEAR(raw[[#This Row],[_date_]])&amp;"."&amp;raw[[#This Row],[redis_ls]]&amp;"."&amp;raw[[#This Row],[wage_eq]]&amp;"."&amp;raw[[#This Row],[flex]]&amp;"."&amp;raw[[#This Row],[expo]]</f>
        <v>2047.1.1.0.1</v>
      </c>
    </row>
    <row r="356" spans="1:1">
      <c r="A356" t="str">
        <f t="array" ref="A356">+YEAR(raw[[#This Row],[_date_]])&amp;"."&amp;raw[[#This Row],[redis_ls]]&amp;"."&amp;raw[[#This Row],[wage_eq]]&amp;"."&amp;raw[[#This Row],[flex]]&amp;"."&amp;raw[[#This Row],[expo]]</f>
        <v>2048.1.1.0.1</v>
      </c>
    </row>
    <row r="357" spans="1:1">
      <c r="A357" t="str">
        <f t="array" ref="A357">+YEAR(raw[[#This Row],[_date_]])&amp;"."&amp;raw[[#This Row],[redis_ls]]&amp;"."&amp;raw[[#This Row],[wage_eq]]&amp;"."&amp;raw[[#This Row],[flex]]&amp;"."&amp;raw[[#This Row],[expo]]</f>
        <v>2049.1.1.0.1</v>
      </c>
    </row>
    <row r="358" spans="1:1">
      <c r="A358" t="str">
        <f t="array" ref="A358">+YEAR(raw[[#This Row],[_date_]])&amp;"."&amp;raw[[#This Row],[redis_ls]]&amp;"."&amp;raw[[#This Row],[wage_eq]]&amp;"."&amp;raw[[#This Row],[flex]]&amp;"."&amp;raw[[#This Row],[expo]]</f>
        <v>2050.1.1.0.1</v>
      </c>
    </row>
    <row r="359" spans="1:1">
      <c r="A359" t="str">
        <f t="array" ref="A359">+YEAR(raw[[#This Row],[_date_]])&amp;"."&amp;raw[[#This Row],[redis_ls]]&amp;"."&amp;raw[[#This Row],[wage_eq]]&amp;"."&amp;raw[[#This Row],[flex]]&amp;"."&amp;raw[[#This Row],[expo]]</f>
        <v>2000.1.1.0.0</v>
      </c>
    </row>
    <row r="360" spans="1:1">
      <c r="A360" t="str">
        <f t="array" ref="A360">+YEAR(raw[[#This Row],[_date_]])&amp;"."&amp;raw[[#This Row],[redis_ls]]&amp;"."&amp;raw[[#This Row],[wage_eq]]&amp;"."&amp;raw[[#This Row],[flex]]&amp;"."&amp;raw[[#This Row],[expo]]</f>
        <v>2001.1.1.0.0</v>
      </c>
    </row>
    <row r="361" spans="1:1">
      <c r="A361" t="str">
        <f t="array" ref="A361">+YEAR(raw[[#This Row],[_date_]])&amp;"."&amp;raw[[#This Row],[redis_ls]]&amp;"."&amp;raw[[#This Row],[wage_eq]]&amp;"."&amp;raw[[#This Row],[flex]]&amp;"."&amp;raw[[#This Row],[expo]]</f>
        <v>2002.1.1.0.0</v>
      </c>
    </row>
    <row r="362" spans="1:1">
      <c r="A362" t="str">
        <f t="array" ref="A362">+YEAR(raw[[#This Row],[_date_]])&amp;"."&amp;raw[[#This Row],[redis_ls]]&amp;"."&amp;raw[[#This Row],[wage_eq]]&amp;"."&amp;raw[[#This Row],[flex]]&amp;"."&amp;raw[[#This Row],[expo]]</f>
        <v>2003.1.1.0.0</v>
      </c>
    </row>
    <row r="363" spans="1:1">
      <c r="A363" t="str">
        <f t="array" ref="A363">+YEAR(raw[[#This Row],[_date_]])&amp;"."&amp;raw[[#This Row],[redis_ls]]&amp;"."&amp;raw[[#This Row],[wage_eq]]&amp;"."&amp;raw[[#This Row],[flex]]&amp;"."&amp;raw[[#This Row],[expo]]</f>
        <v>2004.1.1.0.0</v>
      </c>
    </row>
    <row r="364" spans="1:1">
      <c r="A364" t="str">
        <f t="array" ref="A364">+YEAR(raw[[#This Row],[_date_]])&amp;"."&amp;raw[[#This Row],[redis_ls]]&amp;"."&amp;raw[[#This Row],[wage_eq]]&amp;"."&amp;raw[[#This Row],[flex]]&amp;"."&amp;raw[[#This Row],[expo]]</f>
        <v>2005.1.1.0.0</v>
      </c>
    </row>
    <row r="365" spans="1:1">
      <c r="A365" t="str">
        <f t="array" ref="A365">+YEAR(raw[[#This Row],[_date_]])&amp;"."&amp;raw[[#This Row],[redis_ls]]&amp;"."&amp;raw[[#This Row],[wage_eq]]&amp;"."&amp;raw[[#This Row],[flex]]&amp;"."&amp;raw[[#This Row],[expo]]</f>
        <v>2006.1.1.0.0</v>
      </c>
    </row>
    <row r="366" spans="1:1">
      <c r="A366" t="str">
        <f t="array" ref="A366">+YEAR(raw[[#This Row],[_date_]])&amp;"."&amp;raw[[#This Row],[redis_ls]]&amp;"."&amp;raw[[#This Row],[wage_eq]]&amp;"."&amp;raw[[#This Row],[flex]]&amp;"."&amp;raw[[#This Row],[expo]]</f>
        <v>2007.1.1.0.0</v>
      </c>
    </row>
    <row r="367" spans="1:1">
      <c r="A367" t="str">
        <f t="array" ref="A367">+YEAR(raw[[#This Row],[_date_]])&amp;"."&amp;raw[[#This Row],[redis_ls]]&amp;"."&amp;raw[[#This Row],[wage_eq]]&amp;"."&amp;raw[[#This Row],[flex]]&amp;"."&amp;raw[[#This Row],[expo]]</f>
        <v>2008.1.1.0.0</v>
      </c>
    </row>
    <row r="368" spans="1:1">
      <c r="A368" t="str">
        <f t="array" ref="A368">+YEAR(raw[[#This Row],[_date_]])&amp;"."&amp;raw[[#This Row],[redis_ls]]&amp;"."&amp;raw[[#This Row],[wage_eq]]&amp;"."&amp;raw[[#This Row],[flex]]&amp;"."&amp;raw[[#This Row],[expo]]</f>
        <v>2009.1.1.0.0</v>
      </c>
    </row>
    <row r="369" spans="1:1">
      <c r="A369" t="str">
        <f t="array" ref="A369">+YEAR(raw[[#This Row],[_date_]])&amp;"."&amp;raw[[#This Row],[redis_ls]]&amp;"."&amp;raw[[#This Row],[wage_eq]]&amp;"."&amp;raw[[#This Row],[flex]]&amp;"."&amp;raw[[#This Row],[expo]]</f>
        <v>2010.1.1.0.0</v>
      </c>
    </row>
    <row r="370" spans="1:1">
      <c r="A370" t="str">
        <f t="array" ref="A370">+YEAR(raw[[#This Row],[_date_]])&amp;"."&amp;raw[[#This Row],[redis_ls]]&amp;"."&amp;raw[[#This Row],[wage_eq]]&amp;"."&amp;raw[[#This Row],[flex]]&amp;"."&amp;raw[[#This Row],[expo]]</f>
        <v>2011.1.1.0.0</v>
      </c>
    </row>
    <row r="371" spans="1:1">
      <c r="A371" t="str">
        <f t="array" ref="A371">+YEAR(raw[[#This Row],[_date_]])&amp;"."&amp;raw[[#This Row],[redis_ls]]&amp;"."&amp;raw[[#This Row],[wage_eq]]&amp;"."&amp;raw[[#This Row],[flex]]&amp;"."&amp;raw[[#This Row],[expo]]</f>
        <v>2012.1.1.0.0</v>
      </c>
    </row>
    <row r="372" spans="1:1">
      <c r="A372" t="str">
        <f t="array" ref="A372">+YEAR(raw[[#This Row],[_date_]])&amp;"."&amp;raw[[#This Row],[redis_ls]]&amp;"."&amp;raw[[#This Row],[wage_eq]]&amp;"."&amp;raw[[#This Row],[flex]]&amp;"."&amp;raw[[#This Row],[expo]]</f>
        <v>2013.1.1.0.0</v>
      </c>
    </row>
    <row r="373" spans="1:1">
      <c r="A373" t="str">
        <f t="array" ref="A373">+YEAR(raw[[#This Row],[_date_]])&amp;"."&amp;raw[[#This Row],[redis_ls]]&amp;"."&amp;raw[[#This Row],[wage_eq]]&amp;"."&amp;raw[[#This Row],[flex]]&amp;"."&amp;raw[[#This Row],[expo]]</f>
        <v>2014.1.1.0.0</v>
      </c>
    </row>
    <row r="374" spans="1:1">
      <c r="A374" t="str">
        <f t="array" ref="A374">+YEAR(raw[[#This Row],[_date_]])&amp;"."&amp;raw[[#This Row],[redis_ls]]&amp;"."&amp;raw[[#This Row],[wage_eq]]&amp;"."&amp;raw[[#This Row],[flex]]&amp;"."&amp;raw[[#This Row],[expo]]</f>
        <v>2015.1.1.0.0</v>
      </c>
    </row>
    <row r="375" spans="1:1">
      <c r="A375" t="str">
        <f t="array" ref="A375">+YEAR(raw[[#This Row],[_date_]])&amp;"."&amp;raw[[#This Row],[redis_ls]]&amp;"."&amp;raw[[#This Row],[wage_eq]]&amp;"."&amp;raw[[#This Row],[flex]]&amp;"."&amp;raw[[#This Row],[expo]]</f>
        <v>2016.1.1.0.0</v>
      </c>
    </row>
    <row r="376" spans="1:1">
      <c r="A376" t="str">
        <f t="array" ref="A376">+YEAR(raw[[#This Row],[_date_]])&amp;"."&amp;raw[[#This Row],[redis_ls]]&amp;"."&amp;raw[[#This Row],[wage_eq]]&amp;"."&amp;raw[[#This Row],[flex]]&amp;"."&amp;raw[[#This Row],[expo]]</f>
        <v>2017.1.1.0.0</v>
      </c>
    </row>
    <row r="377" spans="1:1">
      <c r="A377" t="str">
        <f t="array" ref="A377">+YEAR(raw[[#This Row],[_date_]])&amp;"."&amp;raw[[#This Row],[redis_ls]]&amp;"."&amp;raw[[#This Row],[wage_eq]]&amp;"."&amp;raw[[#This Row],[flex]]&amp;"."&amp;raw[[#This Row],[expo]]</f>
        <v>2018.1.1.0.0</v>
      </c>
    </row>
    <row r="378" spans="1:1">
      <c r="A378" t="str">
        <f t="array" ref="A378">+YEAR(raw[[#This Row],[_date_]])&amp;"."&amp;raw[[#This Row],[redis_ls]]&amp;"."&amp;raw[[#This Row],[wage_eq]]&amp;"."&amp;raw[[#This Row],[flex]]&amp;"."&amp;raw[[#This Row],[expo]]</f>
        <v>2019.1.1.0.0</v>
      </c>
    </row>
    <row r="379" spans="1:1">
      <c r="A379" t="str">
        <f t="array" ref="A379">+YEAR(raw[[#This Row],[_date_]])&amp;"."&amp;raw[[#This Row],[redis_ls]]&amp;"."&amp;raw[[#This Row],[wage_eq]]&amp;"."&amp;raw[[#This Row],[flex]]&amp;"."&amp;raw[[#This Row],[expo]]</f>
        <v>2020.1.1.0.0</v>
      </c>
    </row>
    <row r="380" spans="1:1">
      <c r="A380" t="str">
        <f t="array" ref="A380">+YEAR(raw[[#This Row],[_date_]])&amp;"."&amp;raw[[#This Row],[redis_ls]]&amp;"."&amp;raw[[#This Row],[wage_eq]]&amp;"."&amp;raw[[#This Row],[flex]]&amp;"."&amp;raw[[#This Row],[expo]]</f>
        <v>2021.1.1.0.0</v>
      </c>
    </row>
    <row r="381" spans="1:1">
      <c r="A381" t="str">
        <f t="array" ref="A381">+YEAR(raw[[#This Row],[_date_]])&amp;"."&amp;raw[[#This Row],[redis_ls]]&amp;"."&amp;raw[[#This Row],[wage_eq]]&amp;"."&amp;raw[[#This Row],[flex]]&amp;"."&amp;raw[[#This Row],[expo]]</f>
        <v>2022.1.1.0.0</v>
      </c>
    </row>
    <row r="382" spans="1:1">
      <c r="A382" t="str">
        <f t="array" ref="A382">+YEAR(raw[[#This Row],[_date_]])&amp;"."&amp;raw[[#This Row],[redis_ls]]&amp;"."&amp;raw[[#This Row],[wage_eq]]&amp;"."&amp;raw[[#This Row],[flex]]&amp;"."&amp;raw[[#This Row],[expo]]</f>
        <v>2023.1.1.0.0</v>
      </c>
    </row>
    <row r="383" spans="1:1">
      <c r="A383" t="str">
        <f t="array" ref="A383">+YEAR(raw[[#This Row],[_date_]])&amp;"."&amp;raw[[#This Row],[redis_ls]]&amp;"."&amp;raw[[#This Row],[wage_eq]]&amp;"."&amp;raw[[#This Row],[flex]]&amp;"."&amp;raw[[#This Row],[expo]]</f>
        <v>2024.1.1.0.0</v>
      </c>
    </row>
    <row r="384" spans="1:1">
      <c r="A384" t="str">
        <f t="array" ref="A384">+YEAR(raw[[#This Row],[_date_]])&amp;"."&amp;raw[[#This Row],[redis_ls]]&amp;"."&amp;raw[[#This Row],[wage_eq]]&amp;"."&amp;raw[[#This Row],[flex]]&amp;"."&amp;raw[[#This Row],[expo]]</f>
        <v>2025.1.1.0.0</v>
      </c>
    </row>
    <row r="385" spans="1:1">
      <c r="A385" t="str">
        <f t="array" ref="A385">+YEAR(raw[[#This Row],[_date_]])&amp;"."&amp;raw[[#This Row],[redis_ls]]&amp;"."&amp;raw[[#This Row],[wage_eq]]&amp;"."&amp;raw[[#This Row],[flex]]&amp;"."&amp;raw[[#This Row],[expo]]</f>
        <v>2026.1.1.0.0</v>
      </c>
    </row>
    <row r="386" spans="1:1">
      <c r="A386" t="str">
        <f t="array" ref="A386">+YEAR(raw[[#This Row],[_date_]])&amp;"."&amp;raw[[#This Row],[redis_ls]]&amp;"."&amp;raw[[#This Row],[wage_eq]]&amp;"."&amp;raw[[#This Row],[flex]]&amp;"."&amp;raw[[#This Row],[expo]]</f>
        <v>2027.1.1.0.0</v>
      </c>
    </row>
    <row r="387" spans="1:1">
      <c r="A387" t="str">
        <f t="array" ref="A387">+YEAR(raw[[#This Row],[_date_]])&amp;"."&amp;raw[[#This Row],[redis_ls]]&amp;"."&amp;raw[[#This Row],[wage_eq]]&amp;"."&amp;raw[[#This Row],[flex]]&amp;"."&amp;raw[[#This Row],[expo]]</f>
        <v>2028.1.1.0.0</v>
      </c>
    </row>
    <row r="388" spans="1:1">
      <c r="A388" t="str">
        <f t="array" ref="A388">+YEAR(raw[[#This Row],[_date_]])&amp;"."&amp;raw[[#This Row],[redis_ls]]&amp;"."&amp;raw[[#This Row],[wage_eq]]&amp;"."&amp;raw[[#This Row],[flex]]&amp;"."&amp;raw[[#This Row],[expo]]</f>
        <v>2029.1.1.0.0</v>
      </c>
    </row>
    <row r="389" spans="1:1">
      <c r="A389" t="str">
        <f t="array" ref="A389">+YEAR(raw[[#This Row],[_date_]])&amp;"."&amp;raw[[#This Row],[redis_ls]]&amp;"."&amp;raw[[#This Row],[wage_eq]]&amp;"."&amp;raw[[#This Row],[flex]]&amp;"."&amp;raw[[#This Row],[expo]]</f>
        <v>2030.1.1.0.0</v>
      </c>
    </row>
    <row r="390" spans="1:1">
      <c r="A390" t="str">
        <f t="array" ref="A390">+YEAR(raw[[#This Row],[_date_]])&amp;"."&amp;raw[[#This Row],[redis_ls]]&amp;"."&amp;raw[[#This Row],[wage_eq]]&amp;"."&amp;raw[[#This Row],[flex]]&amp;"."&amp;raw[[#This Row],[expo]]</f>
        <v>2031.1.1.0.0</v>
      </c>
    </row>
    <row r="391" spans="1:1">
      <c r="A391" t="str">
        <f t="array" ref="A391">+YEAR(raw[[#This Row],[_date_]])&amp;"."&amp;raw[[#This Row],[redis_ls]]&amp;"."&amp;raw[[#This Row],[wage_eq]]&amp;"."&amp;raw[[#This Row],[flex]]&amp;"."&amp;raw[[#This Row],[expo]]</f>
        <v>2032.1.1.0.0</v>
      </c>
    </row>
    <row r="392" spans="1:1">
      <c r="A392" t="str">
        <f t="array" ref="A392">+YEAR(raw[[#This Row],[_date_]])&amp;"."&amp;raw[[#This Row],[redis_ls]]&amp;"."&amp;raw[[#This Row],[wage_eq]]&amp;"."&amp;raw[[#This Row],[flex]]&amp;"."&amp;raw[[#This Row],[expo]]</f>
        <v>2033.1.1.0.0</v>
      </c>
    </row>
    <row r="393" spans="1:1">
      <c r="A393" t="str">
        <f t="array" ref="A393">+YEAR(raw[[#This Row],[_date_]])&amp;"."&amp;raw[[#This Row],[redis_ls]]&amp;"."&amp;raw[[#This Row],[wage_eq]]&amp;"."&amp;raw[[#This Row],[flex]]&amp;"."&amp;raw[[#This Row],[expo]]</f>
        <v>2034.1.1.0.0</v>
      </c>
    </row>
    <row r="394" spans="1:1">
      <c r="A394" t="str">
        <f t="array" ref="A394">+YEAR(raw[[#This Row],[_date_]])&amp;"."&amp;raw[[#This Row],[redis_ls]]&amp;"."&amp;raw[[#This Row],[wage_eq]]&amp;"."&amp;raw[[#This Row],[flex]]&amp;"."&amp;raw[[#This Row],[expo]]</f>
        <v>2035.1.1.0.0</v>
      </c>
    </row>
    <row r="395" spans="1:1">
      <c r="A395" t="str">
        <f t="array" ref="A395">+YEAR(raw[[#This Row],[_date_]])&amp;"."&amp;raw[[#This Row],[redis_ls]]&amp;"."&amp;raw[[#This Row],[wage_eq]]&amp;"."&amp;raw[[#This Row],[flex]]&amp;"."&amp;raw[[#This Row],[expo]]</f>
        <v>2036.1.1.0.0</v>
      </c>
    </row>
    <row r="396" spans="1:1">
      <c r="A396" t="str">
        <f t="array" ref="A396">+YEAR(raw[[#This Row],[_date_]])&amp;"."&amp;raw[[#This Row],[redis_ls]]&amp;"."&amp;raw[[#This Row],[wage_eq]]&amp;"."&amp;raw[[#This Row],[flex]]&amp;"."&amp;raw[[#This Row],[expo]]</f>
        <v>2037.1.1.0.0</v>
      </c>
    </row>
    <row r="397" spans="1:1">
      <c r="A397" t="str">
        <f t="array" ref="A397">+YEAR(raw[[#This Row],[_date_]])&amp;"."&amp;raw[[#This Row],[redis_ls]]&amp;"."&amp;raw[[#This Row],[wage_eq]]&amp;"."&amp;raw[[#This Row],[flex]]&amp;"."&amp;raw[[#This Row],[expo]]</f>
        <v>2038.1.1.0.0</v>
      </c>
    </row>
    <row r="398" spans="1:1">
      <c r="A398" t="str">
        <f t="array" ref="A398">+YEAR(raw[[#This Row],[_date_]])&amp;"."&amp;raw[[#This Row],[redis_ls]]&amp;"."&amp;raw[[#This Row],[wage_eq]]&amp;"."&amp;raw[[#This Row],[flex]]&amp;"."&amp;raw[[#This Row],[expo]]</f>
        <v>2039.1.1.0.0</v>
      </c>
    </row>
    <row r="399" spans="1:1">
      <c r="A399" t="str">
        <f t="array" ref="A399">+YEAR(raw[[#This Row],[_date_]])&amp;"."&amp;raw[[#This Row],[redis_ls]]&amp;"."&amp;raw[[#This Row],[wage_eq]]&amp;"."&amp;raw[[#This Row],[flex]]&amp;"."&amp;raw[[#This Row],[expo]]</f>
        <v>2040.1.1.0.0</v>
      </c>
    </row>
    <row r="400" spans="1:1">
      <c r="A400" t="str">
        <f t="array" ref="A400">+YEAR(raw[[#This Row],[_date_]])&amp;"."&amp;raw[[#This Row],[redis_ls]]&amp;"."&amp;raw[[#This Row],[wage_eq]]&amp;"."&amp;raw[[#This Row],[flex]]&amp;"."&amp;raw[[#This Row],[expo]]</f>
        <v>2041.1.1.0.0</v>
      </c>
    </row>
    <row r="401" spans="1:1">
      <c r="A401" t="str">
        <f t="array" ref="A401">+YEAR(raw[[#This Row],[_date_]])&amp;"."&amp;raw[[#This Row],[redis_ls]]&amp;"."&amp;raw[[#This Row],[wage_eq]]&amp;"."&amp;raw[[#This Row],[flex]]&amp;"."&amp;raw[[#This Row],[expo]]</f>
        <v>2042.1.1.0.0</v>
      </c>
    </row>
    <row r="402" spans="1:1">
      <c r="A402" t="str">
        <f t="array" ref="A402">+YEAR(raw[[#This Row],[_date_]])&amp;"."&amp;raw[[#This Row],[redis_ls]]&amp;"."&amp;raw[[#This Row],[wage_eq]]&amp;"."&amp;raw[[#This Row],[flex]]&amp;"."&amp;raw[[#This Row],[expo]]</f>
        <v>2043.1.1.0.0</v>
      </c>
    </row>
    <row r="403" spans="1:1">
      <c r="A403" t="str">
        <f t="array" ref="A403">+YEAR(raw[[#This Row],[_date_]])&amp;"."&amp;raw[[#This Row],[redis_ls]]&amp;"."&amp;raw[[#This Row],[wage_eq]]&amp;"."&amp;raw[[#This Row],[flex]]&amp;"."&amp;raw[[#This Row],[expo]]</f>
        <v>2044.1.1.0.0</v>
      </c>
    </row>
    <row r="404" spans="1:1">
      <c r="A404" t="str">
        <f t="array" ref="A404">+YEAR(raw[[#This Row],[_date_]])&amp;"."&amp;raw[[#This Row],[redis_ls]]&amp;"."&amp;raw[[#This Row],[wage_eq]]&amp;"."&amp;raw[[#This Row],[flex]]&amp;"."&amp;raw[[#This Row],[expo]]</f>
        <v>2045.1.1.0.0</v>
      </c>
    </row>
    <row r="405" spans="1:1">
      <c r="A405" t="str">
        <f t="array" ref="A405">+YEAR(raw[[#This Row],[_date_]])&amp;"."&amp;raw[[#This Row],[redis_ls]]&amp;"."&amp;raw[[#This Row],[wage_eq]]&amp;"."&amp;raw[[#This Row],[flex]]&amp;"."&amp;raw[[#This Row],[expo]]</f>
        <v>2046.1.1.0.0</v>
      </c>
    </row>
    <row r="406" spans="1:1">
      <c r="A406" t="str">
        <f t="array" ref="A406">+YEAR(raw[[#This Row],[_date_]])&amp;"."&amp;raw[[#This Row],[redis_ls]]&amp;"."&amp;raw[[#This Row],[wage_eq]]&amp;"."&amp;raw[[#This Row],[flex]]&amp;"."&amp;raw[[#This Row],[expo]]</f>
        <v>2047.1.1.0.0</v>
      </c>
    </row>
    <row r="407" spans="1:1">
      <c r="A407" t="str">
        <f t="array" ref="A407">+YEAR(raw[[#This Row],[_date_]])&amp;"."&amp;raw[[#This Row],[redis_ls]]&amp;"."&amp;raw[[#This Row],[wage_eq]]&amp;"."&amp;raw[[#This Row],[flex]]&amp;"."&amp;raw[[#This Row],[expo]]</f>
        <v>2048.1.1.0.0</v>
      </c>
    </row>
    <row r="408" spans="1:1">
      <c r="A408" t="str">
        <f t="array" ref="A408">+YEAR(raw[[#This Row],[_date_]])&amp;"."&amp;raw[[#This Row],[redis_ls]]&amp;"."&amp;raw[[#This Row],[wage_eq]]&amp;"."&amp;raw[[#This Row],[flex]]&amp;"."&amp;raw[[#This Row],[expo]]</f>
        <v>2049.1.1.0.0</v>
      </c>
    </row>
    <row r="409" spans="1:1">
      <c r="A409" t="str">
        <f t="array" ref="A409">+YEAR(raw[[#This Row],[_date_]])&amp;"."&amp;raw[[#This Row],[redis_ls]]&amp;"."&amp;raw[[#This Row],[wage_eq]]&amp;"."&amp;raw[[#This Row],[flex]]&amp;"."&amp;raw[[#This Row],[expo]]</f>
        <v>2050.1.1.0.0</v>
      </c>
    </row>
    <row r="410" spans="1:1">
      <c r="A410" t="str">
        <f t="array" ref="A410">+YEAR(raw[[#This Row],[_date_]])&amp;"."&amp;raw[[#This Row],[redis_ls]]&amp;"."&amp;raw[[#This Row],[wage_eq]]&amp;"."&amp;raw[[#This Row],[flex]]&amp;"."&amp;raw[[#This Row],[expo]]</f>
        <v>2000.1.0.1.1</v>
      </c>
    </row>
    <row r="411" spans="1:1">
      <c r="A411" t="str">
        <f t="array" ref="A411">+YEAR(raw[[#This Row],[_date_]])&amp;"."&amp;raw[[#This Row],[redis_ls]]&amp;"."&amp;raw[[#This Row],[wage_eq]]&amp;"."&amp;raw[[#This Row],[flex]]&amp;"."&amp;raw[[#This Row],[expo]]</f>
        <v>2001.1.0.1.1</v>
      </c>
    </row>
    <row r="412" spans="1:1">
      <c r="A412" t="str">
        <f t="array" ref="A412">+YEAR(raw[[#This Row],[_date_]])&amp;"."&amp;raw[[#This Row],[redis_ls]]&amp;"."&amp;raw[[#This Row],[wage_eq]]&amp;"."&amp;raw[[#This Row],[flex]]&amp;"."&amp;raw[[#This Row],[expo]]</f>
        <v>2002.1.0.1.1</v>
      </c>
    </row>
    <row r="413" spans="1:1">
      <c r="A413" t="str">
        <f t="array" ref="A413">+YEAR(raw[[#This Row],[_date_]])&amp;"."&amp;raw[[#This Row],[redis_ls]]&amp;"."&amp;raw[[#This Row],[wage_eq]]&amp;"."&amp;raw[[#This Row],[flex]]&amp;"."&amp;raw[[#This Row],[expo]]</f>
        <v>2003.1.0.1.1</v>
      </c>
    </row>
    <row r="414" spans="1:1">
      <c r="A414" t="str">
        <f t="array" ref="A414">+YEAR(raw[[#This Row],[_date_]])&amp;"."&amp;raw[[#This Row],[redis_ls]]&amp;"."&amp;raw[[#This Row],[wage_eq]]&amp;"."&amp;raw[[#This Row],[flex]]&amp;"."&amp;raw[[#This Row],[expo]]</f>
        <v>2004.1.0.1.1</v>
      </c>
    </row>
    <row r="415" spans="1:1">
      <c r="A415" t="str">
        <f t="array" ref="A415">+YEAR(raw[[#This Row],[_date_]])&amp;"."&amp;raw[[#This Row],[redis_ls]]&amp;"."&amp;raw[[#This Row],[wage_eq]]&amp;"."&amp;raw[[#This Row],[flex]]&amp;"."&amp;raw[[#This Row],[expo]]</f>
        <v>2005.1.0.1.1</v>
      </c>
    </row>
    <row r="416" spans="1:1">
      <c r="A416" t="str">
        <f t="array" ref="A416">+YEAR(raw[[#This Row],[_date_]])&amp;"."&amp;raw[[#This Row],[redis_ls]]&amp;"."&amp;raw[[#This Row],[wage_eq]]&amp;"."&amp;raw[[#This Row],[flex]]&amp;"."&amp;raw[[#This Row],[expo]]</f>
        <v>2006.1.0.1.1</v>
      </c>
    </row>
    <row r="417" spans="1:1">
      <c r="A417" t="str">
        <f t="array" ref="A417">+YEAR(raw[[#This Row],[_date_]])&amp;"."&amp;raw[[#This Row],[redis_ls]]&amp;"."&amp;raw[[#This Row],[wage_eq]]&amp;"."&amp;raw[[#This Row],[flex]]&amp;"."&amp;raw[[#This Row],[expo]]</f>
        <v>2007.1.0.1.1</v>
      </c>
    </row>
    <row r="418" spans="1:1">
      <c r="A418" t="str">
        <f t="array" ref="A418">+YEAR(raw[[#This Row],[_date_]])&amp;"."&amp;raw[[#This Row],[redis_ls]]&amp;"."&amp;raw[[#This Row],[wage_eq]]&amp;"."&amp;raw[[#This Row],[flex]]&amp;"."&amp;raw[[#This Row],[expo]]</f>
        <v>2008.1.0.1.1</v>
      </c>
    </row>
    <row r="419" spans="1:1">
      <c r="A419" t="str">
        <f t="array" ref="A419">+YEAR(raw[[#This Row],[_date_]])&amp;"."&amp;raw[[#This Row],[redis_ls]]&amp;"."&amp;raw[[#This Row],[wage_eq]]&amp;"."&amp;raw[[#This Row],[flex]]&amp;"."&amp;raw[[#This Row],[expo]]</f>
        <v>2009.1.0.1.1</v>
      </c>
    </row>
    <row r="420" spans="1:1">
      <c r="A420" t="str">
        <f t="array" ref="A420">+YEAR(raw[[#This Row],[_date_]])&amp;"."&amp;raw[[#This Row],[redis_ls]]&amp;"."&amp;raw[[#This Row],[wage_eq]]&amp;"."&amp;raw[[#This Row],[flex]]&amp;"."&amp;raw[[#This Row],[expo]]</f>
        <v>2010.1.0.1.1</v>
      </c>
    </row>
    <row r="421" spans="1:1">
      <c r="A421" t="str">
        <f t="array" ref="A421">+YEAR(raw[[#This Row],[_date_]])&amp;"."&amp;raw[[#This Row],[redis_ls]]&amp;"."&amp;raw[[#This Row],[wage_eq]]&amp;"."&amp;raw[[#This Row],[flex]]&amp;"."&amp;raw[[#This Row],[expo]]</f>
        <v>2011.1.0.1.1</v>
      </c>
    </row>
    <row r="422" spans="1:1">
      <c r="A422" t="str">
        <f t="array" ref="A422">+YEAR(raw[[#This Row],[_date_]])&amp;"."&amp;raw[[#This Row],[redis_ls]]&amp;"."&amp;raw[[#This Row],[wage_eq]]&amp;"."&amp;raw[[#This Row],[flex]]&amp;"."&amp;raw[[#This Row],[expo]]</f>
        <v>2012.1.0.1.1</v>
      </c>
    </row>
    <row r="423" spans="1:1">
      <c r="A423" t="str">
        <f t="array" ref="A423">+YEAR(raw[[#This Row],[_date_]])&amp;"."&amp;raw[[#This Row],[redis_ls]]&amp;"."&amp;raw[[#This Row],[wage_eq]]&amp;"."&amp;raw[[#This Row],[flex]]&amp;"."&amp;raw[[#This Row],[expo]]</f>
        <v>2013.1.0.1.1</v>
      </c>
    </row>
    <row r="424" spans="1:1">
      <c r="A424" t="str">
        <f t="array" ref="A424">+YEAR(raw[[#This Row],[_date_]])&amp;"."&amp;raw[[#This Row],[redis_ls]]&amp;"."&amp;raw[[#This Row],[wage_eq]]&amp;"."&amp;raw[[#This Row],[flex]]&amp;"."&amp;raw[[#This Row],[expo]]</f>
        <v>2014.1.0.1.1</v>
      </c>
    </row>
    <row r="425" spans="1:1">
      <c r="A425" t="str">
        <f t="array" ref="A425">+YEAR(raw[[#This Row],[_date_]])&amp;"."&amp;raw[[#This Row],[redis_ls]]&amp;"."&amp;raw[[#This Row],[wage_eq]]&amp;"."&amp;raw[[#This Row],[flex]]&amp;"."&amp;raw[[#This Row],[expo]]</f>
        <v>2015.1.0.1.1</v>
      </c>
    </row>
    <row r="426" spans="1:1">
      <c r="A426" t="str">
        <f t="array" ref="A426">+YEAR(raw[[#This Row],[_date_]])&amp;"."&amp;raw[[#This Row],[redis_ls]]&amp;"."&amp;raw[[#This Row],[wage_eq]]&amp;"."&amp;raw[[#This Row],[flex]]&amp;"."&amp;raw[[#This Row],[expo]]</f>
        <v>2016.1.0.1.1</v>
      </c>
    </row>
    <row r="427" spans="1:1">
      <c r="A427" t="str">
        <f t="array" ref="A427">+YEAR(raw[[#This Row],[_date_]])&amp;"."&amp;raw[[#This Row],[redis_ls]]&amp;"."&amp;raw[[#This Row],[wage_eq]]&amp;"."&amp;raw[[#This Row],[flex]]&amp;"."&amp;raw[[#This Row],[expo]]</f>
        <v>2017.1.0.1.1</v>
      </c>
    </row>
    <row r="428" spans="1:1">
      <c r="A428" t="str">
        <f t="array" ref="A428">+YEAR(raw[[#This Row],[_date_]])&amp;"."&amp;raw[[#This Row],[redis_ls]]&amp;"."&amp;raw[[#This Row],[wage_eq]]&amp;"."&amp;raw[[#This Row],[flex]]&amp;"."&amp;raw[[#This Row],[expo]]</f>
        <v>2018.1.0.1.1</v>
      </c>
    </row>
    <row r="429" spans="1:1">
      <c r="A429" t="str">
        <f t="array" ref="A429">+YEAR(raw[[#This Row],[_date_]])&amp;"."&amp;raw[[#This Row],[redis_ls]]&amp;"."&amp;raw[[#This Row],[wage_eq]]&amp;"."&amp;raw[[#This Row],[flex]]&amp;"."&amp;raw[[#This Row],[expo]]</f>
        <v>2019.1.0.1.1</v>
      </c>
    </row>
    <row r="430" spans="1:1">
      <c r="A430" t="str">
        <f t="array" ref="A430">+YEAR(raw[[#This Row],[_date_]])&amp;"."&amp;raw[[#This Row],[redis_ls]]&amp;"."&amp;raw[[#This Row],[wage_eq]]&amp;"."&amp;raw[[#This Row],[flex]]&amp;"."&amp;raw[[#This Row],[expo]]</f>
        <v>2020.1.0.1.1</v>
      </c>
    </row>
    <row r="431" spans="1:1">
      <c r="A431" t="str">
        <f t="array" ref="A431">+YEAR(raw[[#This Row],[_date_]])&amp;"."&amp;raw[[#This Row],[redis_ls]]&amp;"."&amp;raw[[#This Row],[wage_eq]]&amp;"."&amp;raw[[#This Row],[flex]]&amp;"."&amp;raw[[#This Row],[expo]]</f>
        <v>2021.1.0.1.1</v>
      </c>
    </row>
    <row r="432" spans="1:1">
      <c r="A432" t="str">
        <f t="array" ref="A432">+YEAR(raw[[#This Row],[_date_]])&amp;"."&amp;raw[[#This Row],[redis_ls]]&amp;"."&amp;raw[[#This Row],[wage_eq]]&amp;"."&amp;raw[[#This Row],[flex]]&amp;"."&amp;raw[[#This Row],[expo]]</f>
        <v>2022.1.0.1.1</v>
      </c>
    </row>
    <row r="433" spans="1:1">
      <c r="A433" t="str">
        <f t="array" ref="A433">+YEAR(raw[[#This Row],[_date_]])&amp;"."&amp;raw[[#This Row],[redis_ls]]&amp;"."&amp;raw[[#This Row],[wage_eq]]&amp;"."&amp;raw[[#This Row],[flex]]&amp;"."&amp;raw[[#This Row],[expo]]</f>
        <v>2023.1.0.1.1</v>
      </c>
    </row>
    <row r="434" spans="1:1">
      <c r="A434" t="str">
        <f t="array" ref="A434">+YEAR(raw[[#This Row],[_date_]])&amp;"."&amp;raw[[#This Row],[redis_ls]]&amp;"."&amp;raw[[#This Row],[wage_eq]]&amp;"."&amp;raw[[#This Row],[flex]]&amp;"."&amp;raw[[#This Row],[expo]]</f>
        <v>2024.1.0.1.1</v>
      </c>
    </row>
    <row r="435" spans="1:1">
      <c r="A435" t="str">
        <f t="array" ref="A435">+YEAR(raw[[#This Row],[_date_]])&amp;"."&amp;raw[[#This Row],[redis_ls]]&amp;"."&amp;raw[[#This Row],[wage_eq]]&amp;"."&amp;raw[[#This Row],[flex]]&amp;"."&amp;raw[[#This Row],[expo]]</f>
        <v>2025.1.0.1.1</v>
      </c>
    </row>
    <row r="436" spans="1:1">
      <c r="A436" t="str">
        <f t="array" ref="A436">+YEAR(raw[[#This Row],[_date_]])&amp;"."&amp;raw[[#This Row],[redis_ls]]&amp;"."&amp;raw[[#This Row],[wage_eq]]&amp;"."&amp;raw[[#This Row],[flex]]&amp;"."&amp;raw[[#This Row],[expo]]</f>
        <v>2026.1.0.1.1</v>
      </c>
    </row>
    <row r="437" spans="1:1">
      <c r="A437" t="str">
        <f t="array" ref="A437">+YEAR(raw[[#This Row],[_date_]])&amp;"."&amp;raw[[#This Row],[redis_ls]]&amp;"."&amp;raw[[#This Row],[wage_eq]]&amp;"."&amp;raw[[#This Row],[flex]]&amp;"."&amp;raw[[#This Row],[expo]]</f>
        <v>2027.1.0.1.1</v>
      </c>
    </row>
    <row r="438" spans="1:1">
      <c r="A438" t="str">
        <f t="array" ref="A438">+YEAR(raw[[#This Row],[_date_]])&amp;"."&amp;raw[[#This Row],[redis_ls]]&amp;"."&amp;raw[[#This Row],[wage_eq]]&amp;"."&amp;raw[[#This Row],[flex]]&amp;"."&amp;raw[[#This Row],[expo]]</f>
        <v>2028.1.0.1.1</v>
      </c>
    </row>
    <row r="439" spans="1:1">
      <c r="A439" t="str">
        <f t="array" ref="A439">+YEAR(raw[[#This Row],[_date_]])&amp;"."&amp;raw[[#This Row],[redis_ls]]&amp;"."&amp;raw[[#This Row],[wage_eq]]&amp;"."&amp;raw[[#This Row],[flex]]&amp;"."&amp;raw[[#This Row],[expo]]</f>
        <v>2029.1.0.1.1</v>
      </c>
    </row>
    <row r="440" spans="1:1">
      <c r="A440" t="str">
        <f t="array" ref="A440">+YEAR(raw[[#This Row],[_date_]])&amp;"."&amp;raw[[#This Row],[redis_ls]]&amp;"."&amp;raw[[#This Row],[wage_eq]]&amp;"."&amp;raw[[#This Row],[flex]]&amp;"."&amp;raw[[#This Row],[expo]]</f>
        <v>2030.1.0.1.1</v>
      </c>
    </row>
    <row r="441" spans="1:1">
      <c r="A441" t="str">
        <f t="array" ref="A441">+YEAR(raw[[#This Row],[_date_]])&amp;"."&amp;raw[[#This Row],[redis_ls]]&amp;"."&amp;raw[[#This Row],[wage_eq]]&amp;"."&amp;raw[[#This Row],[flex]]&amp;"."&amp;raw[[#This Row],[expo]]</f>
        <v>2031.1.0.1.1</v>
      </c>
    </row>
    <row r="442" spans="1:1">
      <c r="A442" t="str">
        <f t="array" ref="A442">+YEAR(raw[[#This Row],[_date_]])&amp;"."&amp;raw[[#This Row],[redis_ls]]&amp;"."&amp;raw[[#This Row],[wage_eq]]&amp;"."&amp;raw[[#This Row],[flex]]&amp;"."&amp;raw[[#This Row],[expo]]</f>
        <v>2032.1.0.1.1</v>
      </c>
    </row>
    <row r="443" spans="1:1">
      <c r="A443" t="str">
        <f t="array" ref="A443">+YEAR(raw[[#This Row],[_date_]])&amp;"."&amp;raw[[#This Row],[redis_ls]]&amp;"."&amp;raw[[#This Row],[wage_eq]]&amp;"."&amp;raw[[#This Row],[flex]]&amp;"."&amp;raw[[#This Row],[expo]]</f>
        <v>2033.1.0.1.1</v>
      </c>
    </row>
    <row r="444" spans="1:1">
      <c r="A444" t="str">
        <f t="array" ref="A444">+YEAR(raw[[#This Row],[_date_]])&amp;"."&amp;raw[[#This Row],[redis_ls]]&amp;"."&amp;raw[[#This Row],[wage_eq]]&amp;"."&amp;raw[[#This Row],[flex]]&amp;"."&amp;raw[[#This Row],[expo]]</f>
        <v>2034.1.0.1.1</v>
      </c>
    </row>
    <row r="445" spans="1:1">
      <c r="A445" t="str">
        <f t="array" ref="A445">+YEAR(raw[[#This Row],[_date_]])&amp;"."&amp;raw[[#This Row],[redis_ls]]&amp;"."&amp;raw[[#This Row],[wage_eq]]&amp;"."&amp;raw[[#This Row],[flex]]&amp;"."&amp;raw[[#This Row],[expo]]</f>
        <v>2035.1.0.1.1</v>
      </c>
    </row>
    <row r="446" spans="1:1">
      <c r="A446" t="str">
        <f t="array" ref="A446">+YEAR(raw[[#This Row],[_date_]])&amp;"."&amp;raw[[#This Row],[redis_ls]]&amp;"."&amp;raw[[#This Row],[wage_eq]]&amp;"."&amp;raw[[#This Row],[flex]]&amp;"."&amp;raw[[#This Row],[expo]]</f>
        <v>2036.1.0.1.1</v>
      </c>
    </row>
    <row r="447" spans="1:1">
      <c r="A447" t="str">
        <f t="array" ref="A447">+YEAR(raw[[#This Row],[_date_]])&amp;"."&amp;raw[[#This Row],[redis_ls]]&amp;"."&amp;raw[[#This Row],[wage_eq]]&amp;"."&amp;raw[[#This Row],[flex]]&amp;"."&amp;raw[[#This Row],[expo]]</f>
        <v>2037.1.0.1.1</v>
      </c>
    </row>
    <row r="448" spans="1:1">
      <c r="A448" t="str">
        <f t="array" ref="A448">+YEAR(raw[[#This Row],[_date_]])&amp;"."&amp;raw[[#This Row],[redis_ls]]&amp;"."&amp;raw[[#This Row],[wage_eq]]&amp;"."&amp;raw[[#This Row],[flex]]&amp;"."&amp;raw[[#This Row],[expo]]</f>
        <v>2038.1.0.1.1</v>
      </c>
    </row>
    <row r="449" spans="1:1">
      <c r="A449" t="str">
        <f t="array" ref="A449">+YEAR(raw[[#This Row],[_date_]])&amp;"."&amp;raw[[#This Row],[redis_ls]]&amp;"."&amp;raw[[#This Row],[wage_eq]]&amp;"."&amp;raw[[#This Row],[flex]]&amp;"."&amp;raw[[#This Row],[expo]]</f>
        <v>2039.1.0.1.1</v>
      </c>
    </row>
    <row r="450" spans="1:1">
      <c r="A450" t="str">
        <f t="array" ref="A450">+YEAR(raw[[#This Row],[_date_]])&amp;"."&amp;raw[[#This Row],[redis_ls]]&amp;"."&amp;raw[[#This Row],[wage_eq]]&amp;"."&amp;raw[[#This Row],[flex]]&amp;"."&amp;raw[[#This Row],[expo]]</f>
        <v>2040.1.0.1.1</v>
      </c>
    </row>
    <row r="451" spans="1:1">
      <c r="A451" t="str">
        <f t="array" ref="A451">+YEAR(raw[[#This Row],[_date_]])&amp;"."&amp;raw[[#This Row],[redis_ls]]&amp;"."&amp;raw[[#This Row],[wage_eq]]&amp;"."&amp;raw[[#This Row],[flex]]&amp;"."&amp;raw[[#This Row],[expo]]</f>
        <v>2041.1.0.1.1</v>
      </c>
    </row>
    <row r="452" spans="1:1">
      <c r="A452" t="str">
        <f t="array" ref="A452">+YEAR(raw[[#This Row],[_date_]])&amp;"."&amp;raw[[#This Row],[redis_ls]]&amp;"."&amp;raw[[#This Row],[wage_eq]]&amp;"."&amp;raw[[#This Row],[flex]]&amp;"."&amp;raw[[#This Row],[expo]]</f>
        <v>2042.1.0.1.1</v>
      </c>
    </row>
    <row r="453" spans="1:1">
      <c r="A453" t="str">
        <f t="array" ref="A453">+YEAR(raw[[#This Row],[_date_]])&amp;"."&amp;raw[[#This Row],[redis_ls]]&amp;"."&amp;raw[[#This Row],[wage_eq]]&amp;"."&amp;raw[[#This Row],[flex]]&amp;"."&amp;raw[[#This Row],[expo]]</f>
        <v>2043.1.0.1.1</v>
      </c>
    </row>
    <row r="454" spans="1:1">
      <c r="A454" t="str">
        <f t="array" ref="A454">+YEAR(raw[[#This Row],[_date_]])&amp;"."&amp;raw[[#This Row],[redis_ls]]&amp;"."&amp;raw[[#This Row],[wage_eq]]&amp;"."&amp;raw[[#This Row],[flex]]&amp;"."&amp;raw[[#This Row],[expo]]</f>
        <v>2044.1.0.1.1</v>
      </c>
    </row>
    <row r="455" spans="1:1">
      <c r="A455" t="str">
        <f t="array" ref="A455">+YEAR(raw[[#This Row],[_date_]])&amp;"."&amp;raw[[#This Row],[redis_ls]]&amp;"."&amp;raw[[#This Row],[wage_eq]]&amp;"."&amp;raw[[#This Row],[flex]]&amp;"."&amp;raw[[#This Row],[expo]]</f>
        <v>2045.1.0.1.1</v>
      </c>
    </row>
    <row r="456" spans="1:1">
      <c r="A456" t="str">
        <f t="array" ref="A456">+YEAR(raw[[#This Row],[_date_]])&amp;"."&amp;raw[[#This Row],[redis_ls]]&amp;"."&amp;raw[[#This Row],[wage_eq]]&amp;"."&amp;raw[[#This Row],[flex]]&amp;"."&amp;raw[[#This Row],[expo]]</f>
        <v>2046.1.0.1.1</v>
      </c>
    </row>
    <row r="457" spans="1:1">
      <c r="A457" t="str">
        <f t="array" ref="A457">+YEAR(raw[[#This Row],[_date_]])&amp;"."&amp;raw[[#This Row],[redis_ls]]&amp;"."&amp;raw[[#This Row],[wage_eq]]&amp;"."&amp;raw[[#This Row],[flex]]&amp;"."&amp;raw[[#This Row],[expo]]</f>
        <v>2047.1.0.1.1</v>
      </c>
    </row>
    <row r="458" spans="1:1">
      <c r="A458" t="str">
        <f t="array" ref="A458">+YEAR(raw[[#This Row],[_date_]])&amp;"."&amp;raw[[#This Row],[redis_ls]]&amp;"."&amp;raw[[#This Row],[wage_eq]]&amp;"."&amp;raw[[#This Row],[flex]]&amp;"."&amp;raw[[#This Row],[expo]]</f>
        <v>2048.1.0.1.1</v>
      </c>
    </row>
    <row r="459" spans="1:1">
      <c r="A459" t="str">
        <f t="array" ref="A459">+YEAR(raw[[#This Row],[_date_]])&amp;"."&amp;raw[[#This Row],[redis_ls]]&amp;"."&amp;raw[[#This Row],[wage_eq]]&amp;"."&amp;raw[[#This Row],[flex]]&amp;"."&amp;raw[[#This Row],[expo]]</f>
        <v>2049.1.0.1.1</v>
      </c>
    </row>
    <row r="460" spans="1:1">
      <c r="A460" t="str">
        <f t="array" ref="A460">+YEAR(raw[[#This Row],[_date_]])&amp;"."&amp;raw[[#This Row],[redis_ls]]&amp;"."&amp;raw[[#This Row],[wage_eq]]&amp;"."&amp;raw[[#This Row],[flex]]&amp;"."&amp;raw[[#This Row],[expo]]</f>
        <v>2050.1.0.1.1</v>
      </c>
    </row>
    <row r="461" spans="1:1">
      <c r="A461" t="str">
        <f t="array" ref="A461">+YEAR(raw[[#This Row],[_date_]])&amp;"."&amp;raw[[#This Row],[redis_ls]]&amp;"."&amp;raw[[#This Row],[wage_eq]]&amp;"."&amp;raw[[#This Row],[flex]]&amp;"."&amp;raw[[#This Row],[expo]]</f>
        <v>2000.1.0.1.0</v>
      </c>
    </row>
    <row r="462" spans="1:1">
      <c r="A462" t="str">
        <f t="array" ref="A462">+YEAR(raw[[#This Row],[_date_]])&amp;"."&amp;raw[[#This Row],[redis_ls]]&amp;"."&amp;raw[[#This Row],[wage_eq]]&amp;"."&amp;raw[[#This Row],[flex]]&amp;"."&amp;raw[[#This Row],[expo]]</f>
        <v>2001.1.0.1.0</v>
      </c>
    </row>
    <row r="463" spans="1:1">
      <c r="A463" t="str">
        <f t="array" ref="A463">+YEAR(raw[[#This Row],[_date_]])&amp;"."&amp;raw[[#This Row],[redis_ls]]&amp;"."&amp;raw[[#This Row],[wage_eq]]&amp;"."&amp;raw[[#This Row],[flex]]&amp;"."&amp;raw[[#This Row],[expo]]</f>
        <v>2002.1.0.1.0</v>
      </c>
    </row>
    <row r="464" spans="1:1">
      <c r="A464" t="str">
        <f t="array" ref="A464">+YEAR(raw[[#This Row],[_date_]])&amp;"."&amp;raw[[#This Row],[redis_ls]]&amp;"."&amp;raw[[#This Row],[wage_eq]]&amp;"."&amp;raw[[#This Row],[flex]]&amp;"."&amp;raw[[#This Row],[expo]]</f>
        <v>2003.1.0.1.0</v>
      </c>
    </row>
    <row r="465" spans="1:1">
      <c r="A465" t="str">
        <f t="array" ref="A465">+YEAR(raw[[#This Row],[_date_]])&amp;"."&amp;raw[[#This Row],[redis_ls]]&amp;"."&amp;raw[[#This Row],[wage_eq]]&amp;"."&amp;raw[[#This Row],[flex]]&amp;"."&amp;raw[[#This Row],[expo]]</f>
        <v>2004.1.0.1.0</v>
      </c>
    </row>
    <row r="466" spans="1:1">
      <c r="A466" t="str">
        <f t="array" ref="A466">+YEAR(raw[[#This Row],[_date_]])&amp;"."&amp;raw[[#This Row],[redis_ls]]&amp;"."&amp;raw[[#This Row],[wage_eq]]&amp;"."&amp;raw[[#This Row],[flex]]&amp;"."&amp;raw[[#This Row],[expo]]</f>
        <v>2005.1.0.1.0</v>
      </c>
    </row>
    <row r="467" spans="1:1">
      <c r="A467" t="str">
        <f t="array" ref="A467">+YEAR(raw[[#This Row],[_date_]])&amp;"."&amp;raw[[#This Row],[redis_ls]]&amp;"."&amp;raw[[#This Row],[wage_eq]]&amp;"."&amp;raw[[#This Row],[flex]]&amp;"."&amp;raw[[#This Row],[expo]]</f>
        <v>2006.1.0.1.0</v>
      </c>
    </row>
    <row r="468" spans="1:1">
      <c r="A468" t="str">
        <f t="array" ref="A468">+YEAR(raw[[#This Row],[_date_]])&amp;"."&amp;raw[[#This Row],[redis_ls]]&amp;"."&amp;raw[[#This Row],[wage_eq]]&amp;"."&amp;raw[[#This Row],[flex]]&amp;"."&amp;raw[[#This Row],[expo]]</f>
        <v>2007.1.0.1.0</v>
      </c>
    </row>
    <row r="469" spans="1:1">
      <c r="A469" t="str">
        <f t="array" ref="A469">+YEAR(raw[[#This Row],[_date_]])&amp;"."&amp;raw[[#This Row],[redis_ls]]&amp;"."&amp;raw[[#This Row],[wage_eq]]&amp;"."&amp;raw[[#This Row],[flex]]&amp;"."&amp;raw[[#This Row],[expo]]</f>
        <v>2008.1.0.1.0</v>
      </c>
    </row>
    <row r="470" spans="1:1">
      <c r="A470" t="str">
        <f t="array" ref="A470">+YEAR(raw[[#This Row],[_date_]])&amp;"."&amp;raw[[#This Row],[redis_ls]]&amp;"."&amp;raw[[#This Row],[wage_eq]]&amp;"."&amp;raw[[#This Row],[flex]]&amp;"."&amp;raw[[#This Row],[expo]]</f>
        <v>2009.1.0.1.0</v>
      </c>
    </row>
    <row r="471" spans="1:1">
      <c r="A471" t="str">
        <f t="array" ref="A471">+YEAR(raw[[#This Row],[_date_]])&amp;"."&amp;raw[[#This Row],[redis_ls]]&amp;"."&amp;raw[[#This Row],[wage_eq]]&amp;"."&amp;raw[[#This Row],[flex]]&amp;"."&amp;raw[[#This Row],[expo]]</f>
        <v>2010.1.0.1.0</v>
      </c>
    </row>
    <row r="472" spans="1:1">
      <c r="A472" t="str">
        <f t="array" ref="A472">+YEAR(raw[[#This Row],[_date_]])&amp;"."&amp;raw[[#This Row],[redis_ls]]&amp;"."&amp;raw[[#This Row],[wage_eq]]&amp;"."&amp;raw[[#This Row],[flex]]&amp;"."&amp;raw[[#This Row],[expo]]</f>
        <v>2011.1.0.1.0</v>
      </c>
    </row>
    <row r="473" spans="1:1">
      <c r="A473" t="str">
        <f t="array" ref="A473">+YEAR(raw[[#This Row],[_date_]])&amp;"."&amp;raw[[#This Row],[redis_ls]]&amp;"."&amp;raw[[#This Row],[wage_eq]]&amp;"."&amp;raw[[#This Row],[flex]]&amp;"."&amp;raw[[#This Row],[expo]]</f>
        <v>2012.1.0.1.0</v>
      </c>
    </row>
    <row r="474" spans="1:1">
      <c r="A474" t="str">
        <f t="array" ref="A474">+YEAR(raw[[#This Row],[_date_]])&amp;"."&amp;raw[[#This Row],[redis_ls]]&amp;"."&amp;raw[[#This Row],[wage_eq]]&amp;"."&amp;raw[[#This Row],[flex]]&amp;"."&amp;raw[[#This Row],[expo]]</f>
        <v>2013.1.0.1.0</v>
      </c>
    </row>
    <row r="475" spans="1:1">
      <c r="A475" t="str">
        <f t="array" ref="A475">+YEAR(raw[[#This Row],[_date_]])&amp;"."&amp;raw[[#This Row],[redis_ls]]&amp;"."&amp;raw[[#This Row],[wage_eq]]&amp;"."&amp;raw[[#This Row],[flex]]&amp;"."&amp;raw[[#This Row],[expo]]</f>
        <v>2014.1.0.1.0</v>
      </c>
    </row>
    <row r="476" spans="1:1">
      <c r="A476" t="str">
        <f t="array" ref="A476">+YEAR(raw[[#This Row],[_date_]])&amp;"."&amp;raw[[#This Row],[redis_ls]]&amp;"."&amp;raw[[#This Row],[wage_eq]]&amp;"."&amp;raw[[#This Row],[flex]]&amp;"."&amp;raw[[#This Row],[expo]]</f>
        <v>2015.1.0.1.0</v>
      </c>
    </row>
    <row r="477" spans="1:1">
      <c r="A477" t="str">
        <f t="array" ref="A477">+YEAR(raw[[#This Row],[_date_]])&amp;"."&amp;raw[[#This Row],[redis_ls]]&amp;"."&amp;raw[[#This Row],[wage_eq]]&amp;"."&amp;raw[[#This Row],[flex]]&amp;"."&amp;raw[[#This Row],[expo]]</f>
        <v>2016.1.0.1.0</v>
      </c>
    </row>
    <row r="478" spans="1:1">
      <c r="A478" t="str">
        <f t="array" ref="A478">+YEAR(raw[[#This Row],[_date_]])&amp;"."&amp;raw[[#This Row],[redis_ls]]&amp;"."&amp;raw[[#This Row],[wage_eq]]&amp;"."&amp;raw[[#This Row],[flex]]&amp;"."&amp;raw[[#This Row],[expo]]</f>
        <v>2017.1.0.1.0</v>
      </c>
    </row>
    <row r="479" spans="1:1">
      <c r="A479" t="str">
        <f t="array" ref="A479">+YEAR(raw[[#This Row],[_date_]])&amp;"."&amp;raw[[#This Row],[redis_ls]]&amp;"."&amp;raw[[#This Row],[wage_eq]]&amp;"."&amp;raw[[#This Row],[flex]]&amp;"."&amp;raw[[#This Row],[expo]]</f>
        <v>2018.1.0.1.0</v>
      </c>
    </row>
    <row r="480" spans="1:1">
      <c r="A480" t="str">
        <f t="array" ref="A480">+YEAR(raw[[#This Row],[_date_]])&amp;"."&amp;raw[[#This Row],[redis_ls]]&amp;"."&amp;raw[[#This Row],[wage_eq]]&amp;"."&amp;raw[[#This Row],[flex]]&amp;"."&amp;raw[[#This Row],[expo]]</f>
        <v>2019.1.0.1.0</v>
      </c>
    </row>
    <row r="481" spans="1:1">
      <c r="A481" t="str">
        <f t="array" ref="A481">+YEAR(raw[[#This Row],[_date_]])&amp;"."&amp;raw[[#This Row],[redis_ls]]&amp;"."&amp;raw[[#This Row],[wage_eq]]&amp;"."&amp;raw[[#This Row],[flex]]&amp;"."&amp;raw[[#This Row],[expo]]</f>
        <v>2020.1.0.1.0</v>
      </c>
    </row>
    <row r="482" spans="1:1">
      <c r="A482" t="str">
        <f t="array" ref="A482">+YEAR(raw[[#This Row],[_date_]])&amp;"."&amp;raw[[#This Row],[redis_ls]]&amp;"."&amp;raw[[#This Row],[wage_eq]]&amp;"."&amp;raw[[#This Row],[flex]]&amp;"."&amp;raw[[#This Row],[expo]]</f>
        <v>2021.1.0.1.0</v>
      </c>
    </row>
    <row r="483" spans="1:1">
      <c r="A483" t="str">
        <f t="array" ref="A483">+YEAR(raw[[#This Row],[_date_]])&amp;"."&amp;raw[[#This Row],[redis_ls]]&amp;"."&amp;raw[[#This Row],[wage_eq]]&amp;"."&amp;raw[[#This Row],[flex]]&amp;"."&amp;raw[[#This Row],[expo]]</f>
        <v>2022.1.0.1.0</v>
      </c>
    </row>
    <row r="484" spans="1:1">
      <c r="A484" t="str">
        <f t="array" ref="A484">+YEAR(raw[[#This Row],[_date_]])&amp;"."&amp;raw[[#This Row],[redis_ls]]&amp;"."&amp;raw[[#This Row],[wage_eq]]&amp;"."&amp;raw[[#This Row],[flex]]&amp;"."&amp;raw[[#This Row],[expo]]</f>
        <v>2023.1.0.1.0</v>
      </c>
    </row>
    <row r="485" spans="1:1">
      <c r="A485" t="str">
        <f t="array" ref="A485">+YEAR(raw[[#This Row],[_date_]])&amp;"."&amp;raw[[#This Row],[redis_ls]]&amp;"."&amp;raw[[#This Row],[wage_eq]]&amp;"."&amp;raw[[#This Row],[flex]]&amp;"."&amp;raw[[#This Row],[expo]]</f>
        <v>2024.1.0.1.0</v>
      </c>
    </row>
    <row r="486" spans="1:1">
      <c r="A486" t="str">
        <f t="array" ref="A486">+YEAR(raw[[#This Row],[_date_]])&amp;"."&amp;raw[[#This Row],[redis_ls]]&amp;"."&amp;raw[[#This Row],[wage_eq]]&amp;"."&amp;raw[[#This Row],[flex]]&amp;"."&amp;raw[[#This Row],[expo]]</f>
        <v>2025.1.0.1.0</v>
      </c>
    </row>
    <row r="487" spans="1:1">
      <c r="A487" t="str">
        <f t="array" ref="A487">+YEAR(raw[[#This Row],[_date_]])&amp;"."&amp;raw[[#This Row],[redis_ls]]&amp;"."&amp;raw[[#This Row],[wage_eq]]&amp;"."&amp;raw[[#This Row],[flex]]&amp;"."&amp;raw[[#This Row],[expo]]</f>
        <v>2026.1.0.1.0</v>
      </c>
    </row>
    <row r="488" spans="1:1">
      <c r="A488" t="str">
        <f t="array" ref="A488">+YEAR(raw[[#This Row],[_date_]])&amp;"."&amp;raw[[#This Row],[redis_ls]]&amp;"."&amp;raw[[#This Row],[wage_eq]]&amp;"."&amp;raw[[#This Row],[flex]]&amp;"."&amp;raw[[#This Row],[expo]]</f>
        <v>2027.1.0.1.0</v>
      </c>
    </row>
    <row r="489" spans="1:1">
      <c r="A489" t="str">
        <f t="array" ref="A489">+YEAR(raw[[#This Row],[_date_]])&amp;"."&amp;raw[[#This Row],[redis_ls]]&amp;"."&amp;raw[[#This Row],[wage_eq]]&amp;"."&amp;raw[[#This Row],[flex]]&amp;"."&amp;raw[[#This Row],[expo]]</f>
        <v>2028.1.0.1.0</v>
      </c>
    </row>
    <row r="490" spans="1:1">
      <c r="A490" t="str">
        <f t="array" ref="A490">+YEAR(raw[[#This Row],[_date_]])&amp;"."&amp;raw[[#This Row],[redis_ls]]&amp;"."&amp;raw[[#This Row],[wage_eq]]&amp;"."&amp;raw[[#This Row],[flex]]&amp;"."&amp;raw[[#This Row],[expo]]</f>
        <v>2029.1.0.1.0</v>
      </c>
    </row>
    <row r="491" spans="1:1">
      <c r="A491" t="str">
        <f t="array" ref="A491">+YEAR(raw[[#This Row],[_date_]])&amp;"."&amp;raw[[#This Row],[redis_ls]]&amp;"."&amp;raw[[#This Row],[wage_eq]]&amp;"."&amp;raw[[#This Row],[flex]]&amp;"."&amp;raw[[#This Row],[expo]]</f>
        <v>2030.1.0.1.0</v>
      </c>
    </row>
    <row r="492" spans="1:1">
      <c r="A492" t="str">
        <f t="array" ref="A492">+YEAR(raw[[#This Row],[_date_]])&amp;"."&amp;raw[[#This Row],[redis_ls]]&amp;"."&amp;raw[[#This Row],[wage_eq]]&amp;"."&amp;raw[[#This Row],[flex]]&amp;"."&amp;raw[[#This Row],[expo]]</f>
        <v>2031.1.0.1.0</v>
      </c>
    </row>
    <row r="493" spans="1:1">
      <c r="A493" t="str">
        <f t="array" ref="A493">+YEAR(raw[[#This Row],[_date_]])&amp;"."&amp;raw[[#This Row],[redis_ls]]&amp;"."&amp;raw[[#This Row],[wage_eq]]&amp;"."&amp;raw[[#This Row],[flex]]&amp;"."&amp;raw[[#This Row],[expo]]</f>
        <v>2032.1.0.1.0</v>
      </c>
    </row>
    <row r="494" spans="1:1">
      <c r="A494" t="str">
        <f t="array" ref="A494">+YEAR(raw[[#This Row],[_date_]])&amp;"."&amp;raw[[#This Row],[redis_ls]]&amp;"."&amp;raw[[#This Row],[wage_eq]]&amp;"."&amp;raw[[#This Row],[flex]]&amp;"."&amp;raw[[#This Row],[expo]]</f>
        <v>2033.1.0.1.0</v>
      </c>
    </row>
    <row r="495" spans="1:1">
      <c r="A495" t="str">
        <f t="array" ref="A495">+YEAR(raw[[#This Row],[_date_]])&amp;"."&amp;raw[[#This Row],[redis_ls]]&amp;"."&amp;raw[[#This Row],[wage_eq]]&amp;"."&amp;raw[[#This Row],[flex]]&amp;"."&amp;raw[[#This Row],[expo]]</f>
        <v>2034.1.0.1.0</v>
      </c>
    </row>
    <row r="496" spans="1:1">
      <c r="A496" t="str">
        <f t="array" ref="A496">+YEAR(raw[[#This Row],[_date_]])&amp;"."&amp;raw[[#This Row],[redis_ls]]&amp;"."&amp;raw[[#This Row],[wage_eq]]&amp;"."&amp;raw[[#This Row],[flex]]&amp;"."&amp;raw[[#This Row],[expo]]</f>
        <v>2035.1.0.1.0</v>
      </c>
    </row>
    <row r="497" spans="1:1">
      <c r="A497" t="str">
        <f t="array" ref="A497">+YEAR(raw[[#This Row],[_date_]])&amp;"."&amp;raw[[#This Row],[redis_ls]]&amp;"."&amp;raw[[#This Row],[wage_eq]]&amp;"."&amp;raw[[#This Row],[flex]]&amp;"."&amp;raw[[#This Row],[expo]]</f>
        <v>2036.1.0.1.0</v>
      </c>
    </row>
    <row r="498" spans="1:1">
      <c r="A498" t="str">
        <f t="array" ref="A498">+YEAR(raw[[#This Row],[_date_]])&amp;"."&amp;raw[[#This Row],[redis_ls]]&amp;"."&amp;raw[[#This Row],[wage_eq]]&amp;"."&amp;raw[[#This Row],[flex]]&amp;"."&amp;raw[[#This Row],[expo]]</f>
        <v>2037.1.0.1.0</v>
      </c>
    </row>
    <row r="499" spans="1:1">
      <c r="A499" t="str">
        <f t="array" ref="A499">+YEAR(raw[[#This Row],[_date_]])&amp;"."&amp;raw[[#This Row],[redis_ls]]&amp;"."&amp;raw[[#This Row],[wage_eq]]&amp;"."&amp;raw[[#This Row],[flex]]&amp;"."&amp;raw[[#This Row],[expo]]</f>
        <v>2038.1.0.1.0</v>
      </c>
    </row>
    <row r="500" spans="1:1">
      <c r="A500" t="str">
        <f t="array" ref="A500">+YEAR(raw[[#This Row],[_date_]])&amp;"."&amp;raw[[#This Row],[redis_ls]]&amp;"."&amp;raw[[#This Row],[wage_eq]]&amp;"."&amp;raw[[#This Row],[flex]]&amp;"."&amp;raw[[#This Row],[expo]]</f>
        <v>2039.1.0.1.0</v>
      </c>
    </row>
    <row r="501" spans="1:1">
      <c r="A501" t="str">
        <f t="array" ref="A501">+YEAR(raw[[#This Row],[_date_]])&amp;"."&amp;raw[[#This Row],[redis_ls]]&amp;"."&amp;raw[[#This Row],[wage_eq]]&amp;"."&amp;raw[[#This Row],[flex]]&amp;"."&amp;raw[[#This Row],[expo]]</f>
        <v>2040.1.0.1.0</v>
      </c>
    </row>
    <row r="502" spans="1:1">
      <c r="A502" t="str">
        <f t="array" ref="A502">+YEAR(raw[[#This Row],[_date_]])&amp;"."&amp;raw[[#This Row],[redis_ls]]&amp;"."&amp;raw[[#This Row],[wage_eq]]&amp;"."&amp;raw[[#This Row],[flex]]&amp;"."&amp;raw[[#This Row],[expo]]</f>
        <v>2041.1.0.1.0</v>
      </c>
    </row>
    <row r="503" spans="1:1">
      <c r="A503" t="str">
        <f t="array" ref="A503">+YEAR(raw[[#This Row],[_date_]])&amp;"."&amp;raw[[#This Row],[redis_ls]]&amp;"."&amp;raw[[#This Row],[wage_eq]]&amp;"."&amp;raw[[#This Row],[flex]]&amp;"."&amp;raw[[#This Row],[expo]]</f>
        <v>2042.1.0.1.0</v>
      </c>
    </row>
    <row r="504" spans="1:1">
      <c r="A504" t="str">
        <f t="array" ref="A504">+YEAR(raw[[#This Row],[_date_]])&amp;"."&amp;raw[[#This Row],[redis_ls]]&amp;"."&amp;raw[[#This Row],[wage_eq]]&amp;"."&amp;raw[[#This Row],[flex]]&amp;"."&amp;raw[[#This Row],[expo]]</f>
        <v>2043.1.0.1.0</v>
      </c>
    </row>
    <row r="505" spans="1:1">
      <c r="A505" t="str">
        <f t="array" ref="A505">+YEAR(raw[[#This Row],[_date_]])&amp;"."&amp;raw[[#This Row],[redis_ls]]&amp;"."&amp;raw[[#This Row],[wage_eq]]&amp;"."&amp;raw[[#This Row],[flex]]&amp;"."&amp;raw[[#This Row],[expo]]</f>
        <v>2044.1.0.1.0</v>
      </c>
    </row>
    <row r="506" spans="1:1">
      <c r="A506" t="str">
        <f t="array" ref="A506">+YEAR(raw[[#This Row],[_date_]])&amp;"."&amp;raw[[#This Row],[redis_ls]]&amp;"."&amp;raw[[#This Row],[wage_eq]]&amp;"."&amp;raw[[#This Row],[flex]]&amp;"."&amp;raw[[#This Row],[expo]]</f>
        <v>2045.1.0.1.0</v>
      </c>
    </row>
    <row r="507" spans="1:1">
      <c r="A507" t="str">
        <f t="array" ref="A507">+YEAR(raw[[#This Row],[_date_]])&amp;"."&amp;raw[[#This Row],[redis_ls]]&amp;"."&amp;raw[[#This Row],[wage_eq]]&amp;"."&amp;raw[[#This Row],[flex]]&amp;"."&amp;raw[[#This Row],[expo]]</f>
        <v>2046.1.0.1.0</v>
      </c>
    </row>
    <row r="508" spans="1:1">
      <c r="A508" t="str">
        <f t="array" ref="A508">+YEAR(raw[[#This Row],[_date_]])&amp;"."&amp;raw[[#This Row],[redis_ls]]&amp;"."&amp;raw[[#This Row],[wage_eq]]&amp;"."&amp;raw[[#This Row],[flex]]&amp;"."&amp;raw[[#This Row],[expo]]</f>
        <v>2047.1.0.1.0</v>
      </c>
    </row>
    <row r="509" spans="1:1">
      <c r="A509" t="str">
        <f t="array" ref="A509">+YEAR(raw[[#This Row],[_date_]])&amp;"."&amp;raw[[#This Row],[redis_ls]]&amp;"."&amp;raw[[#This Row],[wage_eq]]&amp;"."&amp;raw[[#This Row],[flex]]&amp;"."&amp;raw[[#This Row],[expo]]</f>
        <v>2048.1.0.1.0</v>
      </c>
    </row>
    <row r="510" spans="1:1">
      <c r="A510" t="str">
        <f t="array" ref="A510">+YEAR(raw[[#This Row],[_date_]])&amp;"."&amp;raw[[#This Row],[redis_ls]]&amp;"."&amp;raw[[#This Row],[wage_eq]]&amp;"."&amp;raw[[#This Row],[flex]]&amp;"."&amp;raw[[#This Row],[expo]]</f>
        <v>2049.1.0.1.0</v>
      </c>
    </row>
    <row r="511" spans="1:1">
      <c r="A511" t="str">
        <f t="array" ref="A511">+YEAR(raw[[#This Row],[_date_]])&amp;"."&amp;raw[[#This Row],[redis_ls]]&amp;"."&amp;raw[[#This Row],[wage_eq]]&amp;"."&amp;raw[[#This Row],[flex]]&amp;"."&amp;raw[[#This Row],[expo]]</f>
        <v>2050.1.0.1.0</v>
      </c>
    </row>
    <row r="512" spans="1:1">
      <c r="A512" t="str">
        <f t="array" ref="A512">+YEAR(raw[[#This Row],[_date_]])&amp;"."&amp;raw[[#This Row],[redis_ls]]&amp;"."&amp;raw[[#This Row],[wage_eq]]&amp;"."&amp;raw[[#This Row],[flex]]&amp;"."&amp;raw[[#This Row],[expo]]</f>
        <v>2000.1.0.0.1</v>
      </c>
    </row>
    <row r="513" spans="1:1">
      <c r="A513" t="str">
        <f t="array" ref="A513">+YEAR(raw[[#This Row],[_date_]])&amp;"."&amp;raw[[#This Row],[redis_ls]]&amp;"."&amp;raw[[#This Row],[wage_eq]]&amp;"."&amp;raw[[#This Row],[flex]]&amp;"."&amp;raw[[#This Row],[expo]]</f>
        <v>2001.1.0.0.1</v>
      </c>
    </row>
    <row r="514" spans="1:1">
      <c r="A514" t="str">
        <f t="array" ref="A514">+YEAR(raw[[#This Row],[_date_]])&amp;"."&amp;raw[[#This Row],[redis_ls]]&amp;"."&amp;raw[[#This Row],[wage_eq]]&amp;"."&amp;raw[[#This Row],[flex]]&amp;"."&amp;raw[[#This Row],[expo]]</f>
        <v>2002.1.0.0.1</v>
      </c>
    </row>
    <row r="515" spans="1:1">
      <c r="A515" t="str">
        <f t="array" ref="A515">+YEAR(raw[[#This Row],[_date_]])&amp;"."&amp;raw[[#This Row],[redis_ls]]&amp;"."&amp;raw[[#This Row],[wage_eq]]&amp;"."&amp;raw[[#This Row],[flex]]&amp;"."&amp;raw[[#This Row],[expo]]</f>
        <v>2003.1.0.0.1</v>
      </c>
    </row>
    <row r="516" spans="1:1">
      <c r="A516" t="str">
        <f t="array" ref="A516">+YEAR(raw[[#This Row],[_date_]])&amp;"."&amp;raw[[#This Row],[redis_ls]]&amp;"."&amp;raw[[#This Row],[wage_eq]]&amp;"."&amp;raw[[#This Row],[flex]]&amp;"."&amp;raw[[#This Row],[expo]]</f>
        <v>2004.1.0.0.1</v>
      </c>
    </row>
    <row r="517" spans="1:1">
      <c r="A517" t="str">
        <f t="array" ref="A517">+YEAR(raw[[#This Row],[_date_]])&amp;"."&amp;raw[[#This Row],[redis_ls]]&amp;"."&amp;raw[[#This Row],[wage_eq]]&amp;"."&amp;raw[[#This Row],[flex]]&amp;"."&amp;raw[[#This Row],[expo]]</f>
        <v>2005.1.0.0.1</v>
      </c>
    </row>
    <row r="518" spans="1:1">
      <c r="A518" t="str">
        <f t="array" ref="A518">+YEAR(raw[[#This Row],[_date_]])&amp;"."&amp;raw[[#This Row],[redis_ls]]&amp;"."&amp;raw[[#This Row],[wage_eq]]&amp;"."&amp;raw[[#This Row],[flex]]&amp;"."&amp;raw[[#This Row],[expo]]</f>
        <v>2006.1.0.0.1</v>
      </c>
    </row>
    <row r="519" spans="1:1">
      <c r="A519" t="str">
        <f t="array" ref="A519">+YEAR(raw[[#This Row],[_date_]])&amp;"."&amp;raw[[#This Row],[redis_ls]]&amp;"."&amp;raw[[#This Row],[wage_eq]]&amp;"."&amp;raw[[#This Row],[flex]]&amp;"."&amp;raw[[#This Row],[expo]]</f>
        <v>2007.1.0.0.1</v>
      </c>
    </row>
    <row r="520" spans="1:1">
      <c r="A520" t="str">
        <f t="array" ref="A520">+YEAR(raw[[#This Row],[_date_]])&amp;"."&amp;raw[[#This Row],[redis_ls]]&amp;"."&amp;raw[[#This Row],[wage_eq]]&amp;"."&amp;raw[[#This Row],[flex]]&amp;"."&amp;raw[[#This Row],[expo]]</f>
        <v>2008.1.0.0.1</v>
      </c>
    </row>
    <row r="521" spans="1:1">
      <c r="A521" t="str">
        <f t="array" ref="A521">+YEAR(raw[[#This Row],[_date_]])&amp;"."&amp;raw[[#This Row],[redis_ls]]&amp;"."&amp;raw[[#This Row],[wage_eq]]&amp;"."&amp;raw[[#This Row],[flex]]&amp;"."&amp;raw[[#This Row],[expo]]</f>
        <v>2009.1.0.0.1</v>
      </c>
    </row>
    <row r="522" spans="1:1">
      <c r="A522" t="str">
        <f t="array" ref="A522">+YEAR(raw[[#This Row],[_date_]])&amp;"."&amp;raw[[#This Row],[redis_ls]]&amp;"."&amp;raw[[#This Row],[wage_eq]]&amp;"."&amp;raw[[#This Row],[flex]]&amp;"."&amp;raw[[#This Row],[expo]]</f>
        <v>2010.1.0.0.1</v>
      </c>
    </row>
    <row r="523" spans="1:1">
      <c r="A523" t="str">
        <f t="array" ref="A523">+YEAR(raw[[#This Row],[_date_]])&amp;"."&amp;raw[[#This Row],[redis_ls]]&amp;"."&amp;raw[[#This Row],[wage_eq]]&amp;"."&amp;raw[[#This Row],[flex]]&amp;"."&amp;raw[[#This Row],[expo]]</f>
        <v>2011.1.0.0.1</v>
      </c>
    </row>
    <row r="524" spans="1:1">
      <c r="A524" t="str">
        <f t="array" ref="A524">+YEAR(raw[[#This Row],[_date_]])&amp;"."&amp;raw[[#This Row],[redis_ls]]&amp;"."&amp;raw[[#This Row],[wage_eq]]&amp;"."&amp;raw[[#This Row],[flex]]&amp;"."&amp;raw[[#This Row],[expo]]</f>
        <v>2012.1.0.0.1</v>
      </c>
    </row>
    <row r="525" spans="1:1">
      <c r="A525" t="str">
        <f t="array" ref="A525">+YEAR(raw[[#This Row],[_date_]])&amp;"."&amp;raw[[#This Row],[redis_ls]]&amp;"."&amp;raw[[#This Row],[wage_eq]]&amp;"."&amp;raw[[#This Row],[flex]]&amp;"."&amp;raw[[#This Row],[expo]]</f>
        <v>2013.1.0.0.1</v>
      </c>
    </row>
    <row r="526" spans="1:1">
      <c r="A526" t="str">
        <f t="array" ref="A526">+YEAR(raw[[#This Row],[_date_]])&amp;"."&amp;raw[[#This Row],[redis_ls]]&amp;"."&amp;raw[[#This Row],[wage_eq]]&amp;"."&amp;raw[[#This Row],[flex]]&amp;"."&amp;raw[[#This Row],[expo]]</f>
        <v>2014.1.0.0.1</v>
      </c>
    </row>
    <row r="527" spans="1:1">
      <c r="A527" t="str">
        <f t="array" ref="A527">+YEAR(raw[[#This Row],[_date_]])&amp;"."&amp;raw[[#This Row],[redis_ls]]&amp;"."&amp;raw[[#This Row],[wage_eq]]&amp;"."&amp;raw[[#This Row],[flex]]&amp;"."&amp;raw[[#This Row],[expo]]</f>
        <v>2015.1.0.0.1</v>
      </c>
    </row>
    <row r="528" spans="1:1">
      <c r="A528" t="str">
        <f t="array" ref="A528">+YEAR(raw[[#This Row],[_date_]])&amp;"."&amp;raw[[#This Row],[redis_ls]]&amp;"."&amp;raw[[#This Row],[wage_eq]]&amp;"."&amp;raw[[#This Row],[flex]]&amp;"."&amp;raw[[#This Row],[expo]]</f>
        <v>2016.1.0.0.1</v>
      </c>
    </row>
    <row r="529" spans="1:1">
      <c r="A529" t="str">
        <f t="array" ref="A529">+YEAR(raw[[#This Row],[_date_]])&amp;"."&amp;raw[[#This Row],[redis_ls]]&amp;"."&amp;raw[[#This Row],[wage_eq]]&amp;"."&amp;raw[[#This Row],[flex]]&amp;"."&amp;raw[[#This Row],[expo]]</f>
        <v>2017.1.0.0.1</v>
      </c>
    </row>
    <row r="530" spans="1:1">
      <c r="A530" t="str">
        <f t="array" ref="A530">+YEAR(raw[[#This Row],[_date_]])&amp;"."&amp;raw[[#This Row],[redis_ls]]&amp;"."&amp;raw[[#This Row],[wage_eq]]&amp;"."&amp;raw[[#This Row],[flex]]&amp;"."&amp;raw[[#This Row],[expo]]</f>
        <v>2018.1.0.0.1</v>
      </c>
    </row>
    <row r="531" spans="1:1">
      <c r="A531" t="str">
        <f t="array" ref="A531">+YEAR(raw[[#This Row],[_date_]])&amp;"."&amp;raw[[#This Row],[redis_ls]]&amp;"."&amp;raw[[#This Row],[wage_eq]]&amp;"."&amp;raw[[#This Row],[flex]]&amp;"."&amp;raw[[#This Row],[expo]]</f>
        <v>2019.1.0.0.1</v>
      </c>
    </row>
    <row r="532" spans="1:1">
      <c r="A532" t="str">
        <f t="array" ref="A532">+YEAR(raw[[#This Row],[_date_]])&amp;"."&amp;raw[[#This Row],[redis_ls]]&amp;"."&amp;raw[[#This Row],[wage_eq]]&amp;"."&amp;raw[[#This Row],[flex]]&amp;"."&amp;raw[[#This Row],[expo]]</f>
        <v>2020.1.0.0.1</v>
      </c>
    </row>
    <row r="533" spans="1:1">
      <c r="A533" t="str">
        <f t="array" ref="A533">+YEAR(raw[[#This Row],[_date_]])&amp;"."&amp;raw[[#This Row],[redis_ls]]&amp;"."&amp;raw[[#This Row],[wage_eq]]&amp;"."&amp;raw[[#This Row],[flex]]&amp;"."&amp;raw[[#This Row],[expo]]</f>
        <v>2021.1.0.0.1</v>
      </c>
    </row>
    <row r="534" spans="1:1">
      <c r="A534" t="str">
        <f t="array" ref="A534">+YEAR(raw[[#This Row],[_date_]])&amp;"."&amp;raw[[#This Row],[redis_ls]]&amp;"."&amp;raw[[#This Row],[wage_eq]]&amp;"."&amp;raw[[#This Row],[flex]]&amp;"."&amp;raw[[#This Row],[expo]]</f>
        <v>2022.1.0.0.1</v>
      </c>
    </row>
    <row r="535" spans="1:1">
      <c r="A535" t="str">
        <f t="array" ref="A535">+YEAR(raw[[#This Row],[_date_]])&amp;"."&amp;raw[[#This Row],[redis_ls]]&amp;"."&amp;raw[[#This Row],[wage_eq]]&amp;"."&amp;raw[[#This Row],[flex]]&amp;"."&amp;raw[[#This Row],[expo]]</f>
        <v>2023.1.0.0.1</v>
      </c>
    </row>
    <row r="536" spans="1:1">
      <c r="A536" t="str">
        <f t="array" ref="A536">+YEAR(raw[[#This Row],[_date_]])&amp;"."&amp;raw[[#This Row],[redis_ls]]&amp;"."&amp;raw[[#This Row],[wage_eq]]&amp;"."&amp;raw[[#This Row],[flex]]&amp;"."&amp;raw[[#This Row],[expo]]</f>
        <v>2024.1.0.0.1</v>
      </c>
    </row>
    <row r="537" spans="1:1">
      <c r="A537" t="str">
        <f t="array" ref="A537">+YEAR(raw[[#This Row],[_date_]])&amp;"."&amp;raw[[#This Row],[redis_ls]]&amp;"."&amp;raw[[#This Row],[wage_eq]]&amp;"."&amp;raw[[#This Row],[flex]]&amp;"."&amp;raw[[#This Row],[expo]]</f>
        <v>2025.1.0.0.1</v>
      </c>
    </row>
    <row r="538" spans="1:1">
      <c r="A538" t="str">
        <f t="array" ref="A538">+YEAR(raw[[#This Row],[_date_]])&amp;"."&amp;raw[[#This Row],[redis_ls]]&amp;"."&amp;raw[[#This Row],[wage_eq]]&amp;"."&amp;raw[[#This Row],[flex]]&amp;"."&amp;raw[[#This Row],[expo]]</f>
        <v>2026.1.0.0.1</v>
      </c>
    </row>
    <row r="539" spans="1:1">
      <c r="A539" t="str">
        <f t="array" ref="A539">+YEAR(raw[[#This Row],[_date_]])&amp;"."&amp;raw[[#This Row],[redis_ls]]&amp;"."&amp;raw[[#This Row],[wage_eq]]&amp;"."&amp;raw[[#This Row],[flex]]&amp;"."&amp;raw[[#This Row],[expo]]</f>
        <v>2027.1.0.0.1</v>
      </c>
    </row>
    <row r="540" spans="1:1">
      <c r="A540" t="str">
        <f t="array" ref="A540">+YEAR(raw[[#This Row],[_date_]])&amp;"."&amp;raw[[#This Row],[redis_ls]]&amp;"."&amp;raw[[#This Row],[wage_eq]]&amp;"."&amp;raw[[#This Row],[flex]]&amp;"."&amp;raw[[#This Row],[expo]]</f>
        <v>2028.1.0.0.1</v>
      </c>
    </row>
    <row r="541" spans="1:1">
      <c r="A541" t="str">
        <f t="array" ref="A541">+YEAR(raw[[#This Row],[_date_]])&amp;"."&amp;raw[[#This Row],[redis_ls]]&amp;"."&amp;raw[[#This Row],[wage_eq]]&amp;"."&amp;raw[[#This Row],[flex]]&amp;"."&amp;raw[[#This Row],[expo]]</f>
        <v>2029.1.0.0.1</v>
      </c>
    </row>
    <row r="542" spans="1:1">
      <c r="A542" t="str">
        <f t="array" ref="A542">+YEAR(raw[[#This Row],[_date_]])&amp;"."&amp;raw[[#This Row],[redis_ls]]&amp;"."&amp;raw[[#This Row],[wage_eq]]&amp;"."&amp;raw[[#This Row],[flex]]&amp;"."&amp;raw[[#This Row],[expo]]</f>
        <v>2030.1.0.0.1</v>
      </c>
    </row>
    <row r="543" spans="1:1">
      <c r="A543" t="str">
        <f t="array" ref="A543">+YEAR(raw[[#This Row],[_date_]])&amp;"."&amp;raw[[#This Row],[redis_ls]]&amp;"."&amp;raw[[#This Row],[wage_eq]]&amp;"."&amp;raw[[#This Row],[flex]]&amp;"."&amp;raw[[#This Row],[expo]]</f>
        <v>2031.1.0.0.1</v>
      </c>
    </row>
    <row r="544" spans="1:1">
      <c r="A544" t="str">
        <f t="array" ref="A544">+YEAR(raw[[#This Row],[_date_]])&amp;"."&amp;raw[[#This Row],[redis_ls]]&amp;"."&amp;raw[[#This Row],[wage_eq]]&amp;"."&amp;raw[[#This Row],[flex]]&amp;"."&amp;raw[[#This Row],[expo]]</f>
        <v>2032.1.0.0.1</v>
      </c>
    </row>
    <row r="545" spans="1:1">
      <c r="A545" t="str">
        <f t="array" ref="A545">+YEAR(raw[[#This Row],[_date_]])&amp;"."&amp;raw[[#This Row],[redis_ls]]&amp;"."&amp;raw[[#This Row],[wage_eq]]&amp;"."&amp;raw[[#This Row],[flex]]&amp;"."&amp;raw[[#This Row],[expo]]</f>
        <v>2033.1.0.0.1</v>
      </c>
    </row>
    <row r="546" spans="1:1">
      <c r="A546" t="str">
        <f t="array" ref="A546">+YEAR(raw[[#This Row],[_date_]])&amp;"."&amp;raw[[#This Row],[redis_ls]]&amp;"."&amp;raw[[#This Row],[wage_eq]]&amp;"."&amp;raw[[#This Row],[flex]]&amp;"."&amp;raw[[#This Row],[expo]]</f>
        <v>2034.1.0.0.1</v>
      </c>
    </row>
    <row r="547" spans="1:1">
      <c r="A547" t="str">
        <f t="array" ref="A547">+YEAR(raw[[#This Row],[_date_]])&amp;"."&amp;raw[[#This Row],[redis_ls]]&amp;"."&amp;raw[[#This Row],[wage_eq]]&amp;"."&amp;raw[[#This Row],[flex]]&amp;"."&amp;raw[[#This Row],[expo]]</f>
        <v>2035.1.0.0.1</v>
      </c>
    </row>
    <row r="548" spans="1:1">
      <c r="A548" t="str">
        <f t="array" ref="A548">+YEAR(raw[[#This Row],[_date_]])&amp;"."&amp;raw[[#This Row],[redis_ls]]&amp;"."&amp;raw[[#This Row],[wage_eq]]&amp;"."&amp;raw[[#This Row],[flex]]&amp;"."&amp;raw[[#This Row],[expo]]</f>
        <v>2036.1.0.0.1</v>
      </c>
    </row>
    <row r="549" spans="1:1">
      <c r="A549" t="str">
        <f t="array" ref="A549">+YEAR(raw[[#This Row],[_date_]])&amp;"."&amp;raw[[#This Row],[redis_ls]]&amp;"."&amp;raw[[#This Row],[wage_eq]]&amp;"."&amp;raw[[#This Row],[flex]]&amp;"."&amp;raw[[#This Row],[expo]]</f>
        <v>2037.1.0.0.1</v>
      </c>
    </row>
    <row r="550" spans="1:1">
      <c r="A550" t="str">
        <f t="array" ref="A550">+YEAR(raw[[#This Row],[_date_]])&amp;"."&amp;raw[[#This Row],[redis_ls]]&amp;"."&amp;raw[[#This Row],[wage_eq]]&amp;"."&amp;raw[[#This Row],[flex]]&amp;"."&amp;raw[[#This Row],[expo]]</f>
        <v>2038.1.0.0.1</v>
      </c>
    </row>
    <row r="551" spans="1:1">
      <c r="A551" t="str">
        <f t="array" ref="A551">+YEAR(raw[[#This Row],[_date_]])&amp;"."&amp;raw[[#This Row],[redis_ls]]&amp;"."&amp;raw[[#This Row],[wage_eq]]&amp;"."&amp;raw[[#This Row],[flex]]&amp;"."&amp;raw[[#This Row],[expo]]</f>
        <v>2039.1.0.0.1</v>
      </c>
    </row>
    <row r="552" spans="1:1">
      <c r="A552" t="str">
        <f t="array" ref="A552">+YEAR(raw[[#This Row],[_date_]])&amp;"."&amp;raw[[#This Row],[redis_ls]]&amp;"."&amp;raw[[#This Row],[wage_eq]]&amp;"."&amp;raw[[#This Row],[flex]]&amp;"."&amp;raw[[#This Row],[expo]]</f>
        <v>2040.1.0.0.1</v>
      </c>
    </row>
    <row r="553" spans="1:1">
      <c r="A553" t="str">
        <f t="array" ref="A553">+YEAR(raw[[#This Row],[_date_]])&amp;"."&amp;raw[[#This Row],[redis_ls]]&amp;"."&amp;raw[[#This Row],[wage_eq]]&amp;"."&amp;raw[[#This Row],[flex]]&amp;"."&amp;raw[[#This Row],[expo]]</f>
        <v>2041.1.0.0.1</v>
      </c>
    </row>
    <row r="554" spans="1:1">
      <c r="A554" t="str">
        <f t="array" ref="A554">+YEAR(raw[[#This Row],[_date_]])&amp;"."&amp;raw[[#This Row],[redis_ls]]&amp;"."&amp;raw[[#This Row],[wage_eq]]&amp;"."&amp;raw[[#This Row],[flex]]&amp;"."&amp;raw[[#This Row],[expo]]</f>
        <v>2042.1.0.0.1</v>
      </c>
    </row>
    <row r="555" spans="1:1">
      <c r="A555" t="str">
        <f t="array" ref="A555">+YEAR(raw[[#This Row],[_date_]])&amp;"."&amp;raw[[#This Row],[redis_ls]]&amp;"."&amp;raw[[#This Row],[wage_eq]]&amp;"."&amp;raw[[#This Row],[flex]]&amp;"."&amp;raw[[#This Row],[expo]]</f>
        <v>2043.1.0.0.1</v>
      </c>
    </row>
    <row r="556" spans="1:1">
      <c r="A556" t="str">
        <f t="array" ref="A556">+YEAR(raw[[#This Row],[_date_]])&amp;"."&amp;raw[[#This Row],[redis_ls]]&amp;"."&amp;raw[[#This Row],[wage_eq]]&amp;"."&amp;raw[[#This Row],[flex]]&amp;"."&amp;raw[[#This Row],[expo]]</f>
        <v>2044.1.0.0.1</v>
      </c>
    </row>
    <row r="557" spans="1:1">
      <c r="A557" t="str">
        <f t="array" ref="A557">+YEAR(raw[[#This Row],[_date_]])&amp;"."&amp;raw[[#This Row],[redis_ls]]&amp;"."&amp;raw[[#This Row],[wage_eq]]&amp;"."&amp;raw[[#This Row],[flex]]&amp;"."&amp;raw[[#This Row],[expo]]</f>
        <v>2045.1.0.0.1</v>
      </c>
    </row>
    <row r="558" spans="1:1">
      <c r="A558" t="str">
        <f t="array" ref="A558">+YEAR(raw[[#This Row],[_date_]])&amp;"."&amp;raw[[#This Row],[redis_ls]]&amp;"."&amp;raw[[#This Row],[wage_eq]]&amp;"."&amp;raw[[#This Row],[flex]]&amp;"."&amp;raw[[#This Row],[expo]]</f>
        <v>2046.1.0.0.1</v>
      </c>
    </row>
    <row r="559" spans="1:1">
      <c r="A559" t="str">
        <f t="array" ref="A559">+YEAR(raw[[#This Row],[_date_]])&amp;"."&amp;raw[[#This Row],[redis_ls]]&amp;"."&amp;raw[[#This Row],[wage_eq]]&amp;"."&amp;raw[[#This Row],[flex]]&amp;"."&amp;raw[[#This Row],[expo]]</f>
        <v>2047.1.0.0.1</v>
      </c>
    </row>
    <row r="560" spans="1:1">
      <c r="A560" t="str">
        <f t="array" ref="A560">+YEAR(raw[[#This Row],[_date_]])&amp;"."&amp;raw[[#This Row],[redis_ls]]&amp;"."&amp;raw[[#This Row],[wage_eq]]&amp;"."&amp;raw[[#This Row],[flex]]&amp;"."&amp;raw[[#This Row],[expo]]</f>
        <v>2048.1.0.0.1</v>
      </c>
    </row>
    <row r="561" spans="1:1">
      <c r="A561" t="str">
        <f t="array" ref="A561">+YEAR(raw[[#This Row],[_date_]])&amp;"."&amp;raw[[#This Row],[redis_ls]]&amp;"."&amp;raw[[#This Row],[wage_eq]]&amp;"."&amp;raw[[#This Row],[flex]]&amp;"."&amp;raw[[#This Row],[expo]]</f>
        <v>2049.1.0.0.1</v>
      </c>
    </row>
    <row r="562" spans="1:1">
      <c r="A562" t="str">
        <f t="array" ref="A562">+YEAR(raw[[#This Row],[_date_]])&amp;"."&amp;raw[[#This Row],[redis_ls]]&amp;"."&amp;raw[[#This Row],[wage_eq]]&amp;"."&amp;raw[[#This Row],[flex]]&amp;"."&amp;raw[[#This Row],[expo]]</f>
        <v>2050.1.0.0.1</v>
      </c>
    </row>
    <row r="563" spans="1:1">
      <c r="A563" t="str">
        <f t="array" ref="A563">+YEAR(raw[[#This Row],[_date_]])&amp;"."&amp;raw[[#This Row],[redis_ls]]&amp;"."&amp;raw[[#This Row],[wage_eq]]&amp;"."&amp;raw[[#This Row],[flex]]&amp;"."&amp;raw[[#This Row],[expo]]</f>
        <v>2000.1.0.0.0</v>
      </c>
    </row>
    <row r="564" spans="1:1">
      <c r="A564" t="str">
        <f t="array" ref="A564">+YEAR(raw[[#This Row],[_date_]])&amp;"."&amp;raw[[#This Row],[redis_ls]]&amp;"."&amp;raw[[#This Row],[wage_eq]]&amp;"."&amp;raw[[#This Row],[flex]]&amp;"."&amp;raw[[#This Row],[expo]]</f>
        <v>2001.1.0.0.0</v>
      </c>
    </row>
    <row r="565" spans="1:1">
      <c r="A565" t="str">
        <f t="array" ref="A565">+YEAR(raw[[#This Row],[_date_]])&amp;"."&amp;raw[[#This Row],[redis_ls]]&amp;"."&amp;raw[[#This Row],[wage_eq]]&amp;"."&amp;raw[[#This Row],[flex]]&amp;"."&amp;raw[[#This Row],[expo]]</f>
        <v>2002.1.0.0.0</v>
      </c>
    </row>
    <row r="566" spans="1:1">
      <c r="A566" t="str">
        <f t="array" ref="A566">+YEAR(raw[[#This Row],[_date_]])&amp;"."&amp;raw[[#This Row],[redis_ls]]&amp;"."&amp;raw[[#This Row],[wage_eq]]&amp;"."&amp;raw[[#This Row],[flex]]&amp;"."&amp;raw[[#This Row],[expo]]</f>
        <v>2003.1.0.0.0</v>
      </c>
    </row>
    <row r="567" spans="1:1">
      <c r="A567" t="str">
        <f t="array" ref="A567">+YEAR(raw[[#This Row],[_date_]])&amp;"."&amp;raw[[#This Row],[redis_ls]]&amp;"."&amp;raw[[#This Row],[wage_eq]]&amp;"."&amp;raw[[#This Row],[flex]]&amp;"."&amp;raw[[#This Row],[expo]]</f>
        <v>2004.1.0.0.0</v>
      </c>
    </row>
    <row r="568" spans="1:1">
      <c r="A568" t="str">
        <f t="array" ref="A568">+YEAR(raw[[#This Row],[_date_]])&amp;"."&amp;raw[[#This Row],[redis_ls]]&amp;"."&amp;raw[[#This Row],[wage_eq]]&amp;"."&amp;raw[[#This Row],[flex]]&amp;"."&amp;raw[[#This Row],[expo]]</f>
        <v>2005.1.0.0.0</v>
      </c>
    </row>
    <row r="569" spans="1:1">
      <c r="A569" t="str">
        <f t="array" ref="A569">+YEAR(raw[[#This Row],[_date_]])&amp;"."&amp;raw[[#This Row],[redis_ls]]&amp;"."&amp;raw[[#This Row],[wage_eq]]&amp;"."&amp;raw[[#This Row],[flex]]&amp;"."&amp;raw[[#This Row],[expo]]</f>
        <v>2006.1.0.0.0</v>
      </c>
    </row>
    <row r="570" spans="1:1">
      <c r="A570" t="str">
        <f t="array" ref="A570">+YEAR(raw[[#This Row],[_date_]])&amp;"."&amp;raw[[#This Row],[redis_ls]]&amp;"."&amp;raw[[#This Row],[wage_eq]]&amp;"."&amp;raw[[#This Row],[flex]]&amp;"."&amp;raw[[#This Row],[expo]]</f>
        <v>2007.1.0.0.0</v>
      </c>
    </row>
    <row r="571" spans="1:1">
      <c r="A571" t="str">
        <f t="array" ref="A571">+YEAR(raw[[#This Row],[_date_]])&amp;"."&amp;raw[[#This Row],[redis_ls]]&amp;"."&amp;raw[[#This Row],[wage_eq]]&amp;"."&amp;raw[[#This Row],[flex]]&amp;"."&amp;raw[[#This Row],[expo]]</f>
        <v>2008.1.0.0.0</v>
      </c>
    </row>
    <row r="572" spans="1:1">
      <c r="A572" t="str">
        <f t="array" ref="A572">+YEAR(raw[[#This Row],[_date_]])&amp;"."&amp;raw[[#This Row],[redis_ls]]&amp;"."&amp;raw[[#This Row],[wage_eq]]&amp;"."&amp;raw[[#This Row],[flex]]&amp;"."&amp;raw[[#This Row],[expo]]</f>
        <v>2009.1.0.0.0</v>
      </c>
    </row>
    <row r="573" spans="1:1">
      <c r="A573" t="str">
        <f t="array" ref="A573">+YEAR(raw[[#This Row],[_date_]])&amp;"."&amp;raw[[#This Row],[redis_ls]]&amp;"."&amp;raw[[#This Row],[wage_eq]]&amp;"."&amp;raw[[#This Row],[flex]]&amp;"."&amp;raw[[#This Row],[expo]]</f>
        <v>2010.1.0.0.0</v>
      </c>
    </row>
    <row r="574" spans="1:1">
      <c r="A574" t="str">
        <f t="array" ref="A574">+YEAR(raw[[#This Row],[_date_]])&amp;"."&amp;raw[[#This Row],[redis_ls]]&amp;"."&amp;raw[[#This Row],[wage_eq]]&amp;"."&amp;raw[[#This Row],[flex]]&amp;"."&amp;raw[[#This Row],[expo]]</f>
        <v>2011.1.0.0.0</v>
      </c>
    </row>
    <row r="575" spans="1:1">
      <c r="A575" t="str">
        <f t="array" ref="A575">+YEAR(raw[[#This Row],[_date_]])&amp;"."&amp;raw[[#This Row],[redis_ls]]&amp;"."&amp;raw[[#This Row],[wage_eq]]&amp;"."&amp;raw[[#This Row],[flex]]&amp;"."&amp;raw[[#This Row],[expo]]</f>
        <v>2012.1.0.0.0</v>
      </c>
    </row>
    <row r="576" spans="1:1">
      <c r="A576" t="str">
        <f t="array" ref="A576">+YEAR(raw[[#This Row],[_date_]])&amp;"."&amp;raw[[#This Row],[redis_ls]]&amp;"."&amp;raw[[#This Row],[wage_eq]]&amp;"."&amp;raw[[#This Row],[flex]]&amp;"."&amp;raw[[#This Row],[expo]]</f>
        <v>2013.1.0.0.0</v>
      </c>
    </row>
    <row r="577" spans="1:1">
      <c r="A577" t="str">
        <f t="array" ref="A577">+YEAR(raw[[#This Row],[_date_]])&amp;"."&amp;raw[[#This Row],[redis_ls]]&amp;"."&amp;raw[[#This Row],[wage_eq]]&amp;"."&amp;raw[[#This Row],[flex]]&amp;"."&amp;raw[[#This Row],[expo]]</f>
        <v>2014.1.0.0.0</v>
      </c>
    </row>
    <row r="578" spans="1:1">
      <c r="A578" t="str">
        <f t="array" ref="A578">+YEAR(raw[[#This Row],[_date_]])&amp;"."&amp;raw[[#This Row],[redis_ls]]&amp;"."&amp;raw[[#This Row],[wage_eq]]&amp;"."&amp;raw[[#This Row],[flex]]&amp;"."&amp;raw[[#This Row],[expo]]</f>
        <v>2015.1.0.0.0</v>
      </c>
    </row>
    <row r="579" spans="1:1">
      <c r="A579" t="str">
        <f t="array" ref="A579">+YEAR(raw[[#This Row],[_date_]])&amp;"."&amp;raw[[#This Row],[redis_ls]]&amp;"."&amp;raw[[#This Row],[wage_eq]]&amp;"."&amp;raw[[#This Row],[flex]]&amp;"."&amp;raw[[#This Row],[expo]]</f>
        <v>2016.1.0.0.0</v>
      </c>
    </row>
    <row r="580" spans="1:1">
      <c r="A580" t="str">
        <f t="array" ref="A580">+YEAR(raw[[#This Row],[_date_]])&amp;"."&amp;raw[[#This Row],[redis_ls]]&amp;"."&amp;raw[[#This Row],[wage_eq]]&amp;"."&amp;raw[[#This Row],[flex]]&amp;"."&amp;raw[[#This Row],[expo]]</f>
        <v>2017.1.0.0.0</v>
      </c>
    </row>
    <row r="581" spans="1:1">
      <c r="A581" t="str">
        <f t="array" ref="A581">+YEAR(raw[[#This Row],[_date_]])&amp;"."&amp;raw[[#This Row],[redis_ls]]&amp;"."&amp;raw[[#This Row],[wage_eq]]&amp;"."&amp;raw[[#This Row],[flex]]&amp;"."&amp;raw[[#This Row],[expo]]</f>
        <v>2018.1.0.0.0</v>
      </c>
    </row>
    <row r="582" spans="1:1">
      <c r="A582" t="str">
        <f t="array" ref="A582">+YEAR(raw[[#This Row],[_date_]])&amp;"."&amp;raw[[#This Row],[redis_ls]]&amp;"."&amp;raw[[#This Row],[wage_eq]]&amp;"."&amp;raw[[#This Row],[flex]]&amp;"."&amp;raw[[#This Row],[expo]]</f>
        <v>2019.1.0.0.0</v>
      </c>
    </row>
    <row r="583" spans="1:1">
      <c r="A583" t="str">
        <f t="array" ref="A583">+YEAR(raw[[#This Row],[_date_]])&amp;"."&amp;raw[[#This Row],[redis_ls]]&amp;"."&amp;raw[[#This Row],[wage_eq]]&amp;"."&amp;raw[[#This Row],[flex]]&amp;"."&amp;raw[[#This Row],[expo]]</f>
        <v>2020.1.0.0.0</v>
      </c>
    </row>
    <row r="584" spans="1:1">
      <c r="A584" t="str">
        <f t="array" ref="A584">+YEAR(raw[[#This Row],[_date_]])&amp;"."&amp;raw[[#This Row],[redis_ls]]&amp;"."&amp;raw[[#This Row],[wage_eq]]&amp;"."&amp;raw[[#This Row],[flex]]&amp;"."&amp;raw[[#This Row],[expo]]</f>
        <v>2021.1.0.0.0</v>
      </c>
    </row>
    <row r="585" spans="1:1">
      <c r="A585" t="str">
        <f t="array" ref="A585">+YEAR(raw[[#This Row],[_date_]])&amp;"."&amp;raw[[#This Row],[redis_ls]]&amp;"."&amp;raw[[#This Row],[wage_eq]]&amp;"."&amp;raw[[#This Row],[flex]]&amp;"."&amp;raw[[#This Row],[expo]]</f>
        <v>2022.1.0.0.0</v>
      </c>
    </row>
    <row r="586" spans="1:1">
      <c r="A586" t="str">
        <f t="array" ref="A586">+YEAR(raw[[#This Row],[_date_]])&amp;"."&amp;raw[[#This Row],[redis_ls]]&amp;"."&amp;raw[[#This Row],[wage_eq]]&amp;"."&amp;raw[[#This Row],[flex]]&amp;"."&amp;raw[[#This Row],[expo]]</f>
        <v>2023.1.0.0.0</v>
      </c>
    </row>
    <row r="587" spans="1:1">
      <c r="A587" t="str">
        <f t="array" ref="A587">+YEAR(raw[[#This Row],[_date_]])&amp;"."&amp;raw[[#This Row],[redis_ls]]&amp;"."&amp;raw[[#This Row],[wage_eq]]&amp;"."&amp;raw[[#This Row],[flex]]&amp;"."&amp;raw[[#This Row],[expo]]</f>
        <v>2024.1.0.0.0</v>
      </c>
    </row>
    <row r="588" spans="1:1">
      <c r="A588" t="str">
        <f t="array" ref="A588">+YEAR(raw[[#This Row],[_date_]])&amp;"."&amp;raw[[#This Row],[redis_ls]]&amp;"."&amp;raw[[#This Row],[wage_eq]]&amp;"."&amp;raw[[#This Row],[flex]]&amp;"."&amp;raw[[#This Row],[expo]]</f>
        <v>2025.1.0.0.0</v>
      </c>
    </row>
    <row r="589" spans="1:1">
      <c r="A589" t="str">
        <f t="array" ref="A589">+YEAR(raw[[#This Row],[_date_]])&amp;"."&amp;raw[[#This Row],[redis_ls]]&amp;"."&amp;raw[[#This Row],[wage_eq]]&amp;"."&amp;raw[[#This Row],[flex]]&amp;"."&amp;raw[[#This Row],[expo]]</f>
        <v>2026.1.0.0.0</v>
      </c>
    </row>
    <row r="590" spans="1:1">
      <c r="A590" t="str">
        <f t="array" ref="A590">+YEAR(raw[[#This Row],[_date_]])&amp;"."&amp;raw[[#This Row],[redis_ls]]&amp;"."&amp;raw[[#This Row],[wage_eq]]&amp;"."&amp;raw[[#This Row],[flex]]&amp;"."&amp;raw[[#This Row],[expo]]</f>
        <v>2027.1.0.0.0</v>
      </c>
    </row>
    <row r="591" spans="1:1">
      <c r="A591" t="str">
        <f t="array" ref="A591">+YEAR(raw[[#This Row],[_date_]])&amp;"."&amp;raw[[#This Row],[redis_ls]]&amp;"."&amp;raw[[#This Row],[wage_eq]]&amp;"."&amp;raw[[#This Row],[flex]]&amp;"."&amp;raw[[#This Row],[expo]]</f>
        <v>2028.1.0.0.0</v>
      </c>
    </row>
    <row r="592" spans="1:1">
      <c r="A592" t="str">
        <f t="array" ref="A592">+YEAR(raw[[#This Row],[_date_]])&amp;"."&amp;raw[[#This Row],[redis_ls]]&amp;"."&amp;raw[[#This Row],[wage_eq]]&amp;"."&amp;raw[[#This Row],[flex]]&amp;"."&amp;raw[[#This Row],[expo]]</f>
        <v>2029.1.0.0.0</v>
      </c>
    </row>
    <row r="593" spans="1:1">
      <c r="A593" t="str">
        <f t="array" ref="A593">+YEAR(raw[[#This Row],[_date_]])&amp;"."&amp;raw[[#This Row],[redis_ls]]&amp;"."&amp;raw[[#This Row],[wage_eq]]&amp;"."&amp;raw[[#This Row],[flex]]&amp;"."&amp;raw[[#This Row],[expo]]</f>
        <v>2030.1.0.0.0</v>
      </c>
    </row>
    <row r="594" spans="1:1">
      <c r="A594" t="str">
        <f t="array" ref="A594">+YEAR(raw[[#This Row],[_date_]])&amp;"."&amp;raw[[#This Row],[redis_ls]]&amp;"."&amp;raw[[#This Row],[wage_eq]]&amp;"."&amp;raw[[#This Row],[flex]]&amp;"."&amp;raw[[#This Row],[expo]]</f>
        <v>2031.1.0.0.0</v>
      </c>
    </row>
    <row r="595" spans="1:1">
      <c r="A595" t="str">
        <f t="array" ref="A595">+YEAR(raw[[#This Row],[_date_]])&amp;"."&amp;raw[[#This Row],[redis_ls]]&amp;"."&amp;raw[[#This Row],[wage_eq]]&amp;"."&amp;raw[[#This Row],[flex]]&amp;"."&amp;raw[[#This Row],[expo]]</f>
        <v>2032.1.0.0.0</v>
      </c>
    </row>
    <row r="596" spans="1:1">
      <c r="A596" t="str">
        <f t="array" ref="A596">+YEAR(raw[[#This Row],[_date_]])&amp;"."&amp;raw[[#This Row],[redis_ls]]&amp;"."&amp;raw[[#This Row],[wage_eq]]&amp;"."&amp;raw[[#This Row],[flex]]&amp;"."&amp;raw[[#This Row],[expo]]</f>
        <v>2033.1.0.0.0</v>
      </c>
    </row>
    <row r="597" spans="1:1">
      <c r="A597" t="str">
        <f t="array" ref="A597">+YEAR(raw[[#This Row],[_date_]])&amp;"."&amp;raw[[#This Row],[redis_ls]]&amp;"."&amp;raw[[#This Row],[wage_eq]]&amp;"."&amp;raw[[#This Row],[flex]]&amp;"."&amp;raw[[#This Row],[expo]]</f>
        <v>2034.1.0.0.0</v>
      </c>
    </row>
    <row r="598" spans="1:1">
      <c r="A598" t="str">
        <f t="array" ref="A598">+YEAR(raw[[#This Row],[_date_]])&amp;"."&amp;raw[[#This Row],[redis_ls]]&amp;"."&amp;raw[[#This Row],[wage_eq]]&amp;"."&amp;raw[[#This Row],[flex]]&amp;"."&amp;raw[[#This Row],[expo]]</f>
        <v>2035.1.0.0.0</v>
      </c>
    </row>
    <row r="599" spans="1:1">
      <c r="A599" t="str">
        <f t="array" ref="A599">+YEAR(raw[[#This Row],[_date_]])&amp;"."&amp;raw[[#This Row],[redis_ls]]&amp;"."&amp;raw[[#This Row],[wage_eq]]&amp;"."&amp;raw[[#This Row],[flex]]&amp;"."&amp;raw[[#This Row],[expo]]</f>
        <v>2036.1.0.0.0</v>
      </c>
    </row>
    <row r="600" spans="1:1">
      <c r="A600" t="str">
        <f t="array" ref="A600">+YEAR(raw[[#This Row],[_date_]])&amp;"."&amp;raw[[#This Row],[redis_ls]]&amp;"."&amp;raw[[#This Row],[wage_eq]]&amp;"."&amp;raw[[#This Row],[flex]]&amp;"."&amp;raw[[#This Row],[expo]]</f>
        <v>2037.1.0.0.0</v>
      </c>
    </row>
    <row r="601" spans="1:1">
      <c r="A601" t="str">
        <f t="array" ref="A601">+YEAR(raw[[#This Row],[_date_]])&amp;"."&amp;raw[[#This Row],[redis_ls]]&amp;"."&amp;raw[[#This Row],[wage_eq]]&amp;"."&amp;raw[[#This Row],[flex]]&amp;"."&amp;raw[[#This Row],[expo]]</f>
        <v>2038.1.0.0.0</v>
      </c>
    </row>
    <row r="602" spans="1:1">
      <c r="A602" t="str">
        <f t="array" ref="A602">+YEAR(raw[[#This Row],[_date_]])&amp;"."&amp;raw[[#This Row],[redis_ls]]&amp;"."&amp;raw[[#This Row],[wage_eq]]&amp;"."&amp;raw[[#This Row],[flex]]&amp;"."&amp;raw[[#This Row],[expo]]</f>
        <v>2039.1.0.0.0</v>
      </c>
    </row>
    <row r="603" spans="1:1">
      <c r="A603" t="str">
        <f t="array" ref="A603">+YEAR(raw[[#This Row],[_date_]])&amp;"."&amp;raw[[#This Row],[redis_ls]]&amp;"."&amp;raw[[#This Row],[wage_eq]]&amp;"."&amp;raw[[#This Row],[flex]]&amp;"."&amp;raw[[#This Row],[expo]]</f>
        <v>2040.1.0.0.0</v>
      </c>
    </row>
    <row r="604" spans="1:1">
      <c r="A604" t="str">
        <f t="array" ref="A604">+YEAR(raw[[#This Row],[_date_]])&amp;"."&amp;raw[[#This Row],[redis_ls]]&amp;"."&amp;raw[[#This Row],[wage_eq]]&amp;"."&amp;raw[[#This Row],[flex]]&amp;"."&amp;raw[[#This Row],[expo]]</f>
        <v>2041.1.0.0.0</v>
      </c>
    </row>
    <row r="605" spans="1:1">
      <c r="A605" t="str">
        <f t="array" ref="A605">+YEAR(raw[[#This Row],[_date_]])&amp;"."&amp;raw[[#This Row],[redis_ls]]&amp;"."&amp;raw[[#This Row],[wage_eq]]&amp;"."&amp;raw[[#This Row],[flex]]&amp;"."&amp;raw[[#This Row],[expo]]</f>
        <v>2042.1.0.0.0</v>
      </c>
    </row>
    <row r="606" spans="1:1">
      <c r="A606" t="str">
        <f t="array" ref="A606">+YEAR(raw[[#This Row],[_date_]])&amp;"."&amp;raw[[#This Row],[redis_ls]]&amp;"."&amp;raw[[#This Row],[wage_eq]]&amp;"."&amp;raw[[#This Row],[flex]]&amp;"."&amp;raw[[#This Row],[expo]]</f>
        <v>2043.1.0.0.0</v>
      </c>
    </row>
    <row r="607" spans="1:1">
      <c r="A607" t="str">
        <f t="array" ref="A607">+YEAR(raw[[#This Row],[_date_]])&amp;"."&amp;raw[[#This Row],[redis_ls]]&amp;"."&amp;raw[[#This Row],[wage_eq]]&amp;"."&amp;raw[[#This Row],[flex]]&amp;"."&amp;raw[[#This Row],[expo]]</f>
        <v>2044.1.0.0.0</v>
      </c>
    </row>
    <row r="608" spans="1:1">
      <c r="A608" t="str">
        <f t="array" ref="A608">+YEAR(raw[[#This Row],[_date_]])&amp;"."&amp;raw[[#This Row],[redis_ls]]&amp;"."&amp;raw[[#This Row],[wage_eq]]&amp;"."&amp;raw[[#This Row],[flex]]&amp;"."&amp;raw[[#This Row],[expo]]</f>
        <v>2045.1.0.0.0</v>
      </c>
    </row>
    <row r="609" spans="1:1">
      <c r="A609" t="str">
        <f t="array" ref="A609">+YEAR(raw[[#This Row],[_date_]])&amp;"."&amp;raw[[#This Row],[redis_ls]]&amp;"."&amp;raw[[#This Row],[wage_eq]]&amp;"."&amp;raw[[#This Row],[flex]]&amp;"."&amp;raw[[#This Row],[expo]]</f>
        <v>2046.1.0.0.0</v>
      </c>
    </row>
    <row r="610" spans="1:1">
      <c r="A610" t="str">
        <f t="array" ref="A610">+YEAR(raw[[#This Row],[_date_]])&amp;"."&amp;raw[[#This Row],[redis_ls]]&amp;"."&amp;raw[[#This Row],[wage_eq]]&amp;"."&amp;raw[[#This Row],[flex]]&amp;"."&amp;raw[[#This Row],[expo]]</f>
        <v>2047.1.0.0.0</v>
      </c>
    </row>
    <row r="611" spans="1:1">
      <c r="A611" t="str">
        <f t="array" ref="A611">+YEAR(raw[[#This Row],[_date_]])&amp;"."&amp;raw[[#This Row],[redis_ls]]&amp;"."&amp;raw[[#This Row],[wage_eq]]&amp;"."&amp;raw[[#This Row],[flex]]&amp;"."&amp;raw[[#This Row],[expo]]</f>
        <v>2048.1.0.0.0</v>
      </c>
    </row>
    <row r="612" spans="1:1">
      <c r="A612" t="str">
        <f t="array" ref="A612">+YEAR(raw[[#This Row],[_date_]])&amp;"."&amp;raw[[#This Row],[redis_ls]]&amp;"."&amp;raw[[#This Row],[wage_eq]]&amp;"."&amp;raw[[#This Row],[flex]]&amp;"."&amp;raw[[#This Row],[expo]]</f>
        <v>2049.1.0.0.0</v>
      </c>
    </row>
    <row r="613" spans="1:1">
      <c r="A613" t="str">
        <f t="array" ref="A613">+YEAR(raw[[#This Row],[_date_]])&amp;"."&amp;raw[[#This Row],[redis_ls]]&amp;"."&amp;raw[[#This Row],[wage_eq]]&amp;"."&amp;raw[[#This Row],[flex]]&amp;"."&amp;raw[[#This Row],[expo]]</f>
        <v>2050.1.0.0.0</v>
      </c>
    </row>
    <row r="614" spans="1:1">
      <c r="A614" t="str">
        <f t="array" ref="A614">+YEAR(raw[[#This Row],[_date_]])&amp;"."&amp;raw[[#This Row],[redis_ls]]&amp;"."&amp;raw[[#This Row],[wage_eq]]&amp;"."&amp;raw[[#This Row],[flex]]&amp;"."&amp;raw[[#This Row],[expo]]</f>
        <v>2000.0.2.1.1</v>
      </c>
    </row>
    <row r="615" spans="1:1">
      <c r="A615" t="str">
        <f t="array" ref="A615">+YEAR(raw[[#This Row],[_date_]])&amp;"."&amp;raw[[#This Row],[redis_ls]]&amp;"."&amp;raw[[#This Row],[wage_eq]]&amp;"."&amp;raw[[#This Row],[flex]]&amp;"."&amp;raw[[#This Row],[expo]]</f>
        <v>2001.0.2.1.1</v>
      </c>
    </row>
    <row r="616" spans="1:1">
      <c r="A616" t="str">
        <f t="array" ref="A616">+YEAR(raw[[#This Row],[_date_]])&amp;"."&amp;raw[[#This Row],[redis_ls]]&amp;"."&amp;raw[[#This Row],[wage_eq]]&amp;"."&amp;raw[[#This Row],[flex]]&amp;"."&amp;raw[[#This Row],[expo]]</f>
        <v>2002.0.2.1.1</v>
      </c>
    </row>
    <row r="617" spans="1:1">
      <c r="A617" t="str">
        <f t="array" ref="A617">+YEAR(raw[[#This Row],[_date_]])&amp;"."&amp;raw[[#This Row],[redis_ls]]&amp;"."&amp;raw[[#This Row],[wage_eq]]&amp;"."&amp;raw[[#This Row],[flex]]&amp;"."&amp;raw[[#This Row],[expo]]</f>
        <v>2003.0.2.1.1</v>
      </c>
    </row>
    <row r="618" spans="1:1">
      <c r="A618" t="str">
        <f t="array" ref="A618">+YEAR(raw[[#This Row],[_date_]])&amp;"."&amp;raw[[#This Row],[redis_ls]]&amp;"."&amp;raw[[#This Row],[wage_eq]]&amp;"."&amp;raw[[#This Row],[flex]]&amp;"."&amp;raw[[#This Row],[expo]]</f>
        <v>2004.0.2.1.1</v>
      </c>
    </row>
    <row r="619" spans="1:1">
      <c r="A619" t="str">
        <f t="array" ref="A619">+YEAR(raw[[#This Row],[_date_]])&amp;"."&amp;raw[[#This Row],[redis_ls]]&amp;"."&amp;raw[[#This Row],[wage_eq]]&amp;"."&amp;raw[[#This Row],[flex]]&amp;"."&amp;raw[[#This Row],[expo]]</f>
        <v>2005.0.2.1.1</v>
      </c>
    </row>
    <row r="620" spans="1:1">
      <c r="A620" t="str">
        <f t="array" ref="A620">+YEAR(raw[[#This Row],[_date_]])&amp;"."&amp;raw[[#This Row],[redis_ls]]&amp;"."&amp;raw[[#This Row],[wage_eq]]&amp;"."&amp;raw[[#This Row],[flex]]&amp;"."&amp;raw[[#This Row],[expo]]</f>
        <v>2006.0.2.1.1</v>
      </c>
    </row>
    <row r="621" spans="1:1">
      <c r="A621" t="str">
        <f t="array" ref="A621">+YEAR(raw[[#This Row],[_date_]])&amp;"."&amp;raw[[#This Row],[redis_ls]]&amp;"."&amp;raw[[#This Row],[wage_eq]]&amp;"."&amp;raw[[#This Row],[flex]]&amp;"."&amp;raw[[#This Row],[expo]]</f>
        <v>2007.0.2.1.1</v>
      </c>
    </row>
    <row r="622" spans="1:1">
      <c r="A622" t="str">
        <f t="array" ref="A622">+YEAR(raw[[#This Row],[_date_]])&amp;"."&amp;raw[[#This Row],[redis_ls]]&amp;"."&amp;raw[[#This Row],[wage_eq]]&amp;"."&amp;raw[[#This Row],[flex]]&amp;"."&amp;raw[[#This Row],[expo]]</f>
        <v>2008.0.2.1.1</v>
      </c>
    </row>
    <row r="623" spans="1:1">
      <c r="A623" t="str">
        <f t="array" ref="A623">+YEAR(raw[[#This Row],[_date_]])&amp;"."&amp;raw[[#This Row],[redis_ls]]&amp;"."&amp;raw[[#This Row],[wage_eq]]&amp;"."&amp;raw[[#This Row],[flex]]&amp;"."&amp;raw[[#This Row],[expo]]</f>
        <v>2009.0.2.1.1</v>
      </c>
    </row>
    <row r="624" spans="1:1">
      <c r="A624" t="str">
        <f t="array" ref="A624">+YEAR(raw[[#This Row],[_date_]])&amp;"."&amp;raw[[#This Row],[redis_ls]]&amp;"."&amp;raw[[#This Row],[wage_eq]]&amp;"."&amp;raw[[#This Row],[flex]]&amp;"."&amp;raw[[#This Row],[expo]]</f>
        <v>2010.0.2.1.1</v>
      </c>
    </row>
    <row r="625" spans="1:1">
      <c r="A625" t="str">
        <f t="array" ref="A625">+YEAR(raw[[#This Row],[_date_]])&amp;"."&amp;raw[[#This Row],[redis_ls]]&amp;"."&amp;raw[[#This Row],[wage_eq]]&amp;"."&amp;raw[[#This Row],[flex]]&amp;"."&amp;raw[[#This Row],[expo]]</f>
        <v>2011.0.2.1.1</v>
      </c>
    </row>
    <row r="626" spans="1:1">
      <c r="A626" t="str">
        <f t="array" ref="A626">+YEAR(raw[[#This Row],[_date_]])&amp;"."&amp;raw[[#This Row],[redis_ls]]&amp;"."&amp;raw[[#This Row],[wage_eq]]&amp;"."&amp;raw[[#This Row],[flex]]&amp;"."&amp;raw[[#This Row],[expo]]</f>
        <v>2012.0.2.1.1</v>
      </c>
    </row>
    <row r="627" spans="1:1">
      <c r="A627" t="str">
        <f t="array" ref="A627">+YEAR(raw[[#This Row],[_date_]])&amp;"."&amp;raw[[#This Row],[redis_ls]]&amp;"."&amp;raw[[#This Row],[wage_eq]]&amp;"."&amp;raw[[#This Row],[flex]]&amp;"."&amp;raw[[#This Row],[expo]]</f>
        <v>2013.0.2.1.1</v>
      </c>
    </row>
    <row r="628" spans="1:1">
      <c r="A628" t="str">
        <f t="array" ref="A628">+YEAR(raw[[#This Row],[_date_]])&amp;"."&amp;raw[[#This Row],[redis_ls]]&amp;"."&amp;raw[[#This Row],[wage_eq]]&amp;"."&amp;raw[[#This Row],[flex]]&amp;"."&amp;raw[[#This Row],[expo]]</f>
        <v>2014.0.2.1.1</v>
      </c>
    </row>
    <row r="629" spans="1:1">
      <c r="A629" t="str">
        <f t="array" ref="A629">+YEAR(raw[[#This Row],[_date_]])&amp;"."&amp;raw[[#This Row],[redis_ls]]&amp;"."&amp;raw[[#This Row],[wage_eq]]&amp;"."&amp;raw[[#This Row],[flex]]&amp;"."&amp;raw[[#This Row],[expo]]</f>
        <v>2015.0.2.1.1</v>
      </c>
    </row>
    <row r="630" spans="1:1">
      <c r="A630" t="str">
        <f t="array" ref="A630">+YEAR(raw[[#This Row],[_date_]])&amp;"."&amp;raw[[#This Row],[redis_ls]]&amp;"."&amp;raw[[#This Row],[wage_eq]]&amp;"."&amp;raw[[#This Row],[flex]]&amp;"."&amp;raw[[#This Row],[expo]]</f>
        <v>2016.0.2.1.1</v>
      </c>
    </row>
    <row r="631" spans="1:1">
      <c r="A631" t="str">
        <f t="array" ref="A631">+YEAR(raw[[#This Row],[_date_]])&amp;"."&amp;raw[[#This Row],[redis_ls]]&amp;"."&amp;raw[[#This Row],[wage_eq]]&amp;"."&amp;raw[[#This Row],[flex]]&amp;"."&amp;raw[[#This Row],[expo]]</f>
        <v>2017.0.2.1.1</v>
      </c>
    </row>
    <row r="632" spans="1:1">
      <c r="A632" t="str">
        <f t="array" ref="A632">+YEAR(raw[[#This Row],[_date_]])&amp;"."&amp;raw[[#This Row],[redis_ls]]&amp;"."&amp;raw[[#This Row],[wage_eq]]&amp;"."&amp;raw[[#This Row],[flex]]&amp;"."&amp;raw[[#This Row],[expo]]</f>
        <v>2018.0.2.1.1</v>
      </c>
    </row>
    <row r="633" spans="1:1">
      <c r="A633" t="str">
        <f t="array" ref="A633">+YEAR(raw[[#This Row],[_date_]])&amp;"."&amp;raw[[#This Row],[redis_ls]]&amp;"."&amp;raw[[#This Row],[wage_eq]]&amp;"."&amp;raw[[#This Row],[flex]]&amp;"."&amp;raw[[#This Row],[expo]]</f>
        <v>2019.0.2.1.1</v>
      </c>
    </row>
    <row r="634" spans="1:1">
      <c r="A634" t="str">
        <f t="array" ref="A634">+YEAR(raw[[#This Row],[_date_]])&amp;"."&amp;raw[[#This Row],[redis_ls]]&amp;"."&amp;raw[[#This Row],[wage_eq]]&amp;"."&amp;raw[[#This Row],[flex]]&amp;"."&amp;raw[[#This Row],[expo]]</f>
        <v>2020.0.2.1.1</v>
      </c>
    </row>
    <row r="635" spans="1:1">
      <c r="A635" t="str">
        <f t="array" ref="A635">+YEAR(raw[[#This Row],[_date_]])&amp;"."&amp;raw[[#This Row],[redis_ls]]&amp;"."&amp;raw[[#This Row],[wage_eq]]&amp;"."&amp;raw[[#This Row],[flex]]&amp;"."&amp;raw[[#This Row],[expo]]</f>
        <v>2021.0.2.1.1</v>
      </c>
    </row>
    <row r="636" spans="1:1">
      <c r="A636" t="str">
        <f t="array" ref="A636">+YEAR(raw[[#This Row],[_date_]])&amp;"."&amp;raw[[#This Row],[redis_ls]]&amp;"."&amp;raw[[#This Row],[wage_eq]]&amp;"."&amp;raw[[#This Row],[flex]]&amp;"."&amp;raw[[#This Row],[expo]]</f>
        <v>2022.0.2.1.1</v>
      </c>
    </row>
    <row r="637" spans="1:1">
      <c r="A637" t="str">
        <f t="array" ref="A637">+YEAR(raw[[#This Row],[_date_]])&amp;"."&amp;raw[[#This Row],[redis_ls]]&amp;"."&amp;raw[[#This Row],[wage_eq]]&amp;"."&amp;raw[[#This Row],[flex]]&amp;"."&amp;raw[[#This Row],[expo]]</f>
        <v>2023.0.2.1.1</v>
      </c>
    </row>
    <row r="638" spans="1:1">
      <c r="A638" t="str">
        <f t="array" ref="A638">+YEAR(raw[[#This Row],[_date_]])&amp;"."&amp;raw[[#This Row],[redis_ls]]&amp;"."&amp;raw[[#This Row],[wage_eq]]&amp;"."&amp;raw[[#This Row],[flex]]&amp;"."&amp;raw[[#This Row],[expo]]</f>
        <v>2024.0.2.1.1</v>
      </c>
    </row>
    <row r="639" spans="1:1">
      <c r="A639" t="str">
        <f t="array" ref="A639">+YEAR(raw[[#This Row],[_date_]])&amp;"."&amp;raw[[#This Row],[redis_ls]]&amp;"."&amp;raw[[#This Row],[wage_eq]]&amp;"."&amp;raw[[#This Row],[flex]]&amp;"."&amp;raw[[#This Row],[expo]]</f>
        <v>2025.0.2.1.1</v>
      </c>
    </row>
    <row r="640" spans="1:1">
      <c r="A640" t="str">
        <f t="array" ref="A640">+YEAR(raw[[#This Row],[_date_]])&amp;"."&amp;raw[[#This Row],[redis_ls]]&amp;"."&amp;raw[[#This Row],[wage_eq]]&amp;"."&amp;raw[[#This Row],[flex]]&amp;"."&amp;raw[[#This Row],[expo]]</f>
        <v>2026.0.2.1.1</v>
      </c>
    </row>
    <row r="641" spans="1:1">
      <c r="A641" t="str">
        <f t="array" ref="A641">+YEAR(raw[[#This Row],[_date_]])&amp;"."&amp;raw[[#This Row],[redis_ls]]&amp;"."&amp;raw[[#This Row],[wage_eq]]&amp;"."&amp;raw[[#This Row],[flex]]&amp;"."&amp;raw[[#This Row],[expo]]</f>
        <v>2027.0.2.1.1</v>
      </c>
    </row>
    <row r="642" spans="1:1">
      <c r="A642" t="str">
        <f t="array" ref="A642">+YEAR(raw[[#This Row],[_date_]])&amp;"."&amp;raw[[#This Row],[redis_ls]]&amp;"."&amp;raw[[#This Row],[wage_eq]]&amp;"."&amp;raw[[#This Row],[flex]]&amp;"."&amp;raw[[#This Row],[expo]]</f>
        <v>2028.0.2.1.1</v>
      </c>
    </row>
    <row r="643" spans="1:1">
      <c r="A643" t="str">
        <f t="array" ref="A643">+YEAR(raw[[#This Row],[_date_]])&amp;"."&amp;raw[[#This Row],[redis_ls]]&amp;"."&amp;raw[[#This Row],[wage_eq]]&amp;"."&amp;raw[[#This Row],[flex]]&amp;"."&amp;raw[[#This Row],[expo]]</f>
        <v>2029.0.2.1.1</v>
      </c>
    </row>
    <row r="644" spans="1:1">
      <c r="A644" t="str">
        <f t="array" ref="A644">+YEAR(raw[[#This Row],[_date_]])&amp;"."&amp;raw[[#This Row],[redis_ls]]&amp;"."&amp;raw[[#This Row],[wage_eq]]&amp;"."&amp;raw[[#This Row],[flex]]&amp;"."&amp;raw[[#This Row],[expo]]</f>
        <v>2030.0.2.1.1</v>
      </c>
    </row>
    <row r="645" spans="1:1">
      <c r="A645" t="str">
        <f t="array" ref="A645">+YEAR(raw[[#This Row],[_date_]])&amp;"."&amp;raw[[#This Row],[redis_ls]]&amp;"."&amp;raw[[#This Row],[wage_eq]]&amp;"."&amp;raw[[#This Row],[flex]]&amp;"."&amp;raw[[#This Row],[expo]]</f>
        <v>2031.0.2.1.1</v>
      </c>
    </row>
    <row r="646" spans="1:1">
      <c r="A646" t="str">
        <f t="array" ref="A646">+YEAR(raw[[#This Row],[_date_]])&amp;"."&amp;raw[[#This Row],[redis_ls]]&amp;"."&amp;raw[[#This Row],[wage_eq]]&amp;"."&amp;raw[[#This Row],[flex]]&amp;"."&amp;raw[[#This Row],[expo]]</f>
        <v>2032.0.2.1.1</v>
      </c>
    </row>
    <row r="647" spans="1:1">
      <c r="A647" t="str">
        <f t="array" ref="A647">+YEAR(raw[[#This Row],[_date_]])&amp;"."&amp;raw[[#This Row],[redis_ls]]&amp;"."&amp;raw[[#This Row],[wage_eq]]&amp;"."&amp;raw[[#This Row],[flex]]&amp;"."&amp;raw[[#This Row],[expo]]</f>
        <v>2033.0.2.1.1</v>
      </c>
    </row>
    <row r="648" spans="1:1">
      <c r="A648" t="str">
        <f t="array" ref="A648">+YEAR(raw[[#This Row],[_date_]])&amp;"."&amp;raw[[#This Row],[redis_ls]]&amp;"."&amp;raw[[#This Row],[wage_eq]]&amp;"."&amp;raw[[#This Row],[flex]]&amp;"."&amp;raw[[#This Row],[expo]]</f>
        <v>2034.0.2.1.1</v>
      </c>
    </row>
    <row r="649" spans="1:1">
      <c r="A649" t="str">
        <f t="array" ref="A649">+YEAR(raw[[#This Row],[_date_]])&amp;"."&amp;raw[[#This Row],[redis_ls]]&amp;"."&amp;raw[[#This Row],[wage_eq]]&amp;"."&amp;raw[[#This Row],[flex]]&amp;"."&amp;raw[[#This Row],[expo]]</f>
        <v>2035.0.2.1.1</v>
      </c>
    </row>
    <row r="650" spans="1:1">
      <c r="A650" t="str">
        <f t="array" ref="A650">+YEAR(raw[[#This Row],[_date_]])&amp;"."&amp;raw[[#This Row],[redis_ls]]&amp;"."&amp;raw[[#This Row],[wage_eq]]&amp;"."&amp;raw[[#This Row],[flex]]&amp;"."&amp;raw[[#This Row],[expo]]</f>
        <v>2036.0.2.1.1</v>
      </c>
    </row>
    <row r="651" spans="1:1">
      <c r="A651" t="str">
        <f t="array" ref="A651">+YEAR(raw[[#This Row],[_date_]])&amp;"."&amp;raw[[#This Row],[redis_ls]]&amp;"."&amp;raw[[#This Row],[wage_eq]]&amp;"."&amp;raw[[#This Row],[flex]]&amp;"."&amp;raw[[#This Row],[expo]]</f>
        <v>2037.0.2.1.1</v>
      </c>
    </row>
    <row r="652" spans="1:1">
      <c r="A652" t="str">
        <f t="array" ref="A652">+YEAR(raw[[#This Row],[_date_]])&amp;"."&amp;raw[[#This Row],[redis_ls]]&amp;"."&amp;raw[[#This Row],[wage_eq]]&amp;"."&amp;raw[[#This Row],[flex]]&amp;"."&amp;raw[[#This Row],[expo]]</f>
        <v>2038.0.2.1.1</v>
      </c>
    </row>
    <row r="653" spans="1:1">
      <c r="A653" t="str">
        <f t="array" ref="A653">+YEAR(raw[[#This Row],[_date_]])&amp;"."&amp;raw[[#This Row],[redis_ls]]&amp;"."&amp;raw[[#This Row],[wage_eq]]&amp;"."&amp;raw[[#This Row],[flex]]&amp;"."&amp;raw[[#This Row],[expo]]</f>
        <v>2039.0.2.1.1</v>
      </c>
    </row>
    <row r="654" spans="1:1">
      <c r="A654" t="str">
        <f t="array" ref="A654">+YEAR(raw[[#This Row],[_date_]])&amp;"."&amp;raw[[#This Row],[redis_ls]]&amp;"."&amp;raw[[#This Row],[wage_eq]]&amp;"."&amp;raw[[#This Row],[flex]]&amp;"."&amp;raw[[#This Row],[expo]]</f>
        <v>2040.0.2.1.1</v>
      </c>
    </row>
    <row r="655" spans="1:1">
      <c r="A655" t="str">
        <f t="array" ref="A655">+YEAR(raw[[#This Row],[_date_]])&amp;"."&amp;raw[[#This Row],[redis_ls]]&amp;"."&amp;raw[[#This Row],[wage_eq]]&amp;"."&amp;raw[[#This Row],[flex]]&amp;"."&amp;raw[[#This Row],[expo]]</f>
        <v>2041.0.2.1.1</v>
      </c>
    </row>
    <row r="656" spans="1:1">
      <c r="A656" t="str">
        <f t="array" ref="A656">+YEAR(raw[[#This Row],[_date_]])&amp;"."&amp;raw[[#This Row],[redis_ls]]&amp;"."&amp;raw[[#This Row],[wage_eq]]&amp;"."&amp;raw[[#This Row],[flex]]&amp;"."&amp;raw[[#This Row],[expo]]</f>
        <v>2042.0.2.1.1</v>
      </c>
    </row>
    <row r="657" spans="1:1">
      <c r="A657" t="str">
        <f t="array" ref="A657">+YEAR(raw[[#This Row],[_date_]])&amp;"."&amp;raw[[#This Row],[redis_ls]]&amp;"."&amp;raw[[#This Row],[wage_eq]]&amp;"."&amp;raw[[#This Row],[flex]]&amp;"."&amp;raw[[#This Row],[expo]]</f>
        <v>2043.0.2.1.1</v>
      </c>
    </row>
    <row r="658" spans="1:1">
      <c r="A658" t="str">
        <f t="array" ref="A658">+YEAR(raw[[#This Row],[_date_]])&amp;"."&amp;raw[[#This Row],[redis_ls]]&amp;"."&amp;raw[[#This Row],[wage_eq]]&amp;"."&amp;raw[[#This Row],[flex]]&amp;"."&amp;raw[[#This Row],[expo]]</f>
        <v>2044.0.2.1.1</v>
      </c>
    </row>
    <row r="659" spans="1:1">
      <c r="A659" t="str">
        <f t="array" ref="A659">+YEAR(raw[[#This Row],[_date_]])&amp;"."&amp;raw[[#This Row],[redis_ls]]&amp;"."&amp;raw[[#This Row],[wage_eq]]&amp;"."&amp;raw[[#This Row],[flex]]&amp;"."&amp;raw[[#This Row],[expo]]</f>
        <v>2045.0.2.1.1</v>
      </c>
    </row>
    <row r="660" spans="1:1">
      <c r="A660" t="str">
        <f t="array" ref="A660">+YEAR(raw[[#This Row],[_date_]])&amp;"."&amp;raw[[#This Row],[redis_ls]]&amp;"."&amp;raw[[#This Row],[wage_eq]]&amp;"."&amp;raw[[#This Row],[flex]]&amp;"."&amp;raw[[#This Row],[expo]]</f>
        <v>2046.0.2.1.1</v>
      </c>
    </row>
    <row r="661" spans="1:1">
      <c r="A661" t="str">
        <f t="array" ref="A661">+YEAR(raw[[#This Row],[_date_]])&amp;"."&amp;raw[[#This Row],[redis_ls]]&amp;"."&amp;raw[[#This Row],[wage_eq]]&amp;"."&amp;raw[[#This Row],[flex]]&amp;"."&amp;raw[[#This Row],[expo]]</f>
        <v>2047.0.2.1.1</v>
      </c>
    </row>
    <row r="662" spans="1:1">
      <c r="A662" t="str">
        <f t="array" ref="A662">+YEAR(raw[[#This Row],[_date_]])&amp;"."&amp;raw[[#This Row],[redis_ls]]&amp;"."&amp;raw[[#This Row],[wage_eq]]&amp;"."&amp;raw[[#This Row],[flex]]&amp;"."&amp;raw[[#This Row],[expo]]</f>
        <v>2048.0.2.1.1</v>
      </c>
    </row>
    <row r="663" spans="1:1">
      <c r="A663" t="str">
        <f t="array" ref="A663">+YEAR(raw[[#This Row],[_date_]])&amp;"."&amp;raw[[#This Row],[redis_ls]]&amp;"."&amp;raw[[#This Row],[wage_eq]]&amp;"."&amp;raw[[#This Row],[flex]]&amp;"."&amp;raw[[#This Row],[expo]]</f>
        <v>2049.0.2.1.1</v>
      </c>
    </row>
    <row r="664" spans="1:1">
      <c r="A664" t="str">
        <f t="array" ref="A664">+YEAR(raw[[#This Row],[_date_]])&amp;"."&amp;raw[[#This Row],[redis_ls]]&amp;"."&amp;raw[[#This Row],[wage_eq]]&amp;"."&amp;raw[[#This Row],[flex]]&amp;"."&amp;raw[[#This Row],[expo]]</f>
        <v>2050.0.2.1.1</v>
      </c>
    </row>
    <row r="665" spans="1:1">
      <c r="A665" t="str">
        <f t="array" ref="A665">+YEAR(raw[[#This Row],[_date_]])&amp;"."&amp;raw[[#This Row],[redis_ls]]&amp;"."&amp;raw[[#This Row],[wage_eq]]&amp;"."&amp;raw[[#This Row],[flex]]&amp;"."&amp;raw[[#This Row],[expo]]</f>
        <v>2000.0.2.1.0</v>
      </c>
    </row>
    <row r="666" spans="1:1">
      <c r="A666" t="str">
        <f t="array" ref="A666">+YEAR(raw[[#This Row],[_date_]])&amp;"."&amp;raw[[#This Row],[redis_ls]]&amp;"."&amp;raw[[#This Row],[wage_eq]]&amp;"."&amp;raw[[#This Row],[flex]]&amp;"."&amp;raw[[#This Row],[expo]]</f>
        <v>2001.0.2.1.0</v>
      </c>
    </row>
    <row r="667" spans="1:1">
      <c r="A667" t="str">
        <f t="array" ref="A667">+YEAR(raw[[#This Row],[_date_]])&amp;"."&amp;raw[[#This Row],[redis_ls]]&amp;"."&amp;raw[[#This Row],[wage_eq]]&amp;"."&amp;raw[[#This Row],[flex]]&amp;"."&amp;raw[[#This Row],[expo]]</f>
        <v>2002.0.2.1.0</v>
      </c>
    </row>
    <row r="668" spans="1:1">
      <c r="A668" t="str">
        <f t="array" ref="A668">+YEAR(raw[[#This Row],[_date_]])&amp;"."&amp;raw[[#This Row],[redis_ls]]&amp;"."&amp;raw[[#This Row],[wage_eq]]&amp;"."&amp;raw[[#This Row],[flex]]&amp;"."&amp;raw[[#This Row],[expo]]</f>
        <v>2003.0.2.1.0</v>
      </c>
    </row>
    <row r="669" spans="1:1">
      <c r="A669" t="str">
        <f t="array" ref="A669">+YEAR(raw[[#This Row],[_date_]])&amp;"."&amp;raw[[#This Row],[redis_ls]]&amp;"."&amp;raw[[#This Row],[wage_eq]]&amp;"."&amp;raw[[#This Row],[flex]]&amp;"."&amp;raw[[#This Row],[expo]]</f>
        <v>2004.0.2.1.0</v>
      </c>
    </row>
    <row r="670" spans="1:1">
      <c r="A670" t="str">
        <f t="array" ref="A670">+YEAR(raw[[#This Row],[_date_]])&amp;"."&amp;raw[[#This Row],[redis_ls]]&amp;"."&amp;raw[[#This Row],[wage_eq]]&amp;"."&amp;raw[[#This Row],[flex]]&amp;"."&amp;raw[[#This Row],[expo]]</f>
        <v>2005.0.2.1.0</v>
      </c>
    </row>
    <row r="671" spans="1:1">
      <c r="A671" t="str">
        <f t="array" ref="A671">+YEAR(raw[[#This Row],[_date_]])&amp;"."&amp;raw[[#This Row],[redis_ls]]&amp;"."&amp;raw[[#This Row],[wage_eq]]&amp;"."&amp;raw[[#This Row],[flex]]&amp;"."&amp;raw[[#This Row],[expo]]</f>
        <v>2006.0.2.1.0</v>
      </c>
    </row>
    <row r="672" spans="1:1">
      <c r="A672" t="str">
        <f t="array" ref="A672">+YEAR(raw[[#This Row],[_date_]])&amp;"."&amp;raw[[#This Row],[redis_ls]]&amp;"."&amp;raw[[#This Row],[wage_eq]]&amp;"."&amp;raw[[#This Row],[flex]]&amp;"."&amp;raw[[#This Row],[expo]]</f>
        <v>2007.0.2.1.0</v>
      </c>
    </row>
    <row r="673" spans="1:1">
      <c r="A673" t="str">
        <f t="array" ref="A673">+YEAR(raw[[#This Row],[_date_]])&amp;"."&amp;raw[[#This Row],[redis_ls]]&amp;"."&amp;raw[[#This Row],[wage_eq]]&amp;"."&amp;raw[[#This Row],[flex]]&amp;"."&amp;raw[[#This Row],[expo]]</f>
        <v>2008.0.2.1.0</v>
      </c>
    </row>
    <row r="674" spans="1:1">
      <c r="A674" t="str">
        <f t="array" ref="A674">+YEAR(raw[[#This Row],[_date_]])&amp;"."&amp;raw[[#This Row],[redis_ls]]&amp;"."&amp;raw[[#This Row],[wage_eq]]&amp;"."&amp;raw[[#This Row],[flex]]&amp;"."&amp;raw[[#This Row],[expo]]</f>
        <v>2009.0.2.1.0</v>
      </c>
    </row>
    <row r="675" spans="1:1">
      <c r="A675" t="str">
        <f t="array" ref="A675">+YEAR(raw[[#This Row],[_date_]])&amp;"."&amp;raw[[#This Row],[redis_ls]]&amp;"."&amp;raw[[#This Row],[wage_eq]]&amp;"."&amp;raw[[#This Row],[flex]]&amp;"."&amp;raw[[#This Row],[expo]]</f>
        <v>2010.0.2.1.0</v>
      </c>
    </row>
    <row r="676" spans="1:1">
      <c r="A676" t="str">
        <f t="array" ref="A676">+YEAR(raw[[#This Row],[_date_]])&amp;"."&amp;raw[[#This Row],[redis_ls]]&amp;"."&amp;raw[[#This Row],[wage_eq]]&amp;"."&amp;raw[[#This Row],[flex]]&amp;"."&amp;raw[[#This Row],[expo]]</f>
        <v>2011.0.2.1.0</v>
      </c>
    </row>
    <row r="677" spans="1:1">
      <c r="A677" t="str">
        <f t="array" ref="A677">+YEAR(raw[[#This Row],[_date_]])&amp;"."&amp;raw[[#This Row],[redis_ls]]&amp;"."&amp;raw[[#This Row],[wage_eq]]&amp;"."&amp;raw[[#This Row],[flex]]&amp;"."&amp;raw[[#This Row],[expo]]</f>
        <v>2012.0.2.1.0</v>
      </c>
    </row>
    <row r="678" spans="1:1">
      <c r="A678" t="str">
        <f t="array" ref="A678">+YEAR(raw[[#This Row],[_date_]])&amp;"."&amp;raw[[#This Row],[redis_ls]]&amp;"."&amp;raw[[#This Row],[wage_eq]]&amp;"."&amp;raw[[#This Row],[flex]]&amp;"."&amp;raw[[#This Row],[expo]]</f>
        <v>2013.0.2.1.0</v>
      </c>
    </row>
    <row r="679" spans="1:1">
      <c r="A679" t="str">
        <f t="array" ref="A679">+YEAR(raw[[#This Row],[_date_]])&amp;"."&amp;raw[[#This Row],[redis_ls]]&amp;"."&amp;raw[[#This Row],[wage_eq]]&amp;"."&amp;raw[[#This Row],[flex]]&amp;"."&amp;raw[[#This Row],[expo]]</f>
        <v>2014.0.2.1.0</v>
      </c>
    </row>
    <row r="680" spans="1:1">
      <c r="A680" t="str">
        <f t="array" ref="A680">+YEAR(raw[[#This Row],[_date_]])&amp;"."&amp;raw[[#This Row],[redis_ls]]&amp;"."&amp;raw[[#This Row],[wage_eq]]&amp;"."&amp;raw[[#This Row],[flex]]&amp;"."&amp;raw[[#This Row],[expo]]</f>
        <v>2015.0.2.1.0</v>
      </c>
    </row>
    <row r="681" spans="1:1">
      <c r="A681" t="str">
        <f t="array" ref="A681">+YEAR(raw[[#This Row],[_date_]])&amp;"."&amp;raw[[#This Row],[redis_ls]]&amp;"."&amp;raw[[#This Row],[wage_eq]]&amp;"."&amp;raw[[#This Row],[flex]]&amp;"."&amp;raw[[#This Row],[expo]]</f>
        <v>2016.0.2.1.0</v>
      </c>
    </row>
    <row r="682" spans="1:1">
      <c r="A682" t="str">
        <f t="array" ref="A682">+YEAR(raw[[#This Row],[_date_]])&amp;"."&amp;raw[[#This Row],[redis_ls]]&amp;"."&amp;raw[[#This Row],[wage_eq]]&amp;"."&amp;raw[[#This Row],[flex]]&amp;"."&amp;raw[[#This Row],[expo]]</f>
        <v>2017.0.2.1.0</v>
      </c>
    </row>
    <row r="683" spans="1:1">
      <c r="A683" t="str">
        <f t="array" ref="A683">+YEAR(raw[[#This Row],[_date_]])&amp;"."&amp;raw[[#This Row],[redis_ls]]&amp;"."&amp;raw[[#This Row],[wage_eq]]&amp;"."&amp;raw[[#This Row],[flex]]&amp;"."&amp;raw[[#This Row],[expo]]</f>
        <v>2018.0.2.1.0</v>
      </c>
    </row>
    <row r="684" spans="1:1">
      <c r="A684" t="str">
        <f t="array" ref="A684">+YEAR(raw[[#This Row],[_date_]])&amp;"."&amp;raw[[#This Row],[redis_ls]]&amp;"."&amp;raw[[#This Row],[wage_eq]]&amp;"."&amp;raw[[#This Row],[flex]]&amp;"."&amp;raw[[#This Row],[expo]]</f>
        <v>2019.0.2.1.0</v>
      </c>
    </row>
    <row r="685" spans="1:1">
      <c r="A685" t="str">
        <f t="array" ref="A685">+YEAR(raw[[#This Row],[_date_]])&amp;"."&amp;raw[[#This Row],[redis_ls]]&amp;"."&amp;raw[[#This Row],[wage_eq]]&amp;"."&amp;raw[[#This Row],[flex]]&amp;"."&amp;raw[[#This Row],[expo]]</f>
        <v>2020.0.2.1.0</v>
      </c>
    </row>
    <row r="686" spans="1:1">
      <c r="A686" t="str">
        <f t="array" ref="A686">+YEAR(raw[[#This Row],[_date_]])&amp;"."&amp;raw[[#This Row],[redis_ls]]&amp;"."&amp;raw[[#This Row],[wage_eq]]&amp;"."&amp;raw[[#This Row],[flex]]&amp;"."&amp;raw[[#This Row],[expo]]</f>
        <v>2021.0.2.1.0</v>
      </c>
    </row>
    <row r="687" spans="1:1">
      <c r="A687" t="str">
        <f t="array" ref="A687">+YEAR(raw[[#This Row],[_date_]])&amp;"."&amp;raw[[#This Row],[redis_ls]]&amp;"."&amp;raw[[#This Row],[wage_eq]]&amp;"."&amp;raw[[#This Row],[flex]]&amp;"."&amp;raw[[#This Row],[expo]]</f>
        <v>2022.0.2.1.0</v>
      </c>
    </row>
    <row r="688" spans="1:1">
      <c r="A688" t="str">
        <f t="array" ref="A688">+YEAR(raw[[#This Row],[_date_]])&amp;"."&amp;raw[[#This Row],[redis_ls]]&amp;"."&amp;raw[[#This Row],[wage_eq]]&amp;"."&amp;raw[[#This Row],[flex]]&amp;"."&amp;raw[[#This Row],[expo]]</f>
        <v>2023.0.2.1.0</v>
      </c>
    </row>
    <row r="689" spans="1:1">
      <c r="A689" t="str">
        <f t="array" ref="A689">+YEAR(raw[[#This Row],[_date_]])&amp;"."&amp;raw[[#This Row],[redis_ls]]&amp;"."&amp;raw[[#This Row],[wage_eq]]&amp;"."&amp;raw[[#This Row],[flex]]&amp;"."&amp;raw[[#This Row],[expo]]</f>
        <v>2024.0.2.1.0</v>
      </c>
    </row>
    <row r="690" spans="1:1">
      <c r="A690" t="str">
        <f t="array" ref="A690">+YEAR(raw[[#This Row],[_date_]])&amp;"."&amp;raw[[#This Row],[redis_ls]]&amp;"."&amp;raw[[#This Row],[wage_eq]]&amp;"."&amp;raw[[#This Row],[flex]]&amp;"."&amp;raw[[#This Row],[expo]]</f>
        <v>2025.0.2.1.0</v>
      </c>
    </row>
    <row r="691" spans="1:1">
      <c r="A691" t="str">
        <f t="array" ref="A691">+YEAR(raw[[#This Row],[_date_]])&amp;"."&amp;raw[[#This Row],[redis_ls]]&amp;"."&amp;raw[[#This Row],[wage_eq]]&amp;"."&amp;raw[[#This Row],[flex]]&amp;"."&amp;raw[[#This Row],[expo]]</f>
        <v>2026.0.2.1.0</v>
      </c>
    </row>
    <row r="692" spans="1:1">
      <c r="A692" t="str">
        <f t="array" ref="A692">+YEAR(raw[[#This Row],[_date_]])&amp;"."&amp;raw[[#This Row],[redis_ls]]&amp;"."&amp;raw[[#This Row],[wage_eq]]&amp;"."&amp;raw[[#This Row],[flex]]&amp;"."&amp;raw[[#This Row],[expo]]</f>
        <v>2027.0.2.1.0</v>
      </c>
    </row>
    <row r="693" spans="1:1">
      <c r="A693" t="str">
        <f t="array" ref="A693">+YEAR(raw[[#This Row],[_date_]])&amp;"."&amp;raw[[#This Row],[redis_ls]]&amp;"."&amp;raw[[#This Row],[wage_eq]]&amp;"."&amp;raw[[#This Row],[flex]]&amp;"."&amp;raw[[#This Row],[expo]]</f>
        <v>2028.0.2.1.0</v>
      </c>
    </row>
    <row r="694" spans="1:1">
      <c r="A694" t="str">
        <f t="array" ref="A694">+YEAR(raw[[#This Row],[_date_]])&amp;"."&amp;raw[[#This Row],[redis_ls]]&amp;"."&amp;raw[[#This Row],[wage_eq]]&amp;"."&amp;raw[[#This Row],[flex]]&amp;"."&amp;raw[[#This Row],[expo]]</f>
        <v>2029.0.2.1.0</v>
      </c>
    </row>
    <row r="695" spans="1:1">
      <c r="A695" t="str">
        <f t="array" ref="A695">+YEAR(raw[[#This Row],[_date_]])&amp;"."&amp;raw[[#This Row],[redis_ls]]&amp;"."&amp;raw[[#This Row],[wage_eq]]&amp;"."&amp;raw[[#This Row],[flex]]&amp;"."&amp;raw[[#This Row],[expo]]</f>
        <v>2030.0.2.1.0</v>
      </c>
    </row>
    <row r="696" spans="1:1">
      <c r="A696" t="str">
        <f t="array" ref="A696">+YEAR(raw[[#This Row],[_date_]])&amp;"."&amp;raw[[#This Row],[redis_ls]]&amp;"."&amp;raw[[#This Row],[wage_eq]]&amp;"."&amp;raw[[#This Row],[flex]]&amp;"."&amp;raw[[#This Row],[expo]]</f>
        <v>2031.0.2.1.0</v>
      </c>
    </row>
    <row r="697" spans="1:1">
      <c r="A697" t="str">
        <f t="array" ref="A697">+YEAR(raw[[#This Row],[_date_]])&amp;"."&amp;raw[[#This Row],[redis_ls]]&amp;"."&amp;raw[[#This Row],[wage_eq]]&amp;"."&amp;raw[[#This Row],[flex]]&amp;"."&amp;raw[[#This Row],[expo]]</f>
        <v>2032.0.2.1.0</v>
      </c>
    </row>
    <row r="698" spans="1:1">
      <c r="A698" t="str">
        <f t="array" ref="A698">+YEAR(raw[[#This Row],[_date_]])&amp;"."&amp;raw[[#This Row],[redis_ls]]&amp;"."&amp;raw[[#This Row],[wage_eq]]&amp;"."&amp;raw[[#This Row],[flex]]&amp;"."&amp;raw[[#This Row],[expo]]</f>
        <v>2033.0.2.1.0</v>
      </c>
    </row>
    <row r="699" spans="1:1">
      <c r="A699" t="str">
        <f t="array" ref="A699">+YEAR(raw[[#This Row],[_date_]])&amp;"."&amp;raw[[#This Row],[redis_ls]]&amp;"."&amp;raw[[#This Row],[wage_eq]]&amp;"."&amp;raw[[#This Row],[flex]]&amp;"."&amp;raw[[#This Row],[expo]]</f>
        <v>2034.0.2.1.0</v>
      </c>
    </row>
    <row r="700" spans="1:1">
      <c r="A700" t="str">
        <f t="array" ref="A700">+YEAR(raw[[#This Row],[_date_]])&amp;"."&amp;raw[[#This Row],[redis_ls]]&amp;"."&amp;raw[[#This Row],[wage_eq]]&amp;"."&amp;raw[[#This Row],[flex]]&amp;"."&amp;raw[[#This Row],[expo]]</f>
        <v>2035.0.2.1.0</v>
      </c>
    </row>
    <row r="701" spans="1:1">
      <c r="A701" t="str">
        <f t="array" ref="A701">+YEAR(raw[[#This Row],[_date_]])&amp;"."&amp;raw[[#This Row],[redis_ls]]&amp;"."&amp;raw[[#This Row],[wage_eq]]&amp;"."&amp;raw[[#This Row],[flex]]&amp;"."&amp;raw[[#This Row],[expo]]</f>
        <v>2036.0.2.1.0</v>
      </c>
    </row>
    <row r="702" spans="1:1">
      <c r="A702" t="str">
        <f t="array" ref="A702">+YEAR(raw[[#This Row],[_date_]])&amp;"."&amp;raw[[#This Row],[redis_ls]]&amp;"."&amp;raw[[#This Row],[wage_eq]]&amp;"."&amp;raw[[#This Row],[flex]]&amp;"."&amp;raw[[#This Row],[expo]]</f>
        <v>2037.0.2.1.0</v>
      </c>
    </row>
    <row r="703" spans="1:1">
      <c r="A703" t="str">
        <f t="array" ref="A703">+YEAR(raw[[#This Row],[_date_]])&amp;"."&amp;raw[[#This Row],[redis_ls]]&amp;"."&amp;raw[[#This Row],[wage_eq]]&amp;"."&amp;raw[[#This Row],[flex]]&amp;"."&amp;raw[[#This Row],[expo]]</f>
        <v>2038.0.2.1.0</v>
      </c>
    </row>
    <row r="704" spans="1:1">
      <c r="A704" t="str">
        <f t="array" ref="A704">+YEAR(raw[[#This Row],[_date_]])&amp;"."&amp;raw[[#This Row],[redis_ls]]&amp;"."&amp;raw[[#This Row],[wage_eq]]&amp;"."&amp;raw[[#This Row],[flex]]&amp;"."&amp;raw[[#This Row],[expo]]</f>
        <v>2039.0.2.1.0</v>
      </c>
    </row>
    <row r="705" spans="1:1">
      <c r="A705" t="str">
        <f t="array" ref="A705">+YEAR(raw[[#This Row],[_date_]])&amp;"."&amp;raw[[#This Row],[redis_ls]]&amp;"."&amp;raw[[#This Row],[wage_eq]]&amp;"."&amp;raw[[#This Row],[flex]]&amp;"."&amp;raw[[#This Row],[expo]]</f>
        <v>2040.0.2.1.0</v>
      </c>
    </row>
    <row r="706" spans="1:1">
      <c r="A706" t="str">
        <f t="array" ref="A706">+YEAR(raw[[#This Row],[_date_]])&amp;"."&amp;raw[[#This Row],[redis_ls]]&amp;"."&amp;raw[[#This Row],[wage_eq]]&amp;"."&amp;raw[[#This Row],[flex]]&amp;"."&amp;raw[[#This Row],[expo]]</f>
        <v>2041.0.2.1.0</v>
      </c>
    </row>
    <row r="707" spans="1:1">
      <c r="A707" t="str">
        <f t="array" ref="A707">+YEAR(raw[[#This Row],[_date_]])&amp;"."&amp;raw[[#This Row],[redis_ls]]&amp;"."&amp;raw[[#This Row],[wage_eq]]&amp;"."&amp;raw[[#This Row],[flex]]&amp;"."&amp;raw[[#This Row],[expo]]</f>
        <v>2042.0.2.1.0</v>
      </c>
    </row>
    <row r="708" spans="1:1">
      <c r="A708" t="str">
        <f t="array" ref="A708">+YEAR(raw[[#This Row],[_date_]])&amp;"."&amp;raw[[#This Row],[redis_ls]]&amp;"."&amp;raw[[#This Row],[wage_eq]]&amp;"."&amp;raw[[#This Row],[flex]]&amp;"."&amp;raw[[#This Row],[expo]]</f>
        <v>2043.0.2.1.0</v>
      </c>
    </row>
    <row r="709" spans="1:1">
      <c r="A709" t="str">
        <f t="array" ref="A709">+YEAR(raw[[#This Row],[_date_]])&amp;"."&amp;raw[[#This Row],[redis_ls]]&amp;"."&amp;raw[[#This Row],[wage_eq]]&amp;"."&amp;raw[[#This Row],[flex]]&amp;"."&amp;raw[[#This Row],[expo]]</f>
        <v>2044.0.2.1.0</v>
      </c>
    </row>
    <row r="710" spans="1:1">
      <c r="A710" t="str">
        <f t="array" ref="A710">+YEAR(raw[[#This Row],[_date_]])&amp;"."&amp;raw[[#This Row],[redis_ls]]&amp;"."&amp;raw[[#This Row],[wage_eq]]&amp;"."&amp;raw[[#This Row],[flex]]&amp;"."&amp;raw[[#This Row],[expo]]</f>
        <v>2045.0.2.1.0</v>
      </c>
    </row>
    <row r="711" spans="1:1">
      <c r="A711" t="str">
        <f t="array" ref="A711">+YEAR(raw[[#This Row],[_date_]])&amp;"."&amp;raw[[#This Row],[redis_ls]]&amp;"."&amp;raw[[#This Row],[wage_eq]]&amp;"."&amp;raw[[#This Row],[flex]]&amp;"."&amp;raw[[#This Row],[expo]]</f>
        <v>2046.0.2.1.0</v>
      </c>
    </row>
    <row r="712" spans="1:1">
      <c r="A712" t="str">
        <f t="array" ref="A712">+YEAR(raw[[#This Row],[_date_]])&amp;"."&amp;raw[[#This Row],[redis_ls]]&amp;"."&amp;raw[[#This Row],[wage_eq]]&amp;"."&amp;raw[[#This Row],[flex]]&amp;"."&amp;raw[[#This Row],[expo]]</f>
        <v>2047.0.2.1.0</v>
      </c>
    </row>
    <row r="713" spans="1:1">
      <c r="A713" t="str">
        <f t="array" ref="A713">+YEAR(raw[[#This Row],[_date_]])&amp;"."&amp;raw[[#This Row],[redis_ls]]&amp;"."&amp;raw[[#This Row],[wage_eq]]&amp;"."&amp;raw[[#This Row],[flex]]&amp;"."&amp;raw[[#This Row],[expo]]</f>
        <v>2048.0.2.1.0</v>
      </c>
    </row>
    <row r="714" spans="1:1">
      <c r="A714" t="str">
        <f t="array" ref="A714">+YEAR(raw[[#This Row],[_date_]])&amp;"."&amp;raw[[#This Row],[redis_ls]]&amp;"."&amp;raw[[#This Row],[wage_eq]]&amp;"."&amp;raw[[#This Row],[flex]]&amp;"."&amp;raw[[#This Row],[expo]]</f>
        <v>2049.0.2.1.0</v>
      </c>
    </row>
    <row r="715" spans="1:1">
      <c r="A715" t="str">
        <f t="array" ref="A715">+YEAR(raw[[#This Row],[_date_]])&amp;"."&amp;raw[[#This Row],[redis_ls]]&amp;"."&amp;raw[[#This Row],[wage_eq]]&amp;"."&amp;raw[[#This Row],[flex]]&amp;"."&amp;raw[[#This Row],[expo]]</f>
        <v>2050.0.2.1.0</v>
      </c>
    </row>
    <row r="716" spans="1:1">
      <c r="A716" t="str">
        <f t="array" ref="A716">+YEAR(raw[[#This Row],[_date_]])&amp;"."&amp;raw[[#This Row],[redis_ls]]&amp;"."&amp;raw[[#This Row],[wage_eq]]&amp;"."&amp;raw[[#This Row],[flex]]&amp;"."&amp;raw[[#This Row],[expo]]</f>
        <v>2000.0.2.0.1</v>
      </c>
    </row>
    <row r="717" spans="1:1">
      <c r="A717" t="str">
        <f t="array" ref="A717">+YEAR(raw[[#This Row],[_date_]])&amp;"."&amp;raw[[#This Row],[redis_ls]]&amp;"."&amp;raw[[#This Row],[wage_eq]]&amp;"."&amp;raw[[#This Row],[flex]]&amp;"."&amp;raw[[#This Row],[expo]]</f>
        <v>2001.0.2.0.1</v>
      </c>
    </row>
    <row r="718" spans="1:1">
      <c r="A718" t="str">
        <f t="array" ref="A718">+YEAR(raw[[#This Row],[_date_]])&amp;"."&amp;raw[[#This Row],[redis_ls]]&amp;"."&amp;raw[[#This Row],[wage_eq]]&amp;"."&amp;raw[[#This Row],[flex]]&amp;"."&amp;raw[[#This Row],[expo]]</f>
        <v>2002.0.2.0.1</v>
      </c>
    </row>
    <row r="719" spans="1:1">
      <c r="A719" t="str">
        <f t="array" ref="A719">+YEAR(raw[[#This Row],[_date_]])&amp;"."&amp;raw[[#This Row],[redis_ls]]&amp;"."&amp;raw[[#This Row],[wage_eq]]&amp;"."&amp;raw[[#This Row],[flex]]&amp;"."&amp;raw[[#This Row],[expo]]</f>
        <v>2003.0.2.0.1</v>
      </c>
    </row>
    <row r="720" spans="1:1">
      <c r="A720" t="str">
        <f t="array" ref="A720">+YEAR(raw[[#This Row],[_date_]])&amp;"."&amp;raw[[#This Row],[redis_ls]]&amp;"."&amp;raw[[#This Row],[wage_eq]]&amp;"."&amp;raw[[#This Row],[flex]]&amp;"."&amp;raw[[#This Row],[expo]]</f>
        <v>2004.0.2.0.1</v>
      </c>
    </row>
    <row r="721" spans="1:1">
      <c r="A721" t="str">
        <f t="array" ref="A721">+YEAR(raw[[#This Row],[_date_]])&amp;"."&amp;raw[[#This Row],[redis_ls]]&amp;"."&amp;raw[[#This Row],[wage_eq]]&amp;"."&amp;raw[[#This Row],[flex]]&amp;"."&amp;raw[[#This Row],[expo]]</f>
        <v>2005.0.2.0.1</v>
      </c>
    </row>
    <row r="722" spans="1:1">
      <c r="A722" t="str">
        <f t="array" ref="A722">+YEAR(raw[[#This Row],[_date_]])&amp;"."&amp;raw[[#This Row],[redis_ls]]&amp;"."&amp;raw[[#This Row],[wage_eq]]&amp;"."&amp;raw[[#This Row],[flex]]&amp;"."&amp;raw[[#This Row],[expo]]</f>
        <v>2006.0.2.0.1</v>
      </c>
    </row>
    <row r="723" spans="1:1">
      <c r="A723" t="str">
        <f t="array" ref="A723">+YEAR(raw[[#This Row],[_date_]])&amp;"."&amp;raw[[#This Row],[redis_ls]]&amp;"."&amp;raw[[#This Row],[wage_eq]]&amp;"."&amp;raw[[#This Row],[flex]]&amp;"."&amp;raw[[#This Row],[expo]]</f>
        <v>2007.0.2.0.1</v>
      </c>
    </row>
    <row r="724" spans="1:1">
      <c r="A724" t="str">
        <f t="array" ref="A724">+YEAR(raw[[#This Row],[_date_]])&amp;"."&amp;raw[[#This Row],[redis_ls]]&amp;"."&amp;raw[[#This Row],[wage_eq]]&amp;"."&amp;raw[[#This Row],[flex]]&amp;"."&amp;raw[[#This Row],[expo]]</f>
        <v>2008.0.2.0.1</v>
      </c>
    </row>
    <row r="725" spans="1:1">
      <c r="A725" t="str">
        <f t="array" ref="A725">+YEAR(raw[[#This Row],[_date_]])&amp;"."&amp;raw[[#This Row],[redis_ls]]&amp;"."&amp;raw[[#This Row],[wage_eq]]&amp;"."&amp;raw[[#This Row],[flex]]&amp;"."&amp;raw[[#This Row],[expo]]</f>
        <v>2009.0.2.0.1</v>
      </c>
    </row>
    <row r="726" spans="1:1">
      <c r="A726" t="str">
        <f t="array" ref="A726">+YEAR(raw[[#This Row],[_date_]])&amp;"."&amp;raw[[#This Row],[redis_ls]]&amp;"."&amp;raw[[#This Row],[wage_eq]]&amp;"."&amp;raw[[#This Row],[flex]]&amp;"."&amp;raw[[#This Row],[expo]]</f>
        <v>2010.0.2.0.1</v>
      </c>
    </row>
    <row r="727" spans="1:1">
      <c r="A727" t="str">
        <f t="array" ref="A727">+YEAR(raw[[#This Row],[_date_]])&amp;"."&amp;raw[[#This Row],[redis_ls]]&amp;"."&amp;raw[[#This Row],[wage_eq]]&amp;"."&amp;raw[[#This Row],[flex]]&amp;"."&amp;raw[[#This Row],[expo]]</f>
        <v>2011.0.2.0.1</v>
      </c>
    </row>
    <row r="728" spans="1:1">
      <c r="A728" t="str">
        <f t="array" ref="A728">+YEAR(raw[[#This Row],[_date_]])&amp;"."&amp;raw[[#This Row],[redis_ls]]&amp;"."&amp;raw[[#This Row],[wage_eq]]&amp;"."&amp;raw[[#This Row],[flex]]&amp;"."&amp;raw[[#This Row],[expo]]</f>
        <v>2012.0.2.0.1</v>
      </c>
    </row>
    <row r="729" spans="1:1">
      <c r="A729" t="str">
        <f t="array" ref="A729">+YEAR(raw[[#This Row],[_date_]])&amp;"."&amp;raw[[#This Row],[redis_ls]]&amp;"."&amp;raw[[#This Row],[wage_eq]]&amp;"."&amp;raw[[#This Row],[flex]]&amp;"."&amp;raw[[#This Row],[expo]]</f>
        <v>2013.0.2.0.1</v>
      </c>
    </row>
    <row r="730" spans="1:1">
      <c r="A730" t="str">
        <f t="array" ref="A730">+YEAR(raw[[#This Row],[_date_]])&amp;"."&amp;raw[[#This Row],[redis_ls]]&amp;"."&amp;raw[[#This Row],[wage_eq]]&amp;"."&amp;raw[[#This Row],[flex]]&amp;"."&amp;raw[[#This Row],[expo]]</f>
        <v>2014.0.2.0.1</v>
      </c>
    </row>
    <row r="731" spans="1:1">
      <c r="A731" t="str">
        <f t="array" ref="A731">+YEAR(raw[[#This Row],[_date_]])&amp;"."&amp;raw[[#This Row],[redis_ls]]&amp;"."&amp;raw[[#This Row],[wage_eq]]&amp;"."&amp;raw[[#This Row],[flex]]&amp;"."&amp;raw[[#This Row],[expo]]</f>
        <v>2015.0.2.0.1</v>
      </c>
    </row>
    <row r="732" spans="1:1">
      <c r="A732" t="str">
        <f t="array" ref="A732">+YEAR(raw[[#This Row],[_date_]])&amp;"."&amp;raw[[#This Row],[redis_ls]]&amp;"."&amp;raw[[#This Row],[wage_eq]]&amp;"."&amp;raw[[#This Row],[flex]]&amp;"."&amp;raw[[#This Row],[expo]]</f>
        <v>2016.0.2.0.1</v>
      </c>
    </row>
    <row r="733" spans="1:1">
      <c r="A733" t="str">
        <f t="array" ref="A733">+YEAR(raw[[#This Row],[_date_]])&amp;"."&amp;raw[[#This Row],[redis_ls]]&amp;"."&amp;raw[[#This Row],[wage_eq]]&amp;"."&amp;raw[[#This Row],[flex]]&amp;"."&amp;raw[[#This Row],[expo]]</f>
        <v>2017.0.2.0.1</v>
      </c>
    </row>
    <row r="734" spans="1:1">
      <c r="A734" t="str">
        <f t="array" ref="A734">+YEAR(raw[[#This Row],[_date_]])&amp;"."&amp;raw[[#This Row],[redis_ls]]&amp;"."&amp;raw[[#This Row],[wage_eq]]&amp;"."&amp;raw[[#This Row],[flex]]&amp;"."&amp;raw[[#This Row],[expo]]</f>
        <v>2018.0.2.0.1</v>
      </c>
    </row>
    <row r="735" spans="1:1">
      <c r="A735" t="str">
        <f t="array" ref="A735">+YEAR(raw[[#This Row],[_date_]])&amp;"."&amp;raw[[#This Row],[redis_ls]]&amp;"."&amp;raw[[#This Row],[wage_eq]]&amp;"."&amp;raw[[#This Row],[flex]]&amp;"."&amp;raw[[#This Row],[expo]]</f>
        <v>2019.0.2.0.1</v>
      </c>
    </row>
    <row r="736" spans="1:1">
      <c r="A736" t="str">
        <f t="array" ref="A736">+YEAR(raw[[#This Row],[_date_]])&amp;"."&amp;raw[[#This Row],[redis_ls]]&amp;"."&amp;raw[[#This Row],[wage_eq]]&amp;"."&amp;raw[[#This Row],[flex]]&amp;"."&amp;raw[[#This Row],[expo]]</f>
        <v>2020.0.2.0.1</v>
      </c>
    </row>
    <row r="737" spans="1:1">
      <c r="A737" t="str">
        <f t="array" ref="A737">+YEAR(raw[[#This Row],[_date_]])&amp;"."&amp;raw[[#This Row],[redis_ls]]&amp;"."&amp;raw[[#This Row],[wage_eq]]&amp;"."&amp;raw[[#This Row],[flex]]&amp;"."&amp;raw[[#This Row],[expo]]</f>
        <v>2021.0.2.0.1</v>
      </c>
    </row>
    <row r="738" spans="1:1">
      <c r="A738" t="str">
        <f t="array" ref="A738">+YEAR(raw[[#This Row],[_date_]])&amp;"."&amp;raw[[#This Row],[redis_ls]]&amp;"."&amp;raw[[#This Row],[wage_eq]]&amp;"."&amp;raw[[#This Row],[flex]]&amp;"."&amp;raw[[#This Row],[expo]]</f>
        <v>2022.0.2.0.1</v>
      </c>
    </row>
    <row r="739" spans="1:1">
      <c r="A739" t="str">
        <f t="array" ref="A739">+YEAR(raw[[#This Row],[_date_]])&amp;"."&amp;raw[[#This Row],[redis_ls]]&amp;"."&amp;raw[[#This Row],[wage_eq]]&amp;"."&amp;raw[[#This Row],[flex]]&amp;"."&amp;raw[[#This Row],[expo]]</f>
        <v>2023.0.2.0.1</v>
      </c>
    </row>
    <row r="740" spans="1:1">
      <c r="A740" t="str">
        <f t="array" ref="A740">+YEAR(raw[[#This Row],[_date_]])&amp;"."&amp;raw[[#This Row],[redis_ls]]&amp;"."&amp;raw[[#This Row],[wage_eq]]&amp;"."&amp;raw[[#This Row],[flex]]&amp;"."&amp;raw[[#This Row],[expo]]</f>
        <v>2024.0.2.0.1</v>
      </c>
    </row>
    <row r="741" spans="1:1">
      <c r="A741" t="str">
        <f t="array" ref="A741">+YEAR(raw[[#This Row],[_date_]])&amp;"."&amp;raw[[#This Row],[redis_ls]]&amp;"."&amp;raw[[#This Row],[wage_eq]]&amp;"."&amp;raw[[#This Row],[flex]]&amp;"."&amp;raw[[#This Row],[expo]]</f>
        <v>2025.0.2.0.1</v>
      </c>
    </row>
    <row r="742" spans="1:1">
      <c r="A742" t="str">
        <f t="array" ref="A742">+YEAR(raw[[#This Row],[_date_]])&amp;"."&amp;raw[[#This Row],[redis_ls]]&amp;"."&amp;raw[[#This Row],[wage_eq]]&amp;"."&amp;raw[[#This Row],[flex]]&amp;"."&amp;raw[[#This Row],[expo]]</f>
        <v>2026.0.2.0.1</v>
      </c>
    </row>
    <row r="743" spans="1:1">
      <c r="A743" t="str">
        <f t="array" ref="A743">+YEAR(raw[[#This Row],[_date_]])&amp;"."&amp;raw[[#This Row],[redis_ls]]&amp;"."&amp;raw[[#This Row],[wage_eq]]&amp;"."&amp;raw[[#This Row],[flex]]&amp;"."&amp;raw[[#This Row],[expo]]</f>
        <v>2027.0.2.0.1</v>
      </c>
    </row>
    <row r="744" spans="1:1">
      <c r="A744" t="str">
        <f t="array" ref="A744">+YEAR(raw[[#This Row],[_date_]])&amp;"."&amp;raw[[#This Row],[redis_ls]]&amp;"."&amp;raw[[#This Row],[wage_eq]]&amp;"."&amp;raw[[#This Row],[flex]]&amp;"."&amp;raw[[#This Row],[expo]]</f>
        <v>2028.0.2.0.1</v>
      </c>
    </row>
    <row r="745" spans="1:1">
      <c r="A745" t="str">
        <f t="array" ref="A745">+YEAR(raw[[#This Row],[_date_]])&amp;"."&amp;raw[[#This Row],[redis_ls]]&amp;"."&amp;raw[[#This Row],[wage_eq]]&amp;"."&amp;raw[[#This Row],[flex]]&amp;"."&amp;raw[[#This Row],[expo]]</f>
        <v>2029.0.2.0.1</v>
      </c>
    </row>
    <row r="746" spans="1:1">
      <c r="A746" t="str">
        <f t="array" ref="A746">+YEAR(raw[[#This Row],[_date_]])&amp;"."&amp;raw[[#This Row],[redis_ls]]&amp;"."&amp;raw[[#This Row],[wage_eq]]&amp;"."&amp;raw[[#This Row],[flex]]&amp;"."&amp;raw[[#This Row],[expo]]</f>
        <v>2030.0.2.0.1</v>
      </c>
    </row>
    <row r="747" spans="1:1">
      <c r="A747" t="str">
        <f t="array" ref="A747">+YEAR(raw[[#This Row],[_date_]])&amp;"."&amp;raw[[#This Row],[redis_ls]]&amp;"."&amp;raw[[#This Row],[wage_eq]]&amp;"."&amp;raw[[#This Row],[flex]]&amp;"."&amp;raw[[#This Row],[expo]]</f>
        <v>2031.0.2.0.1</v>
      </c>
    </row>
    <row r="748" spans="1:1">
      <c r="A748" t="str">
        <f t="array" ref="A748">+YEAR(raw[[#This Row],[_date_]])&amp;"."&amp;raw[[#This Row],[redis_ls]]&amp;"."&amp;raw[[#This Row],[wage_eq]]&amp;"."&amp;raw[[#This Row],[flex]]&amp;"."&amp;raw[[#This Row],[expo]]</f>
        <v>2032.0.2.0.1</v>
      </c>
    </row>
    <row r="749" spans="1:1">
      <c r="A749" t="str">
        <f t="array" ref="A749">+YEAR(raw[[#This Row],[_date_]])&amp;"."&amp;raw[[#This Row],[redis_ls]]&amp;"."&amp;raw[[#This Row],[wage_eq]]&amp;"."&amp;raw[[#This Row],[flex]]&amp;"."&amp;raw[[#This Row],[expo]]</f>
        <v>2033.0.2.0.1</v>
      </c>
    </row>
    <row r="750" spans="1:1">
      <c r="A750" t="str">
        <f t="array" ref="A750">+YEAR(raw[[#This Row],[_date_]])&amp;"."&amp;raw[[#This Row],[redis_ls]]&amp;"."&amp;raw[[#This Row],[wage_eq]]&amp;"."&amp;raw[[#This Row],[flex]]&amp;"."&amp;raw[[#This Row],[expo]]</f>
        <v>2034.0.2.0.1</v>
      </c>
    </row>
    <row r="751" spans="1:1">
      <c r="A751" t="str">
        <f t="array" ref="A751">+YEAR(raw[[#This Row],[_date_]])&amp;"."&amp;raw[[#This Row],[redis_ls]]&amp;"."&amp;raw[[#This Row],[wage_eq]]&amp;"."&amp;raw[[#This Row],[flex]]&amp;"."&amp;raw[[#This Row],[expo]]</f>
        <v>2035.0.2.0.1</v>
      </c>
    </row>
    <row r="752" spans="1:1">
      <c r="A752" t="str">
        <f t="array" ref="A752">+YEAR(raw[[#This Row],[_date_]])&amp;"."&amp;raw[[#This Row],[redis_ls]]&amp;"."&amp;raw[[#This Row],[wage_eq]]&amp;"."&amp;raw[[#This Row],[flex]]&amp;"."&amp;raw[[#This Row],[expo]]</f>
        <v>2036.0.2.0.1</v>
      </c>
    </row>
    <row r="753" spans="1:1">
      <c r="A753" t="str">
        <f t="array" ref="A753">+YEAR(raw[[#This Row],[_date_]])&amp;"."&amp;raw[[#This Row],[redis_ls]]&amp;"."&amp;raw[[#This Row],[wage_eq]]&amp;"."&amp;raw[[#This Row],[flex]]&amp;"."&amp;raw[[#This Row],[expo]]</f>
        <v>2037.0.2.0.1</v>
      </c>
    </row>
    <row r="754" spans="1:1">
      <c r="A754" t="str">
        <f t="array" ref="A754">+YEAR(raw[[#This Row],[_date_]])&amp;"."&amp;raw[[#This Row],[redis_ls]]&amp;"."&amp;raw[[#This Row],[wage_eq]]&amp;"."&amp;raw[[#This Row],[flex]]&amp;"."&amp;raw[[#This Row],[expo]]</f>
        <v>2038.0.2.0.1</v>
      </c>
    </row>
    <row r="755" spans="1:1">
      <c r="A755" t="str">
        <f t="array" ref="A755">+YEAR(raw[[#This Row],[_date_]])&amp;"."&amp;raw[[#This Row],[redis_ls]]&amp;"."&amp;raw[[#This Row],[wage_eq]]&amp;"."&amp;raw[[#This Row],[flex]]&amp;"."&amp;raw[[#This Row],[expo]]</f>
        <v>2039.0.2.0.1</v>
      </c>
    </row>
    <row r="756" spans="1:1">
      <c r="A756" t="str">
        <f t="array" ref="A756">+YEAR(raw[[#This Row],[_date_]])&amp;"."&amp;raw[[#This Row],[redis_ls]]&amp;"."&amp;raw[[#This Row],[wage_eq]]&amp;"."&amp;raw[[#This Row],[flex]]&amp;"."&amp;raw[[#This Row],[expo]]</f>
        <v>2040.0.2.0.1</v>
      </c>
    </row>
    <row r="757" spans="1:1">
      <c r="A757" t="str">
        <f t="array" ref="A757">+YEAR(raw[[#This Row],[_date_]])&amp;"."&amp;raw[[#This Row],[redis_ls]]&amp;"."&amp;raw[[#This Row],[wage_eq]]&amp;"."&amp;raw[[#This Row],[flex]]&amp;"."&amp;raw[[#This Row],[expo]]</f>
        <v>2041.0.2.0.1</v>
      </c>
    </row>
    <row r="758" spans="1:1">
      <c r="A758" t="str">
        <f t="array" ref="A758">+YEAR(raw[[#This Row],[_date_]])&amp;"."&amp;raw[[#This Row],[redis_ls]]&amp;"."&amp;raw[[#This Row],[wage_eq]]&amp;"."&amp;raw[[#This Row],[flex]]&amp;"."&amp;raw[[#This Row],[expo]]</f>
        <v>2042.0.2.0.1</v>
      </c>
    </row>
    <row r="759" spans="1:1">
      <c r="A759" t="str">
        <f t="array" ref="A759">+YEAR(raw[[#This Row],[_date_]])&amp;"."&amp;raw[[#This Row],[redis_ls]]&amp;"."&amp;raw[[#This Row],[wage_eq]]&amp;"."&amp;raw[[#This Row],[flex]]&amp;"."&amp;raw[[#This Row],[expo]]</f>
        <v>2043.0.2.0.1</v>
      </c>
    </row>
    <row r="760" spans="1:1">
      <c r="A760" t="str">
        <f t="array" ref="A760">+YEAR(raw[[#This Row],[_date_]])&amp;"."&amp;raw[[#This Row],[redis_ls]]&amp;"."&amp;raw[[#This Row],[wage_eq]]&amp;"."&amp;raw[[#This Row],[flex]]&amp;"."&amp;raw[[#This Row],[expo]]</f>
        <v>2044.0.2.0.1</v>
      </c>
    </row>
    <row r="761" spans="1:1">
      <c r="A761" t="str">
        <f t="array" ref="A761">+YEAR(raw[[#This Row],[_date_]])&amp;"."&amp;raw[[#This Row],[redis_ls]]&amp;"."&amp;raw[[#This Row],[wage_eq]]&amp;"."&amp;raw[[#This Row],[flex]]&amp;"."&amp;raw[[#This Row],[expo]]</f>
        <v>2045.0.2.0.1</v>
      </c>
    </row>
    <row r="762" spans="1:1">
      <c r="A762" t="str">
        <f t="array" ref="A762">+YEAR(raw[[#This Row],[_date_]])&amp;"."&amp;raw[[#This Row],[redis_ls]]&amp;"."&amp;raw[[#This Row],[wage_eq]]&amp;"."&amp;raw[[#This Row],[flex]]&amp;"."&amp;raw[[#This Row],[expo]]</f>
        <v>2046.0.2.0.1</v>
      </c>
    </row>
    <row r="763" spans="1:1">
      <c r="A763" t="str">
        <f t="array" ref="A763">+YEAR(raw[[#This Row],[_date_]])&amp;"."&amp;raw[[#This Row],[redis_ls]]&amp;"."&amp;raw[[#This Row],[wage_eq]]&amp;"."&amp;raw[[#This Row],[flex]]&amp;"."&amp;raw[[#This Row],[expo]]</f>
        <v>2047.0.2.0.1</v>
      </c>
    </row>
    <row r="764" spans="1:1">
      <c r="A764" t="str">
        <f t="array" ref="A764">+YEAR(raw[[#This Row],[_date_]])&amp;"."&amp;raw[[#This Row],[redis_ls]]&amp;"."&amp;raw[[#This Row],[wage_eq]]&amp;"."&amp;raw[[#This Row],[flex]]&amp;"."&amp;raw[[#This Row],[expo]]</f>
        <v>2048.0.2.0.1</v>
      </c>
    </row>
    <row r="765" spans="1:1">
      <c r="A765" t="str">
        <f t="array" ref="A765">+YEAR(raw[[#This Row],[_date_]])&amp;"."&amp;raw[[#This Row],[redis_ls]]&amp;"."&amp;raw[[#This Row],[wage_eq]]&amp;"."&amp;raw[[#This Row],[flex]]&amp;"."&amp;raw[[#This Row],[expo]]</f>
        <v>2049.0.2.0.1</v>
      </c>
    </row>
    <row r="766" spans="1:1">
      <c r="A766" t="str">
        <f t="array" ref="A766">+YEAR(raw[[#This Row],[_date_]])&amp;"."&amp;raw[[#This Row],[redis_ls]]&amp;"."&amp;raw[[#This Row],[wage_eq]]&amp;"."&amp;raw[[#This Row],[flex]]&amp;"."&amp;raw[[#This Row],[expo]]</f>
        <v>2050.0.2.0.1</v>
      </c>
    </row>
    <row r="767" spans="1:1">
      <c r="A767" t="str">
        <f t="array" ref="A767">+YEAR(raw[[#This Row],[_date_]])&amp;"."&amp;raw[[#This Row],[redis_ls]]&amp;"."&amp;raw[[#This Row],[wage_eq]]&amp;"."&amp;raw[[#This Row],[flex]]&amp;"."&amp;raw[[#This Row],[expo]]</f>
        <v>2000.0.2.0.0</v>
      </c>
    </row>
    <row r="768" spans="1:1">
      <c r="A768" t="str">
        <f t="array" ref="A768">+YEAR(raw[[#This Row],[_date_]])&amp;"."&amp;raw[[#This Row],[redis_ls]]&amp;"."&amp;raw[[#This Row],[wage_eq]]&amp;"."&amp;raw[[#This Row],[flex]]&amp;"."&amp;raw[[#This Row],[expo]]</f>
        <v>2001.0.2.0.0</v>
      </c>
    </row>
    <row r="769" spans="1:1">
      <c r="A769" t="str">
        <f t="array" ref="A769">+YEAR(raw[[#This Row],[_date_]])&amp;"."&amp;raw[[#This Row],[redis_ls]]&amp;"."&amp;raw[[#This Row],[wage_eq]]&amp;"."&amp;raw[[#This Row],[flex]]&amp;"."&amp;raw[[#This Row],[expo]]</f>
        <v>2002.0.2.0.0</v>
      </c>
    </row>
    <row r="770" spans="1:1">
      <c r="A770" t="str">
        <f t="array" ref="A770">+YEAR(raw[[#This Row],[_date_]])&amp;"."&amp;raw[[#This Row],[redis_ls]]&amp;"."&amp;raw[[#This Row],[wage_eq]]&amp;"."&amp;raw[[#This Row],[flex]]&amp;"."&amp;raw[[#This Row],[expo]]</f>
        <v>2003.0.2.0.0</v>
      </c>
    </row>
    <row r="771" spans="1:1">
      <c r="A771" t="str">
        <f t="array" ref="A771">+YEAR(raw[[#This Row],[_date_]])&amp;"."&amp;raw[[#This Row],[redis_ls]]&amp;"."&amp;raw[[#This Row],[wage_eq]]&amp;"."&amp;raw[[#This Row],[flex]]&amp;"."&amp;raw[[#This Row],[expo]]</f>
        <v>2004.0.2.0.0</v>
      </c>
    </row>
    <row r="772" spans="1:1">
      <c r="A772" t="str">
        <f t="array" ref="A772">+YEAR(raw[[#This Row],[_date_]])&amp;"."&amp;raw[[#This Row],[redis_ls]]&amp;"."&amp;raw[[#This Row],[wage_eq]]&amp;"."&amp;raw[[#This Row],[flex]]&amp;"."&amp;raw[[#This Row],[expo]]</f>
        <v>2005.0.2.0.0</v>
      </c>
    </row>
    <row r="773" spans="1:1">
      <c r="A773" t="str">
        <f t="array" ref="A773">+YEAR(raw[[#This Row],[_date_]])&amp;"."&amp;raw[[#This Row],[redis_ls]]&amp;"."&amp;raw[[#This Row],[wage_eq]]&amp;"."&amp;raw[[#This Row],[flex]]&amp;"."&amp;raw[[#This Row],[expo]]</f>
        <v>2006.0.2.0.0</v>
      </c>
    </row>
    <row r="774" spans="1:1">
      <c r="A774" t="str">
        <f t="array" ref="A774">+YEAR(raw[[#This Row],[_date_]])&amp;"."&amp;raw[[#This Row],[redis_ls]]&amp;"."&amp;raw[[#This Row],[wage_eq]]&amp;"."&amp;raw[[#This Row],[flex]]&amp;"."&amp;raw[[#This Row],[expo]]</f>
        <v>2007.0.2.0.0</v>
      </c>
    </row>
    <row r="775" spans="1:1">
      <c r="A775" t="str">
        <f t="array" ref="A775">+YEAR(raw[[#This Row],[_date_]])&amp;"."&amp;raw[[#This Row],[redis_ls]]&amp;"."&amp;raw[[#This Row],[wage_eq]]&amp;"."&amp;raw[[#This Row],[flex]]&amp;"."&amp;raw[[#This Row],[expo]]</f>
        <v>2008.0.2.0.0</v>
      </c>
    </row>
    <row r="776" spans="1:1">
      <c r="A776" t="str">
        <f t="array" ref="A776">+YEAR(raw[[#This Row],[_date_]])&amp;"."&amp;raw[[#This Row],[redis_ls]]&amp;"."&amp;raw[[#This Row],[wage_eq]]&amp;"."&amp;raw[[#This Row],[flex]]&amp;"."&amp;raw[[#This Row],[expo]]</f>
        <v>2009.0.2.0.0</v>
      </c>
    </row>
    <row r="777" spans="1:1">
      <c r="A777" t="str">
        <f t="array" ref="A777">+YEAR(raw[[#This Row],[_date_]])&amp;"."&amp;raw[[#This Row],[redis_ls]]&amp;"."&amp;raw[[#This Row],[wage_eq]]&amp;"."&amp;raw[[#This Row],[flex]]&amp;"."&amp;raw[[#This Row],[expo]]</f>
        <v>2010.0.2.0.0</v>
      </c>
    </row>
    <row r="778" spans="1:1">
      <c r="A778" t="str">
        <f t="array" ref="A778">+YEAR(raw[[#This Row],[_date_]])&amp;"."&amp;raw[[#This Row],[redis_ls]]&amp;"."&amp;raw[[#This Row],[wage_eq]]&amp;"."&amp;raw[[#This Row],[flex]]&amp;"."&amp;raw[[#This Row],[expo]]</f>
        <v>2011.0.2.0.0</v>
      </c>
    </row>
    <row r="779" spans="1:1">
      <c r="A779" t="str">
        <f t="array" ref="A779">+YEAR(raw[[#This Row],[_date_]])&amp;"."&amp;raw[[#This Row],[redis_ls]]&amp;"."&amp;raw[[#This Row],[wage_eq]]&amp;"."&amp;raw[[#This Row],[flex]]&amp;"."&amp;raw[[#This Row],[expo]]</f>
        <v>2012.0.2.0.0</v>
      </c>
    </row>
    <row r="780" spans="1:1">
      <c r="A780" t="str">
        <f t="array" ref="A780">+YEAR(raw[[#This Row],[_date_]])&amp;"."&amp;raw[[#This Row],[redis_ls]]&amp;"."&amp;raw[[#This Row],[wage_eq]]&amp;"."&amp;raw[[#This Row],[flex]]&amp;"."&amp;raw[[#This Row],[expo]]</f>
        <v>2013.0.2.0.0</v>
      </c>
    </row>
    <row r="781" spans="1:1">
      <c r="A781" t="str">
        <f t="array" ref="A781">+YEAR(raw[[#This Row],[_date_]])&amp;"."&amp;raw[[#This Row],[redis_ls]]&amp;"."&amp;raw[[#This Row],[wage_eq]]&amp;"."&amp;raw[[#This Row],[flex]]&amp;"."&amp;raw[[#This Row],[expo]]</f>
        <v>2014.0.2.0.0</v>
      </c>
    </row>
    <row r="782" spans="1:1">
      <c r="A782" t="str">
        <f t="array" ref="A782">+YEAR(raw[[#This Row],[_date_]])&amp;"."&amp;raw[[#This Row],[redis_ls]]&amp;"."&amp;raw[[#This Row],[wage_eq]]&amp;"."&amp;raw[[#This Row],[flex]]&amp;"."&amp;raw[[#This Row],[expo]]</f>
        <v>2015.0.2.0.0</v>
      </c>
    </row>
    <row r="783" spans="1:1">
      <c r="A783" t="str">
        <f t="array" ref="A783">+YEAR(raw[[#This Row],[_date_]])&amp;"."&amp;raw[[#This Row],[redis_ls]]&amp;"."&amp;raw[[#This Row],[wage_eq]]&amp;"."&amp;raw[[#This Row],[flex]]&amp;"."&amp;raw[[#This Row],[expo]]</f>
        <v>2016.0.2.0.0</v>
      </c>
    </row>
    <row r="784" spans="1:1">
      <c r="A784" t="str">
        <f t="array" ref="A784">+YEAR(raw[[#This Row],[_date_]])&amp;"."&amp;raw[[#This Row],[redis_ls]]&amp;"."&amp;raw[[#This Row],[wage_eq]]&amp;"."&amp;raw[[#This Row],[flex]]&amp;"."&amp;raw[[#This Row],[expo]]</f>
        <v>2017.0.2.0.0</v>
      </c>
    </row>
    <row r="785" spans="1:1">
      <c r="A785" t="str">
        <f t="array" ref="A785">+YEAR(raw[[#This Row],[_date_]])&amp;"."&amp;raw[[#This Row],[redis_ls]]&amp;"."&amp;raw[[#This Row],[wage_eq]]&amp;"."&amp;raw[[#This Row],[flex]]&amp;"."&amp;raw[[#This Row],[expo]]</f>
        <v>2018.0.2.0.0</v>
      </c>
    </row>
    <row r="786" spans="1:1">
      <c r="A786" t="str">
        <f t="array" ref="A786">+YEAR(raw[[#This Row],[_date_]])&amp;"."&amp;raw[[#This Row],[redis_ls]]&amp;"."&amp;raw[[#This Row],[wage_eq]]&amp;"."&amp;raw[[#This Row],[flex]]&amp;"."&amp;raw[[#This Row],[expo]]</f>
        <v>2019.0.2.0.0</v>
      </c>
    </row>
    <row r="787" spans="1:1">
      <c r="A787" t="str">
        <f t="array" ref="A787">+YEAR(raw[[#This Row],[_date_]])&amp;"."&amp;raw[[#This Row],[redis_ls]]&amp;"."&amp;raw[[#This Row],[wage_eq]]&amp;"."&amp;raw[[#This Row],[flex]]&amp;"."&amp;raw[[#This Row],[expo]]</f>
        <v>2020.0.2.0.0</v>
      </c>
    </row>
    <row r="788" spans="1:1">
      <c r="A788" t="str">
        <f t="array" ref="A788">+YEAR(raw[[#This Row],[_date_]])&amp;"."&amp;raw[[#This Row],[redis_ls]]&amp;"."&amp;raw[[#This Row],[wage_eq]]&amp;"."&amp;raw[[#This Row],[flex]]&amp;"."&amp;raw[[#This Row],[expo]]</f>
        <v>2021.0.2.0.0</v>
      </c>
    </row>
    <row r="789" spans="1:1">
      <c r="A789" t="str">
        <f t="array" ref="A789">+YEAR(raw[[#This Row],[_date_]])&amp;"."&amp;raw[[#This Row],[redis_ls]]&amp;"."&amp;raw[[#This Row],[wage_eq]]&amp;"."&amp;raw[[#This Row],[flex]]&amp;"."&amp;raw[[#This Row],[expo]]</f>
        <v>2022.0.2.0.0</v>
      </c>
    </row>
    <row r="790" spans="1:1">
      <c r="A790" t="str">
        <f t="array" ref="A790">+YEAR(raw[[#This Row],[_date_]])&amp;"."&amp;raw[[#This Row],[redis_ls]]&amp;"."&amp;raw[[#This Row],[wage_eq]]&amp;"."&amp;raw[[#This Row],[flex]]&amp;"."&amp;raw[[#This Row],[expo]]</f>
        <v>2023.0.2.0.0</v>
      </c>
    </row>
    <row r="791" spans="1:1">
      <c r="A791" t="str">
        <f t="array" ref="A791">+YEAR(raw[[#This Row],[_date_]])&amp;"."&amp;raw[[#This Row],[redis_ls]]&amp;"."&amp;raw[[#This Row],[wage_eq]]&amp;"."&amp;raw[[#This Row],[flex]]&amp;"."&amp;raw[[#This Row],[expo]]</f>
        <v>2024.0.2.0.0</v>
      </c>
    </row>
    <row r="792" spans="1:1">
      <c r="A792" t="str">
        <f t="array" ref="A792">+YEAR(raw[[#This Row],[_date_]])&amp;"."&amp;raw[[#This Row],[redis_ls]]&amp;"."&amp;raw[[#This Row],[wage_eq]]&amp;"."&amp;raw[[#This Row],[flex]]&amp;"."&amp;raw[[#This Row],[expo]]</f>
        <v>2025.0.2.0.0</v>
      </c>
    </row>
    <row r="793" spans="1:1">
      <c r="A793" t="str">
        <f t="array" ref="A793">+YEAR(raw[[#This Row],[_date_]])&amp;"."&amp;raw[[#This Row],[redis_ls]]&amp;"."&amp;raw[[#This Row],[wage_eq]]&amp;"."&amp;raw[[#This Row],[flex]]&amp;"."&amp;raw[[#This Row],[expo]]</f>
        <v>2026.0.2.0.0</v>
      </c>
    </row>
    <row r="794" spans="1:1">
      <c r="A794" t="str">
        <f t="array" ref="A794">+YEAR(raw[[#This Row],[_date_]])&amp;"."&amp;raw[[#This Row],[redis_ls]]&amp;"."&amp;raw[[#This Row],[wage_eq]]&amp;"."&amp;raw[[#This Row],[flex]]&amp;"."&amp;raw[[#This Row],[expo]]</f>
        <v>2027.0.2.0.0</v>
      </c>
    </row>
    <row r="795" spans="1:1">
      <c r="A795" t="str">
        <f t="array" ref="A795">+YEAR(raw[[#This Row],[_date_]])&amp;"."&amp;raw[[#This Row],[redis_ls]]&amp;"."&amp;raw[[#This Row],[wage_eq]]&amp;"."&amp;raw[[#This Row],[flex]]&amp;"."&amp;raw[[#This Row],[expo]]</f>
        <v>2028.0.2.0.0</v>
      </c>
    </row>
    <row r="796" spans="1:1">
      <c r="A796" t="str">
        <f t="array" ref="A796">+YEAR(raw[[#This Row],[_date_]])&amp;"."&amp;raw[[#This Row],[redis_ls]]&amp;"."&amp;raw[[#This Row],[wage_eq]]&amp;"."&amp;raw[[#This Row],[flex]]&amp;"."&amp;raw[[#This Row],[expo]]</f>
        <v>2029.0.2.0.0</v>
      </c>
    </row>
    <row r="797" spans="1:1">
      <c r="A797" t="str">
        <f t="array" ref="A797">+YEAR(raw[[#This Row],[_date_]])&amp;"."&amp;raw[[#This Row],[redis_ls]]&amp;"."&amp;raw[[#This Row],[wage_eq]]&amp;"."&amp;raw[[#This Row],[flex]]&amp;"."&amp;raw[[#This Row],[expo]]</f>
        <v>2030.0.2.0.0</v>
      </c>
    </row>
    <row r="798" spans="1:1">
      <c r="A798" t="str">
        <f t="array" ref="A798">+YEAR(raw[[#This Row],[_date_]])&amp;"."&amp;raw[[#This Row],[redis_ls]]&amp;"."&amp;raw[[#This Row],[wage_eq]]&amp;"."&amp;raw[[#This Row],[flex]]&amp;"."&amp;raw[[#This Row],[expo]]</f>
        <v>2031.0.2.0.0</v>
      </c>
    </row>
    <row r="799" spans="1:1">
      <c r="A799" t="str">
        <f t="array" ref="A799">+YEAR(raw[[#This Row],[_date_]])&amp;"."&amp;raw[[#This Row],[redis_ls]]&amp;"."&amp;raw[[#This Row],[wage_eq]]&amp;"."&amp;raw[[#This Row],[flex]]&amp;"."&amp;raw[[#This Row],[expo]]</f>
        <v>2032.0.2.0.0</v>
      </c>
    </row>
    <row r="800" spans="1:1">
      <c r="A800" t="str">
        <f t="array" ref="A800">+YEAR(raw[[#This Row],[_date_]])&amp;"."&amp;raw[[#This Row],[redis_ls]]&amp;"."&amp;raw[[#This Row],[wage_eq]]&amp;"."&amp;raw[[#This Row],[flex]]&amp;"."&amp;raw[[#This Row],[expo]]</f>
        <v>2033.0.2.0.0</v>
      </c>
    </row>
    <row r="801" spans="1:1">
      <c r="A801" t="str">
        <f t="array" ref="A801">+YEAR(raw[[#This Row],[_date_]])&amp;"."&amp;raw[[#This Row],[redis_ls]]&amp;"."&amp;raw[[#This Row],[wage_eq]]&amp;"."&amp;raw[[#This Row],[flex]]&amp;"."&amp;raw[[#This Row],[expo]]</f>
        <v>2034.0.2.0.0</v>
      </c>
    </row>
    <row r="802" spans="1:1">
      <c r="A802" t="str">
        <f t="array" ref="A802">+YEAR(raw[[#This Row],[_date_]])&amp;"."&amp;raw[[#This Row],[redis_ls]]&amp;"."&amp;raw[[#This Row],[wage_eq]]&amp;"."&amp;raw[[#This Row],[flex]]&amp;"."&amp;raw[[#This Row],[expo]]</f>
        <v>2035.0.2.0.0</v>
      </c>
    </row>
    <row r="803" spans="1:1">
      <c r="A803" t="str">
        <f t="array" ref="A803">+YEAR(raw[[#This Row],[_date_]])&amp;"."&amp;raw[[#This Row],[redis_ls]]&amp;"."&amp;raw[[#This Row],[wage_eq]]&amp;"."&amp;raw[[#This Row],[flex]]&amp;"."&amp;raw[[#This Row],[expo]]</f>
        <v>2036.0.2.0.0</v>
      </c>
    </row>
    <row r="804" spans="1:1">
      <c r="A804" t="str">
        <f t="array" ref="A804">+YEAR(raw[[#This Row],[_date_]])&amp;"."&amp;raw[[#This Row],[redis_ls]]&amp;"."&amp;raw[[#This Row],[wage_eq]]&amp;"."&amp;raw[[#This Row],[flex]]&amp;"."&amp;raw[[#This Row],[expo]]</f>
        <v>2037.0.2.0.0</v>
      </c>
    </row>
    <row r="805" spans="1:1">
      <c r="A805" t="str">
        <f t="array" ref="A805">+YEAR(raw[[#This Row],[_date_]])&amp;"."&amp;raw[[#This Row],[redis_ls]]&amp;"."&amp;raw[[#This Row],[wage_eq]]&amp;"."&amp;raw[[#This Row],[flex]]&amp;"."&amp;raw[[#This Row],[expo]]</f>
        <v>2038.0.2.0.0</v>
      </c>
    </row>
    <row r="806" spans="1:1">
      <c r="A806" t="str">
        <f t="array" ref="A806">+YEAR(raw[[#This Row],[_date_]])&amp;"."&amp;raw[[#This Row],[redis_ls]]&amp;"."&amp;raw[[#This Row],[wage_eq]]&amp;"."&amp;raw[[#This Row],[flex]]&amp;"."&amp;raw[[#This Row],[expo]]</f>
        <v>2039.0.2.0.0</v>
      </c>
    </row>
    <row r="807" spans="1:1">
      <c r="A807" t="str">
        <f t="array" ref="A807">+YEAR(raw[[#This Row],[_date_]])&amp;"."&amp;raw[[#This Row],[redis_ls]]&amp;"."&amp;raw[[#This Row],[wage_eq]]&amp;"."&amp;raw[[#This Row],[flex]]&amp;"."&amp;raw[[#This Row],[expo]]</f>
        <v>2040.0.2.0.0</v>
      </c>
    </row>
    <row r="808" spans="1:1">
      <c r="A808" t="str">
        <f t="array" ref="A808">+YEAR(raw[[#This Row],[_date_]])&amp;"."&amp;raw[[#This Row],[redis_ls]]&amp;"."&amp;raw[[#This Row],[wage_eq]]&amp;"."&amp;raw[[#This Row],[flex]]&amp;"."&amp;raw[[#This Row],[expo]]</f>
        <v>2041.0.2.0.0</v>
      </c>
    </row>
    <row r="809" spans="1:1">
      <c r="A809" t="str">
        <f t="array" ref="A809">+YEAR(raw[[#This Row],[_date_]])&amp;"."&amp;raw[[#This Row],[redis_ls]]&amp;"."&amp;raw[[#This Row],[wage_eq]]&amp;"."&amp;raw[[#This Row],[flex]]&amp;"."&amp;raw[[#This Row],[expo]]</f>
        <v>2042.0.2.0.0</v>
      </c>
    </row>
    <row r="810" spans="1:1">
      <c r="A810" t="str">
        <f t="array" ref="A810">+YEAR(raw[[#This Row],[_date_]])&amp;"."&amp;raw[[#This Row],[redis_ls]]&amp;"."&amp;raw[[#This Row],[wage_eq]]&amp;"."&amp;raw[[#This Row],[flex]]&amp;"."&amp;raw[[#This Row],[expo]]</f>
        <v>2043.0.2.0.0</v>
      </c>
    </row>
    <row r="811" spans="1:1">
      <c r="A811" t="str">
        <f t="array" ref="A811">+YEAR(raw[[#This Row],[_date_]])&amp;"."&amp;raw[[#This Row],[redis_ls]]&amp;"."&amp;raw[[#This Row],[wage_eq]]&amp;"."&amp;raw[[#This Row],[flex]]&amp;"."&amp;raw[[#This Row],[expo]]</f>
        <v>2044.0.2.0.0</v>
      </c>
    </row>
    <row r="812" spans="1:1">
      <c r="A812" t="str">
        <f t="array" ref="A812">+YEAR(raw[[#This Row],[_date_]])&amp;"."&amp;raw[[#This Row],[redis_ls]]&amp;"."&amp;raw[[#This Row],[wage_eq]]&amp;"."&amp;raw[[#This Row],[flex]]&amp;"."&amp;raw[[#This Row],[expo]]</f>
        <v>2045.0.2.0.0</v>
      </c>
    </row>
    <row r="813" spans="1:1">
      <c r="A813" t="str">
        <f t="array" ref="A813">+YEAR(raw[[#This Row],[_date_]])&amp;"."&amp;raw[[#This Row],[redis_ls]]&amp;"."&amp;raw[[#This Row],[wage_eq]]&amp;"."&amp;raw[[#This Row],[flex]]&amp;"."&amp;raw[[#This Row],[expo]]</f>
        <v>2046.0.2.0.0</v>
      </c>
    </row>
    <row r="814" spans="1:1">
      <c r="A814" t="str">
        <f t="array" ref="A814">+YEAR(raw[[#This Row],[_date_]])&amp;"."&amp;raw[[#This Row],[redis_ls]]&amp;"."&amp;raw[[#This Row],[wage_eq]]&amp;"."&amp;raw[[#This Row],[flex]]&amp;"."&amp;raw[[#This Row],[expo]]</f>
        <v>2047.0.2.0.0</v>
      </c>
    </row>
    <row r="815" spans="1:1">
      <c r="A815" t="str">
        <f t="array" ref="A815">+YEAR(raw[[#This Row],[_date_]])&amp;"."&amp;raw[[#This Row],[redis_ls]]&amp;"."&amp;raw[[#This Row],[wage_eq]]&amp;"."&amp;raw[[#This Row],[flex]]&amp;"."&amp;raw[[#This Row],[expo]]</f>
        <v>2048.0.2.0.0</v>
      </c>
    </row>
    <row r="816" spans="1:1">
      <c r="A816" t="str">
        <f t="array" ref="A816">+YEAR(raw[[#This Row],[_date_]])&amp;"."&amp;raw[[#This Row],[redis_ls]]&amp;"."&amp;raw[[#This Row],[wage_eq]]&amp;"."&amp;raw[[#This Row],[flex]]&amp;"."&amp;raw[[#This Row],[expo]]</f>
        <v>2049.0.2.0.0</v>
      </c>
    </row>
    <row r="817" spans="1:1">
      <c r="A817" t="str">
        <f t="array" ref="A817">+YEAR(raw[[#This Row],[_date_]])&amp;"."&amp;raw[[#This Row],[redis_ls]]&amp;"."&amp;raw[[#This Row],[wage_eq]]&amp;"."&amp;raw[[#This Row],[flex]]&amp;"."&amp;raw[[#This Row],[expo]]</f>
        <v>2050.0.2.0.0</v>
      </c>
    </row>
    <row r="818" spans="1:1">
      <c r="A818" t="str">
        <f t="array" ref="A818">+YEAR(raw[[#This Row],[_date_]])&amp;"."&amp;raw[[#This Row],[redis_ls]]&amp;"."&amp;raw[[#This Row],[wage_eq]]&amp;"."&amp;raw[[#This Row],[flex]]&amp;"."&amp;raw[[#This Row],[expo]]</f>
        <v>2000.0.1.1.1</v>
      </c>
    </row>
    <row r="819" spans="1:1">
      <c r="A819" t="str">
        <f t="array" ref="A819">+YEAR(raw[[#This Row],[_date_]])&amp;"."&amp;raw[[#This Row],[redis_ls]]&amp;"."&amp;raw[[#This Row],[wage_eq]]&amp;"."&amp;raw[[#This Row],[flex]]&amp;"."&amp;raw[[#This Row],[expo]]</f>
        <v>2001.0.1.1.1</v>
      </c>
    </row>
    <row r="820" spans="1:1">
      <c r="A820" t="str">
        <f t="array" ref="A820">+YEAR(raw[[#This Row],[_date_]])&amp;"."&amp;raw[[#This Row],[redis_ls]]&amp;"."&amp;raw[[#This Row],[wage_eq]]&amp;"."&amp;raw[[#This Row],[flex]]&amp;"."&amp;raw[[#This Row],[expo]]</f>
        <v>2002.0.1.1.1</v>
      </c>
    </row>
    <row r="821" spans="1:1">
      <c r="A821" t="str">
        <f t="array" ref="A821">+YEAR(raw[[#This Row],[_date_]])&amp;"."&amp;raw[[#This Row],[redis_ls]]&amp;"."&amp;raw[[#This Row],[wage_eq]]&amp;"."&amp;raw[[#This Row],[flex]]&amp;"."&amp;raw[[#This Row],[expo]]</f>
        <v>2003.0.1.1.1</v>
      </c>
    </row>
    <row r="822" spans="1:1">
      <c r="A822" t="str">
        <f t="array" ref="A822">+YEAR(raw[[#This Row],[_date_]])&amp;"."&amp;raw[[#This Row],[redis_ls]]&amp;"."&amp;raw[[#This Row],[wage_eq]]&amp;"."&amp;raw[[#This Row],[flex]]&amp;"."&amp;raw[[#This Row],[expo]]</f>
        <v>2004.0.1.1.1</v>
      </c>
    </row>
    <row r="823" spans="1:1">
      <c r="A823" t="str">
        <f t="array" ref="A823">+YEAR(raw[[#This Row],[_date_]])&amp;"."&amp;raw[[#This Row],[redis_ls]]&amp;"."&amp;raw[[#This Row],[wage_eq]]&amp;"."&amp;raw[[#This Row],[flex]]&amp;"."&amp;raw[[#This Row],[expo]]</f>
        <v>2005.0.1.1.1</v>
      </c>
    </row>
    <row r="824" spans="1:1">
      <c r="A824" t="str">
        <f t="array" ref="A824">+YEAR(raw[[#This Row],[_date_]])&amp;"."&amp;raw[[#This Row],[redis_ls]]&amp;"."&amp;raw[[#This Row],[wage_eq]]&amp;"."&amp;raw[[#This Row],[flex]]&amp;"."&amp;raw[[#This Row],[expo]]</f>
        <v>2006.0.1.1.1</v>
      </c>
    </row>
    <row r="825" spans="1:1">
      <c r="A825" t="str">
        <f t="array" ref="A825">+YEAR(raw[[#This Row],[_date_]])&amp;"."&amp;raw[[#This Row],[redis_ls]]&amp;"."&amp;raw[[#This Row],[wage_eq]]&amp;"."&amp;raw[[#This Row],[flex]]&amp;"."&amp;raw[[#This Row],[expo]]</f>
        <v>2007.0.1.1.1</v>
      </c>
    </row>
    <row r="826" spans="1:1">
      <c r="A826" t="str">
        <f t="array" ref="A826">+YEAR(raw[[#This Row],[_date_]])&amp;"."&amp;raw[[#This Row],[redis_ls]]&amp;"."&amp;raw[[#This Row],[wage_eq]]&amp;"."&amp;raw[[#This Row],[flex]]&amp;"."&amp;raw[[#This Row],[expo]]</f>
        <v>2008.0.1.1.1</v>
      </c>
    </row>
    <row r="827" spans="1:1">
      <c r="A827" t="str">
        <f t="array" ref="A827">+YEAR(raw[[#This Row],[_date_]])&amp;"."&amp;raw[[#This Row],[redis_ls]]&amp;"."&amp;raw[[#This Row],[wage_eq]]&amp;"."&amp;raw[[#This Row],[flex]]&amp;"."&amp;raw[[#This Row],[expo]]</f>
        <v>2009.0.1.1.1</v>
      </c>
    </row>
    <row r="828" spans="1:1">
      <c r="A828" t="str">
        <f t="array" ref="A828">+YEAR(raw[[#This Row],[_date_]])&amp;"."&amp;raw[[#This Row],[redis_ls]]&amp;"."&amp;raw[[#This Row],[wage_eq]]&amp;"."&amp;raw[[#This Row],[flex]]&amp;"."&amp;raw[[#This Row],[expo]]</f>
        <v>2010.0.1.1.1</v>
      </c>
    </row>
    <row r="829" spans="1:1">
      <c r="A829" t="str">
        <f t="array" ref="A829">+YEAR(raw[[#This Row],[_date_]])&amp;"."&amp;raw[[#This Row],[redis_ls]]&amp;"."&amp;raw[[#This Row],[wage_eq]]&amp;"."&amp;raw[[#This Row],[flex]]&amp;"."&amp;raw[[#This Row],[expo]]</f>
        <v>2011.0.1.1.1</v>
      </c>
    </row>
    <row r="830" spans="1:1">
      <c r="A830" t="str">
        <f t="array" ref="A830">+YEAR(raw[[#This Row],[_date_]])&amp;"."&amp;raw[[#This Row],[redis_ls]]&amp;"."&amp;raw[[#This Row],[wage_eq]]&amp;"."&amp;raw[[#This Row],[flex]]&amp;"."&amp;raw[[#This Row],[expo]]</f>
        <v>2012.0.1.1.1</v>
      </c>
    </row>
    <row r="831" spans="1:1">
      <c r="A831" t="str">
        <f t="array" ref="A831">+YEAR(raw[[#This Row],[_date_]])&amp;"."&amp;raw[[#This Row],[redis_ls]]&amp;"."&amp;raw[[#This Row],[wage_eq]]&amp;"."&amp;raw[[#This Row],[flex]]&amp;"."&amp;raw[[#This Row],[expo]]</f>
        <v>2013.0.1.1.1</v>
      </c>
    </row>
    <row r="832" spans="1:1">
      <c r="A832" t="str">
        <f t="array" ref="A832">+YEAR(raw[[#This Row],[_date_]])&amp;"."&amp;raw[[#This Row],[redis_ls]]&amp;"."&amp;raw[[#This Row],[wage_eq]]&amp;"."&amp;raw[[#This Row],[flex]]&amp;"."&amp;raw[[#This Row],[expo]]</f>
        <v>2014.0.1.1.1</v>
      </c>
    </row>
    <row r="833" spans="1:1">
      <c r="A833" t="str">
        <f t="array" ref="A833">+YEAR(raw[[#This Row],[_date_]])&amp;"."&amp;raw[[#This Row],[redis_ls]]&amp;"."&amp;raw[[#This Row],[wage_eq]]&amp;"."&amp;raw[[#This Row],[flex]]&amp;"."&amp;raw[[#This Row],[expo]]</f>
        <v>2015.0.1.1.1</v>
      </c>
    </row>
    <row r="834" spans="1:1">
      <c r="A834" t="str">
        <f t="array" ref="A834">+YEAR(raw[[#This Row],[_date_]])&amp;"."&amp;raw[[#This Row],[redis_ls]]&amp;"."&amp;raw[[#This Row],[wage_eq]]&amp;"."&amp;raw[[#This Row],[flex]]&amp;"."&amp;raw[[#This Row],[expo]]</f>
        <v>2016.0.1.1.1</v>
      </c>
    </row>
    <row r="835" spans="1:1">
      <c r="A835" t="str">
        <f t="array" ref="A835">+YEAR(raw[[#This Row],[_date_]])&amp;"."&amp;raw[[#This Row],[redis_ls]]&amp;"."&amp;raw[[#This Row],[wage_eq]]&amp;"."&amp;raw[[#This Row],[flex]]&amp;"."&amp;raw[[#This Row],[expo]]</f>
        <v>2017.0.1.1.1</v>
      </c>
    </row>
    <row r="836" spans="1:1">
      <c r="A836" t="str">
        <f t="array" ref="A836">+YEAR(raw[[#This Row],[_date_]])&amp;"."&amp;raw[[#This Row],[redis_ls]]&amp;"."&amp;raw[[#This Row],[wage_eq]]&amp;"."&amp;raw[[#This Row],[flex]]&amp;"."&amp;raw[[#This Row],[expo]]</f>
        <v>2018.0.1.1.1</v>
      </c>
    </row>
    <row r="837" spans="1:1">
      <c r="A837" t="str">
        <f t="array" ref="A837">+YEAR(raw[[#This Row],[_date_]])&amp;"."&amp;raw[[#This Row],[redis_ls]]&amp;"."&amp;raw[[#This Row],[wage_eq]]&amp;"."&amp;raw[[#This Row],[flex]]&amp;"."&amp;raw[[#This Row],[expo]]</f>
        <v>2019.0.1.1.1</v>
      </c>
    </row>
    <row r="838" spans="1:1">
      <c r="A838" t="str">
        <f t="array" ref="A838">+YEAR(raw[[#This Row],[_date_]])&amp;"."&amp;raw[[#This Row],[redis_ls]]&amp;"."&amp;raw[[#This Row],[wage_eq]]&amp;"."&amp;raw[[#This Row],[flex]]&amp;"."&amp;raw[[#This Row],[expo]]</f>
        <v>2020.0.1.1.1</v>
      </c>
    </row>
    <row r="839" spans="1:1">
      <c r="A839" t="str">
        <f t="array" ref="A839">+YEAR(raw[[#This Row],[_date_]])&amp;"."&amp;raw[[#This Row],[redis_ls]]&amp;"."&amp;raw[[#This Row],[wage_eq]]&amp;"."&amp;raw[[#This Row],[flex]]&amp;"."&amp;raw[[#This Row],[expo]]</f>
        <v>2021.0.1.1.1</v>
      </c>
    </row>
    <row r="840" spans="1:1">
      <c r="A840" t="str">
        <f t="array" ref="A840">+YEAR(raw[[#This Row],[_date_]])&amp;"."&amp;raw[[#This Row],[redis_ls]]&amp;"."&amp;raw[[#This Row],[wage_eq]]&amp;"."&amp;raw[[#This Row],[flex]]&amp;"."&amp;raw[[#This Row],[expo]]</f>
        <v>2022.0.1.1.1</v>
      </c>
    </row>
    <row r="841" spans="1:1">
      <c r="A841" t="str">
        <f t="array" ref="A841">+YEAR(raw[[#This Row],[_date_]])&amp;"."&amp;raw[[#This Row],[redis_ls]]&amp;"."&amp;raw[[#This Row],[wage_eq]]&amp;"."&amp;raw[[#This Row],[flex]]&amp;"."&amp;raw[[#This Row],[expo]]</f>
        <v>2023.0.1.1.1</v>
      </c>
    </row>
    <row r="842" spans="1:1">
      <c r="A842" t="str">
        <f t="array" ref="A842">+YEAR(raw[[#This Row],[_date_]])&amp;"."&amp;raw[[#This Row],[redis_ls]]&amp;"."&amp;raw[[#This Row],[wage_eq]]&amp;"."&amp;raw[[#This Row],[flex]]&amp;"."&amp;raw[[#This Row],[expo]]</f>
        <v>2024.0.1.1.1</v>
      </c>
    </row>
    <row r="843" spans="1:1">
      <c r="A843" t="str">
        <f t="array" ref="A843">+YEAR(raw[[#This Row],[_date_]])&amp;"."&amp;raw[[#This Row],[redis_ls]]&amp;"."&amp;raw[[#This Row],[wage_eq]]&amp;"."&amp;raw[[#This Row],[flex]]&amp;"."&amp;raw[[#This Row],[expo]]</f>
        <v>2025.0.1.1.1</v>
      </c>
    </row>
    <row r="844" spans="1:1">
      <c r="A844" t="str">
        <f t="array" ref="A844">+YEAR(raw[[#This Row],[_date_]])&amp;"."&amp;raw[[#This Row],[redis_ls]]&amp;"."&amp;raw[[#This Row],[wage_eq]]&amp;"."&amp;raw[[#This Row],[flex]]&amp;"."&amp;raw[[#This Row],[expo]]</f>
        <v>2026.0.1.1.1</v>
      </c>
    </row>
    <row r="845" spans="1:1">
      <c r="A845" t="str">
        <f t="array" ref="A845">+YEAR(raw[[#This Row],[_date_]])&amp;"."&amp;raw[[#This Row],[redis_ls]]&amp;"."&amp;raw[[#This Row],[wage_eq]]&amp;"."&amp;raw[[#This Row],[flex]]&amp;"."&amp;raw[[#This Row],[expo]]</f>
        <v>2027.0.1.1.1</v>
      </c>
    </row>
    <row r="846" spans="1:1">
      <c r="A846" t="str">
        <f t="array" ref="A846">+YEAR(raw[[#This Row],[_date_]])&amp;"."&amp;raw[[#This Row],[redis_ls]]&amp;"."&amp;raw[[#This Row],[wage_eq]]&amp;"."&amp;raw[[#This Row],[flex]]&amp;"."&amp;raw[[#This Row],[expo]]</f>
        <v>2028.0.1.1.1</v>
      </c>
    </row>
    <row r="847" spans="1:1">
      <c r="A847" t="str">
        <f t="array" ref="A847">+YEAR(raw[[#This Row],[_date_]])&amp;"."&amp;raw[[#This Row],[redis_ls]]&amp;"."&amp;raw[[#This Row],[wage_eq]]&amp;"."&amp;raw[[#This Row],[flex]]&amp;"."&amp;raw[[#This Row],[expo]]</f>
        <v>2029.0.1.1.1</v>
      </c>
    </row>
    <row r="848" spans="1:1">
      <c r="A848" t="str">
        <f t="array" ref="A848">+YEAR(raw[[#This Row],[_date_]])&amp;"."&amp;raw[[#This Row],[redis_ls]]&amp;"."&amp;raw[[#This Row],[wage_eq]]&amp;"."&amp;raw[[#This Row],[flex]]&amp;"."&amp;raw[[#This Row],[expo]]</f>
        <v>2030.0.1.1.1</v>
      </c>
    </row>
    <row r="849" spans="1:1">
      <c r="A849" t="str">
        <f t="array" ref="A849">+YEAR(raw[[#This Row],[_date_]])&amp;"."&amp;raw[[#This Row],[redis_ls]]&amp;"."&amp;raw[[#This Row],[wage_eq]]&amp;"."&amp;raw[[#This Row],[flex]]&amp;"."&amp;raw[[#This Row],[expo]]</f>
        <v>2031.0.1.1.1</v>
      </c>
    </row>
    <row r="850" spans="1:1">
      <c r="A850" t="str">
        <f t="array" ref="A850">+YEAR(raw[[#This Row],[_date_]])&amp;"."&amp;raw[[#This Row],[redis_ls]]&amp;"."&amp;raw[[#This Row],[wage_eq]]&amp;"."&amp;raw[[#This Row],[flex]]&amp;"."&amp;raw[[#This Row],[expo]]</f>
        <v>2032.0.1.1.1</v>
      </c>
    </row>
    <row r="851" spans="1:1">
      <c r="A851" t="str">
        <f t="array" ref="A851">+YEAR(raw[[#This Row],[_date_]])&amp;"."&amp;raw[[#This Row],[redis_ls]]&amp;"."&amp;raw[[#This Row],[wage_eq]]&amp;"."&amp;raw[[#This Row],[flex]]&amp;"."&amp;raw[[#This Row],[expo]]</f>
        <v>2033.0.1.1.1</v>
      </c>
    </row>
    <row r="852" spans="1:1">
      <c r="A852" t="str">
        <f t="array" ref="A852">+YEAR(raw[[#This Row],[_date_]])&amp;"."&amp;raw[[#This Row],[redis_ls]]&amp;"."&amp;raw[[#This Row],[wage_eq]]&amp;"."&amp;raw[[#This Row],[flex]]&amp;"."&amp;raw[[#This Row],[expo]]</f>
        <v>2034.0.1.1.1</v>
      </c>
    </row>
    <row r="853" spans="1:1">
      <c r="A853" t="str">
        <f t="array" ref="A853">+YEAR(raw[[#This Row],[_date_]])&amp;"."&amp;raw[[#This Row],[redis_ls]]&amp;"."&amp;raw[[#This Row],[wage_eq]]&amp;"."&amp;raw[[#This Row],[flex]]&amp;"."&amp;raw[[#This Row],[expo]]</f>
        <v>2035.0.1.1.1</v>
      </c>
    </row>
    <row r="854" spans="1:1">
      <c r="A854" t="str">
        <f t="array" ref="A854">+YEAR(raw[[#This Row],[_date_]])&amp;"."&amp;raw[[#This Row],[redis_ls]]&amp;"."&amp;raw[[#This Row],[wage_eq]]&amp;"."&amp;raw[[#This Row],[flex]]&amp;"."&amp;raw[[#This Row],[expo]]</f>
        <v>2036.0.1.1.1</v>
      </c>
    </row>
    <row r="855" spans="1:1">
      <c r="A855" t="str">
        <f t="array" ref="A855">+YEAR(raw[[#This Row],[_date_]])&amp;"."&amp;raw[[#This Row],[redis_ls]]&amp;"."&amp;raw[[#This Row],[wage_eq]]&amp;"."&amp;raw[[#This Row],[flex]]&amp;"."&amp;raw[[#This Row],[expo]]</f>
        <v>2037.0.1.1.1</v>
      </c>
    </row>
    <row r="856" spans="1:1">
      <c r="A856" t="str">
        <f t="array" ref="A856">+YEAR(raw[[#This Row],[_date_]])&amp;"."&amp;raw[[#This Row],[redis_ls]]&amp;"."&amp;raw[[#This Row],[wage_eq]]&amp;"."&amp;raw[[#This Row],[flex]]&amp;"."&amp;raw[[#This Row],[expo]]</f>
        <v>2038.0.1.1.1</v>
      </c>
    </row>
    <row r="857" spans="1:1">
      <c r="A857" t="str">
        <f t="array" ref="A857">+YEAR(raw[[#This Row],[_date_]])&amp;"."&amp;raw[[#This Row],[redis_ls]]&amp;"."&amp;raw[[#This Row],[wage_eq]]&amp;"."&amp;raw[[#This Row],[flex]]&amp;"."&amp;raw[[#This Row],[expo]]</f>
        <v>2039.0.1.1.1</v>
      </c>
    </row>
    <row r="858" spans="1:1">
      <c r="A858" t="str">
        <f t="array" ref="A858">+YEAR(raw[[#This Row],[_date_]])&amp;"."&amp;raw[[#This Row],[redis_ls]]&amp;"."&amp;raw[[#This Row],[wage_eq]]&amp;"."&amp;raw[[#This Row],[flex]]&amp;"."&amp;raw[[#This Row],[expo]]</f>
        <v>2040.0.1.1.1</v>
      </c>
    </row>
    <row r="859" spans="1:1">
      <c r="A859" t="str">
        <f t="array" ref="A859">+YEAR(raw[[#This Row],[_date_]])&amp;"."&amp;raw[[#This Row],[redis_ls]]&amp;"."&amp;raw[[#This Row],[wage_eq]]&amp;"."&amp;raw[[#This Row],[flex]]&amp;"."&amp;raw[[#This Row],[expo]]</f>
        <v>2041.0.1.1.1</v>
      </c>
    </row>
    <row r="860" spans="1:1">
      <c r="A860" t="str">
        <f t="array" ref="A860">+YEAR(raw[[#This Row],[_date_]])&amp;"."&amp;raw[[#This Row],[redis_ls]]&amp;"."&amp;raw[[#This Row],[wage_eq]]&amp;"."&amp;raw[[#This Row],[flex]]&amp;"."&amp;raw[[#This Row],[expo]]</f>
        <v>2042.0.1.1.1</v>
      </c>
    </row>
    <row r="861" spans="1:1">
      <c r="A861" t="str">
        <f t="array" ref="A861">+YEAR(raw[[#This Row],[_date_]])&amp;"."&amp;raw[[#This Row],[redis_ls]]&amp;"."&amp;raw[[#This Row],[wage_eq]]&amp;"."&amp;raw[[#This Row],[flex]]&amp;"."&amp;raw[[#This Row],[expo]]</f>
        <v>2043.0.1.1.1</v>
      </c>
    </row>
    <row r="862" spans="1:1">
      <c r="A862" t="str">
        <f t="array" ref="A862">+YEAR(raw[[#This Row],[_date_]])&amp;"."&amp;raw[[#This Row],[redis_ls]]&amp;"."&amp;raw[[#This Row],[wage_eq]]&amp;"."&amp;raw[[#This Row],[flex]]&amp;"."&amp;raw[[#This Row],[expo]]</f>
        <v>2044.0.1.1.1</v>
      </c>
    </row>
    <row r="863" spans="1:1">
      <c r="A863" t="str">
        <f t="array" ref="A863">+YEAR(raw[[#This Row],[_date_]])&amp;"."&amp;raw[[#This Row],[redis_ls]]&amp;"."&amp;raw[[#This Row],[wage_eq]]&amp;"."&amp;raw[[#This Row],[flex]]&amp;"."&amp;raw[[#This Row],[expo]]</f>
        <v>2045.0.1.1.1</v>
      </c>
    </row>
    <row r="864" spans="1:1">
      <c r="A864" t="str">
        <f t="array" ref="A864">+YEAR(raw[[#This Row],[_date_]])&amp;"."&amp;raw[[#This Row],[redis_ls]]&amp;"."&amp;raw[[#This Row],[wage_eq]]&amp;"."&amp;raw[[#This Row],[flex]]&amp;"."&amp;raw[[#This Row],[expo]]</f>
        <v>2046.0.1.1.1</v>
      </c>
    </row>
    <row r="865" spans="1:1">
      <c r="A865" t="str">
        <f t="array" ref="A865">+YEAR(raw[[#This Row],[_date_]])&amp;"."&amp;raw[[#This Row],[redis_ls]]&amp;"."&amp;raw[[#This Row],[wage_eq]]&amp;"."&amp;raw[[#This Row],[flex]]&amp;"."&amp;raw[[#This Row],[expo]]</f>
        <v>2047.0.1.1.1</v>
      </c>
    </row>
    <row r="866" spans="1:1">
      <c r="A866" t="str">
        <f t="array" ref="A866">+YEAR(raw[[#This Row],[_date_]])&amp;"."&amp;raw[[#This Row],[redis_ls]]&amp;"."&amp;raw[[#This Row],[wage_eq]]&amp;"."&amp;raw[[#This Row],[flex]]&amp;"."&amp;raw[[#This Row],[expo]]</f>
        <v>2048.0.1.1.1</v>
      </c>
    </row>
    <row r="867" spans="1:1">
      <c r="A867" t="str">
        <f t="array" ref="A867">+YEAR(raw[[#This Row],[_date_]])&amp;"."&amp;raw[[#This Row],[redis_ls]]&amp;"."&amp;raw[[#This Row],[wage_eq]]&amp;"."&amp;raw[[#This Row],[flex]]&amp;"."&amp;raw[[#This Row],[expo]]</f>
        <v>2049.0.1.1.1</v>
      </c>
    </row>
    <row r="868" spans="1:1">
      <c r="A868" t="str">
        <f t="array" ref="A868">+YEAR(raw[[#This Row],[_date_]])&amp;"."&amp;raw[[#This Row],[redis_ls]]&amp;"."&amp;raw[[#This Row],[wage_eq]]&amp;"."&amp;raw[[#This Row],[flex]]&amp;"."&amp;raw[[#This Row],[expo]]</f>
        <v>2050.0.1.1.1</v>
      </c>
    </row>
    <row r="869" spans="1:1">
      <c r="A869" t="str">
        <f t="array" ref="A869">+YEAR(raw[[#This Row],[_date_]])&amp;"."&amp;raw[[#This Row],[redis_ls]]&amp;"."&amp;raw[[#This Row],[wage_eq]]&amp;"."&amp;raw[[#This Row],[flex]]&amp;"."&amp;raw[[#This Row],[expo]]</f>
        <v>2000.0.1.1.0</v>
      </c>
    </row>
    <row r="870" spans="1:1">
      <c r="A870" t="str">
        <f t="array" ref="A870">+YEAR(raw[[#This Row],[_date_]])&amp;"."&amp;raw[[#This Row],[redis_ls]]&amp;"."&amp;raw[[#This Row],[wage_eq]]&amp;"."&amp;raw[[#This Row],[flex]]&amp;"."&amp;raw[[#This Row],[expo]]</f>
        <v>2001.0.1.1.0</v>
      </c>
    </row>
    <row r="871" spans="1:1">
      <c r="A871" t="str">
        <f t="array" ref="A871">+YEAR(raw[[#This Row],[_date_]])&amp;"."&amp;raw[[#This Row],[redis_ls]]&amp;"."&amp;raw[[#This Row],[wage_eq]]&amp;"."&amp;raw[[#This Row],[flex]]&amp;"."&amp;raw[[#This Row],[expo]]</f>
        <v>2002.0.1.1.0</v>
      </c>
    </row>
    <row r="872" spans="1:1">
      <c r="A872" t="str">
        <f t="array" ref="A872">+YEAR(raw[[#This Row],[_date_]])&amp;"."&amp;raw[[#This Row],[redis_ls]]&amp;"."&amp;raw[[#This Row],[wage_eq]]&amp;"."&amp;raw[[#This Row],[flex]]&amp;"."&amp;raw[[#This Row],[expo]]</f>
        <v>2003.0.1.1.0</v>
      </c>
    </row>
    <row r="873" spans="1:1">
      <c r="A873" t="str">
        <f t="array" ref="A873">+YEAR(raw[[#This Row],[_date_]])&amp;"."&amp;raw[[#This Row],[redis_ls]]&amp;"."&amp;raw[[#This Row],[wage_eq]]&amp;"."&amp;raw[[#This Row],[flex]]&amp;"."&amp;raw[[#This Row],[expo]]</f>
        <v>2004.0.1.1.0</v>
      </c>
    </row>
    <row r="874" spans="1:1">
      <c r="A874" t="str">
        <f t="array" ref="A874">+YEAR(raw[[#This Row],[_date_]])&amp;"."&amp;raw[[#This Row],[redis_ls]]&amp;"."&amp;raw[[#This Row],[wage_eq]]&amp;"."&amp;raw[[#This Row],[flex]]&amp;"."&amp;raw[[#This Row],[expo]]</f>
        <v>2005.0.1.1.0</v>
      </c>
    </row>
    <row r="875" spans="1:1">
      <c r="A875" t="str">
        <f t="array" ref="A875">+YEAR(raw[[#This Row],[_date_]])&amp;"."&amp;raw[[#This Row],[redis_ls]]&amp;"."&amp;raw[[#This Row],[wage_eq]]&amp;"."&amp;raw[[#This Row],[flex]]&amp;"."&amp;raw[[#This Row],[expo]]</f>
        <v>2006.0.1.1.0</v>
      </c>
    </row>
    <row r="876" spans="1:1">
      <c r="A876" t="str">
        <f t="array" ref="A876">+YEAR(raw[[#This Row],[_date_]])&amp;"."&amp;raw[[#This Row],[redis_ls]]&amp;"."&amp;raw[[#This Row],[wage_eq]]&amp;"."&amp;raw[[#This Row],[flex]]&amp;"."&amp;raw[[#This Row],[expo]]</f>
        <v>2007.0.1.1.0</v>
      </c>
    </row>
    <row r="877" spans="1:1">
      <c r="A877" t="str">
        <f t="array" ref="A877">+YEAR(raw[[#This Row],[_date_]])&amp;"."&amp;raw[[#This Row],[redis_ls]]&amp;"."&amp;raw[[#This Row],[wage_eq]]&amp;"."&amp;raw[[#This Row],[flex]]&amp;"."&amp;raw[[#This Row],[expo]]</f>
        <v>2008.0.1.1.0</v>
      </c>
    </row>
    <row r="878" spans="1:1">
      <c r="A878" t="str">
        <f t="array" ref="A878">+YEAR(raw[[#This Row],[_date_]])&amp;"."&amp;raw[[#This Row],[redis_ls]]&amp;"."&amp;raw[[#This Row],[wage_eq]]&amp;"."&amp;raw[[#This Row],[flex]]&amp;"."&amp;raw[[#This Row],[expo]]</f>
        <v>2009.0.1.1.0</v>
      </c>
    </row>
    <row r="879" spans="1:1">
      <c r="A879" t="str">
        <f t="array" ref="A879">+YEAR(raw[[#This Row],[_date_]])&amp;"."&amp;raw[[#This Row],[redis_ls]]&amp;"."&amp;raw[[#This Row],[wage_eq]]&amp;"."&amp;raw[[#This Row],[flex]]&amp;"."&amp;raw[[#This Row],[expo]]</f>
        <v>2010.0.1.1.0</v>
      </c>
    </row>
    <row r="880" spans="1:1">
      <c r="A880" t="str">
        <f t="array" ref="A880">+YEAR(raw[[#This Row],[_date_]])&amp;"."&amp;raw[[#This Row],[redis_ls]]&amp;"."&amp;raw[[#This Row],[wage_eq]]&amp;"."&amp;raw[[#This Row],[flex]]&amp;"."&amp;raw[[#This Row],[expo]]</f>
        <v>2011.0.1.1.0</v>
      </c>
    </row>
    <row r="881" spans="1:1">
      <c r="A881" t="str">
        <f t="array" ref="A881">+YEAR(raw[[#This Row],[_date_]])&amp;"."&amp;raw[[#This Row],[redis_ls]]&amp;"."&amp;raw[[#This Row],[wage_eq]]&amp;"."&amp;raw[[#This Row],[flex]]&amp;"."&amp;raw[[#This Row],[expo]]</f>
        <v>2012.0.1.1.0</v>
      </c>
    </row>
    <row r="882" spans="1:1">
      <c r="A882" t="str">
        <f t="array" ref="A882">+YEAR(raw[[#This Row],[_date_]])&amp;"."&amp;raw[[#This Row],[redis_ls]]&amp;"."&amp;raw[[#This Row],[wage_eq]]&amp;"."&amp;raw[[#This Row],[flex]]&amp;"."&amp;raw[[#This Row],[expo]]</f>
        <v>2013.0.1.1.0</v>
      </c>
    </row>
    <row r="883" spans="1:1">
      <c r="A883" t="str">
        <f t="array" ref="A883">+YEAR(raw[[#This Row],[_date_]])&amp;"."&amp;raw[[#This Row],[redis_ls]]&amp;"."&amp;raw[[#This Row],[wage_eq]]&amp;"."&amp;raw[[#This Row],[flex]]&amp;"."&amp;raw[[#This Row],[expo]]</f>
        <v>2014.0.1.1.0</v>
      </c>
    </row>
    <row r="884" spans="1:1">
      <c r="A884" t="str">
        <f t="array" ref="A884">+YEAR(raw[[#This Row],[_date_]])&amp;"."&amp;raw[[#This Row],[redis_ls]]&amp;"."&amp;raw[[#This Row],[wage_eq]]&amp;"."&amp;raw[[#This Row],[flex]]&amp;"."&amp;raw[[#This Row],[expo]]</f>
        <v>2015.0.1.1.0</v>
      </c>
    </row>
    <row r="885" spans="1:1">
      <c r="A885" t="str">
        <f t="array" ref="A885">+YEAR(raw[[#This Row],[_date_]])&amp;"."&amp;raw[[#This Row],[redis_ls]]&amp;"."&amp;raw[[#This Row],[wage_eq]]&amp;"."&amp;raw[[#This Row],[flex]]&amp;"."&amp;raw[[#This Row],[expo]]</f>
        <v>2016.0.1.1.0</v>
      </c>
    </row>
    <row r="886" spans="1:1">
      <c r="A886" t="str">
        <f t="array" ref="A886">+YEAR(raw[[#This Row],[_date_]])&amp;"."&amp;raw[[#This Row],[redis_ls]]&amp;"."&amp;raw[[#This Row],[wage_eq]]&amp;"."&amp;raw[[#This Row],[flex]]&amp;"."&amp;raw[[#This Row],[expo]]</f>
        <v>2017.0.1.1.0</v>
      </c>
    </row>
    <row r="887" spans="1:1">
      <c r="A887" t="str">
        <f t="array" ref="A887">+YEAR(raw[[#This Row],[_date_]])&amp;"."&amp;raw[[#This Row],[redis_ls]]&amp;"."&amp;raw[[#This Row],[wage_eq]]&amp;"."&amp;raw[[#This Row],[flex]]&amp;"."&amp;raw[[#This Row],[expo]]</f>
        <v>2018.0.1.1.0</v>
      </c>
    </row>
    <row r="888" spans="1:1">
      <c r="A888" t="str">
        <f t="array" ref="A888">+YEAR(raw[[#This Row],[_date_]])&amp;"."&amp;raw[[#This Row],[redis_ls]]&amp;"."&amp;raw[[#This Row],[wage_eq]]&amp;"."&amp;raw[[#This Row],[flex]]&amp;"."&amp;raw[[#This Row],[expo]]</f>
        <v>2019.0.1.1.0</v>
      </c>
    </row>
    <row r="889" spans="1:1">
      <c r="A889" t="str">
        <f t="array" ref="A889">+YEAR(raw[[#This Row],[_date_]])&amp;"."&amp;raw[[#This Row],[redis_ls]]&amp;"."&amp;raw[[#This Row],[wage_eq]]&amp;"."&amp;raw[[#This Row],[flex]]&amp;"."&amp;raw[[#This Row],[expo]]</f>
        <v>2020.0.1.1.0</v>
      </c>
    </row>
    <row r="890" spans="1:1">
      <c r="A890" t="str">
        <f t="array" ref="A890">+YEAR(raw[[#This Row],[_date_]])&amp;"."&amp;raw[[#This Row],[redis_ls]]&amp;"."&amp;raw[[#This Row],[wage_eq]]&amp;"."&amp;raw[[#This Row],[flex]]&amp;"."&amp;raw[[#This Row],[expo]]</f>
        <v>2021.0.1.1.0</v>
      </c>
    </row>
    <row r="891" spans="1:1">
      <c r="A891" t="str">
        <f t="array" ref="A891">+YEAR(raw[[#This Row],[_date_]])&amp;"."&amp;raw[[#This Row],[redis_ls]]&amp;"."&amp;raw[[#This Row],[wage_eq]]&amp;"."&amp;raw[[#This Row],[flex]]&amp;"."&amp;raw[[#This Row],[expo]]</f>
        <v>2022.0.1.1.0</v>
      </c>
    </row>
    <row r="892" spans="1:1">
      <c r="A892" t="str">
        <f t="array" ref="A892">+YEAR(raw[[#This Row],[_date_]])&amp;"."&amp;raw[[#This Row],[redis_ls]]&amp;"."&amp;raw[[#This Row],[wage_eq]]&amp;"."&amp;raw[[#This Row],[flex]]&amp;"."&amp;raw[[#This Row],[expo]]</f>
        <v>2023.0.1.1.0</v>
      </c>
    </row>
    <row r="893" spans="1:1">
      <c r="A893" t="str">
        <f t="array" ref="A893">+YEAR(raw[[#This Row],[_date_]])&amp;"."&amp;raw[[#This Row],[redis_ls]]&amp;"."&amp;raw[[#This Row],[wage_eq]]&amp;"."&amp;raw[[#This Row],[flex]]&amp;"."&amp;raw[[#This Row],[expo]]</f>
        <v>2024.0.1.1.0</v>
      </c>
    </row>
    <row r="894" spans="1:1">
      <c r="A894" t="str">
        <f t="array" ref="A894">+YEAR(raw[[#This Row],[_date_]])&amp;"."&amp;raw[[#This Row],[redis_ls]]&amp;"."&amp;raw[[#This Row],[wage_eq]]&amp;"."&amp;raw[[#This Row],[flex]]&amp;"."&amp;raw[[#This Row],[expo]]</f>
        <v>2025.0.1.1.0</v>
      </c>
    </row>
    <row r="895" spans="1:1">
      <c r="A895" t="str">
        <f t="array" ref="A895">+YEAR(raw[[#This Row],[_date_]])&amp;"."&amp;raw[[#This Row],[redis_ls]]&amp;"."&amp;raw[[#This Row],[wage_eq]]&amp;"."&amp;raw[[#This Row],[flex]]&amp;"."&amp;raw[[#This Row],[expo]]</f>
        <v>2026.0.1.1.0</v>
      </c>
    </row>
    <row r="896" spans="1:1">
      <c r="A896" t="str">
        <f t="array" ref="A896">+YEAR(raw[[#This Row],[_date_]])&amp;"."&amp;raw[[#This Row],[redis_ls]]&amp;"."&amp;raw[[#This Row],[wage_eq]]&amp;"."&amp;raw[[#This Row],[flex]]&amp;"."&amp;raw[[#This Row],[expo]]</f>
        <v>2027.0.1.1.0</v>
      </c>
    </row>
    <row r="897" spans="1:1">
      <c r="A897" t="str">
        <f t="array" ref="A897">+YEAR(raw[[#This Row],[_date_]])&amp;"."&amp;raw[[#This Row],[redis_ls]]&amp;"."&amp;raw[[#This Row],[wage_eq]]&amp;"."&amp;raw[[#This Row],[flex]]&amp;"."&amp;raw[[#This Row],[expo]]</f>
        <v>2028.0.1.1.0</v>
      </c>
    </row>
    <row r="898" spans="1:1">
      <c r="A898" t="str">
        <f t="array" ref="A898">+YEAR(raw[[#This Row],[_date_]])&amp;"."&amp;raw[[#This Row],[redis_ls]]&amp;"."&amp;raw[[#This Row],[wage_eq]]&amp;"."&amp;raw[[#This Row],[flex]]&amp;"."&amp;raw[[#This Row],[expo]]</f>
        <v>2029.0.1.1.0</v>
      </c>
    </row>
    <row r="899" spans="1:1">
      <c r="A899" t="str">
        <f t="array" ref="A899">+YEAR(raw[[#This Row],[_date_]])&amp;"."&amp;raw[[#This Row],[redis_ls]]&amp;"."&amp;raw[[#This Row],[wage_eq]]&amp;"."&amp;raw[[#This Row],[flex]]&amp;"."&amp;raw[[#This Row],[expo]]</f>
        <v>2030.0.1.1.0</v>
      </c>
    </row>
    <row r="900" spans="1:1">
      <c r="A900" t="str">
        <f t="array" ref="A900">+YEAR(raw[[#This Row],[_date_]])&amp;"."&amp;raw[[#This Row],[redis_ls]]&amp;"."&amp;raw[[#This Row],[wage_eq]]&amp;"."&amp;raw[[#This Row],[flex]]&amp;"."&amp;raw[[#This Row],[expo]]</f>
        <v>2031.0.1.1.0</v>
      </c>
    </row>
    <row r="901" spans="1:1">
      <c r="A901" t="str">
        <f t="array" ref="A901">+YEAR(raw[[#This Row],[_date_]])&amp;"."&amp;raw[[#This Row],[redis_ls]]&amp;"."&amp;raw[[#This Row],[wage_eq]]&amp;"."&amp;raw[[#This Row],[flex]]&amp;"."&amp;raw[[#This Row],[expo]]</f>
        <v>2032.0.1.1.0</v>
      </c>
    </row>
    <row r="902" spans="1:1">
      <c r="A902" t="str">
        <f t="array" ref="A902">+YEAR(raw[[#This Row],[_date_]])&amp;"."&amp;raw[[#This Row],[redis_ls]]&amp;"."&amp;raw[[#This Row],[wage_eq]]&amp;"."&amp;raw[[#This Row],[flex]]&amp;"."&amp;raw[[#This Row],[expo]]</f>
        <v>2033.0.1.1.0</v>
      </c>
    </row>
    <row r="903" spans="1:1">
      <c r="A903" t="str">
        <f t="array" ref="A903">+YEAR(raw[[#This Row],[_date_]])&amp;"."&amp;raw[[#This Row],[redis_ls]]&amp;"."&amp;raw[[#This Row],[wage_eq]]&amp;"."&amp;raw[[#This Row],[flex]]&amp;"."&amp;raw[[#This Row],[expo]]</f>
        <v>2034.0.1.1.0</v>
      </c>
    </row>
    <row r="904" spans="1:1">
      <c r="A904" t="str">
        <f t="array" ref="A904">+YEAR(raw[[#This Row],[_date_]])&amp;"."&amp;raw[[#This Row],[redis_ls]]&amp;"."&amp;raw[[#This Row],[wage_eq]]&amp;"."&amp;raw[[#This Row],[flex]]&amp;"."&amp;raw[[#This Row],[expo]]</f>
        <v>2035.0.1.1.0</v>
      </c>
    </row>
    <row r="905" spans="1:1">
      <c r="A905" t="str">
        <f t="array" ref="A905">+YEAR(raw[[#This Row],[_date_]])&amp;"."&amp;raw[[#This Row],[redis_ls]]&amp;"."&amp;raw[[#This Row],[wage_eq]]&amp;"."&amp;raw[[#This Row],[flex]]&amp;"."&amp;raw[[#This Row],[expo]]</f>
        <v>2036.0.1.1.0</v>
      </c>
    </row>
    <row r="906" spans="1:1">
      <c r="A906" t="str">
        <f t="array" ref="A906">+YEAR(raw[[#This Row],[_date_]])&amp;"."&amp;raw[[#This Row],[redis_ls]]&amp;"."&amp;raw[[#This Row],[wage_eq]]&amp;"."&amp;raw[[#This Row],[flex]]&amp;"."&amp;raw[[#This Row],[expo]]</f>
        <v>2037.0.1.1.0</v>
      </c>
    </row>
    <row r="907" spans="1:1">
      <c r="A907" t="str">
        <f t="array" ref="A907">+YEAR(raw[[#This Row],[_date_]])&amp;"."&amp;raw[[#This Row],[redis_ls]]&amp;"."&amp;raw[[#This Row],[wage_eq]]&amp;"."&amp;raw[[#This Row],[flex]]&amp;"."&amp;raw[[#This Row],[expo]]</f>
        <v>2038.0.1.1.0</v>
      </c>
    </row>
    <row r="908" spans="1:1">
      <c r="A908" t="str">
        <f t="array" ref="A908">+YEAR(raw[[#This Row],[_date_]])&amp;"."&amp;raw[[#This Row],[redis_ls]]&amp;"."&amp;raw[[#This Row],[wage_eq]]&amp;"."&amp;raw[[#This Row],[flex]]&amp;"."&amp;raw[[#This Row],[expo]]</f>
        <v>2039.0.1.1.0</v>
      </c>
    </row>
    <row r="909" spans="1:1">
      <c r="A909" t="str">
        <f t="array" ref="A909">+YEAR(raw[[#This Row],[_date_]])&amp;"."&amp;raw[[#This Row],[redis_ls]]&amp;"."&amp;raw[[#This Row],[wage_eq]]&amp;"."&amp;raw[[#This Row],[flex]]&amp;"."&amp;raw[[#This Row],[expo]]</f>
        <v>2040.0.1.1.0</v>
      </c>
    </row>
    <row r="910" spans="1:1">
      <c r="A910" t="str">
        <f t="array" ref="A910">+YEAR(raw[[#This Row],[_date_]])&amp;"."&amp;raw[[#This Row],[redis_ls]]&amp;"."&amp;raw[[#This Row],[wage_eq]]&amp;"."&amp;raw[[#This Row],[flex]]&amp;"."&amp;raw[[#This Row],[expo]]</f>
        <v>2041.0.1.1.0</v>
      </c>
    </row>
    <row r="911" spans="1:1">
      <c r="A911" t="str">
        <f t="array" ref="A911">+YEAR(raw[[#This Row],[_date_]])&amp;"."&amp;raw[[#This Row],[redis_ls]]&amp;"."&amp;raw[[#This Row],[wage_eq]]&amp;"."&amp;raw[[#This Row],[flex]]&amp;"."&amp;raw[[#This Row],[expo]]</f>
        <v>2042.0.1.1.0</v>
      </c>
    </row>
    <row r="912" spans="1:1">
      <c r="A912" t="str">
        <f t="array" ref="A912">+YEAR(raw[[#This Row],[_date_]])&amp;"."&amp;raw[[#This Row],[redis_ls]]&amp;"."&amp;raw[[#This Row],[wage_eq]]&amp;"."&amp;raw[[#This Row],[flex]]&amp;"."&amp;raw[[#This Row],[expo]]</f>
        <v>2043.0.1.1.0</v>
      </c>
    </row>
    <row r="913" spans="1:1">
      <c r="A913" t="str">
        <f t="array" ref="A913">+YEAR(raw[[#This Row],[_date_]])&amp;"."&amp;raw[[#This Row],[redis_ls]]&amp;"."&amp;raw[[#This Row],[wage_eq]]&amp;"."&amp;raw[[#This Row],[flex]]&amp;"."&amp;raw[[#This Row],[expo]]</f>
        <v>2044.0.1.1.0</v>
      </c>
    </row>
    <row r="914" spans="1:1">
      <c r="A914" t="str">
        <f t="array" ref="A914">+YEAR(raw[[#This Row],[_date_]])&amp;"."&amp;raw[[#This Row],[redis_ls]]&amp;"."&amp;raw[[#This Row],[wage_eq]]&amp;"."&amp;raw[[#This Row],[flex]]&amp;"."&amp;raw[[#This Row],[expo]]</f>
        <v>2045.0.1.1.0</v>
      </c>
    </row>
    <row r="915" spans="1:1">
      <c r="A915" t="str">
        <f t="array" ref="A915">+YEAR(raw[[#This Row],[_date_]])&amp;"."&amp;raw[[#This Row],[redis_ls]]&amp;"."&amp;raw[[#This Row],[wage_eq]]&amp;"."&amp;raw[[#This Row],[flex]]&amp;"."&amp;raw[[#This Row],[expo]]</f>
        <v>2046.0.1.1.0</v>
      </c>
    </row>
    <row r="916" spans="1:1">
      <c r="A916" t="str">
        <f t="array" ref="A916">+YEAR(raw[[#This Row],[_date_]])&amp;"."&amp;raw[[#This Row],[redis_ls]]&amp;"."&amp;raw[[#This Row],[wage_eq]]&amp;"."&amp;raw[[#This Row],[flex]]&amp;"."&amp;raw[[#This Row],[expo]]</f>
        <v>2047.0.1.1.0</v>
      </c>
    </row>
    <row r="917" spans="1:1">
      <c r="A917" t="str">
        <f t="array" ref="A917">+YEAR(raw[[#This Row],[_date_]])&amp;"."&amp;raw[[#This Row],[redis_ls]]&amp;"."&amp;raw[[#This Row],[wage_eq]]&amp;"."&amp;raw[[#This Row],[flex]]&amp;"."&amp;raw[[#This Row],[expo]]</f>
        <v>2048.0.1.1.0</v>
      </c>
    </row>
    <row r="918" spans="1:1">
      <c r="A918" t="str">
        <f t="array" ref="A918">+YEAR(raw[[#This Row],[_date_]])&amp;"."&amp;raw[[#This Row],[redis_ls]]&amp;"."&amp;raw[[#This Row],[wage_eq]]&amp;"."&amp;raw[[#This Row],[flex]]&amp;"."&amp;raw[[#This Row],[expo]]</f>
        <v>2049.0.1.1.0</v>
      </c>
    </row>
    <row r="919" spans="1:1">
      <c r="A919" t="str">
        <f t="array" ref="A919">+YEAR(raw[[#This Row],[_date_]])&amp;"."&amp;raw[[#This Row],[redis_ls]]&amp;"."&amp;raw[[#This Row],[wage_eq]]&amp;"."&amp;raw[[#This Row],[flex]]&amp;"."&amp;raw[[#This Row],[expo]]</f>
        <v>2050.0.1.1.0</v>
      </c>
    </row>
    <row r="920" spans="1:1">
      <c r="A920" t="str">
        <f t="array" ref="A920">+YEAR(raw[[#This Row],[_date_]])&amp;"."&amp;raw[[#This Row],[redis_ls]]&amp;"."&amp;raw[[#This Row],[wage_eq]]&amp;"."&amp;raw[[#This Row],[flex]]&amp;"."&amp;raw[[#This Row],[expo]]</f>
        <v>2000.0.1.0.1</v>
      </c>
    </row>
    <row r="921" spans="1:1">
      <c r="A921" t="str">
        <f t="array" ref="A921">+YEAR(raw[[#This Row],[_date_]])&amp;"."&amp;raw[[#This Row],[redis_ls]]&amp;"."&amp;raw[[#This Row],[wage_eq]]&amp;"."&amp;raw[[#This Row],[flex]]&amp;"."&amp;raw[[#This Row],[expo]]</f>
        <v>2001.0.1.0.1</v>
      </c>
    </row>
    <row r="922" spans="1:1">
      <c r="A922" t="str">
        <f t="array" ref="A922">+YEAR(raw[[#This Row],[_date_]])&amp;"."&amp;raw[[#This Row],[redis_ls]]&amp;"."&amp;raw[[#This Row],[wage_eq]]&amp;"."&amp;raw[[#This Row],[flex]]&amp;"."&amp;raw[[#This Row],[expo]]</f>
        <v>2002.0.1.0.1</v>
      </c>
    </row>
    <row r="923" spans="1:1">
      <c r="A923" t="str">
        <f t="array" ref="A923">+YEAR(raw[[#This Row],[_date_]])&amp;"."&amp;raw[[#This Row],[redis_ls]]&amp;"."&amp;raw[[#This Row],[wage_eq]]&amp;"."&amp;raw[[#This Row],[flex]]&amp;"."&amp;raw[[#This Row],[expo]]</f>
        <v>2003.0.1.0.1</v>
      </c>
    </row>
    <row r="924" spans="1:1">
      <c r="A924" t="str">
        <f t="array" ref="A924">+YEAR(raw[[#This Row],[_date_]])&amp;"."&amp;raw[[#This Row],[redis_ls]]&amp;"."&amp;raw[[#This Row],[wage_eq]]&amp;"."&amp;raw[[#This Row],[flex]]&amp;"."&amp;raw[[#This Row],[expo]]</f>
        <v>2004.0.1.0.1</v>
      </c>
    </row>
    <row r="925" spans="1:1">
      <c r="A925" t="str">
        <f t="array" ref="A925">+YEAR(raw[[#This Row],[_date_]])&amp;"."&amp;raw[[#This Row],[redis_ls]]&amp;"."&amp;raw[[#This Row],[wage_eq]]&amp;"."&amp;raw[[#This Row],[flex]]&amp;"."&amp;raw[[#This Row],[expo]]</f>
        <v>2005.0.1.0.1</v>
      </c>
    </row>
    <row r="926" spans="1:1">
      <c r="A926" t="str">
        <f t="array" ref="A926">+YEAR(raw[[#This Row],[_date_]])&amp;"."&amp;raw[[#This Row],[redis_ls]]&amp;"."&amp;raw[[#This Row],[wage_eq]]&amp;"."&amp;raw[[#This Row],[flex]]&amp;"."&amp;raw[[#This Row],[expo]]</f>
        <v>2006.0.1.0.1</v>
      </c>
    </row>
    <row r="927" spans="1:1">
      <c r="A927" t="str">
        <f t="array" ref="A927">+YEAR(raw[[#This Row],[_date_]])&amp;"."&amp;raw[[#This Row],[redis_ls]]&amp;"."&amp;raw[[#This Row],[wage_eq]]&amp;"."&amp;raw[[#This Row],[flex]]&amp;"."&amp;raw[[#This Row],[expo]]</f>
        <v>2007.0.1.0.1</v>
      </c>
    </row>
    <row r="928" spans="1:1">
      <c r="A928" t="str">
        <f t="array" ref="A928">+YEAR(raw[[#This Row],[_date_]])&amp;"."&amp;raw[[#This Row],[redis_ls]]&amp;"."&amp;raw[[#This Row],[wage_eq]]&amp;"."&amp;raw[[#This Row],[flex]]&amp;"."&amp;raw[[#This Row],[expo]]</f>
        <v>2008.0.1.0.1</v>
      </c>
    </row>
    <row r="929" spans="1:1">
      <c r="A929" t="str">
        <f t="array" ref="A929">+YEAR(raw[[#This Row],[_date_]])&amp;"."&amp;raw[[#This Row],[redis_ls]]&amp;"."&amp;raw[[#This Row],[wage_eq]]&amp;"."&amp;raw[[#This Row],[flex]]&amp;"."&amp;raw[[#This Row],[expo]]</f>
        <v>2009.0.1.0.1</v>
      </c>
    </row>
    <row r="930" spans="1:1">
      <c r="A930" t="str">
        <f t="array" ref="A930">+YEAR(raw[[#This Row],[_date_]])&amp;"."&amp;raw[[#This Row],[redis_ls]]&amp;"."&amp;raw[[#This Row],[wage_eq]]&amp;"."&amp;raw[[#This Row],[flex]]&amp;"."&amp;raw[[#This Row],[expo]]</f>
        <v>2010.0.1.0.1</v>
      </c>
    </row>
    <row r="931" spans="1:1">
      <c r="A931" t="str">
        <f t="array" ref="A931">+YEAR(raw[[#This Row],[_date_]])&amp;"."&amp;raw[[#This Row],[redis_ls]]&amp;"."&amp;raw[[#This Row],[wage_eq]]&amp;"."&amp;raw[[#This Row],[flex]]&amp;"."&amp;raw[[#This Row],[expo]]</f>
        <v>2011.0.1.0.1</v>
      </c>
    </row>
    <row r="932" spans="1:1">
      <c r="A932" t="str">
        <f t="array" ref="A932">+YEAR(raw[[#This Row],[_date_]])&amp;"."&amp;raw[[#This Row],[redis_ls]]&amp;"."&amp;raw[[#This Row],[wage_eq]]&amp;"."&amp;raw[[#This Row],[flex]]&amp;"."&amp;raw[[#This Row],[expo]]</f>
        <v>2012.0.1.0.1</v>
      </c>
    </row>
    <row r="933" spans="1:1">
      <c r="A933" t="str">
        <f t="array" ref="A933">+YEAR(raw[[#This Row],[_date_]])&amp;"."&amp;raw[[#This Row],[redis_ls]]&amp;"."&amp;raw[[#This Row],[wage_eq]]&amp;"."&amp;raw[[#This Row],[flex]]&amp;"."&amp;raw[[#This Row],[expo]]</f>
        <v>2013.0.1.0.1</v>
      </c>
    </row>
    <row r="934" spans="1:1">
      <c r="A934" t="str">
        <f t="array" ref="A934">+YEAR(raw[[#This Row],[_date_]])&amp;"."&amp;raw[[#This Row],[redis_ls]]&amp;"."&amp;raw[[#This Row],[wage_eq]]&amp;"."&amp;raw[[#This Row],[flex]]&amp;"."&amp;raw[[#This Row],[expo]]</f>
        <v>2014.0.1.0.1</v>
      </c>
    </row>
    <row r="935" spans="1:1">
      <c r="A935" t="str">
        <f t="array" ref="A935">+YEAR(raw[[#This Row],[_date_]])&amp;"."&amp;raw[[#This Row],[redis_ls]]&amp;"."&amp;raw[[#This Row],[wage_eq]]&amp;"."&amp;raw[[#This Row],[flex]]&amp;"."&amp;raw[[#This Row],[expo]]</f>
        <v>2015.0.1.0.1</v>
      </c>
    </row>
    <row r="936" spans="1:1">
      <c r="A936" t="str">
        <f t="array" ref="A936">+YEAR(raw[[#This Row],[_date_]])&amp;"."&amp;raw[[#This Row],[redis_ls]]&amp;"."&amp;raw[[#This Row],[wage_eq]]&amp;"."&amp;raw[[#This Row],[flex]]&amp;"."&amp;raw[[#This Row],[expo]]</f>
        <v>2016.0.1.0.1</v>
      </c>
    </row>
    <row r="937" spans="1:1">
      <c r="A937" t="str">
        <f t="array" ref="A937">+YEAR(raw[[#This Row],[_date_]])&amp;"."&amp;raw[[#This Row],[redis_ls]]&amp;"."&amp;raw[[#This Row],[wage_eq]]&amp;"."&amp;raw[[#This Row],[flex]]&amp;"."&amp;raw[[#This Row],[expo]]</f>
        <v>2017.0.1.0.1</v>
      </c>
    </row>
    <row r="938" spans="1:1">
      <c r="A938" t="str">
        <f t="array" ref="A938">+YEAR(raw[[#This Row],[_date_]])&amp;"."&amp;raw[[#This Row],[redis_ls]]&amp;"."&amp;raw[[#This Row],[wage_eq]]&amp;"."&amp;raw[[#This Row],[flex]]&amp;"."&amp;raw[[#This Row],[expo]]</f>
        <v>2018.0.1.0.1</v>
      </c>
    </row>
    <row r="939" spans="1:1">
      <c r="A939" t="str">
        <f t="array" ref="A939">+YEAR(raw[[#This Row],[_date_]])&amp;"."&amp;raw[[#This Row],[redis_ls]]&amp;"."&amp;raw[[#This Row],[wage_eq]]&amp;"."&amp;raw[[#This Row],[flex]]&amp;"."&amp;raw[[#This Row],[expo]]</f>
        <v>2019.0.1.0.1</v>
      </c>
    </row>
    <row r="940" spans="1:1">
      <c r="A940" t="str">
        <f t="array" ref="A940">+YEAR(raw[[#This Row],[_date_]])&amp;"."&amp;raw[[#This Row],[redis_ls]]&amp;"."&amp;raw[[#This Row],[wage_eq]]&amp;"."&amp;raw[[#This Row],[flex]]&amp;"."&amp;raw[[#This Row],[expo]]</f>
        <v>2020.0.1.0.1</v>
      </c>
    </row>
    <row r="941" spans="1:1">
      <c r="A941" t="str">
        <f t="array" ref="A941">+YEAR(raw[[#This Row],[_date_]])&amp;"."&amp;raw[[#This Row],[redis_ls]]&amp;"."&amp;raw[[#This Row],[wage_eq]]&amp;"."&amp;raw[[#This Row],[flex]]&amp;"."&amp;raw[[#This Row],[expo]]</f>
        <v>2021.0.1.0.1</v>
      </c>
    </row>
    <row r="942" spans="1:1">
      <c r="A942" t="str">
        <f t="array" ref="A942">+YEAR(raw[[#This Row],[_date_]])&amp;"."&amp;raw[[#This Row],[redis_ls]]&amp;"."&amp;raw[[#This Row],[wage_eq]]&amp;"."&amp;raw[[#This Row],[flex]]&amp;"."&amp;raw[[#This Row],[expo]]</f>
        <v>2022.0.1.0.1</v>
      </c>
    </row>
    <row r="943" spans="1:1">
      <c r="A943" t="str">
        <f t="array" ref="A943">+YEAR(raw[[#This Row],[_date_]])&amp;"."&amp;raw[[#This Row],[redis_ls]]&amp;"."&amp;raw[[#This Row],[wage_eq]]&amp;"."&amp;raw[[#This Row],[flex]]&amp;"."&amp;raw[[#This Row],[expo]]</f>
        <v>2023.0.1.0.1</v>
      </c>
    </row>
    <row r="944" spans="1:1">
      <c r="A944" t="str">
        <f t="array" ref="A944">+YEAR(raw[[#This Row],[_date_]])&amp;"."&amp;raw[[#This Row],[redis_ls]]&amp;"."&amp;raw[[#This Row],[wage_eq]]&amp;"."&amp;raw[[#This Row],[flex]]&amp;"."&amp;raw[[#This Row],[expo]]</f>
        <v>2024.0.1.0.1</v>
      </c>
    </row>
    <row r="945" spans="1:1">
      <c r="A945" t="str">
        <f t="array" ref="A945">+YEAR(raw[[#This Row],[_date_]])&amp;"."&amp;raw[[#This Row],[redis_ls]]&amp;"."&amp;raw[[#This Row],[wage_eq]]&amp;"."&amp;raw[[#This Row],[flex]]&amp;"."&amp;raw[[#This Row],[expo]]</f>
        <v>2025.0.1.0.1</v>
      </c>
    </row>
    <row r="946" spans="1:1">
      <c r="A946" t="str">
        <f t="array" ref="A946">+YEAR(raw[[#This Row],[_date_]])&amp;"."&amp;raw[[#This Row],[redis_ls]]&amp;"."&amp;raw[[#This Row],[wage_eq]]&amp;"."&amp;raw[[#This Row],[flex]]&amp;"."&amp;raw[[#This Row],[expo]]</f>
        <v>2026.0.1.0.1</v>
      </c>
    </row>
    <row r="947" spans="1:1">
      <c r="A947" t="str">
        <f t="array" ref="A947">+YEAR(raw[[#This Row],[_date_]])&amp;"."&amp;raw[[#This Row],[redis_ls]]&amp;"."&amp;raw[[#This Row],[wage_eq]]&amp;"."&amp;raw[[#This Row],[flex]]&amp;"."&amp;raw[[#This Row],[expo]]</f>
        <v>2027.0.1.0.1</v>
      </c>
    </row>
    <row r="948" spans="1:1">
      <c r="A948" t="str">
        <f t="array" ref="A948">+YEAR(raw[[#This Row],[_date_]])&amp;"."&amp;raw[[#This Row],[redis_ls]]&amp;"."&amp;raw[[#This Row],[wage_eq]]&amp;"."&amp;raw[[#This Row],[flex]]&amp;"."&amp;raw[[#This Row],[expo]]</f>
        <v>2028.0.1.0.1</v>
      </c>
    </row>
    <row r="949" spans="1:1">
      <c r="A949" t="str">
        <f t="array" ref="A949">+YEAR(raw[[#This Row],[_date_]])&amp;"."&amp;raw[[#This Row],[redis_ls]]&amp;"."&amp;raw[[#This Row],[wage_eq]]&amp;"."&amp;raw[[#This Row],[flex]]&amp;"."&amp;raw[[#This Row],[expo]]</f>
        <v>2029.0.1.0.1</v>
      </c>
    </row>
    <row r="950" spans="1:1">
      <c r="A950" t="str">
        <f t="array" ref="A950">+YEAR(raw[[#This Row],[_date_]])&amp;"."&amp;raw[[#This Row],[redis_ls]]&amp;"."&amp;raw[[#This Row],[wage_eq]]&amp;"."&amp;raw[[#This Row],[flex]]&amp;"."&amp;raw[[#This Row],[expo]]</f>
        <v>2030.0.1.0.1</v>
      </c>
    </row>
    <row r="951" spans="1:1">
      <c r="A951" t="str">
        <f t="array" ref="A951">+YEAR(raw[[#This Row],[_date_]])&amp;"."&amp;raw[[#This Row],[redis_ls]]&amp;"."&amp;raw[[#This Row],[wage_eq]]&amp;"."&amp;raw[[#This Row],[flex]]&amp;"."&amp;raw[[#This Row],[expo]]</f>
        <v>2031.0.1.0.1</v>
      </c>
    </row>
    <row r="952" spans="1:1">
      <c r="A952" t="str">
        <f t="array" ref="A952">+YEAR(raw[[#This Row],[_date_]])&amp;"."&amp;raw[[#This Row],[redis_ls]]&amp;"."&amp;raw[[#This Row],[wage_eq]]&amp;"."&amp;raw[[#This Row],[flex]]&amp;"."&amp;raw[[#This Row],[expo]]</f>
        <v>2032.0.1.0.1</v>
      </c>
    </row>
    <row r="953" spans="1:1">
      <c r="A953" t="str">
        <f t="array" ref="A953">+YEAR(raw[[#This Row],[_date_]])&amp;"."&amp;raw[[#This Row],[redis_ls]]&amp;"."&amp;raw[[#This Row],[wage_eq]]&amp;"."&amp;raw[[#This Row],[flex]]&amp;"."&amp;raw[[#This Row],[expo]]</f>
        <v>2033.0.1.0.1</v>
      </c>
    </row>
    <row r="954" spans="1:1">
      <c r="A954" t="str">
        <f t="array" ref="A954">+YEAR(raw[[#This Row],[_date_]])&amp;"."&amp;raw[[#This Row],[redis_ls]]&amp;"."&amp;raw[[#This Row],[wage_eq]]&amp;"."&amp;raw[[#This Row],[flex]]&amp;"."&amp;raw[[#This Row],[expo]]</f>
        <v>2034.0.1.0.1</v>
      </c>
    </row>
    <row r="955" spans="1:1">
      <c r="A955" t="str">
        <f t="array" ref="A955">+YEAR(raw[[#This Row],[_date_]])&amp;"."&amp;raw[[#This Row],[redis_ls]]&amp;"."&amp;raw[[#This Row],[wage_eq]]&amp;"."&amp;raw[[#This Row],[flex]]&amp;"."&amp;raw[[#This Row],[expo]]</f>
        <v>2035.0.1.0.1</v>
      </c>
    </row>
    <row r="956" spans="1:1">
      <c r="A956" t="str">
        <f t="array" ref="A956">+YEAR(raw[[#This Row],[_date_]])&amp;"."&amp;raw[[#This Row],[redis_ls]]&amp;"."&amp;raw[[#This Row],[wage_eq]]&amp;"."&amp;raw[[#This Row],[flex]]&amp;"."&amp;raw[[#This Row],[expo]]</f>
        <v>2036.0.1.0.1</v>
      </c>
    </row>
    <row r="957" spans="1:1">
      <c r="A957" t="str">
        <f t="array" ref="A957">+YEAR(raw[[#This Row],[_date_]])&amp;"."&amp;raw[[#This Row],[redis_ls]]&amp;"."&amp;raw[[#This Row],[wage_eq]]&amp;"."&amp;raw[[#This Row],[flex]]&amp;"."&amp;raw[[#This Row],[expo]]</f>
        <v>2037.0.1.0.1</v>
      </c>
    </row>
    <row r="958" spans="1:1">
      <c r="A958" t="str">
        <f t="array" ref="A958">+YEAR(raw[[#This Row],[_date_]])&amp;"."&amp;raw[[#This Row],[redis_ls]]&amp;"."&amp;raw[[#This Row],[wage_eq]]&amp;"."&amp;raw[[#This Row],[flex]]&amp;"."&amp;raw[[#This Row],[expo]]</f>
        <v>2038.0.1.0.1</v>
      </c>
    </row>
    <row r="959" spans="1:1">
      <c r="A959" t="str">
        <f t="array" ref="A959">+YEAR(raw[[#This Row],[_date_]])&amp;"."&amp;raw[[#This Row],[redis_ls]]&amp;"."&amp;raw[[#This Row],[wage_eq]]&amp;"."&amp;raw[[#This Row],[flex]]&amp;"."&amp;raw[[#This Row],[expo]]</f>
        <v>2039.0.1.0.1</v>
      </c>
    </row>
    <row r="960" spans="1:1">
      <c r="A960" t="str">
        <f t="array" ref="A960">+YEAR(raw[[#This Row],[_date_]])&amp;"."&amp;raw[[#This Row],[redis_ls]]&amp;"."&amp;raw[[#This Row],[wage_eq]]&amp;"."&amp;raw[[#This Row],[flex]]&amp;"."&amp;raw[[#This Row],[expo]]</f>
        <v>2040.0.1.0.1</v>
      </c>
    </row>
    <row r="961" spans="1:1">
      <c r="A961" t="str">
        <f t="array" ref="A961">+YEAR(raw[[#This Row],[_date_]])&amp;"."&amp;raw[[#This Row],[redis_ls]]&amp;"."&amp;raw[[#This Row],[wage_eq]]&amp;"."&amp;raw[[#This Row],[flex]]&amp;"."&amp;raw[[#This Row],[expo]]</f>
        <v>2041.0.1.0.1</v>
      </c>
    </row>
    <row r="962" spans="1:1">
      <c r="A962" t="str">
        <f t="array" ref="A962">+YEAR(raw[[#This Row],[_date_]])&amp;"."&amp;raw[[#This Row],[redis_ls]]&amp;"."&amp;raw[[#This Row],[wage_eq]]&amp;"."&amp;raw[[#This Row],[flex]]&amp;"."&amp;raw[[#This Row],[expo]]</f>
        <v>2042.0.1.0.1</v>
      </c>
    </row>
    <row r="963" spans="1:1">
      <c r="A963" t="str">
        <f t="array" ref="A963">+YEAR(raw[[#This Row],[_date_]])&amp;"."&amp;raw[[#This Row],[redis_ls]]&amp;"."&amp;raw[[#This Row],[wage_eq]]&amp;"."&amp;raw[[#This Row],[flex]]&amp;"."&amp;raw[[#This Row],[expo]]</f>
        <v>2043.0.1.0.1</v>
      </c>
    </row>
    <row r="964" spans="1:1">
      <c r="A964" t="str">
        <f t="array" ref="A964">+YEAR(raw[[#This Row],[_date_]])&amp;"."&amp;raw[[#This Row],[redis_ls]]&amp;"."&amp;raw[[#This Row],[wage_eq]]&amp;"."&amp;raw[[#This Row],[flex]]&amp;"."&amp;raw[[#This Row],[expo]]</f>
        <v>2044.0.1.0.1</v>
      </c>
    </row>
    <row r="965" spans="1:1">
      <c r="A965" t="str">
        <f t="array" ref="A965">+YEAR(raw[[#This Row],[_date_]])&amp;"."&amp;raw[[#This Row],[redis_ls]]&amp;"."&amp;raw[[#This Row],[wage_eq]]&amp;"."&amp;raw[[#This Row],[flex]]&amp;"."&amp;raw[[#This Row],[expo]]</f>
        <v>2045.0.1.0.1</v>
      </c>
    </row>
    <row r="966" spans="1:1">
      <c r="A966" t="str">
        <f t="array" ref="A966">+YEAR(raw[[#This Row],[_date_]])&amp;"."&amp;raw[[#This Row],[redis_ls]]&amp;"."&amp;raw[[#This Row],[wage_eq]]&amp;"."&amp;raw[[#This Row],[flex]]&amp;"."&amp;raw[[#This Row],[expo]]</f>
        <v>2046.0.1.0.1</v>
      </c>
    </row>
    <row r="967" spans="1:1">
      <c r="A967" t="str">
        <f t="array" ref="A967">+YEAR(raw[[#This Row],[_date_]])&amp;"."&amp;raw[[#This Row],[redis_ls]]&amp;"."&amp;raw[[#This Row],[wage_eq]]&amp;"."&amp;raw[[#This Row],[flex]]&amp;"."&amp;raw[[#This Row],[expo]]</f>
        <v>2047.0.1.0.1</v>
      </c>
    </row>
    <row r="968" spans="1:1">
      <c r="A968" t="str">
        <f t="array" ref="A968">+YEAR(raw[[#This Row],[_date_]])&amp;"."&amp;raw[[#This Row],[redis_ls]]&amp;"."&amp;raw[[#This Row],[wage_eq]]&amp;"."&amp;raw[[#This Row],[flex]]&amp;"."&amp;raw[[#This Row],[expo]]</f>
        <v>2048.0.1.0.1</v>
      </c>
    </row>
    <row r="969" spans="1:1">
      <c r="A969" t="str">
        <f t="array" ref="A969">+YEAR(raw[[#This Row],[_date_]])&amp;"."&amp;raw[[#This Row],[redis_ls]]&amp;"."&amp;raw[[#This Row],[wage_eq]]&amp;"."&amp;raw[[#This Row],[flex]]&amp;"."&amp;raw[[#This Row],[expo]]</f>
        <v>2049.0.1.0.1</v>
      </c>
    </row>
    <row r="970" spans="1:1">
      <c r="A970" t="str">
        <f t="array" ref="A970">+YEAR(raw[[#This Row],[_date_]])&amp;"."&amp;raw[[#This Row],[redis_ls]]&amp;"."&amp;raw[[#This Row],[wage_eq]]&amp;"."&amp;raw[[#This Row],[flex]]&amp;"."&amp;raw[[#This Row],[expo]]</f>
        <v>2050.0.1.0.1</v>
      </c>
    </row>
    <row r="971" spans="1:1">
      <c r="A971" t="str">
        <f t="array" ref="A971">+YEAR(raw[[#This Row],[_date_]])&amp;"."&amp;raw[[#This Row],[redis_ls]]&amp;"."&amp;raw[[#This Row],[wage_eq]]&amp;"."&amp;raw[[#This Row],[flex]]&amp;"."&amp;raw[[#This Row],[expo]]</f>
        <v>2000.0.1.0.0</v>
      </c>
    </row>
    <row r="972" spans="1:1">
      <c r="A972" t="str">
        <f t="array" ref="A972">+YEAR(raw[[#This Row],[_date_]])&amp;"."&amp;raw[[#This Row],[redis_ls]]&amp;"."&amp;raw[[#This Row],[wage_eq]]&amp;"."&amp;raw[[#This Row],[flex]]&amp;"."&amp;raw[[#This Row],[expo]]</f>
        <v>2001.0.1.0.0</v>
      </c>
    </row>
    <row r="973" spans="1:1">
      <c r="A973" t="str">
        <f t="array" ref="A973">+YEAR(raw[[#This Row],[_date_]])&amp;"."&amp;raw[[#This Row],[redis_ls]]&amp;"."&amp;raw[[#This Row],[wage_eq]]&amp;"."&amp;raw[[#This Row],[flex]]&amp;"."&amp;raw[[#This Row],[expo]]</f>
        <v>2002.0.1.0.0</v>
      </c>
    </row>
    <row r="974" spans="1:1">
      <c r="A974" t="str">
        <f t="array" ref="A974">+YEAR(raw[[#This Row],[_date_]])&amp;"."&amp;raw[[#This Row],[redis_ls]]&amp;"."&amp;raw[[#This Row],[wage_eq]]&amp;"."&amp;raw[[#This Row],[flex]]&amp;"."&amp;raw[[#This Row],[expo]]</f>
        <v>2003.0.1.0.0</v>
      </c>
    </row>
    <row r="975" spans="1:1">
      <c r="A975" t="str">
        <f t="array" ref="A975">+YEAR(raw[[#This Row],[_date_]])&amp;"."&amp;raw[[#This Row],[redis_ls]]&amp;"."&amp;raw[[#This Row],[wage_eq]]&amp;"."&amp;raw[[#This Row],[flex]]&amp;"."&amp;raw[[#This Row],[expo]]</f>
        <v>2004.0.1.0.0</v>
      </c>
    </row>
    <row r="976" spans="1:1">
      <c r="A976" t="str">
        <f t="array" ref="A976">+YEAR(raw[[#This Row],[_date_]])&amp;"."&amp;raw[[#This Row],[redis_ls]]&amp;"."&amp;raw[[#This Row],[wage_eq]]&amp;"."&amp;raw[[#This Row],[flex]]&amp;"."&amp;raw[[#This Row],[expo]]</f>
        <v>2005.0.1.0.0</v>
      </c>
    </row>
    <row r="977" spans="1:1">
      <c r="A977" t="str">
        <f t="array" ref="A977">+YEAR(raw[[#This Row],[_date_]])&amp;"."&amp;raw[[#This Row],[redis_ls]]&amp;"."&amp;raw[[#This Row],[wage_eq]]&amp;"."&amp;raw[[#This Row],[flex]]&amp;"."&amp;raw[[#This Row],[expo]]</f>
        <v>2006.0.1.0.0</v>
      </c>
    </row>
    <row r="978" spans="1:1">
      <c r="A978" t="str">
        <f t="array" ref="A978">+YEAR(raw[[#This Row],[_date_]])&amp;"."&amp;raw[[#This Row],[redis_ls]]&amp;"."&amp;raw[[#This Row],[wage_eq]]&amp;"."&amp;raw[[#This Row],[flex]]&amp;"."&amp;raw[[#This Row],[expo]]</f>
        <v>2007.0.1.0.0</v>
      </c>
    </row>
    <row r="979" spans="1:1">
      <c r="A979" t="str">
        <f t="array" ref="A979">+YEAR(raw[[#This Row],[_date_]])&amp;"."&amp;raw[[#This Row],[redis_ls]]&amp;"."&amp;raw[[#This Row],[wage_eq]]&amp;"."&amp;raw[[#This Row],[flex]]&amp;"."&amp;raw[[#This Row],[expo]]</f>
        <v>2008.0.1.0.0</v>
      </c>
    </row>
    <row r="980" spans="1:1">
      <c r="A980" t="str">
        <f t="array" ref="A980">+YEAR(raw[[#This Row],[_date_]])&amp;"."&amp;raw[[#This Row],[redis_ls]]&amp;"."&amp;raw[[#This Row],[wage_eq]]&amp;"."&amp;raw[[#This Row],[flex]]&amp;"."&amp;raw[[#This Row],[expo]]</f>
        <v>2009.0.1.0.0</v>
      </c>
    </row>
    <row r="981" spans="1:1">
      <c r="A981" t="str">
        <f t="array" ref="A981">+YEAR(raw[[#This Row],[_date_]])&amp;"."&amp;raw[[#This Row],[redis_ls]]&amp;"."&amp;raw[[#This Row],[wage_eq]]&amp;"."&amp;raw[[#This Row],[flex]]&amp;"."&amp;raw[[#This Row],[expo]]</f>
        <v>2010.0.1.0.0</v>
      </c>
    </row>
    <row r="982" spans="1:1">
      <c r="A982" t="str">
        <f t="array" ref="A982">+YEAR(raw[[#This Row],[_date_]])&amp;"."&amp;raw[[#This Row],[redis_ls]]&amp;"."&amp;raw[[#This Row],[wage_eq]]&amp;"."&amp;raw[[#This Row],[flex]]&amp;"."&amp;raw[[#This Row],[expo]]</f>
        <v>2011.0.1.0.0</v>
      </c>
    </row>
    <row r="983" spans="1:1">
      <c r="A983" t="str">
        <f t="array" ref="A983">+YEAR(raw[[#This Row],[_date_]])&amp;"."&amp;raw[[#This Row],[redis_ls]]&amp;"."&amp;raw[[#This Row],[wage_eq]]&amp;"."&amp;raw[[#This Row],[flex]]&amp;"."&amp;raw[[#This Row],[expo]]</f>
        <v>2012.0.1.0.0</v>
      </c>
    </row>
    <row r="984" spans="1:1">
      <c r="A984" t="str">
        <f t="array" ref="A984">+YEAR(raw[[#This Row],[_date_]])&amp;"."&amp;raw[[#This Row],[redis_ls]]&amp;"."&amp;raw[[#This Row],[wage_eq]]&amp;"."&amp;raw[[#This Row],[flex]]&amp;"."&amp;raw[[#This Row],[expo]]</f>
        <v>2013.0.1.0.0</v>
      </c>
    </row>
    <row r="985" spans="1:1">
      <c r="A985" t="str">
        <f t="array" ref="A985">+YEAR(raw[[#This Row],[_date_]])&amp;"."&amp;raw[[#This Row],[redis_ls]]&amp;"."&amp;raw[[#This Row],[wage_eq]]&amp;"."&amp;raw[[#This Row],[flex]]&amp;"."&amp;raw[[#This Row],[expo]]</f>
        <v>2014.0.1.0.0</v>
      </c>
    </row>
    <row r="986" spans="1:1">
      <c r="A986" t="str">
        <f t="array" ref="A986">+YEAR(raw[[#This Row],[_date_]])&amp;"."&amp;raw[[#This Row],[redis_ls]]&amp;"."&amp;raw[[#This Row],[wage_eq]]&amp;"."&amp;raw[[#This Row],[flex]]&amp;"."&amp;raw[[#This Row],[expo]]</f>
        <v>2015.0.1.0.0</v>
      </c>
    </row>
    <row r="987" spans="1:1">
      <c r="A987" t="str">
        <f t="array" ref="A987">+YEAR(raw[[#This Row],[_date_]])&amp;"."&amp;raw[[#This Row],[redis_ls]]&amp;"."&amp;raw[[#This Row],[wage_eq]]&amp;"."&amp;raw[[#This Row],[flex]]&amp;"."&amp;raw[[#This Row],[expo]]</f>
        <v>2016.0.1.0.0</v>
      </c>
    </row>
    <row r="988" spans="1:1">
      <c r="A988" t="str">
        <f t="array" ref="A988">+YEAR(raw[[#This Row],[_date_]])&amp;"."&amp;raw[[#This Row],[redis_ls]]&amp;"."&amp;raw[[#This Row],[wage_eq]]&amp;"."&amp;raw[[#This Row],[flex]]&amp;"."&amp;raw[[#This Row],[expo]]</f>
        <v>2017.0.1.0.0</v>
      </c>
    </row>
    <row r="989" spans="1:1">
      <c r="A989" t="str">
        <f t="array" ref="A989">+YEAR(raw[[#This Row],[_date_]])&amp;"."&amp;raw[[#This Row],[redis_ls]]&amp;"."&amp;raw[[#This Row],[wage_eq]]&amp;"."&amp;raw[[#This Row],[flex]]&amp;"."&amp;raw[[#This Row],[expo]]</f>
        <v>2018.0.1.0.0</v>
      </c>
    </row>
    <row r="990" spans="1:1">
      <c r="A990" t="str">
        <f t="array" ref="A990">+YEAR(raw[[#This Row],[_date_]])&amp;"."&amp;raw[[#This Row],[redis_ls]]&amp;"."&amp;raw[[#This Row],[wage_eq]]&amp;"."&amp;raw[[#This Row],[flex]]&amp;"."&amp;raw[[#This Row],[expo]]</f>
        <v>2019.0.1.0.0</v>
      </c>
    </row>
    <row r="991" spans="1:1">
      <c r="A991" t="str">
        <f t="array" ref="A991">+YEAR(raw[[#This Row],[_date_]])&amp;"."&amp;raw[[#This Row],[redis_ls]]&amp;"."&amp;raw[[#This Row],[wage_eq]]&amp;"."&amp;raw[[#This Row],[flex]]&amp;"."&amp;raw[[#This Row],[expo]]</f>
        <v>2020.0.1.0.0</v>
      </c>
    </row>
    <row r="992" spans="1:1">
      <c r="A992" t="str">
        <f t="array" ref="A992">+YEAR(raw[[#This Row],[_date_]])&amp;"."&amp;raw[[#This Row],[redis_ls]]&amp;"."&amp;raw[[#This Row],[wage_eq]]&amp;"."&amp;raw[[#This Row],[flex]]&amp;"."&amp;raw[[#This Row],[expo]]</f>
        <v>2021.0.1.0.0</v>
      </c>
    </row>
    <row r="993" spans="1:1">
      <c r="A993" t="str">
        <f t="array" ref="A993">+YEAR(raw[[#This Row],[_date_]])&amp;"."&amp;raw[[#This Row],[redis_ls]]&amp;"."&amp;raw[[#This Row],[wage_eq]]&amp;"."&amp;raw[[#This Row],[flex]]&amp;"."&amp;raw[[#This Row],[expo]]</f>
        <v>2022.0.1.0.0</v>
      </c>
    </row>
    <row r="994" spans="1:1">
      <c r="A994" t="str">
        <f t="array" ref="A994">+YEAR(raw[[#This Row],[_date_]])&amp;"."&amp;raw[[#This Row],[redis_ls]]&amp;"."&amp;raw[[#This Row],[wage_eq]]&amp;"."&amp;raw[[#This Row],[flex]]&amp;"."&amp;raw[[#This Row],[expo]]</f>
        <v>2023.0.1.0.0</v>
      </c>
    </row>
    <row r="995" spans="1:1">
      <c r="A995" t="str">
        <f t="array" ref="A995">+YEAR(raw[[#This Row],[_date_]])&amp;"."&amp;raw[[#This Row],[redis_ls]]&amp;"."&amp;raw[[#This Row],[wage_eq]]&amp;"."&amp;raw[[#This Row],[flex]]&amp;"."&amp;raw[[#This Row],[expo]]</f>
        <v>2024.0.1.0.0</v>
      </c>
    </row>
    <row r="996" spans="1:1">
      <c r="A996" t="str">
        <f t="array" ref="A996">+YEAR(raw[[#This Row],[_date_]])&amp;"."&amp;raw[[#This Row],[redis_ls]]&amp;"."&amp;raw[[#This Row],[wage_eq]]&amp;"."&amp;raw[[#This Row],[flex]]&amp;"."&amp;raw[[#This Row],[expo]]</f>
        <v>2025.0.1.0.0</v>
      </c>
    </row>
    <row r="997" spans="1:1">
      <c r="A997" t="str">
        <f t="array" ref="A997">+YEAR(raw[[#This Row],[_date_]])&amp;"."&amp;raw[[#This Row],[redis_ls]]&amp;"."&amp;raw[[#This Row],[wage_eq]]&amp;"."&amp;raw[[#This Row],[flex]]&amp;"."&amp;raw[[#This Row],[expo]]</f>
        <v>2026.0.1.0.0</v>
      </c>
    </row>
    <row r="998" spans="1:1">
      <c r="A998" t="str">
        <f t="array" ref="A998">+YEAR(raw[[#This Row],[_date_]])&amp;"."&amp;raw[[#This Row],[redis_ls]]&amp;"."&amp;raw[[#This Row],[wage_eq]]&amp;"."&amp;raw[[#This Row],[flex]]&amp;"."&amp;raw[[#This Row],[expo]]</f>
        <v>2027.0.1.0.0</v>
      </c>
    </row>
    <row r="999" spans="1:1">
      <c r="A999" t="str">
        <f t="array" ref="A999">+YEAR(raw[[#This Row],[_date_]])&amp;"."&amp;raw[[#This Row],[redis_ls]]&amp;"."&amp;raw[[#This Row],[wage_eq]]&amp;"."&amp;raw[[#This Row],[flex]]&amp;"."&amp;raw[[#This Row],[expo]]</f>
        <v>2028.0.1.0.0</v>
      </c>
    </row>
    <row r="1000" spans="1:1">
      <c r="A1000" t="str">
        <f t="array" ref="A1000">+YEAR(raw[[#This Row],[_date_]])&amp;"."&amp;raw[[#This Row],[redis_ls]]&amp;"."&amp;raw[[#This Row],[wage_eq]]&amp;"."&amp;raw[[#This Row],[flex]]&amp;"."&amp;raw[[#This Row],[expo]]</f>
        <v>2029.0.1.0.0</v>
      </c>
    </row>
    <row r="1001" spans="1:1">
      <c r="A1001" t="str">
        <f t="array" ref="A1001">+YEAR(raw[[#This Row],[_date_]])&amp;"."&amp;raw[[#This Row],[redis_ls]]&amp;"."&amp;raw[[#This Row],[wage_eq]]&amp;"."&amp;raw[[#This Row],[flex]]&amp;"."&amp;raw[[#This Row],[expo]]</f>
        <v>2030.0.1.0.0</v>
      </c>
    </row>
    <row r="1002" spans="1:1">
      <c r="A1002" t="str">
        <f t="array" ref="A1002">+YEAR(raw[[#This Row],[_date_]])&amp;"."&amp;raw[[#This Row],[redis_ls]]&amp;"."&amp;raw[[#This Row],[wage_eq]]&amp;"."&amp;raw[[#This Row],[flex]]&amp;"."&amp;raw[[#This Row],[expo]]</f>
        <v>2031.0.1.0.0</v>
      </c>
    </row>
    <row r="1003" spans="1:1">
      <c r="A1003" t="str">
        <f t="array" ref="A1003">+YEAR(raw[[#This Row],[_date_]])&amp;"."&amp;raw[[#This Row],[redis_ls]]&amp;"."&amp;raw[[#This Row],[wage_eq]]&amp;"."&amp;raw[[#This Row],[flex]]&amp;"."&amp;raw[[#This Row],[expo]]</f>
        <v>2032.0.1.0.0</v>
      </c>
    </row>
    <row r="1004" spans="1:1">
      <c r="A1004" t="str">
        <f t="array" ref="A1004">+YEAR(raw[[#This Row],[_date_]])&amp;"."&amp;raw[[#This Row],[redis_ls]]&amp;"."&amp;raw[[#This Row],[wage_eq]]&amp;"."&amp;raw[[#This Row],[flex]]&amp;"."&amp;raw[[#This Row],[expo]]</f>
        <v>2033.0.1.0.0</v>
      </c>
    </row>
    <row r="1005" spans="1:1">
      <c r="A1005" t="str">
        <f t="array" ref="A1005">+YEAR(raw[[#This Row],[_date_]])&amp;"."&amp;raw[[#This Row],[redis_ls]]&amp;"."&amp;raw[[#This Row],[wage_eq]]&amp;"."&amp;raw[[#This Row],[flex]]&amp;"."&amp;raw[[#This Row],[expo]]</f>
        <v>2034.0.1.0.0</v>
      </c>
    </row>
    <row r="1006" spans="1:1">
      <c r="A1006" t="str">
        <f t="array" ref="A1006">+YEAR(raw[[#This Row],[_date_]])&amp;"."&amp;raw[[#This Row],[redis_ls]]&amp;"."&amp;raw[[#This Row],[wage_eq]]&amp;"."&amp;raw[[#This Row],[flex]]&amp;"."&amp;raw[[#This Row],[expo]]</f>
        <v>2035.0.1.0.0</v>
      </c>
    </row>
    <row r="1007" spans="1:1">
      <c r="A1007" t="str">
        <f t="array" ref="A1007">+YEAR(raw[[#This Row],[_date_]])&amp;"."&amp;raw[[#This Row],[redis_ls]]&amp;"."&amp;raw[[#This Row],[wage_eq]]&amp;"."&amp;raw[[#This Row],[flex]]&amp;"."&amp;raw[[#This Row],[expo]]</f>
        <v>2036.0.1.0.0</v>
      </c>
    </row>
    <row r="1008" spans="1:1">
      <c r="A1008" t="str">
        <f t="array" ref="A1008">+YEAR(raw[[#This Row],[_date_]])&amp;"."&amp;raw[[#This Row],[redis_ls]]&amp;"."&amp;raw[[#This Row],[wage_eq]]&amp;"."&amp;raw[[#This Row],[flex]]&amp;"."&amp;raw[[#This Row],[expo]]</f>
        <v>2037.0.1.0.0</v>
      </c>
    </row>
    <row r="1009" spans="1:1">
      <c r="A1009" t="str">
        <f t="array" ref="A1009">+YEAR(raw[[#This Row],[_date_]])&amp;"."&amp;raw[[#This Row],[redis_ls]]&amp;"."&amp;raw[[#This Row],[wage_eq]]&amp;"."&amp;raw[[#This Row],[flex]]&amp;"."&amp;raw[[#This Row],[expo]]</f>
        <v>2038.0.1.0.0</v>
      </c>
    </row>
    <row r="1010" spans="1:1">
      <c r="A1010" t="str">
        <f t="array" ref="A1010">+YEAR(raw[[#This Row],[_date_]])&amp;"."&amp;raw[[#This Row],[redis_ls]]&amp;"."&amp;raw[[#This Row],[wage_eq]]&amp;"."&amp;raw[[#This Row],[flex]]&amp;"."&amp;raw[[#This Row],[expo]]</f>
        <v>2039.0.1.0.0</v>
      </c>
    </row>
    <row r="1011" spans="1:1">
      <c r="A1011" t="str">
        <f t="array" ref="A1011">+YEAR(raw[[#This Row],[_date_]])&amp;"."&amp;raw[[#This Row],[redis_ls]]&amp;"."&amp;raw[[#This Row],[wage_eq]]&amp;"."&amp;raw[[#This Row],[flex]]&amp;"."&amp;raw[[#This Row],[expo]]</f>
        <v>2040.0.1.0.0</v>
      </c>
    </row>
    <row r="1012" spans="1:1">
      <c r="A1012" t="str">
        <f t="array" ref="A1012">+YEAR(raw[[#This Row],[_date_]])&amp;"."&amp;raw[[#This Row],[redis_ls]]&amp;"."&amp;raw[[#This Row],[wage_eq]]&amp;"."&amp;raw[[#This Row],[flex]]&amp;"."&amp;raw[[#This Row],[expo]]</f>
        <v>2041.0.1.0.0</v>
      </c>
    </row>
    <row r="1013" spans="1:1">
      <c r="A1013" t="str">
        <f t="array" ref="A1013">+YEAR(raw[[#This Row],[_date_]])&amp;"."&amp;raw[[#This Row],[redis_ls]]&amp;"."&amp;raw[[#This Row],[wage_eq]]&amp;"."&amp;raw[[#This Row],[flex]]&amp;"."&amp;raw[[#This Row],[expo]]</f>
        <v>2042.0.1.0.0</v>
      </c>
    </row>
    <row r="1014" spans="1:1">
      <c r="A1014" t="str">
        <f t="array" ref="A1014">+YEAR(raw[[#This Row],[_date_]])&amp;"."&amp;raw[[#This Row],[redis_ls]]&amp;"."&amp;raw[[#This Row],[wage_eq]]&amp;"."&amp;raw[[#This Row],[flex]]&amp;"."&amp;raw[[#This Row],[expo]]</f>
        <v>2043.0.1.0.0</v>
      </c>
    </row>
    <row r="1015" spans="1:1">
      <c r="A1015" t="str">
        <f t="array" ref="A1015">+YEAR(raw[[#This Row],[_date_]])&amp;"."&amp;raw[[#This Row],[redis_ls]]&amp;"."&amp;raw[[#This Row],[wage_eq]]&amp;"."&amp;raw[[#This Row],[flex]]&amp;"."&amp;raw[[#This Row],[expo]]</f>
        <v>2044.0.1.0.0</v>
      </c>
    </row>
    <row r="1016" spans="1:1">
      <c r="A1016" t="str">
        <f t="array" ref="A1016">+YEAR(raw[[#This Row],[_date_]])&amp;"."&amp;raw[[#This Row],[redis_ls]]&amp;"."&amp;raw[[#This Row],[wage_eq]]&amp;"."&amp;raw[[#This Row],[flex]]&amp;"."&amp;raw[[#This Row],[expo]]</f>
        <v>2045.0.1.0.0</v>
      </c>
    </row>
    <row r="1017" spans="1:1">
      <c r="A1017" t="str">
        <f t="array" ref="A1017">+YEAR(raw[[#This Row],[_date_]])&amp;"."&amp;raw[[#This Row],[redis_ls]]&amp;"."&amp;raw[[#This Row],[wage_eq]]&amp;"."&amp;raw[[#This Row],[flex]]&amp;"."&amp;raw[[#This Row],[expo]]</f>
        <v>2046.0.1.0.0</v>
      </c>
    </row>
    <row r="1018" spans="1:1">
      <c r="A1018" t="str">
        <f t="array" ref="A1018">+YEAR(raw[[#This Row],[_date_]])&amp;"."&amp;raw[[#This Row],[redis_ls]]&amp;"."&amp;raw[[#This Row],[wage_eq]]&amp;"."&amp;raw[[#This Row],[flex]]&amp;"."&amp;raw[[#This Row],[expo]]</f>
        <v>2047.0.1.0.0</v>
      </c>
    </row>
    <row r="1019" spans="1:1">
      <c r="A1019" t="str">
        <f t="array" ref="A1019">+YEAR(raw[[#This Row],[_date_]])&amp;"."&amp;raw[[#This Row],[redis_ls]]&amp;"."&amp;raw[[#This Row],[wage_eq]]&amp;"."&amp;raw[[#This Row],[flex]]&amp;"."&amp;raw[[#This Row],[expo]]</f>
        <v>2048.0.1.0.0</v>
      </c>
    </row>
    <row r="1020" spans="1:1">
      <c r="A1020" t="str">
        <f t="array" ref="A1020">+YEAR(raw[[#This Row],[_date_]])&amp;"."&amp;raw[[#This Row],[redis_ls]]&amp;"."&amp;raw[[#This Row],[wage_eq]]&amp;"."&amp;raw[[#This Row],[flex]]&amp;"."&amp;raw[[#This Row],[expo]]</f>
        <v>2049.0.1.0.0</v>
      </c>
    </row>
    <row r="1021" spans="1:1">
      <c r="A1021" t="str">
        <f t="array" ref="A1021">+YEAR(raw[[#This Row],[_date_]])&amp;"."&amp;raw[[#This Row],[redis_ls]]&amp;"."&amp;raw[[#This Row],[wage_eq]]&amp;"."&amp;raw[[#This Row],[flex]]&amp;"."&amp;raw[[#This Row],[expo]]</f>
        <v>2050.0.1.0.0</v>
      </c>
    </row>
    <row r="1022" spans="1:1">
      <c r="A1022" t="str">
        <f t="array" ref="A1022">+YEAR(raw[[#This Row],[_date_]])&amp;"."&amp;raw[[#This Row],[redis_ls]]&amp;"."&amp;raw[[#This Row],[wage_eq]]&amp;"."&amp;raw[[#This Row],[flex]]&amp;"."&amp;raw[[#This Row],[expo]]</f>
        <v>2000.0.0.1.1</v>
      </c>
    </row>
    <row r="1023" spans="1:1">
      <c r="A1023" t="str">
        <f t="array" ref="A1023">+YEAR(raw[[#This Row],[_date_]])&amp;"."&amp;raw[[#This Row],[redis_ls]]&amp;"."&amp;raw[[#This Row],[wage_eq]]&amp;"."&amp;raw[[#This Row],[flex]]&amp;"."&amp;raw[[#This Row],[expo]]</f>
        <v>2001.0.0.1.1</v>
      </c>
    </row>
    <row r="1024" spans="1:1">
      <c r="A1024" t="str">
        <f t="array" ref="A1024">+YEAR(raw[[#This Row],[_date_]])&amp;"."&amp;raw[[#This Row],[redis_ls]]&amp;"."&amp;raw[[#This Row],[wage_eq]]&amp;"."&amp;raw[[#This Row],[flex]]&amp;"."&amp;raw[[#This Row],[expo]]</f>
        <v>2002.0.0.1.1</v>
      </c>
    </row>
    <row r="1025" spans="1:1">
      <c r="A1025" t="str">
        <f t="array" ref="A1025">+YEAR(raw[[#This Row],[_date_]])&amp;"."&amp;raw[[#This Row],[redis_ls]]&amp;"."&amp;raw[[#This Row],[wage_eq]]&amp;"."&amp;raw[[#This Row],[flex]]&amp;"."&amp;raw[[#This Row],[expo]]</f>
        <v>2003.0.0.1.1</v>
      </c>
    </row>
    <row r="1026" spans="1:1">
      <c r="A1026" t="str">
        <f t="array" ref="A1026">+YEAR(raw[[#This Row],[_date_]])&amp;"."&amp;raw[[#This Row],[redis_ls]]&amp;"."&amp;raw[[#This Row],[wage_eq]]&amp;"."&amp;raw[[#This Row],[flex]]&amp;"."&amp;raw[[#This Row],[expo]]</f>
        <v>2004.0.0.1.1</v>
      </c>
    </row>
    <row r="1027" spans="1:1">
      <c r="A1027" t="str">
        <f t="array" ref="A1027">+YEAR(raw[[#This Row],[_date_]])&amp;"."&amp;raw[[#This Row],[redis_ls]]&amp;"."&amp;raw[[#This Row],[wage_eq]]&amp;"."&amp;raw[[#This Row],[flex]]&amp;"."&amp;raw[[#This Row],[expo]]</f>
        <v>2005.0.0.1.1</v>
      </c>
    </row>
    <row r="1028" spans="1:1">
      <c r="A1028" t="str">
        <f t="array" ref="A1028">+YEAR(raw[[#This Row],[_date_]])&amp;"."&amp;raw[[#This Row],[redis_ls]]&amp;"."&amp;raw[[#This Row],[wage_eq]]&amp;"."&amp;raw[[#This Row],[flex]]&amp;"."&amp;raw[[#This Row],[expo]]</f>
        <v>2006.0.0.1.1</v>
      </c>
    </row>
    <row r="1029" spans="1:1">
      <c r="A1029" t="str">
        <f t="array" ref="A1029">+YEAR(raw[[#This Row],[_date_]])&amp;"."&amp;raw[[#This Row],[redis_ls]]&amp;"."&amp;raw[[#This Row],[wage_eq]]&amp;"."&amp;raw[[#This Row],[flex]]&amp;"."&amp;raw[[#This Row],[expo]]</f>
        <v>2007.0.0.1.1</v>
      </c>
    </row>
    <row r="1030" spans="1:1">
      <c r="A1030" t="str">
        <f t="array" ref="A1030">+YEAR(raw[[#This Row],[_date_]])&amp;"."&amp;raw[[#This Row],[redis_ls]]&amp;"."&amp;raw[[#This Row],[wage_eq]]&amp;"."&amp;raw[[#This Row],[flex]]&amp;"."&amp;raw[[#This Row],[expo]]</f>
        <v>2008.0.0.1.1</v>
      </c>
    </row>
    <row r="1031" spans="1:1">
      <c r="A1031" t="str">
        <f t="array" ref="A1031">+YEAR(raw[[#This Row],[_date_]])&amp;"."&amp;raw[[#This Row],[redis_ls]]&amp;"."&amp;raw[[#This Row],[wage_eq]]&amp;"."&amp;raw[[#This Row],[flex]]&amp;"."&amp;raw[[#This Row],[expo]]</f>
        <v>2009.0.0.1.1</v>
      </c>
    </row>
    <row r="1032" spans="1:1">
      <c r="A1032" t="str">
        <f t="array" ref="A1032">+YEAR(raw[[#This Row],[_date_]])&amp;"."&amp;raw[[#This Row],[redis_ls]]&amp;"."&amp;raw[[#This Row],[wage_eq]]&amp;"."&amp;raw[[#This Row],[flex]]&amp;"."&amp;raw[[#This Row],[expo]]</f>
        <v>2010.0.0.1.1</v>
      </c>
    </row>
    <row r="1033" spans="1:1">
      <c r="A1033" t="str">
        <f t="array" ref="A1033">+YEAR(raw[[#This Row],[_date_]])&amp;"."&amp;raw[[#This Row],[redis_ls]]&amp;"."&amp;raw[[#This Row],[wage_eq]]&amp;"."&amp;raw[[#This Row],[flex]]&amp;"."&amp;raw[[#This Row],[expo]]</f>
        <v>2011.0.0.1.1</v>
      </c>
    </row>
    <row r="1034" spans="1:1">
      <c r="A1034" t="str">
        <f t="array" ref="A1034">+YEAR(raw[[#This Row],[_date_]])&amp;"."&amp;raw[[#This Row],[redis_ls]]&amp;"."&amp;raw[[#This Row],[wage_eq]]&amp;"."&amp;raw[[#This Row],[flex]]&amp;"."&amp;raw[[#This Row],[expo]]</f>
        <v>2012.0.0.1.1</v>
      </c>
    </row>
    <row r="1035" spans="1:1">
      <c r="A1035" t="str">
        <f t="array" ref="A1035">+YEAR(raw[[#This Row],[_date_]])&amp;"."&amp;raw[[#This Row],[redis_ls]]&amp;"."&amp;raw[[#This Row],[wage_eq]]&amp;"."&amp;raw[[#This Row],[flex]]&amp;"."&amp;raw[[#This Row],[expo]]</f>
        <v>2013.0.0.1.1</v>
      </c>
    </row>
    <row r="1036" spans="1:1">
      <c r="A1036" t="str">
        <f t="array" ref="A1036">+YEAR(raw[[#This Row],[_date_]])&amp;"."&amp;raw[[#This Row],[redis_ls]]&amp;"."&amp;raw[[#This Row],[wage_eq]]&amp;"."&amp;raw[[#This Row],[flex]]&amp;"."&amp;raw[[#This Row],[expo]]</f>
        <v>2014.0.0.1.1</v>
      </c>
    </row>
    <row r="1037" spans="1:1">
      <c r="A1037" t="str">
        <f t="array" ref="A1037">+YEAR(raw[[#This Row],[_date_]])&amp;"."&amp;raw[[#This Row],[redis_ls]]&amp;"."&amp;raw[[#This Row],[wage_eq]]&amp;"."&amp;raw[[#This Row],[flex]]&amp;"."&amp;raw[[#This Row],[expo]]</f>
        <v>2015.0.0.1.1</v>
      </c>
    </row>
    <row r="1038" spans="1:1">
      <c r="A1038" t="str">
        <f t="array" ref="A1038">+YEAR(raw[[#This Row],[_date_]])&amp;"."&amp;raw[[#This Row],[redis_ls]]&amp;"."&amp;raw[[#This Row],[wage_eq]]&amp;"."&amp;raw[[#This Row],[flex]]&amp;"."&amp;raw[[#This Row],[expo]]</f>
        <v>2016.0.0.1.1</v>
      </c>
    </row>
    <row r="1039" spans="1:1">
      <c r="A1039" t="str">
        <f t="array" ref="A1039">+YEAR(raw[[#This Row],[_date_]])&amp;"."&amp;raw[[#This Row],[redis_ls]]&amp;"."&amp;raw[[#This Row],[wage_eq]]&amp;"."&amp;raw[[#This Row],[flex]]&amp;"."&amp;raw[[#This Row],[expo]]</f>
        <v>2017.0.0.1.1</v>
      </c>
    </row>
    <row r="1040" spans="1:1">
      <c r="A1040" t="str">
        <f t="array" ref="A1040">+YEAR(raw[[#This Row],[_date_]])&amp;"."&amp;raw[[#This Row],[redis_ls]]&amp;"."&amp;raw[[#This Row],[wage_eq]]&amp;"."&amp;raw[[#This Row],[flex]]&amp;"."&amp;raw[[#This Row],[expo]]</f>
        <v>2018.0.0.1.1</v>
      </c>
    </row>
    <row r="1041" spans="1:1">
      <c r="A1041" t="str">
        <f t="array" ref="A1041">+YEAR(raw[[#This Row],[_date_]])&amp;"."&amp;raw[[#This Row],[redis_ls]]&amp;"."&amp;raw[[#This Row],[wage_eq]]&amp;"."&amp;raw[[#This Row],[flex]]&amp;"."&amp;raw[[#This Row],[expo]]</f>
        <v>2019.0.0.1.1</v>
      </c>
    </row>
    <row r="1042" spans="1:1">
      <c r="A1042" t="str">
        <f t="array" ref="A1042">+YEAR(raw[[#This Row],[_date_]])&amp;"."&amp;raw[[#This Row],[redis_ls]]&amp;"."&amp;raw[[#This Row],[wage_eq]]&amp;"."&amp;raw[[#This Row],[flex]]&amp;"."&amp;raw[[#This Row],[expo]]</f>
        <v>2020.0.0.1.1</v>
      </c>
    </row>
    <row r="1043" spans="1:1">
      <c r="A1043" t="str">
        <f t="array" ref="A1043">+YEAR(raw[[#This Row],[_date_]])&amp;"."&amp;raw[[#This Row],[redis_ls]]&amp;"."&amp;raw[[#This Row],[wage_eq]]&amp;"."&amp;raw[[#This Row],[flex]]&amp;"."&amp;raw[[#This Row],[expo]]</f>
        <v>2021.0.0.1.1</v>
      </c>
    </row>
    <row r="1044" spans="1:1">
      <c r="A1044" t="str">
        <f t="array" ref="A1044">+YEAR(raw[[#This Row],[_date_]])&amp;"."&amp;raw[[#This Row],[redis_ls]]&amp;"."&amp;raw[[#This Row],[wage_eq]]&amp;"."&amp;raw[[#This Row],[flex]]&amp;"."&amp;raw[[#This Row],[expo]]</f>
        <v>2022.0.0.1.1</v>
      </c>
    </row>
    <row r="1045" spans="1:1">
      <c r="A1045" t="str">
        <f t="array" ref="A1045">+YEAR(raw[[#This Row],[_date_]])&amp;"."&amp;raw[[#This Row],[redis_ls]]&amp;"."&amp;raw[[#This Row],[wage_eq]]&amp;"."&amp;raw[[#This Row],[flex]]&amp;"."&amp;raw[[#This Row],[expo]]</f>
        <v>2023.0.0.1.1</v>
      </c>
    </row>
    <row r="1046" spans="1:1">
      <c r="A1046" t="str">
        <f t="array" ref="A1046">+YEAR(raw[[#This Row],[_date_]])&amp;"."&amp;raw[[#This Row],[redis_ls]]&amp;"."&amp;raw[[#This Row],[wage_eq]]&amp;"."&amp;raw[[#This Row],[flex]]&amp;"."&amp;raw[[#This Row],[expo]]</f>
        <v>2024.0.0.1.1</v>
      </c>
    </row>
    <row r="1047" spans="1:1">
      <c r="A1047" t="str">
        <f t="array" ref="A1047">+YEAR(raw[[#This Row],[_date_]])&amp;"."&amp;raw[[#This Row],[redis_ls]]&amp;"."&amp;raw[[#This Row],[wage_eq]]&amp;"."&amp;raw[[#This Row],[flex]]&amp;"."&amp;raw[[#This Row],[expo]]</f>
        <v>2025.0.0.1.1</v>
      </c>
    </row>
    <row r="1048" spans="1:1">
      <c r="A1048" t="str">
        <f t="array" ref="A1048">+YEAR(raw[[#This Row],[_date_]])&amp;"."&amp;raw[[#This Row],[redis_ls]]&amp;"."&amp;raw[[#This Row],[wage_eq]]&amp;"."&amp;raw[[#This Row],[flex]]&amp;"."&amp;raw[[#This Row],[expo]]</f>
        <v>2026.0.0.1.1</v>
      </c>
    </row>
    <row r="1049" spans="1:1">
      <c r="A1049" t="str">
        <f t="array" ref="A1049">+YEAR(raw[[#This Row],[_date_]])&amp;"."&amp;raw[[#This Row],[redis_ls]]&amp;"."&amp;raw[[#This Row],[wage_eq]]&amp;"."&amp;raw[[#This Row],[flex]]&amp;"."&amp;raw[[#This Row],[expo]]</f>
        <v>2027.0.0.1.1</v>
      </c>
    </row>
    <row r="1050" spans="1:1">
      <c r="A1050" t="str">
        <f t="array" ref="A1050">+YEAR(raw[[#This Row],[_date_]])&amp;"."&amp;raw[[#This Row],[redis_ls]]&amp;"."&amp;raw[[#This Row],[wage_eq]]&amp;"."&amp;raw[[#This Row],[flex]]&amp;"."&amp;raw[[#This Row],[expo]]</f>
        <v>2028.0.0.1.1</v>
      </c>
    </row>
    <row r="1051" spans="1:1">
      <c r="A1051" t="str">
        <f t="array" ref="A1051">+YEAR(raw[[#This Row],[_date_]])&amp;"."&amp;raw[[#This Row],[redis_ls]]&amp;"."&amp;raw[[#This Row],[wage_eq]]&amp;"."&amp;raw[[#This Row],[flex]]&amp;"."&amp;raw[[#This Row],[expo]]</f>
        <v>2029.0.0.1.1</v>
      </c>
    </row>
    <row r="1052" spans="1:1">
      <c r="A1052" t="str">
        <f t="array" ref="A1052">+YEAR(raw[[#This Row],[_date_]])&amp;"."&amp;raw[[#This Row],[redis_ls]]&amp;"."&amp;raw[[#This Row],[wage_eq]]&amp;"."&amp;raw[[#This Row],[flex]]&amp;"."&amp;raw[[#This Row],[expo]]</f>
        <v>2030.0.0.1.1</v>
      </c>
    </row>
    <row r="1053" spans="1:1">
      <c r="A1053" t="str">
        <f t="array" ref="A1053">+YEAR(raw[[#This Row],[_date_]])&amp;"."&amp;raw[[#This Row],[redis_ls]]&amp;"."&amp;raw[[#This Row],[wage_eq]]&amp;"."&amp;raw[[#This Row],[flex]]&amp;"."&amp;raw[[#This Row],[expo]]</f>
        <v>2031.0.0.1.1</v>
      </c>
    </row>
    <row r="1054" spans="1:1">
      <c r="A1054" t="str">
        <f t="array" ref="A1054">+YEAR(raw[[#This Row],[_date_]])&amp;"."&amp;raw[[#This Row],[redis_ls]]&amp;"."&amp;raw[[#This Row],[wage_eq]]&amp;"."&amp;raw[[#This Row],[flex]]&amp;"."&amp;raw[[#This Row],[expo]]</f>
        <v>2032.0.0.1.1</v>
      </c>
    </row>
    <row r="1055" spans="1:1">
      <c r="A1055" t="str">
        <f t="array" ref="A1055">+YEAR(raw[[#This Row],[_date_]])&amp;"."&amp;raw[[#This Row],[redis_ls]]&amp;"."&amp;raw[[#This Row],[wage_eq]]&amp;"."&amp;raw[[#This Row],[flex]]&amp;"."&amp;raw[[#This Row],[expo]]</f>
        <v>2033.0.0.1.1</v>
      </c>
    </row>
    <row r="1056" spans="1:1">
      <c r="A1056" t="str">
        <f t="array" ref="A1056">+YEAR(raw[[#This Row],[_date_]])&amp;"."&amp;raw[[#This Row],[redis_ls]]&amp;"."&amp;raw[[#This Row],[wage_eq]]&amp;"."&amp;raw[[#This Row],[flex]]&amp;"."&amp;raw[[#This Row],[expo]]</f>
        <v>2034.0.0.1.1</v>
      </c>
    </row>
    <row r="1057" spans="1:1">
      <c r="A1057" t="str">
        <f t="array" ref="A1057">+YEAR(raw[[#This Row],[_date_]])&amp;"."&amp;raw[[#This Row],[redis_ls]]&amp;"."&amp;raw[[#This Row],[wage_eq]]&amp;"."&amp;raw[[#This Row],[flex]]&amp;"."&amp;raw[[#This Row],[expo]]</f>
        <v>2035.0.0.1.1</v>
      </c>
    </row>
    <row r="1058" spans="1:1">
      <c r="A1058" t="str">
        <f t="array" ref="A1058">+YEAR(raw[[#This Row],[_date_]])&amp;"."&amp;raw[[#This Row],[redis_ls]]&amp;"."&amp;raw[[#This Row],[wage_eq]]&amp;"."&amp;raw[[#This Row],[flex]]&amp;"."&amp;raw[[#This Row],[expo]]</f>
        <v>2036.0.0.1.1</v>
      </c>
    </row>
    <row r="1059" spans="1:1">
      <c r="A1059" t="str">
        <f t="array" ref="A1059">+YEAR(raw[[#This Row],[_date_]])&amp;"."&amp;raw[[#This Row],[redis_ls]]&amp;"."&amp;raw[[#This Row],[wage_eq]]&amp;"."&amp;raw[[#This Row],[flex]]&amp;"."&amp;raw[[#This Row],[expo]]</f>
        <v>2037.0.0.1.1</v>
      </c>
    </row>
    <row r="1060" spans="1:1">
      <c r="A1060" t="str">
        <f t="array" ref="A1060">+YEAR(raw[[#This Row],[_date_]])&amp;"."&amp;raw[[#This Row],[redis_ls]]&amp;"."&amp;raw[[#This Row],[wage_eq]]&amp;"."&amp;raw[[#This Row],[flex]]&amp;"."&amp;raw[[#This Row],[expo]]</f>
        <v>2038.0.0.1.1</v>
      </c>
    </row>
    <row r="1061" spans="1:1">
      <c r="A1061" t="str">
        <f t="array" ref="A1061">+YEAR(raw[[#This Row],[_date_]])&amp;"."&amp;raw[[#This Row],[redis_ls]]&amp;"."&amp;raw[[#This Row],[wage_eq]]&amp;"."&amp;raw[[#This Row],[flex]]&amp;"."&amp;raw[[#This Row],[expo]]</f>
        <v>2039.0.0.1.1</v>
      </c>
    </row>
    <row r="1062" spans="1:1">
      <c r="A1062" t="str">
        <f t="array" ref="A1062">+YEAR(raw[[#This Row],[_date_]])&amp;"."&amp;raw[[#This Row],[redis_ls]]&amp;"."&amp;raw[[#This Row],[wage_eq]]&amp;"."&amp;raw[[#This Row],[flex]]&amp;"."&amp;raw[[#This Row],[expo]]</f>
        <v>2040.0.0.1.1</v>
      </c>
    </row>
    <row r="1063" spans="1:1">
      <c r="A1063" t="str">
        <f t="array" ref="A1063">+YEAR(raw[[#This Row],[_date_]])&amp;"."&amp;raw[[#This Row],[redis_ls]]&amp;"."&amp;raw[[#This Row],[wage_eq]]&amp;"."&amp;raw[[#This Row],[flex]]&amp;"."&amp;raw[[#This Row],[expo]]</f>
        <v>2041.0.0.1.1</v>
      </c>
    </row>
    <row r="1064" spans="1:1">
      <c r="A1064" t="str">
        <f t="array" ref="A1064">+YEAR(raw[[#This Row],[_date_]])&amp;"."&amp;raw[[#This Row],[redis_ls]]&amp;"."&amp;raw[[#This Row],[wage_eq]]&amp;"."&amp;raw[[#This Row],[flex]]&amp;"."&amp;raw[[#This Row],[expo]]</f>
        <v>2042.0.0.1.1</v>
      </c>
    </row>
    <row r="1065" spans="1:1">
      <c r="A1065" t="str">
        <f t="array" ref="A1065">+YEAR(raw[[#This Row],[_date_]])&amp;"."&amp;raw[[#This Row],[redis_ls]]&amp;"."&amp;raw[[#This Row],[wage_eq]]&amp;"."&amp;raw[[#This Row],[flex]]&amp;"."&amp;raw[[#This Row],[expo]]</f>
        <v>2043.0.0.1.1</v>
      </c>
    </row>
    <row r="1066" spans="1:1">
      <c r="A1066" t="str">
        <f t="array" ref="A1066">+YEAR(raw[[#This Row],[_date_]])&amp;"."&amp;raw[[#This Row],[redis_ls]]&amp;"."&amp;raw[[#This Row],[wage_eq]]&amp;"."&amp;raw[[#This Row],[flex]]&amp;"."&amp;raw[[#This Row],[expo]]</f>
        <v>2044.0.0.1.1</v>
      </c>
    </row>
    <row r="1067" spans="1:1">
      <c r="A1067" t="str">
        <f t="array" ref="A1067">+YEAR(raw[[#This Row],[_date_]])&amp;"."&amp;raw[[#This Row],[redis_ls]]&amp;"."&amp;raw[[#This Row],[wage_eq]]&amp;"."&amp;raw[[#This Row],[flex]]&amp;"."&amp;raw[[#This Row],[expo]]</f>
        <v>2045.0.0.1.1</v>
      </c>
    </row>
    <row r="1068" spans="1:1">
      <c r="A1068" t="str">
        <f t="array" ref="A1068">+YEAR(raw[[#This Row],[_date_]])&amp;"."&amp;raw[[#This Row],[redis_ls]]&amp;"."&amp;raw[[#This Row],[wage_eq]]&amp;"."&amp;raw[[#This Row],[flex]]&amp;"."&amp;raw[[#This Row],[expo]]</f>
        <v>2046.0.0.1.1</v>
      </c>
    </row>
    <row r="1069" spans="1:1">
      <c r="A1069" t="str">
        <f t="array" ref="A1069">+YEAR(raw[[#This Row],[_date_]])&amp;"."&amp;raw[[#This Row],[redis_ls]]&amp;"."&amp;raw[[#This Row],[wage_eq]]&amp;"."&amp;raw[[#This Row],[flex]]&amp;"."&amp;raw[[#This Row],[expo]]</f>
        <v>2047.0.0.1.1</v>
      </c>
    </row>
    <row r="1070" spans="1:1">
      <c r="A1070" t="str">
        <f t="array" ref="A1070">+YEAR(raw[[#This Row],[_date_]])&amp;"."&amp;raw[[#This Row],[redis_ls]]&amp;"."&amp;raw[[#This Row],[wage_eq]]&amp;"."&amp;raw[[#This Row],[flex]]&amp;"."&amp;raw[[#This Row],[expo]]</f>
        <v>2048.0.0.1.1</v>
      </c>
    </row>
    <row r="1071" spans="1:1">
      <c r="A1071" t="str">
        <f t="array" ref="A1071">+YEAR(raw[[#This Row],[_date_]])&amp;"."&amp;raw[[#This Row],[redis_ls]]&amp;"."&amp;raw[[#This Row],[wage_eq]]&amp;"."&amp;raw[[#This Row],[flex]]&amp;"."&amp;raw[[#This Row],[expo]]</f>
        <v>2049.0.0.1.1</v>
      </c>
    </row>
    <row r="1072" spans="1:1">
      <c r="A1072" t="str">
        <f t="array" ref="A1072">+YEAR(raw[[#This Row],[_date_]])&amp;"."&amp;raw[[#This Row],[redis_ls]]&amp;"."&amp;raw[[#This Row],[wage_eq]]&amp;"."&amp;raw[[#This Row],[flex]]&amp;"."&amp;raw[[#This Row],[expo]]</f>
        <v>2050.0.0.1.1</v>
      </c>
    </row>
    <row r="1073" spans="1:1">
      <c r="A1073" t="str">
        <f t="array" ref="A1073">+YEAR(raw[[#This Row],[_date_]])&amp;"."&amp;raw[[#This Row],[redis_ls]]&amp;"."&amp;raw[[#This Row],[wage_eq]]&amp;"."&amp;raw[[#This Row],[flex]]&amp;"."&amp;raw[[#This Row],[expo]]</f>
        <v>2000.0.0.1.0</v>
      </c>
    </row>
    <row r="1074" spans="1:1">
      <c r="A1074" t="str">
        <f t="array" ref="A1074">+YEAR(raw[[#This Row],[_date_]])&amp;"."&amp;raw[[#This Row],[redis_ls]]&amp;"."&amp;raw[[#This Row],[wage_eq]]&amp;"."&amp;raw[[#This Row],[flex]]&amp;"."&amp;raw[[#This Row],[expo]]</f>
        <v>2001.0.0.1.0</v>
      </c>
    </row>
    <row r="1075" spans="1:1">
      <c r="A1075" t="str">
        <f t="array" ref="A1075">+YEAR(raw[[#This Row],[_date_]])&amp;"."&amp;raw[[#This Row],[redis_ls]]&amp;"."&amp;raw[[#This Row],[wage_eq]]&amp;"."&amp;raw[[#This Row],[flex]]&amp;"."&amp;raw[[#This Row],[expo]]</f>
        <v>2002.0.0.1.0</v>
      </c>
    </row>
    <row r="1076" spans="1:1">
      <c r="A1076" t="str">
        <f t="array" ref="A1076">+YEAR(raw[[#This Row],[_date_]])&amp;"."&amp;raw[[#This Row],[redis_ls]]&amp;"."&amp;raw[[#This Row],[wage_eq]]&amp;"."&amp;raw[[#This Row],[flex]]&amp;"."&amp;raw[[#This Row],[expo]]</f>
        <v>2003.0.0.1.0</v>
      </c>
    </row>
    <row r="1077" spans="1:1">
      <c r="A1077" t="str">
        <f t="array" ref="A1077">+YEAR(raw[[#This Row],[_date_]])&amp;"."&amp;raw[[#This Row],[redis_ls]]&amp;"."&amp;raw[[#This Row],[wage_eq]]&amp;"."&amp;raw[[#This Row],[flex]]&amp;"."&amp;raw[[#This Row],[expo]]</f>
        <v>2004.0.0.1.0</v>
      </c>
    </row>
    <row r="1078" spans="1:1">
      <c r="A1078" t="str">
        <f t="array" ref="A1078">+YEAR(raw[[#This Row],[_date_]])&amp;"."&amp;raw[[#This Row],[redis_ls]]&amp;"."&amp;raw[[#This Row],[wage_eq]]&amp;"."&amp;raw[[#This Row],[flex]]&amp;"."&amp;raw[[#This Row],[expo]]</f>
        <v>2005.0.0.1.0</v>
      </c>
    </row>
    <row r="1079" spans="1:1">
      <c r="A1079" t="str">
        <f t="array" ref="A1079">+YEAR(raw[[#This Row],[_date_]])&amp;"."&amp;raw[[#This Row],[redis_ls]]&amp;"."&amp;raw[[#This Row],[wage_eq]]&amp;"."&amp;raw[[#This Row],[flex]]&amp;"."&amp;raw[[#This Row],[expo]]</f>
        <v>2006.0.0.1.0</v>
      </c>
    </row>
    <row r="1080" spans="1:1">
      <c r="A1080" t="str">
        <f t="array" ref="A1080">+YEAR(raw[[#This Row],[_date_]])&amp;"."&amp;raw[[#This Row],[redis_ls]]&amp;"."&amp;raw[[#This Row],[wage_eq]]&amp;"."&amp;raw[[#This Row],[flex]]&amp;"."&amp;raw[[#This Row],[expo]]</f>
        <v>2007.0.0.1.0</v>
      </c>
    </row>
    <row r="1081" spans="1:1">
      <c r="A1081" t="str">
        <f t="array" ref="A1081">+YEAR(raw[[#This Row],[_date_]])&amp;"."&amp;raw[[#This Row],[redis_ls]]&amp;"."&amp;raw[[#This Row],[wage_eq]]&amp;"."&amp;raw[[#This Row],[flex]]&amp;"."&amp;raw[[#This Row],[expo]]</f>
        <v>2008.0.0.1.0</v>
      </c>
    </row>
    <row r="1082" spans="1:1">
      <c r="A1082" t="str">
        <f t="array" ref="A1082">+YEAR(raw[[#This Row],[_date_]])&amp;"."&amp;raw[[#This Row],[redis_ls]]&amp;"."&amp;raw[[#This Row],[wage_eq]]&amp;"."&amp;raw[[#This Row],[flex]]&amp;"."&amp;raw[[#This Row],[expo]]</f>
        <v>2009.0.0.1.0</v>
      </c>
    </row>
    <row r="1083" spans="1:1">
      <c r="A1083" t="str">
        <f t="array" ref="A1083">+YEAR(raw[[#This Row],[_date_]])&amp;"."&amp;raw[[#This Row],[redis_ls]]&amp;"."&amp;raw[[#This Row],[wage_eq]]&amp;"."&amp;raw[[#This Row],[flex]]&amp;"."&amp;raw[[#This Row],[expo]]</f>
        <v>2010.0.0.1.0</v>
      </c>
    </row>
    <row r="1084" spans="1:1">
      <c r="A1084" t="str">
        <f t="array" ref="A1084">+YEAR(raw[[#This Row],[_date_]])&amp;"."&amp;raw[[#This Row],[redis_ls]]&amp;"."&amp;raw[[#This Row],[wage_eq]]&amp;"."&amp;raw[[#This Row],[flex]]&amp;"."&amp;raw[[#This Row],[expo]]</f>
        <v>2011.0.0.1.0</v>
      </c>
    </row>
    <row r="1085" spans="1:1">
      <c r="A1085" t="str">
        <f t="array" ref="A1085">+YEAR(raw[[#This Row],[_date_]])&amp;"."&amp;raw[[#This Row],[redis_ls]]&amp;"."&amp;raw[[#This Row],[wage_eq]]&amp;"."&amp;raw[[#This Row],[flex]]&amp;"."&amp;raw[[#This Row],[expo]]</f>
        <v>2012.0.0.1.0</v>
      </c>
    </row>
    <row r="1086" spans="1:1">
      <c r="A1086" t="str">
        <f t="array" ref="A1086">+YEAR(raw[[#This Row],[_date_]])&amp;"."&amp;raw[[#This Row],[redis_ls]]&amp;"."&amp;raw[[#This Row],[wage_eq]]&amp;"."&amp;raw[[#This Row],[flex]]&amp;"."&amp;raw[[#This Row],[expo]]</f>
        <v>2013.0.0.1.0</v>
      </c>
    </row>
    <row r="1087" spans="1:1">
      <c r="A1087" t="str">
        <f t="array" ref="A1087">+YEAR(raw[[#This Row],[_date_]])&amp;"."&amp;raw[[#This Row],[redis_ls]]&amp;"."&amp;raw[[#This Row],[wage_eq]]&amp;"."&amp;raw[[#This Row],[flex]]&amp;"."&amp;raw[[#This Row],[expo]]</f>
        <v>2014.0.0.1.0</v>
      </c>
    </row>
    <row r="1088" spans="1:1">
      <c r="A1088" t="str">
        <f t="array" ref="A1088">+YEAR(raw[[#This Row],[_date_]])&amp;"."&amp;raw[[#This Row],[redis_ls]]&amp;"."&amp;raw[[#This Row],[wage_eq]]&amp;"."&amp;raw[[#This Row],[flex]]&amp;"."&amp;raw[[#This Row],[expo]]</f>
        <v>2015.0.0.1.0</v>
      </c>
    </row>
    <row r="1089" spans="1:1">
      <c r="A1089" t="str">
        <f t="array" ref="A1089">+YEAR(raw[[#This Row],[_date_]])&amp;"."&amp;raw[[#This Row],[redis_ls]]&amp;"."&amp;raw[[#This Row],[wage_eq]]&amp;"."&amp;raw[[#This Row],[flex]]&amp;"."&amp;raw[[#This Row],[expo]]</f>
        <v>2016.0.0.1.0</v>
      </c>
    </row>
    <row r="1090" spans="1:1">
      <c r="A1090" t="str">
        <f t="array" ref="A1090">+YEAR(raw[[#This Row],[_date_]])&amp;"."&amp;raw[[#This Row],[redis_ls]]&amp;"."&amp;raw[[#This Row],[wage_eq]]&amp;"."&amp;raw[[#This Row],[flex]]&amp;"."&amp;raw[[#This Row],[expo]]</f>
        <v>2017.0.0.1.0</v>
      </c>
    </row>
    <row r="1091" spans="1:1">
      <c r="A1091" t="str">
        <f t="array" ref="A1091">+YEAR(raw[[#This Row],[_date_]])&amp;"."&amp;raw[[#This Row],[redis_ls]]&amp;"."&amp;raw[[#This Row],[wage_eq]]&amp;"."&amp;raw[[#This Row],[flex]]&amp;"."&amp;raw[[#This Row],[expo]]</f>
        <v>2018.0.0.1.0</v>
      </c>
    </row>
    <row r="1092" spans="1:1">
      <c r="A1092" t="str">
        <f t="array" ref="A1092">+YEAR(raw[[#This Row],[_date_]])&amp;"."&amp;raw[[#This Row],[redis_ls]]&amp;"."&amp;raw[[#This Row],[wage_eq]]&amp;"."&amp;raw[[#This Row],[flex]]&amp;"."&amp;raw[[#This Row],[expo]]</f>
        <v>2019.0.0.1.0</v>
      </c>
    </row>
    <row r="1093" spans="1:1">
      <c r="A1093" t="str">
        <f t="array" ref="A1093">+YEAR(raw[[#This Row],[_date_]])&amp;"."&amp;raw[[#This Row],[redis_ls]]&amp;"."&amp;raw[[#This Row],[wage_eq]]&amp;"."&amp;raw[[#This Row],[flex]]&amp;"."&amp;raw[[#This Row],[expo]]</f>
        <v>2020.0.0.1.0</v>
      </c>
    </row>
    <row r="1094" spans="1:1">
      <c r="A1094" t="str">
        <f t="array" ref="A1094">+YEAR(raw[[#This Row],[_date_]])&amp;"."&amp;raw[[#This Row],[redis_ls]]&amp;"."&amp;raw[[#This Row],[wage_eq]]&amp;"."&amp;raw[[#This Row],[flex]]&amp;"."&amp;raw[[#This Row],[expo]]</f>
        <v>2021.0.0.1.0</v>
      </c>
    </row>
    <row r="1095" spans="1:1">
      <c r="A1095" t="str">
        <f t="array" ref="A1095">+YEAR(raw[[#This Row],[_date_]])&amp;"."&amp;raw[[#This Row],[redis_ls]]&amp;"."&amp;raw[[#This Row],[wage_eq]]&amp;"."&amp;raw[[#This Row],[flex]]&amp;"."&amp;raw[[#This Row],[expo]]</f>
        <v>2022.0.0.1.0</v>
      </c>
    </row>
    <row r="1096" spans="1:1">
      <c r="A1096" t="str">
        <f t="array" ref="A1096">+YEAR(raw[[#This Row],[_date_]])&amp;"."&amp;raw[[#This Row],[redis_ls]]&amp;"."&amp;raw[[#This Row],[wage_eq]]&amp;"."&amp;raw[[#This Row],[flex]]&amp;"."&amp;raw[[#This Row],[expo]]</f>
        <v>2023.0.0.1.0</v>
      </c>
    </row>
    <row r="1097" spans="1:1">
      <c r="A1097" t="str">
        <f t="array" ref="A1097">+YEAR(raw[[#This Row],[_date_]])&amp;"."&amp;raw[[#This Row],[redis_ls]]&amp;"."&amp;raw[[#This Row],[wage_eq]]&amp;"."&amp;raw[[#This Row],[flex]]&amp;"."&amp;raw[[#This Row],[expo]]</f>
        <v>2024.0.0.1.0</v>
      </c>
    </row>
    <row r="1098" spans="1:1">
      <c r="A1098" t="str">
        <f t="array" ref="A1098">+YEAR(raw[[#This Row],[_date_]])&amp;"."&amp;raw[[#This Row],[redis_ls]]&amp;"."&amp;raw[[#This Row],[wage_eq]]&amp;"."&amp;raw[[#This Row],[flex]]&amp;"."&amp;raw[[#This Row],[expo]]</f>
        <v>2025.0.0.1.0</v>
      </c>
    </row>
    <row r="1099" spans="1:1">
      <c r="A1099" t="str">
        <f t="array" ref="A1099">+YEAR(raw[[#This Row],[_date_]])&amp;"."&amp;raw[[#This Row],[redis_ls]]&amp;"."&amp;raw[[#This Row],[wage_eq]]&amp;"."&amp;raw[[#This Row],[flex]]&amp;"."&amp;raw[[#This Row],[expo]]</f>
        <v>2026.0.0.1.0</v>
      </c>
    </row>
    <row r="1100" spans="1:1">
      <c r="A1100" t="str">
        <f t="array" ref="A1100">+YEAR(raw[[#This Row],[_date_]])&amp;"."&amp;raw[[#This Row],[redis_ls]]&amp;"."&amp;raw[[#This Row],[wage_eq]]&amp;"."&amp;raw[[#This Row],[flex]]&amp;"."&amp;raw[[#This Row],[expo]]</f>
        <v>2027.0.0.1.0</v>
      </c>
    </row>
    <row r="1101" spans="1:1">
      <c r="A1101" t="str">
        <f t="array" ref="A1101">+YEAR(raw[[#This Row],[_date_]])&amp;"."&amp;raw[[#This Row],[redis_ls]]&amp;"."&amp;raw[[#This Row],[wage_eq]]&amp;"."&amp;raw[[#This Row],[flex]]&amp;"."&amp;raw[[#This Row],[expo]]</f>
        <v>2028.0.0.1.0</v>
      </c>
    </row>
    <row r="1102" spans="1:1">
      <c r="A1102" t="str">
        <f t="array" ref="A1102">+YEAR(raw[[#This Row],[_date_]])&amp;"."&amp;raw[[#This Row],[redis_ls]]&amp;"."&amp;raw[[#This Row],[wage_eq]]&amp;"."&amp;raw[[#This Row],[flex]]&amp;"."&amp;raw[[#This Row],[expo]]</f>
        <v>2029.0.0.1.0</v>
      </c>
    </row>
    <row r="1103" spans="1:1">
      <c r="A1103" t="str">
        <f t="array" ref="A1103">+YEAR(raw[[#This Row],[_date_]])&amp;"."&amp;raw[[#This Row],[redis_ls]]&amp;"."&amp;raw[[#This Row],[wage_eq]]&amp;"."&amp;raw[[#This Row],[flex]]&amp;"."&amp;raw[[#This Row],[expo]]</f>
        <v>2030.0.0.1.0</v>
      </c>
    </row>
    <row r="1104" spans="1:1">
      <c r="A1104" t="str">
        <f t="array" ref="A1104">+YEAR(raw[[#This Row],[_date_]])&amp;"."&amp;raw[[#This Row],[redis_ls]]&amp;"."&amp;raw[[#This Row],[wage_eq]]&amp;"."&amp;raw[[#This Row],[flex]]&amp;"."&amp;raw[[#This Row],[expo]]</f>
        <v>2031.0.0.1.0</v>
      </c>
    </row>
    <row r="1105" spans="1:1">
      <c r="A1105" t="str">
        <f t="array" ref="A1105">+YEAR(raw[[#This Row],[_date_]])&amp;"."&amp;raw[[#This Row],[redis_ls]]&amp;"."&amp;raw[[#This Row],[wage_eq]]&amp;"."&amp;raw[[#This Row],[flex]]&amp;"."&amp;raw[[#This Row],[expo]]</f>
        <v>2032.0.0.1.0</v>
      </c>
    </row>
    <row r="1106" spans="1:1">
      <c r="A1106" t="str">
        <f t="array" ref="A1106">+YEAR(raw[[#This Row],[_date_]])&amp;"."&amp;raw[[#This Row],[redis_ls]]&amp;"."&amp;raw[[#This Row],[wage_eq]]&amp;"."&amp;raw[[#This Row],[flex]]&amp;"."&amp;raw[[#This Row],[expo]]</f>
        <v>2033.0.0.1.0</v>
      </c>
    </row>
    <row r="1107" spans="1:1">
      <c r="A1107" t="str">
        <f t="array" ref="A1107">+YEAR(raw[[#This Row],[_date_]])&amp;"."&amp;raw[[#This Row],[redis_ls]]&amp;"."&amp;raw[[#This Row],[wage_eq]]&amp;"."&amp;raw[[#This Row],[flex]]&amp;"."&amp;raw[[#This Row],[expo]]</f>
        <v>2034.0.0.1.0</v>
      </c>
    </row>
    <row r="1108" spans="1:1">
      <c r="A1108" t="str">
        <f t="array" ref="A1108">+YEAR(raw[[#This Row],[_date_]])&amp;"."&amp;raw[[#This Row],[redis_ls]]&amp;"."&amp;raw[[#This Row],[wage_eq]]&amp;"."&amp;raw[[#This Row],[flex]]&amp;"."&amp;raw[[#This Row],[expo]]</f>
        <v>2035.0.0.1.0</v>
      </c>
    </row>
    <row r="1109" spans="1:1">
      <c r="A1109" t="str">
        <f t="array" ref="A1109">+YEAR(raw[[#This Row],[_date_]])&amp;"."&amp;raw[[#This Row],[redis_ls]]&amp;"."&amp;raw[[#This Row],[wage_eq]]&amp;"."&amp;raw[[#This Row],[flex]]&amp;"."&amp;raw[[#This Row],[expo]]</f>
        <v>2036.0.0.1.0</v>
      </c>
    </row>
    <row r="1110" spans="1:1">
      <c r="A1110" t="str">
        <f t="array" ref="A1110">+YEAR(raw[[#This Row],[_date_]])&amp;"."&amp;raw[[#This Row],[redis_ls]]&amp;"."&amp;raw[[#This Row],[wage_eq]]&amp;"."&amp;raw[[#This Row],[flex]]&amp;"."&amp;raw[[#This Row],[expo]]</f>
        <v>2037.0.0.1.0</v>
      </c>
    </row>
    <row r="1111" spans="1:1">
      <c r="A1111" t="str">
        <f t="array" ref="A1111">+YEAR(raw[[#This Row],[_date_]])&amp;"."&amp;raw[[#This Row],[redis_ls]]&amp;"."&amp;raw[[#This Row],[wage_eq]]&amp;"."&amp;raw[[#This Row],[flex]]&amp;"."&amp;raw[[#This Row],[expo]]</f>
        <v>2038.0.0.1.0</v>
      </c>
    </row>
    <row r="1112" spans="1:1">
      <c r="A1112" t="str">
        <f t="array" ref="A1112">+YEAR(raw[[#This Row],[_date_]])&amp;"."&amp;raw[[#This Row],[redis_ls]]&amp;"."&amp;raw[[#This Row],[wage_eq]]&amp;"."&amp;raw[[#This Row],[flex]]&amp;"."&amp;raw[[#This Row],[expo]]</f>
        <v>2039.0.0.1.0</v>
      </c>
    </row>
    <row r="1113" spans="1:1">
      <c r="A1113" t="str">
        <f t="array" ref="A1113">+YEAR(raw[[#This Row],[_date_]])&amp;"."&amp;raw[[#This Row],[redis_ls]]&amp;"."&amp;raw[[#This Row],[wage_eq]]&amp;"."&amp;raw[[#This Row],[flex]]&amp;"."&amp;raw[[#This Row],[expo]]</f>
        <v>2040.0.0.1.0</v>
      </c>
    </row>
    <row r="1114" spans="1:1">
      <c r="A1114" t="str">
        <f t="array" ref="A1114">+YEAR(raw[[#This Row],[_date_]])&amp;"."&amp;raw[[#This Row],[redis_ls]]&amp;"."&amp;raw[[#This Row],[wage_eq]]&amp;"."&amp;raw[[#This Row],[flex]]&amp;"."&amp;raw[[#This Row],[expo]]</f>
        <v>2041.0.0.1.0</v>
      </c>
    </row>
    <row r="1115" spans="1:1">
      <c r="A1115" t="str">
        <f t="array" ref="A1115">+YEAR(raw[[#This Row],[_date_]])&amp;"."&amp;raw[[#This Row],[redis_ls]]&amp;"."&amp;raw[[#This Row],[wage_eq]]&amp;"."&amp;raw[[#This Row],[flex]]&amp;"."&amp;raw[[#This Row],[expo]]</f>
        <v>2042.0.0.1.0</v>
      </c>
    </row>
    <row r="1116" spans="1:1">
      <c r="A1116" t="str">
        <f t="array" ref="A1116">+YEAR(raw[[#This Row],[_date_]])&amp;"."&amp;raw[[#This Row],[redis_ls]]&amp;"."&amp;raw[[#This Row],[wage_eq]]&amp;"."&amp;raw[[#This Row],[flex]]&amp;"."&amp;raw[[#This Row],[expo]]</f>
        <v>2043.0.0.1.0</v>
      </c>
    </row>
    <row r="1117" spans="1:1">
      <c r="A1117" t="str">
        <f t="array" ref="A1117">+YEAR(raw[[#This Row],[_date_]])&amp;"."&amp;raw[[#This Row],[redis_ls]]&amp;"."&amp;raw[[#This Row],[wage_eq]]&amp;"."&amp;raw[[#This Row],[flex]]&amp;"."&amp;raw[[#This Row],[expo]]</f>
        <v>2044.0.0.1.0</v>
      </c>
    </row>
    <row r="1118" spans="1:1">
      <c r="A1118" t="str">
        <f t="array" ref="A1118">+YEAR(raw[[#This Row],[_date_]])&amp;"."&amp;raw[[#This Row],[redis_ls]]&amp;"."&amp;raw[[#This Row],[wage_eq]]&amp;"."&amp;raw[[#This Row],[flex]]&amp;"."&amp;raw[[#This Row],[expo]]</f>
        <v>2045.0.0.1.0</v>
      </c>
    </row>
    <row r="1119" spans="1:1">
      <c r="A1119" t="str">
        <f t="array" ref="A1119">+YEAR(raw[[#This Row],[_date_]])&amp;"."&amp;raw[[#This Row],[redis_ls]]&amp;"."&amp;raw[[#This Row],[wage_eq]]&amp;"."&amp;raw[[#This Row],[flex]]&amp;"."&amp;raw[[#This Row],[expo]]</f>
        <v>2046.0.0.1.0</v>
      </c>
    </row>
    <row r="1120" spans="1:1">
      <c r="A1120" t="str">
        <f t="array" ref="A1120">+YEAR(raw[[#This Row],[_date_]])&amp;"."&amp;raw[[#This Row],[redis_ls]]&amp;"."&amp;raw[[#This Row],[wage_eq]]&amp;"."&amp;raw[[#This Row],[flex]]&amp;"."&amp;raw[[#This Row],[expo]]</f>
        <v>2047.0.0.1.0</v>
      </c>
    </row>
    <row r="1121" spans="1:1">
      <c r="A1121" t="str">
        <f t="array" ref="A1121">+YEAR(raw[[#This Row],[_date_]])&amp;"."&amp;raw[[#This Row],[redis_ls]]&amp;"."&amp;raw[[#This Row],[wage_eq]]&amp;"."&amp;raw[[#This Row],[flex]]&amp;"."&amp;raw[[#This Row],[expo]]</f>
        <v>2048.0.0.1.0</v>
      </c>
    </row>
    <row r="1122" spans="1:1">
      <c r="A1122" t="str">
        <f t="array" ref="A1122">+YEAR(raw[[#This Row],[_date_]])&amp;"."&amp;raw[[#This Row],[redis_ls]]&amp;"."&amp;raw[[#This Row],[wage_eq]]&amp;"."&amp;raw[[#This Row],[flex]]&amp;"."&amp;raw[[#This Row],[expo]]</f>
        <v>2049.0.0.1.0</v>
      </c>
    </row>
    <row r="1123" spans="1:1">
      <c r="A1123" t="str">
        <f t="array" ref="A1123">+YEAR(raw[[#This Row],[_date_]])&amp;"."&amp;raw[[#This Row],[redis_ls]]&amp;"."&amp;raw[[#This Row],[wage_eq]]&amp;"."&amp;raw[[#This Row],[flex]]&amp;"."&amp;raw[[#This Row],[expo]]</f>
        <v>2050.0.0.1.0</v>
      </c>
    </row>
    <row r="1124" spans="1:1">
      <c r="A1124" t="str">
        <f t="array" ref="A1124">+YEAR(raw[[#This Row],[_date_]])&amp;"."&amp;raw[[#This Row],[redis_ls]]&amp;"."&amp;raw[[#This Row],[wage_eq]]&amp;"."&amp;raw[[#This Row],[flex]]&amp;"."&amp;raw[[#This Row],[expo]]</f>
        <v>2000.0.0.0.1</v>
      </c>
    </row>
    <row r="1125" spans="1:1">
      <c r="A1125" t="str">
        <f t="array" ref="A1125">+YEAR(raw[[#This Row],[_date_]])&amp;"."&amp;raw[[#This Row],[redis_ls]]&amp;"."&amp;raw[[#This Row],[wage_eq]]&amp;"."&amp;raw[[#This Row],[flex]]&amp;"."&amp;raw[[#This Row],[expo]]</f>
        <v>2001.0.0.0.1</v>
      </c>
    </row>
    <row r="1126" spans="1:1">
      <c r="A1126" t="str">
        <f t="array" ref="A1126">+YEAR(raw[[#This Row],[_date_]])&amp;"."&amp;raw[[#This Row],[redis_ls]]&amp;"."&amp;raw[[#This Row],[wage_eq]]&amp;"."&amp;raw[[#This Row],[flex]]&amp;"."&amp;raw[[#This Row],[expo]]</f>
        <v>2002.0.0.0.1</v>
      </c>
    </row>
    <row r="1127" spans="1:1">
      <c r="A1127" t="str">
        <f t="array" ref="A1127">+YEAR(raw[[#This Row],[_date_]])&amp;"."&amp;raw[[#This Row],[redis_ls]]&amp;"."&amp;raw[[#This Row],[wage_eq]]&amp;"."&amp;raw[[#This Row],[flex]]&amp;"."&amp;raw[[#This Row],[expo]]</f>
        <v>2003.0.0.0.1</v>
      </c>
    </row>
    <row r="1128" spans="1:1">
      <c r="A1128" t="str">
        <f t="array" ref="A1128">+YEAR(raw[[#This Row],[_date_]])&amp;"."&amp;raw[[#This Row],[redis_ls]]&amp;"."&amp;raw[[#This Row],[wage_eq]]&amp;"."&amp;raw[[#This Row],[flex]]&amp;"."&amp;raw[[#This Row],[expo]]</f>
        <v>2004.0.0.0.1</v>
      </c>
    </row>
    <row r="1129" spans="1:1">
      <c r="A1129" t="str">
        <f t="array" ref="A1129">+YEAR(raw[[#This Row],[_date_]])&amp;"."&amp;raw[[#This Row],[redis_ls]]&amp;"."&amp;raw[[#This Row],[wage_eq]]&amp;"."&amp;raw[[#This Row],[flex]]&amp;"."&amp;raw[[#This Row],[expo]]</f>
        <v>2005.0.0.0.1</v>
      </c>
    </row>
    <row r="1130" spans="1:1">
      <c r="A1130" t="str">
        <f t="array" ref="A1130">+YEAR(raw[[#This Row],[_date_]])&amp;"."&amp;raw[[#This Row],[redis_ls]]&amp;"."&amp;raw[[#This Row],[wage_eq]]&amp;"."&amp;raw[[#This Row],[flex]]&amp;"."&amp;raw[[#This Row],[expo]]</f>
        <v>2006.0.0.0.1</v>
      </c>
    </row>
    <row r="1131" spans="1:1">
      <c r="A1131" t="str">
        <f t="array" ref="A1131">+YEAR(raw[[#This Row],[_date_]])&amp;"."&amp;raw[[#This Row],[redis_ls]]&amp;"."&amp;raw[[#This Row],[wage_eq]]&amp;"."&amp;raw[[#This Row],[flex]]&amp;"."&amp;raw[[#This Row],[expo]]</f>
        <v>2007.0.0.0.1</v>
      </c>
    </row>
    <row r="1132" spans="1:1">
      <c r="A1132" t="str">
        <f t="array" ref="A1132">+YEAR(raw[[#This Row],[_date_]])&amp;"."&amp;raw[[#This Row],[redis_ls]]&amp;"."&amp;raw[[#This Row],[wage_eq]]&amp;"."&amp;raw[[#This Row],[flex]]&amp;"."&amp;raw[[#This Row],[expo]]</f>
        <v>2008.0.0.0.1</v>
      </c>
    </row>
    <row r="1133" spans="1:1">
      <c r="A1133" t="str">
        <f t="array" ref="A1133">+YEAR(raw[[#This Row],[_date_]])&amp;"."&amp;raw[[#This Row],[redis_ls]]&amp;"."&amp;raw[[#This Row],[wage_eq]]&amp;"."&amp;raw[[#This Row],[flex]]&amp;"."&amp;raw[[#This Row],[expo]]</f>
        <v>2009.0.0.0.1</v>
      </c>
    </row>
    <row r="1134" spans="1:1">
      <c r="A1134" t="str">
        <f t="array" ref="A1134">+YEAR(raw[[#This Row],[_date_]])&amp;"."&amp;raw[[#This Row],[redis_ls]]&amp;"."&amp;raw[[#This Row],[wage_eq]]&amp;"."&amp;raw[[#This Row],[flex]]&amp;"."&amp;raw[[#This Row],[expo]]</f>
        <v>2010.0.0.0.1</v>
      </c>
    </row>
    <row r="1135" spans="1:1">
      <c r="A1135" t="str">
        <f t="array" ref="A1135">+YEAR(raw[[#This Row],[_date_]])&amp;"."&amp;raw[[#This Row],[redis_ls]]&amp;"."&amp;raw[[#This Row],[wage_eq]]&amp;"."&amp;raw[[#This Row],[flex]]&amp;"."&amp;raw[[#This Row],[expo]]</f>
        <v>2011.0.0.0.1</v>
      </c>
    </row>
    <row r="1136" spans="1:1">
      <c r="A1136" t="str">
        <f t="array" ref="A1136">+YEAR(raw[[#This Row],[_date_]])&amp;"."&amp;raw[[#This Row],[redis_ls]]&amp;"."&amp;raw[[#This Row],[wage_eq]]&amp;"."&amp;raw[[#This Row],[flex]]&amp;"."&amp;raw[[#This Row],[expo]]</f>
        <v>2012.0.0.0.1</v>
      </c>
    </row>
    <row r="1137" spans="1:1">
      <c r="A1137" t="str">
        <f t="array" ref="A1137">+YEAR(raw[[#This Row],[_date_]])&amp;"."&amp;raw[[#This Row],[redis_ls]]&amp;"."&amp;raw[[#This Row],[wage_eq]]&amp;"."&amp;raw[[#This Row],[flex]]&amp;"."&amp;raw[[#This Row],[expo]]</f>
        <v>2013.0.0.0.1</v>
      </c>
    </row>
    <row r="1138" spans="1:1">
      <c r="A1138" t="str">
        <f t="array" ref="A1138">+YEAR(raw[[#This Row],[_date_]])&amp;"."&amp;raw[[#This Row],[redis_ls]]&amp;"."&amp;raw[[#This Row],[wage_eq]]&amp;"."&amp;raw[[#This Row],[flex]]&amp;"."&amp;raw[[#This Row],[expo]]</f>
        <v>2014.0.0.0.1</v>
      </c>
    </row>
    <row r="1139" spans="1:1">
      <c r="A1139" t="str">
        <f t="array" ref="A1139">+YEAR(raw[[#This Row],[_date_]])&amp;"."&amp;raw[[#This Row],[redis_ls]]&amp;"."&amp;raw[[#This Row],[wage_eq]]&amp;"."&amp;raw[[#This Row],[flex]]&amp;"."&amp;raw[[#This Row],[expo]]</f>
        <v>2015.0.0.0.1</v>
      </c>
    </row>
    <row r="1140" spans="1:1">
      <c r="A1140" t="str">
        <f t="array" ref="A1140">+YEAR(raw[[#This Row],[_date_]])&amp;"."&amp;raw[[#This Row],[redis_ls]]&amp;"."&amp;raw[[#This Row],[wage_eq]]&amp;"."&amp;raw[[#This Row],[flex]]&amp;"."&amp;raw[[#This Row],[expo]]</f>
        <v>2016.0.0.0.1</v>
      </c>
    </row>
    <row r="1141" spans="1:1">
      <c r="A1141" t="str">
        <f t="array" ref="A1141">+YEAR(raw[[#This Row],[_date_]])&amp;"."&amp;raw[[#This Row],[redis_ls]]&amp;"."&amp;raw[[#This Row],[wage_eq]]&amp;"."&amp;raw[[#This Row],[flex]]&amp;"."&amp;raw[[#This Row],[expo]]</f>
        <v>2017.0.0.0.1</v>
      </c>
    </row>
    <row r="1142" spans="1:1">
      <c r="A1142" t="str">
        <f t="array" ref="A1142">+YEAR(raw[[#This Row],[_date_]])&amp;"."&amp;raw[[#This Row],[redis_ls]]&amp;"."&amp;raw[[#This Row],[wage_eq]]&amp;"."&amp;raw[[#This Row],[flex]]&amp;"."&amp;raw[[#This Row],[expo]]</f>
        <v>2018.0.0.0.1</v>
      </c>
    </row>
    <row r="1143" spans="1:1">
      <c r="A1143" t="str">
        <f t="array" ref="A1143">+YEAR(raw[[#This Row],[_date_]])&amp;"."&amp;raw[[#This Row],[redis_ls]]&amp;"."&amp;raw[[#This Row],[wage_eq]]&amp;"."&amp;raw[[#This Row],[flex]]&amp;"."&amp;raw[[#This Row],[expo]]</f>
        <v>2019.0.0.0.1</v>
      </c>
    </row>
    <row r="1144" spans="1:1">
      <c r="A1144" t="str">
        <f t="array" ref="A1144">+YEAR(raw[[#This Row],[_date_]])&amp;"."&amp;raw[[#This Row],[redis_ls]]&amp;"."&amp;raw[[#This Row],[wage_eq]]&amp;"."&amp;raw[[#This Row],[flex]]&amp;"."&amp;raw[[#This Row],[expo]]</f>
        <v>2020.0.0.0.1</v>
      </c>
    </row>
    <row r="1145" spans="1:1">
      <c r="A1145" t="str">
        <f t="array" ref="A1145">+YEAR(raw[[#This Row],[_date_]])&amp;"."&amp;raw[[#This Row],[redis_ls]]&amp;"."&amp;raw[[#This Row],[wage_eq]]&amp;"."&amp;raw[[#This Row],[flex]]&amp;"."&amp;raw[[#This Row],[expo]]</f>
        <v>2021.0.0.0.1</v>
      </c>
    </row>
    <row r="1146" spans="1:1">
      <c r="A1146" t="str">
        <f t="array" ref="A1146">+YEAR(raw[[#This Row],[_date_]])&amp;"."&amp;raw[[#This Row],[redis_ls]]&amp;"."&amp;raw[[#This Row],[wage_eq]]&amp;"."&amp;raw[[#This Row],[flex]]&amp;"."&amp;raw[[#This Row],[expo]]</f>
        <v>2022.0.0.0.1</v>
      </c>
    </row>
    <row r="1147" spans="1:1">
      <c r="A1147" t="str">
        <f t="array" ref="A1147">+YEAR(raw[[#This Row],[_date_]])&amp;"."&amp;raw[[#This Row],[redis_ls]]&amp;"."&amp;raw[[#This Row],[wage_eq]]&amp;"."&amp;raw[[#This Row],[flex]]&amp;"."&amp;raw[[#This Row],[expo]]</f>
        <v>2023.0.0.0.1</v>
      </c>
    </row>
    <row r="1148" spans="1:1">
      <c r="A1148" t="str">
        <f t="array" ref="A1148">+YEAR(raw[[#This Row],[_date_]])&amp;"."&amp;raw[[#This Row],[redis_ls]]&amp;"."&amp;raw[[#This Row],[wage_eq]]&amp;"."&amp;raw[[#This Row],[flex]]&amp;"."&amp;raw[[#This Row],[expo]]</f>
        <v>2024.0.0.0.1</v>
      </c>
    </row>
    <row r="1149" spans="1:1">
      <c r="A1149" t="str">
        <f t="array" ref="A1149">+YEAR(raw[[#This Row],[_date_]])&amp;"."&amp;raw[[#This Row],[redis_ls]]&amp;"."&amp;raw[[#This Row],[wage_eq]]&amp;"."&amp;raw[[#This Row],[flex]]&amp;"."&amp;raw[[#This Row],[expo]]</f>
        <v>2025.0.0.0.1</v>
      </c>
    </row>
    <row r="1150" spans="1:1">
      <c r="A1150" t="str">
        <f t="array" ref="A1150">+YEAR(raw[[#This Row],[_date_]])&amp;"."&amp;raw[[#This Row],[redis_ls]]&amp;"."&amp;raw[[#This Row],[wage_eq]]&amp;"."&amp;raw[[#This Row],[flex]]&amp;"."&amp;raw[[#This Row],[expo]]</f>
        <v>2026.0.0.0.1</v>
      </c>
    </row>
    <row r="1151" spans="1:1">
      <c r="A1151" t="str">
        <f t="array" ref="A1151">+YEAR(raw[[#This Row],[_date_]])&amp;"."&amp;raw[[#This Row],[redis_ls]]&amp;"."&amp;raw[[#This Row],[wage_eq]]&amp;"."&amp;raw[[#This Row],[flex]]&amp;"."&amp;raw[[#This Row],[expo]]</f>
        <v>2027.0.0.0.1</v>
      </c>
    </row>
    <row r="1152" spans="1:1">
      <c r="A1152" t="str">
        <f t="array" ref="A1152">+YEAR(raw[[#This Row],[_date_]])&amp;"."&amp;raw[[#This Row],[redis_ls]]&amp;"."&amp;raw[[#This Row],[wage_eq]]&amp;"."&amp;raw[[#This Row],[flex]]&amp;"."&amp;raw[[#This Row],[expo]]</f>
        <v>2028.0.0.0.1</v>
      </c>
    </row>
    <row r="1153" spans="1:1">
      <c r="A1153" t="str">
        <f t="array" ref="A1153">+YEAR(raw[[#This Row],[_date_]])&amp;"."&amp;raw[[#This Row],[redis_ls]]&amp;"."&amp;raw[[#This Row],[wage_eq]]&amp;"."&amp;raw[[#This Row],[flex]]&amp;"."&amp;raw[[#This Row],[expo]]</f>
        <v>2029.0.0.0.1</v>
      </c>
    </row>
    <row r="1154" spans="1:1">
      <c r="A1154" t="str">
        <f t="array" ref="A1154">+YEAR(raw[[#This Row],[_date_]])&amp;"."&amp;raw[[#This Row],[redis_ls]]&amp;"."&amp;raw[[#This Row],[wage_eq]]&amp;"."&amp;raw[[#This Row],[flex]]&amp;"."&amp;raw[[#This Row],[expo]]</f>
        <v>2030.0.0.0.1</v>
      </c>
    </row>
    <row r="1155" spans="1:1">
      <c r="A1155" t="str">
        <f t="array" ref="A1155">+YEAR(raw[[#This Row],[_date_]])&amp;"."&amp;raw[[#This Row],[redis_ls]]&amp;"."&amp;raw[[#This Row],[wage_eq]]&amp;"."&amp;raw[[#This Row],[flex]]&amp;"."&amp;raw[[#This Row],[expo]]</f>
        <v>2031.0.0.0.1</v>
      </c>
    </row>
    <row r="1156" spans="1:1">
      <c r="A1156" t="str">
        <f t="array" ref="A1156">+YEAR(raw[[#This Row],[_date_]])&amp;"."&amp;raw[[#This Row],[redis_ls]]&amp;"."&amp;raw[[#This Row],[wage_eq]]&amp;"."&amp;raw[[#This Row],[flex]]&amp;"."&amp;raw[[#This Row],[expo]]</f>
        <v>2032.0.0.0.1</v>
      </c>
    </row>
    <row r="1157" spans="1:1">
      <c r="A1157" t="str">
        <f t="array" ref="A1157">+YEAR(raw[[#This Row],[_date_]])&amp;"."&amp;raw[[#This Row],[redis_ls]]&amp;"."&amp;raw[[#This Row],[wage_eq]]&amp;"."&amp;raw[[#This Row],[flex]]&amp;"."&amp;raw[[#This Row],[expo]]</f>
        <v>2033.0.0.0.1</v>
      </c>
    </row>
    <row r="1158" spans="1:1">
      <c r="A1158" t="str">
        <f t="array" ref="A1158">+YEAR(raw[[#This Row],[_date_]])&amp;"."&amp;raw[[#This Row],[redis_ls]]&amp;"."&amp;raw[[#This Row],[wage_eq]]&amp;"."&amp;raw[[#This Row],[flex]]&amp;"."&amp;raw[[#This Row],[expo]]</f>
        <v>2034.0.0.0.1</v>
      </c>
    </row>
    <row r="1159" spans="1:1">
      <c r="A1159" t="str">
        <f t="array" ref="A1159">+YEAR(raw[[#This Row],[_date_]])&amp;"."&amp;raw[[#This Row],[redis_ls]]&amp;"."&amp;raw[[#This Row],[wage_eq]]&amp;"."&amp;raw[[#This Row],[flex]]&amp;"."&amp;raw[[#This Row],[expo]]</f>
        <v>2035.0.0.0.1</v>
      </c>
    </row>
    <row r="1160" spans="1:1">
      <c r="A1160" t="str">
        <f t="array" ref="A1160">+YEAR(raw[[#This Row],[_date_]])&amp;"."&amp;raw[[#This Row],[redis_ls]]&amp;"."&amp;raw[[#This Row],[wage_eq]]&amp;"."&amp;raw[[#This Row],[flex]]&amp;"."&amp;raw[[#This Row],[expo]]</f>
        <v>2036.0.0.0.1</v>
      </c>
    </row>
    <row r="1161" spans="1:1">
      <c r="A1161" t="str">
        <f t="array" ref="A1161">+YEAR(raw[[#This Row],[_date_]])&amp;"."&amp;raw[[#This Row],[redis_ls]]&amp;"."&amp;raw[[#This Row],[wage_eq]]&amp;"."&amp;raw[[#This Row],[flex]]&amp;"."&amp;raw[[#This Row],[expo]]</f>
        <v>2037.0.0.0.1</v>
      </c>
    </row>
    <row r="1162" spans="1:1">
      <c r="A1162" t="str">
        <f t="array" ref="A1162">+YEAR(raw[[#This Row],[_date_]])&amp;"."&amp;raw[[#This Row],[redis_ls]]&amp;"."&amp;raw[[#This Row],[wage_eq]]&amp;"."&amp;raw[[#This Row],[flex]]&amp;"."&amp;raw[[#This Row],[expo]]</f>
        <v>2038.0.0.0.1</v>
      </c>
    </row>
    <row r="1163" spans="1:1">
      <c r="A1163" t="str">
        <f t="array" ref="A1163">+YEAR(raw[[#This Row],[_date_]])&amp;"."&amp;raw[[#This Row],[redis_ls]]&amp;"."&amp;raw[[#This Row],[wage_eq]]&amp;"."&amp;raw[[#This Row],[flex]]&amp;"."&amp;raw[[#This Row],[expo]]</f>
        <v>2039.0.0.0.1</v>
      </c>
    </row>
    <row r="1164" spans="1:1">
      <c r="A1164" t="str">
        <f t="array" ref="A1164">+YEAR(raw[[#This Row],[_date_]])&amp;"."&amp;raw[[#This Row],[redis_ls]]&amp;"."&amp;raw[[#This Row],[wage_eq]]&amp;"."&amp;raw[[#This Row],[flex]]&amp;"."&amp;raw[[#This Row],[expo]]</f>
        <v>2040.0.0.0.1</v>
      </c>
    </row>
    <row r="1165" spans="1:1">
      <c r="A1165" t="str">
        <f t="array" ref="A1165">+YEAR(raw[[#This Row],[_date_]])&amp;"."&amp;raw[[#This Row],[redis_ls]]&amp;"."&amp;raw[[#This Row],[wage_eq]]&amp;"."&amp;raw[[#This Row],[flex]]&amp;"."&amp;raw[[#This Row],[expo]]</f>
        <v>2041.0.0.0.1</v>
      </c>
    </row>
    <row r="1166" spans="1:1">
      <c r="A1166" t="str">
        <f t="array" ref="A1166">+YEAR(raw[[#This Row],[_date_]])&amp;"."&amp;raw[[#This Row],[redis_ls]]&amp;"."&amp;raw[[#This Row],[wage_eq]]&amp;"."&amp;raw[[#This Row],[flex]]&amp;"."&amp;raw[[#This Row],[expo]]</f>
        <v>2042.0.0.0.1</v>
      </c>
    </row>
    <row r="1167" spans="1:1">
      <c r="A1167" t="str">
        <f t="array" ref="A1167">+YEAR(raw[[#This Row],[_date_]])&amp;"."&amp;raw[[#This Row],[redis_ls]]&amp;"."&amp;raw[[#This Row],[wage_eq]]&amp;"."&amp;raw[[#This Row],[flex]]&amp;"."&amp;raw[[#This Row],[expo]]</f>
        <v>2043.0.0.0.1</v>
      </c>
    </row>
    <row r="1168" spans="1:1">
      <c r="A1168" t="str">
        <f t="array" ref="A1168">+YEAR(raw[[#This Row],[_date_]])&amp;"."&amp;raw[[#This Row],[redis_ls]]&amp;"."&amp;raw[[#This Row],[wage_eq]]&amp;"."&amp;raw[[#This Row],[flex]]&amp;"."&amp;raw[[#This Row],[expo]]</f>
        <v>2044.0.0.0.1</v>
      </c>
    </row>
    <row r="1169" spans="1:1">
      <c r="A1169" t="str">
        <f t="array" ref="A1169">+YEAR(raw[[#This Row],[_date_]])&amp;"."&amp;raw[[#This Row],[redis_ls]]&amp;"."&amp;raw[[#This Row],[wage_eq]]&amp;"."&amp;raw[[#This Row],[flex]]&amp;"."&amp;raw[[#This Row],[expo]]</f>
        <v>2045.0.0.0.1</v>
      </c>
    </row>
    <row r="1170" spans="1:1">
      <c r="A1170" t="str">
        <f t="array" ref="A1170">+YEAR(raw[[#This Row],[_date_]])&amp;"."&amp;raw[[#This Row],[redis_ls]]&amp;"."&amp;raw[[#This Row],[wage_eq]]&amp;"."&amp;raw[[#This Row],[flex]]&amp;"."&amp;raw[[#This Row],[expo]]</f>
        <v>2046.0.0.0.1</v>
      </c>
    </row>
    <row r="1171" spans="1:1">
      <c r="A1171" t="str">
        <f t="array" ref="A1171">+YEAR(raw[[#This Row],[_date_]])&amp;"."&amp;raw[[#This Row],[redis_ls]]&amp;"."&amp;raw[[#This Row],[wage_eq]]&amp;"."&amp;raw[[#This Row],[flex]]&amp;"."&amp;raw[[#This Row],[expo]]</f>
        <v>2047.0.0.0.1</v>
      </c>
    </row>
    <row r="1172" spans="1:1">
      <c r="A1172" t="str">
        <f t="array" ref="A1172">+YEAR(raw[[#This Row],[_date_]])&amp;"."&amp;raw[[#This Row],[redis_ls]]&amp;"."&amp;raw[[#This Row],[wage_eq]]&amp;"."&amp;raw[[#This Row],[flex]]&amp;"."&amp;raw[[#This Row],[expo]]</f>
        <v>2048.0.0.0.1</v>
      </c>
    </row>
    <row r="1173" spans="1:1">
      <c r="A1173" t="str">
        <f t="array" ref="A1173">+YEAR(raw[[#This Row],[_date_]])&amp;"."&amp;raw[[#This Row],[redis_ls]]&amp;"."&amp;raw[[#This Row],[wage_eq]]&amp;"."&amp;raw[[#This Row],[flex]]&amp;"."&amp;raw[[#This Row],[expo]]</f>
        <v>2049.0.0.0.1</v>
      </c>
    </row>
    <row r="1174" spans="1:1">
      <c r="A1174" t="str">
        <f t="array" ref="A1174">+YEAR(raw[[#This Row],[_date_]])&amp;"."&amp;raw[[#This Row],[redis_ls]]&amp;"."&amp;raw[[#This Row],[wage_eq]]&amp;"."&amp;raw[[#This Row],[flex]]&amp;"."&amp;raw[[#This Row],[expo]]</f>
        <v>2050.0.0.0.1</v>
      </c>
    </row>
    <row r="1175" spans="1:1">
      <c r="A1175" t="str">
        <f t="array" ref="A1175">+YEAR(raw[[#This Row],[_date_]])&amp;"."&amp;raw[[#This Row],[redis_ls]]&amp;"."&amp;raw[[#This Row],[wage_eq]]&amp;"."&amp;raw[[#This Row],[flex]]&amp;"."&amp;raw[[#This Row],[expo]]</f>
        <v>2000.0.0.0.0</v>
      </c>
    </row>
    <row r="1176" spans="1:1">
      <c r="A1176" t="str">
        <f t="array" ref="A1176">+YEAR(raw[[#This Row],[_date_]])&amp;"."&amp;raw[[#This Row],[redis_ls]]&amp;"."&amp;raw[[#This Row],[wage_eq]]&amp;"."&amp;raw[[#This Row],[flex]]&amp;"."&amp;raw[[#This Row],[expo]]</f>
        <v>2001.0.0.0.0</v>
      </c>
    </row>
    <row r="1177" spans="1:1">
      <c r="A1177" t="str">
        <f t="array" ref="A1177">+YEAR(raw[[#This Row],[_date_]])&amp;"."&amp;raw[[#This Row],[redis_ls]]&amp;"."&amp;raw[[#This Row],[wage_eq]]&amp;"."&amp;raw[[#This Row],[flex]]&amp;"."&amp;raw[[#This Row],[expo]]</f>
        <v>2002.0.0.0.0</v>
      </c>
    </row>
    <row r="1178" spans="1:1">
      <c r="A1178" t="str">
        <f t="array" ref="A1178">+YEAR(raw[[#This Row],[_date_]])&amp;"."&amp;raw[[#This Row],[redis_ls]]&amp;"."&amp;raw[[#This Row],[wage_eq]]&amp;"."&amp;raw[[#This Row],[flex]]&amp;"."&amp;raw[[#This Row],[expo]]</f>
        <v>2003.0.0.0.0</v>
      </c>
    </row>
    <row r="1179" spans="1:1">
      <c r="A1179" t="str">
        <f t="array" ref="A1179">+YEAR(raw[[#This Row],[_date_]])&amp;"."&amp;raw[[#This Row],[redis_ls]]&amp;"."&amp;raw[[#This Row],[wage_eq]]&amp;"."&amp;raw[[#This Row],[flex]]&amp;"."&amp;raw[[#This Row],[expo]]</f>
        <v>2004.0.0.0.0</v>
      </c>
    </row>
    <row r="1180" spans="1:1">
      <c r="A1180" t="str">
        <f t="array" ref="A1180">+YEAR(raw[[#This Row],[_date_]])&amp;"."&amp;raw[[#This Row],[redis_ls]]&amp;"."&amp;raw[[#This Row],[wage_eq]]&amp;"."&amp;raw[[#This Row],[flex]]&amp;"."&amp;raw[[#This Row],[expo]]</f>
        <v>2005.0.0.0.0</v>
      </c>
    </row>
    <row r="1181" spans="1:1">
      <c r="A1181" t="str">
        <f t="array" ref="A1181">+YEAR(raw[[#This Row],[_date_]])&amp;"."&amp;raw[[#This Row],[redis_ls]]&amp;"."&amp;raw[[#This Row],[wage_eq]]&amp;"."&amp;raw[[#This Row],[flex]]&amp;"."&amp;raw[[#This Row],[expo]]</f>
        <v>2006.0.0.0.0</v>
      </c>
    </row>
    <row r="1182" spans="1:1">
      <c r="A1182" t="str">
        <f t="array" ref="A1182">+YEAR(raw[[#This Row],[_date_]])&amp;"."&amp;raw[[#This Row],[redis_ls]]&amp;"."&amp;raw[[#This Row],[wage_eq]]&amp;"."&amp;raw[[#This Row],[flex]]&amp;"."&amp;raw[[#This Row],[expo]]</f>
        <v>2007.0.0.0.0</v>
      </c>
    </row>
    <row r="1183" spans="1:1">
      <c r="A1183" t="str">
        <f t="array" ref="A1183">+YEAR(raw[[#This Row],[_date_]])&amp;"."&amp;raw[[#This Row],[redis_ls]]&amp;"."&amp;raw[[#This Row],[wage_eq]]&amp;"."&amp;raw[[#This Row],[flex]]&amp;"."&amp;raw[[#This Row],[expo]]</f>
        <v>2008.0.0.0.0</v>
      </c>
    </row>
    <row r="1184" spans="1:1">
      <c r="A1184" t="str">
        <f t="array" ref="A1184">+YEAR(raw[[#This Row],[_date_]])&amp;"."&amp;raw[[#This Row],[redis_ls]]&amp;"."&amp;raw[[#This Row],[wage_eq]]&amp;"."&amp;raw[[#This Row],[flex]]&amp;"."&amp;raw[[#This Row],[expo]]</f>
        <v>2009.0.0.0.0</v>
      </c>
    </row>
    <row r="1185" spans="1:1">
      <c r="A1185" t="str">
        <f t="array" ref="A1185">+YEAR(raw[[#This Row],[_date_]])&amp;"."&amp;raw[[#This Row],[redis_ls]]&amp;"."&amp;raw[[#This Row],[wage_eq]]&amp;"."&amp;raw[[#This Row],[flex]]&amp;"."&amp;raw[[#This Row],[expo]]</f>
        <v>2010.0.0.0.0</v>
      </c>
    </row>
    <row r="1186" spans="1:1">
      <c r="A1186" t="str">
        <f t="array" ref="A1186">+YEAR(raw[[#This Row],[_date_]])&amp;"."&amp;raw[[#This Row],[redis_ls]]&amp;"."&amp;raw[[#This Row],[wage_eq]]&amp;"."&amp;raw[[#This Row],[flex]]&amp;"."&amp;raw[[#This Row],[expo]]</f>
        <v>2011.0.0.0.0</v>
      </c>
    </row>
    <row r="1187" spans="1:1">
      <c r="A1187" t="str">
        <f t="array" ref="A1187">+YEAR(raw[[#This Row],[_date_]])&amp;"."&amp;raw[[#This Row],[redis_ls]]&amp;"."&amp;raw[[#This Row],[wage_eq]]&amp;"."&amp;raw[[#This Row],[flex]]&amp;"."&amp;raw[[#This Row],[expo]]</f>
        <v>2012.0.0.0.0</v>
      </c>
    </row>
    <row r="1188" spans="1:1">
      <c r="A1188" t="str">
        <f t="array" ref="A1188">+YEAR(raw[[#This Row],[_date_]])&amp;"."&amp;raw[[#This Row],[redis_ls]]&amp;"."&amp;raw[[#This Row],[wage_eq]]&amp;"."&amp;raw[[#This Row],[flex]]&amp;"."&amp;raw[[#This Row],[expo]]</f>
        <v>2013.0.0.0.0</v>
      </c>
    </row>
    <row r="1189" spans="1:1">
      <c r="A1189" t="str">
        <f t="array" ref="A1189">+YEAR(raw[[#This Row],[_date_]])&amp;"."&amp;raw[[#This Row],[redis_ls]]&amp;"."&amp;raw[[#This Row],[wage_eq]]&amp;"."&amp;raw[[#This Row],[flex]]&amp;"."&amp;raw[[#This Row],[expo]]</f>
        <v>2014.0.0.0.0</v>
      </c>
    </row>
    <row r="1190" spans="1:1">
      <c r="A1190" t="str">
        <f t="array" ref="A1190">+YEAR(raw[[#This Row],[_date_]])&amp;"."&amp;raw[[#This Row],[redis_ls]]&amp;"."&amp;raw[[#This Row],[wage_eq]]&amp;"."&amp;raw[[#This Row],[flex]]&amp;"."&amp;raw[[#This Row],[expo]]</f>
        <v>2015.0.0.0.0</v>
      </c>
    </row>
    <row r="1191" spans="1:1">
      <c r="A1191" t="str">
        <f t="array" ref="A1191">+YEAR(raw[[#This Row],[_date_]])&amp;"."&amp;raw[[#This Row],[redis_ls]]&amp;"."&amp;raw[[#This Row],[wage_eq]]&amp;"."&amp;raw[[#This Row],[flex]]&amp;"."&amp;raw[[#This Row],[expo]]</f>
        <v>2016.0.0.0.0</v>
      </c>
    </row>
    <row r="1192" spans="1:1">
      <c r="A1192" t="str">
        <f t="array" ref="A1192">+YEAR(raw[[#This Row],[_date_]])&amp;"."&amp;raw[[#This Row],[redis_ls]]&amp;"."&amp;raw[[#This Row],[wage_eq]]&amp;"."&amp;raw[[#This Row],[flex]]&amp;"."&amp;raw[[#This Row],[expo]]</f>
        <v>2017.0.0.0.0</v>
      </c>
    </row>
    <row r="1193" spans="1:1">
      <c r="A1193" t="str">
        <f t="array" ref="A1193">+YEAR(raw[[#This Row],[_date_]])&amp;"."&amp;raw[[#This Row],[redis_ls]]&amp;"."&amp;raw[[#This Row],[wage_eq]]&amp;"."&amp;raw[[#This Row],[flex]]&amp;"."&amp;raw[[#This Row],[expo]]</f>
        <v>2018.0.0.0.0</v>
      </c>
    </row>
    <row r="1194" spans="1:1">
      <c r="A1194" t="str">
        <f t="array" ref="A1194">+YEAR(raw[[#This Row],[_date_]])&amp;"."&amp;raw[[#This Row],[redis_ls]]&amp;"."&amp;raw[[#This Row],[wage_eq]]&amp;"."&amp;raw[[#This Row],[flex]]&amp;"."&amp;raw[[#This Row],[expo]]</f>
        <v>2019.0.0.0.0</v>
      </c>
    </row>
    <row r="1195" spans="1:1">
      <c r="A1195" t="str">
        <f t="array" ref="A1195">+YEAR(raw[[#This Row],[_date_]])&amp;"."&amp;raw[[#This Row],[redis_ls]]&amp;"."&amp;raw[[#This Row],[wage_eq]]&amp;"."&amp;raw[[#This Row],[flex]]&amp;"."&amp;raw[[#This Row],[expo]]</f>
        <v>2020.0.0.0.0</v>
      </c>
    </row>
    <row r="1196" spans="1:1">
      <c r="A1196" t="str">
        <f t="array" ref="A1196">+YEAR(raw[[#This Row],[_date_]])&amp;"."&amp;raw[[#This Row],[redis_ls]]&amp;"."&amp;raw[[#This Row],[wage_eq]]&amp;"."&amp;raw[[#This Row],[flex]]&amp;"."&amp;raw[[#This Row],[expo]]</f>
        <v>2021.0.0.0.0</v>
      </c>
    </row>
    <row r="1197" spans="1:1">
      <c r="A1197" t="str">
        <f t="array" ref="A1197">+YEAR(raw[[#This Row],[_date_]])&amp;"."&amp;raw[[#This Row],[redis_ls]]&amp;"."&amp;raw[[#This Row],[wage_eq]]&amp;"."&amp;raw[[#This Row],[flex]]&amp;"."&amp;raw[[#This Row],[expo]]</f>
        <v>2022.0.0.0.0</v>
      </c>
    </row>
    <row r="1198" spans="1:1">
      <c r="A1198" t="str">
        <f t="array" ref="A1198">+YEAR(raw[[#This Row],[_date_]])&amp;"."&amp;raw[[#This Row],[redis_ls]]&amp;"."&amp;raw[[#This Row],[wage_eq]]&amp;"."&amp;raw[[#This Row],[flex]]&amp;"."&amp;raw[[#This Row],[expo]]</f>
        <v>2023.0.0.0.0</v>
      </c>
    </row>
    <row r="1199" spans="1:1">
      <c r="A1199" t="str">
        <f t="array" ref="A1199">+YEAR(raw[[#This Row],[_date_]])&amp;"."&amp;raw[[#This Row],[redis_ls]]&amp;"."&amp;raw[[#This Row],[wage_eq]]&amp;"."&amp;raw[[#This Row],[flex]]&amp;"."&amp;raw[[#This Row],[expo]]</f>
        <v>2024.0.0.0.0</v>
      </c>
    </row>
    <row r="1200" spans="1:1">
      <c r="A1200" t="str">
        <f t="array" ref="A1200">+YEAR(raw[[#This Row],[_date_]])&amp;"."&amp;raw[[#This Row],[redis_ls]]&amp;"."&amp;raw[[#This Row],[wage_eq]]&amp;"."&amp;raw[[#This Row],[flex]]&amp;"."&amp;raw[[#This Row],[expo]]</f>
        <v>2025.0.0.0.0</v>
      </c>
    </row>
    <row r="1201" spans="1:1">
      <c r="A1201" t="str">
        <f t="array" ref="A1201">+YEAR(raw[[#This Row],[_date_]])&amp;"."&amp;raw[[#This Row],[redis_ls]]&amp;"."&amp;raw[[#This Row],[wage_eq]]&amp;"."&amp;raw[[#This Row],[flex]]&amp;"."&amp;raw[[#This Row],[expo]]</f>
        <v>2026.0.0.0.0</v>
      </c>
    </row>
    <row r="1202" spans="1:1">
      <c r="A1202" t="str">
        <f t="array" ref="A1202">+YEAR(raw[[#This Row],[_date_]])&amp;"."&amp;raw[[#This Row],[redis_ls]]&amp;"."&amp;raw[[#This Row],[wage_eq]]&amp;"."&amp;raw[[#This Row],[flex]]&amp;"."&amp;raw[[#This Row],[expo]]</f>
        <v>2027.0.0.0.0</v>
      </c>
    </row>
    <row r="1203" spans="1:1">
      <c r="A1203" t="str">
        <f t="array" ref="A1203">+YEAR(raw[[#This Row],[_date_]])&amp;"."&amp;raw[[#This Row],[redis_ls]]&amp;"."&amp;raw[[#This Row],[wage_eq]]&amp;"."&amp;raw[[#This Row],[flex]]&amp;"."&amp;raw[[#This Row],[expo]]</f>
        <v>2028.0.0.0.0</v>
      </c>
    </row>
    <row r="1204" spans="1:1">
      <c r="A1204" t="str">
        <f t="array" ref="A1204">+YEAR(raw[[#This Row],[_date_]])&amp;"."&amp;raw[[#This Row],[redis_ls]]&amp;"."&amp;raw[[#This Row],[wage_eq]]&amp;"."&amp;raw[[#This Row],[flex]]&amp;"."&amp;raw[[#This Row],[expo]]</f>
        <v>2029.0.0.0.0</v>
      </c>
    </row>
    <row r="1205" spans="1:1">
      <c r="A1205" t="str">
        <f t="array" ref="A1205">+YEAR(raw[[#This Row],[_date_]])&amp;"."&amp;raw[[#This Row],[redis_ls]]&amp;"."&amp;raw[[#This Row],[wage_eq]]&amp;"."&amp;raw[[#This Row],[flex]]&amp;"."&amp;raw[[#This Row],[expo]]</f>
        <v>2030.0.0.0.0</v>
      </c>
    </row>
    <row r="1206" spans="1:1">
      <c r="A1206" t="str">
        <f t="array" ref="A1206">+YEAR(raw[[#This Row],[_date_]])&amp;"."&amp;raw[[#This Row],[redis_ls]]&amp;"."&amp;raw[[#This Row],[wage_eq]]&amp;"."&amp;raw[[#This Row],[flex]]&amp;"."&amp;raw[[#This Row],[expo]]</f>
        <v>2031.0.0.0.0</v>
      </c>
    </row>
    <row r="1207" spans="1:1">
      <c r="A1207" t="str">
        <f t="array" ref="A1207">+YEAR(raw[[#This Row],[_date_]])&amp;"."&amp;raw[[#This Row],[redis_ls]]&amp;"."&amp;raw[[#This Row],[wage_eq]]&amp;"."&amp;raw[[#This Row],[flex]]&amp;"."&amp;raw[[#This Row],[expo]]</f>
        <v>2032.0.0.0.0</v>
      </c>
    </row>
    <row r="1208" spans="1:1">
      <c r="A1208" t="str">
        <f t="array" ref="A1208">+YEAR(raw[[#This Row],[_date_]])&amp;"."&amp;raw[[#This Row],[redis_ls]]&amp;"."&amp;raw[[#This Row],[wage_eq]]&amp;"."&amp;raw[[#This Row],[flex]]&amp;"."&amp;raw[[#This Row],[expo]]</f>
        <v>2033.0.0.0.0</v>
      </c>
    </row>
    <row r="1209" spans="1:1">
      <c r="A1209" t="str">
        <f t="array" ref="A1209">+YEAR(raw[[#This Row],[_date_]])&amp;"."&amp;raw[[#This Row],[redis_ls]]&amp;"."&amp;raw[[#This Row],[wage_eq]]&amp;"."&amp;raw[[#This Row],[flex]]&amp;"."&amp;raw[[#This Row],[expo]]</f>
        <v>2034.0.0.0.0</v>
      </c>
    </row>
    <row r="1210" spans="1:1">
      <c r="A1210" t="str">
        <f t="array" ref="A1210">+YEAR(raw[[#This Row],[_date_]])&amp;"."&amp;raw[[#This Row],[redis_ls]]&amp;"."&amp;raw[[#This Row],[wage_eq]]&amp;"."&amp;raw[[#This Row],[flex]]&amp;"."&amp;raw[[#This Row],[expo]]</f>
        <v>2035.0.0.0.0</v>
      </c>
    </row>
    <row r="1211" spans="1:1">
      <c r="A1211" t="str">
        <f t="array" ref="A1211">+YEAR(raw[[#This Row],[_date_]])&amp;"."&amp;raw[[#This Row],[redis_ls]]&amp;"."&amp;raw[[#This Row],[wage_eq]]&amp;"."&amp;raw[[#This Row],[flex]]&amp;"."&amp;raw[[#This Row],[expo]]</f>
        <v>2036.0.0.0.0</v>
      </c>
    </row>
    <row r="1212" spans="1:1">
      <c r="A1212" t="str">
        <f t="array" ref="A1212">+YEAR(raw[[#This Row],[_date_]])&amp;"."&amp;raw[[#This Row],[redis_ls]]&amp;"."&amp;raw[[#This Row],[wage_eq]]&amp;"."&amp;raw[[#This Row],[flex]]&amp;"."&amp;raw[[#This Row],[expo]]</f>
        <v>2037.0.0.0.0</v>
      </c>
    </row>
    <row r="1213" spans="1:1">
      <c r="A1213" t="str">
        <f t="array" ref="A1213">+YEAR(raw[[#This Row],[_date_]])&amp;"."&amp;raw[[#This Row],[redis_ls]]&amp;"."&amp;raw[[#This Row],[wage_eq]]&amp;"."&amp;raw[[#This Row],[flex]]&amp;"."&amp;raw[[#This Row],[expo]]</f>
        <v>2038.0.0.0.0</v>
      </c>
    </row>
    <row r="1214" spans="1:1">
      <c r="A1214" t="str">
        <f t="array" ref="A1214">+YEAR(raw[[#This Row],[_date_]])&amp;"."&amp;raw[[#This Row],[redis_ls]]&amp;"."&amp;raw[[#This Row],[wage_eq]]&amp;"."&amp;raw[[#This Row],[flex]]&amp;"."&amp;raw[[#This Row],[expo]]</f>
        <v>2039.0.0.0.0</v>
      </c>
    </row>
    <row r="1215" spans="1:1">
      <c r="A1215" t="str">
        <f t="array" ref="A1215">+YEAR(raw[[#This Row],[_date_]])&amp;"."&amp;raw[[#This Row],[redis_ls]]&amp;"."&amp;raw[[#This Row],[wage_eq]]&amp;"."&amp;raw[[#This Row],[flex]]&amp;"."&amp;raw[[#This Row],[expo]]</f>
        <v>2040.0.0.0.0</v>
      </c>
    </row>
    <row r="1216" spans="1:1">
      <c r="A1216" t="str">
        <f t="array" ref="A1216">+YEAR(raw[[#This Row],[_date_]])&amp;"."&amp;raw[[#This Row],[redis_ls]]&amp;"."&amp;raw[[#This Row],[wage_eq]]&amp;"."&amp;raw[[#This Row],[flex]]&amp;"."&amp;raw[[#This Row],[expo]]</f>
        <v>2041.0.0.0.0</v>
      </c>
    </row>
    <row r="1217" spans="1:1">
      <c r="A1217" t="str">
        <f t="array" ref="A1217">+YEAR(raw[[#This Row],[_date_]])&amp;"."&amp;raw[[#This Row],[redis_ls]]&amp;"."&amp;raw[[#This Row],[wage_eq]]&amp;"."&amp;raw[[#This Row],[flex]]&amp;"."&amp;raw[[#This Row],[expo]]</f>
        <v>2042.0.0.0.0</v>
      </c>
    </row>
    <row r="1218" spans="1:1">
      <c r="A1218" t="str">
        <f t="array" ref="A1218">+YEAR(raw[[#This Row],[_date_]])&amp;"."&amp;raw[[#This Row],[redis_ls]]&amp;"."&amp;raw[[#This Row],[wage_eq]]&amp;"."&amp;raw[[#This Row],[flex]]&amp;"."&amp;raw[[#This Row],[expo]]</f>
        <v>2043.0.0.0.0</v>
      </c>
    </row>
    <row r="1219" spans="1:1">
      <c r="A1219" t="str">
        <f t="array" ref="A1219">+YEAR(raw[[#This Row],[_date_]])&amp;"."&amp;raw[[#This Row],[redis_ls]]&amp;"."&amp;raw[[#This Row],[wage_eq]]&amp;"."&amp;raw[[#This Row],[flex]]&amp;"."&amp;raw[[#This Row],[expo]]</f>
        <v>2044.0.0.0.0</v>
      </c>
    </row>
    <row r="1220" spans="1:1">
      <c r="A1220" t="str">
        <f t="array" ref="A1220">+YEAR(raw[[#This Row],[_date_]])&amp;"."&amp;raw[[#This Row],[redis_ls]]&amp;"."&amp;raw[[#This Row],[wage_eq]]&amp;"."&amp;raw[[#This Row],[flex]]&amp;"."&amp;raw[[#This Row],[expo]]</f>
        <v>2045.0.0.0.0</v>
      </c>
    </row>
    <row r="1221" spans="1:1">
      <c r="A1221" t="str">
        <f t="array" ref="A1221">+YEAR(raw[[#This Row],[_date_]])&amp;"."&amp;raw[[#This Row],[redis_ls]]&amp;"."&amp;raw[[#This Row],[wage_eq]]&amp;"."&amp;raw[[#This Row],[flex]]&amp;"."&amp;raw[[#This Row],[expo]]</f>
        <v>2046.0.0.0.0</v>
      </c>
    </row>
    <row r="1222" spans="1:1">
      <c r="A1222" t="str">
        <f t="array" ref="A1222">+YEAR(raw[[#This Row],[_date_]])&amp;"."&amp;raw[[#This Row],[redis_ls]]&amp;"."&amp;raw[[#This Row],[wage_eq]]&amp;"."&amp;raw[[#This Row],[flex]]&amp;"."&amp;raw[[#This Row],[expo]]</f>
        <v>2047.0.0.0.0</v>
      </c>
    </row>
    <row r="1223" spans="1:1">
      <c r="A1223" t="str">
        <f t="array" ref="A1223">+YEAR(raw[[#This Row],[_date_]])&amp;"."&amp;raw[[#This Row],[redis_ls]]&amp;"."&amp;raw[[#This Row],[wage_eq]]&amp;"."&amp;raw[[#This Row],[flex]]&amp;"."&amp;raw[[#This Row],[expo]]</f>
        <v>2048.0.0.0.0</v>
      </c>
    </row>
    <row r="1224" spans="1:1">
      <c r="A1224" t="str">
        <f t="array" ref="A1224">+YEAR(raw[[#This Row],[_date_]])&amp;"."&amp;raw[[#This Row],[redis_ls]]&amp;"."&amp;raw[[#This Row],[wage_eq]]&amp;"."&amp;raw[[#This Row],[flex]]&amp;"."&amp;raw[[#This Row],[expo]]</f>
        <v>2049.0.0.0.0</v>
      </c>
    </row>
    <row r="1225" spans="1:1">
      <c r="A1225" t="str">
        <f t="array" ref="A1225">+YEAR(raw[[#This Row],[_date_]])&amp;"."&amp;raw[[#This Row],[redis_ls]]&amp;"."&amp;raw[[#This Row],[wage_eq]]&amp;"."&amp;raw[[#This Row],[flex]]&amp;"."&amp;raw[[#This Row],[expo]]</f>
        <v>2050.0.0.0.0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E0F12-E48C-4CC4-B99E-B11787179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14</vt:i4>
      </vt:variant>
      <vt:variant>
        <vt:lpstr>Graphiques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18" baseType="lpstr">
      <vt:lpstr>Raw</vt:lpstr>
      <vt:lpstr>Combinaison</vt:lpstr>
      <vt:lpstr>Table_Dynam_GDP</vt:lpstr>
      <vt:lpstr>Table_Dynam_EMS</vt:lpstr>
      <vt:lpstr>Overview</vt:lpstr>
      <vt:lpstr>Paper charts</vt:lpstr>
      <vt:lpstr>Explorer</vt:lpstr>
      <vt:lpstr>Redistribution</vt:lpstr>
      <vt:lpstr>Wage equation</vt:lpstr>
      <vt:lpstr>Flexibility</vt:lpstr>
      <vt:lpstr>Exposure</vt:lpstr>
      <vt:lpstr>TCD</vt:lpstr>
      <vt:lpstr>Lists</vt:lpstr>
      <vt:lpstr>index</vt:lpstr>
      <vt:lpstr>Dynamique_GDP</vt:lpstr>
      <vt:lpstr>Dynamique_EMS</vt:lpstr>
      <vt:lpstr>Output_variable</vt:lpstr>
      <vt:lpstr>Explorer!Redistribution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Saussay</dc:creator>
  <cp:lastModifiedBy>Gissela LANDA</cp:lastModifiedBy>
  <cp:lastPrinted>2024-12-13T12:29:12Z</cp:lastPrinted>
  <dcterms:created xsi:type="dcterms:W3CDTF">2019-07-02T15:30:51Z</dcterms:created>
  <dcterms:modified xsi:type="dcterms:W3CDTF">2025-05-26T09:48:50Z</dcterms:modified>
</cp:coreProperties>
</file>